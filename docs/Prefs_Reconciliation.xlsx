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conciliation" sheetId="3" state="visible" r:id="rId5"/>
    <sheet name="Formula Exceptions" sheetId="4" state="visible" r:id="rId6"/>
    <sheet name="Par &amp; Amount Discrepancies" sheetId="5" state="visible" r:id="rId7"/>
    <sheet name="Zero-Base Parents" sheetId="6" state="visible" r:id="rId8"/>
  </sheets>
  <definedNames>
    <definedName function="false" hidden="true" localSheetId="3" name="_xlnm._FilterDatabase" vbProcedure="false">'Formula Exceptions'!$A$1:$I$120</definedName>
    <definedName function="false" hidden="true" localSheetId="4" name="_xlnm._FilterDatabase" vbProcedure="false">'Par &amp; Amount Discrepancies'!$A$1:$M$23</definedName>
    <definedName function="false" hidden="true" localSheetId="2" name="_xlnm._FilterDatabase" vbProcedure="false">Reconciliation!$A$2:$BD$811</definedName>
    <definedName function="false" hidden="true" localSheetId="5" name="_xlnm._FilterDatabase" vbProcedure="false">'Zero-Base Parents'!$A$1:$G$64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<sst xmlns="http://schemas.openxmlformats.org/spreadsheetml/2006/main" count="8862" uniqueCount="1783">
  <si>
    <t xml:space="preserve">Prefs database - layered reconciliation</t>
  </si>
  <si>
    <t xml:space="preserve">Built 2026-08-21 from prefsTEST.xlsx (809 issue rows, 354 parent blocks) + the QOLpaste sheet (1,004 securities).</t>
  </si>
  <si>
    <t xml:space="preserve">WHAT THIS IS</t>
  </si>
  <si>
    <t xml:space="preserve">Your current required yield / normal price / discount / total-return-potential, next to recomputed values,</t>
  </si>
  <si>
    <t xml:space="preserve">one layer of change at a time. Each layer has its own delta column so you can accept or reject it on its own.</t>
  </si>
  <si>
    <t xml:space="preserve">L1  wiring fixed          Same base yield, same penalty each row already used. Isolates pure bug impact.</t>
  </si>
  <si>
    <t xml:space="preserve">L2  penalties unified     One scheme from the Inputs tab instead of the two that coexist today.</t>
  </si>
  <si>
    <t xml:space="preserve">L3  payment derived       Annual amount = coupon x par everywhere, instead of 106 different formulas.</t>
  </si>
  <si>
    <t xml:space="preserve">    NOTE: L3 moves nothing. In most rows the coupon column is itself defined as amount/par, so the two</t>
  </si>
  <si>
    <t xml:space="preserve">    conventions cannot disagree - they are the same number twice. Standardizing here is a maintainability</t>
  </si>
  <si>
    <t xml:space="preserve">    fix, not a correction. The independent check on coupon and amount is L5, against QuantumOnline.</t>
  </si>
  <si>
    <t xml:space="preserve">L4  market-cap ladder     Base yield keyed off parent market cap instead of parent price.</t>
  </si>
  <si>
    <t xml:space="preserve">L5  facts refreshed       Par and amount taken from QuantumOnline where they disagree with the workbook.</t>
  </si>
  <si>
    <t xml:space="preserve">Every delta is measured against the PREVIOUS layer, so they add up. Column BC is the total vs today.</t>
  </si>
  <si>
    <t xml:space="preserve">WHERE THE MOVEMENT ACTUALLY IS</t>
  </si>
  <si>
    <t xml:space="preserve">L1  62 rows move, 59 by more than 250bp  - the formula bugs</t>
  </si>
  <si>
    <t xml:space="preserve">L2  11 rows move                          - the two penalty schemes barely diverge in practice</t>
  </si>
  <si>
    <t xml:space="preserve">L3   0 rows move                          - see note above</t>
  </si>
  <si>
    <t xml:space="preserve">L4 397 rows move, 386 by more than 250bp  - the ladder change dominates everything else</t>
  </si>
  <si>
    <t xml:space="preserve">L5   8 rows move, all 8 by &gt;250bp         - but includes the largest single correction (+110pp)</t>
  </si>
  <si>
    <t xml:space="preserve">Net: 320 securities look BETTER than they do today, 65 look worse. The cleanup mostly reveals, not removes.</t>
  </si>
  <si>
    <t xml:space="preserve">HOW TO USE IT</t>
  </si>
  <si>
    <t xml:space="preserve">The Inputs tab is live. Change a yellow cell - a ladder rung, the debt adjustment, the QDI switch - and every</t>
  </si>
  <si>
    <t xml:space="preserve">layer column recalculates. That is the point: retune until the output matches your judgment, then we build to it.</t>
  </si>
  <si>
    <t xml:space="preserve">Autofilter is on. Filter the Flags column to isolate a problem class, or sort by TOTAL dU to see what moves most.</t>
  </si>
  <si>
    <t xml:space="preserve">WHAT IS HARDCODED, AND WHY</t>
  </si>
  <si>
    <t xml:space="preserve">Green figures (R cur / S cur / T cur / U cur) and Price are cached values lifted from prefsTEST.xlsx.</t>
  </si>
  <si>
    <t xml:space="preserve">They came from the RealTick RTD feed and cannot be recomputed here - they are the historical baseline.</t>
  </si>
  <si>
    <t xml:space="preserve">Market cap is the cached RealTick string on each parent row ("1.2 B" / "500 M"), parsed to $mm.</t>
  </si>
  <si>
    <t xml:space="preserve">62 parents show 0 because RealTick returned nothing for that parent at all - see the Zero-Base Parents tab.</t>
  </si>
  <si>
    <t xml:space="preserve">TABS</t>
  </si>
  <si>
    <t xml:space="preserve">Inputs                      every tunable variable, in one place</t>
  </si>
  <si>
    <t xml:space="preserve">Reconciliation              809 rows x 5 layers</t>
  </si>
  <si>
    <t xml:space="preserve">Formula Exceptions          the rows not running the standard formula, with their actual formula text</t>
  </si>
  <si>
    <t xml:space="preserve">Par &amp; Amount Discrepancies  workbook vs QuantumOnline, and what it does to the yield you see</t>
  </si>
  <si>
    <t xml:space="preserve">Zero-Base Parents           the 62 blocks whose valuation is broken because the parent did not quote</t>
  </si>
  <si>
    <t xml:space="preserve">MASTER INPUTS</t>
  </si>
  <si>
    <t xml:space="preserve">Every yellow cell is an input. Edit it and the Reconciliation tab recalculates.</t>
  </si>
  <si>
    <t xml:space="preserve">Rates</t>
  </si>
  <si>
    <t xml:space="preserve">Treasury</t>
  </si>
  <si>
    <t xml:space="preserve">Was 'T-Z'!E1 in the old workbook.</t>
  </si>
  <si>
    <t xml:space="preserve">SOFR</t>
  </si>
  <si>
    <t xml:space="preserve">&lt;- needs value</t>
  </si>
  <si>
    <t xml:space="preserve">REPLACES the dead LIBOR cell (old value 0.75%). Needs a feed - see notes.</t>
  </si>
  <si>
    <t xml:space="preserve">Required-yield adjustments</t>
  </si>
  <si>
    <t xml:space="preserve">QDI switch</t>
  </si>
  <si>
    <t xml:space="preserve">Sign on the QDI adjustment. -1 = QDI issues get a LOWER required yield.</t>
  </si>
  <si>
    <t xml:space="preserve">QDI adjustment (relative)</t>
  </si>
  <si>
    <t xml:space="preserve">Applied as base x this x switch. 5% of base, not 5 points.</t>
  </si>
  <si>
    <t xml:space="preserve">Structure adjustment (absolute)</t>
  </si>
  <si>
    <t xml:space="preserve">Replaces the nested IFs. Add rows freely.</t>
  </si>
  <si>
    <t xml:space="preserve">PREFERRED</t>
  </si>
  <si>
    <t xml:space="preserve">BABY_BOND</t>
  </si>
  <si>
    <t xml:space="preserve">Was "debt" -0.50%. The competing scheme used -0.75%.</t>
  </si>
  <si>
    <t xml:space="preserve">TRUPS</t>
  </si>
  <si>
    <t xml:space="preserve">Was "tp"/"trups", inherited the debt adjustment.</t>
  </si>
  <si>
    <t xml:space="preserve">Coupon-type adjustment (absolute)</t>
  </si>
  <si>
    <t xml:space="preserve">New axis. All zero until you decide otherwise.</t>
  </si>
  <si>
    <t xml:space="preserve">FIXED</t>
  </si>
  <si>
    <t xml:space="preserve">FIX_TO_FLOAT</t>
  </si>
  <si>
    <t xml:space="preserve">FLOATER</t>
  </si>
  <si>
    <t xml:space="preserve">RESET</t>
  </si>
  <si>
    <t xml:space="preserve">VARIABLE</t>
  </si>
  <si>
    <t xml:space="preserve">CONVERTIBLE</t>
  </si>
  <si>
    <t xml:space="preserve">MAND_CONVERT</t>
  </si>
  <si>
    <t xml:space="preserve">Market-cap -&gt; base yield ladder</t>
  </si>
  <si>
    <t xml:space="preserve">Upper bound ($mm)</t>
  </si>
  <si>
    <t xml:space="preserve">Base yield</t>
  </si>
  <si>
    <t xml:space="preserve">Replaces the old PARENT PRICE ladder: &lt;=$10 -&gt; 10%, $10-15 -&gt; 9%, $15-20 -&gt; 8.5%, &gt;$20 -&gt; 8%</t>
  </si>
  <si>
    <t xml:space="preserve">NOTES</t>
  </si>
  <si>
    <t xml:space="preserve">1. Baseline columns (R/S/T/U as they sit today) are HARDCODED cached values from prefsTEST.xlsx.</t>
  </si>
  <si>
    <t xml:space="preserve">   They cannot be recomputed here - they came from the RealTick RTD feed. Price is a snapshot from the same source.</t>
  </si>
  <si>
    <t xml:space="preserve">2. Market cap is the cached RealTick value on each parent row, parsed from the "1.2 B" / "500 M" string.</t>
  </si>
  <si>
    <t xml:space="preserve">   62 parents show 0 because RealTick returned nothing for the parent at all. Those need a real market cap.</t>
  </si>
  <si>
    <t xml:space="preserve">3. Every layer column IS a live formula against this tab. Retune a yellow cell and the deltas move.</t>
  </si>
  <si>
    <t xml:space="preserve">4. Cumulative is deliberately NOT an adjustment - it is a display flag only.</t>
  </si>
  <si>
    <t xml:space="preserve">CONTEXT</t>
  </si>
  <si>
    <t xml:space="preserve">AS IT SITS TODAY</t>
  </si>
  <si>
    <t xml:space="preserve">L1  wiring fixed</t>
  </si>
  <si>
    <t xml:space="preserve">L2  penalties unified</t>
  </si>
  <si>
    <t xml:space="preserve">L3  payment derived</t>
  </si>
  <si>
    <t xml:space="preserve">L4  market-cap ladder</t>
  </si>
  <si>
    <t xml:space="preserve">L5  facts refreshed</t>
  </si>
  <si>
    <t xml:space="preserve">SUMMARY</t>
  </si>
  <si>
    <t xml:space="preserve">Sheet</t>
  </si>
  <si>
    <t xml:space="preserve">Src Row</t>
  </si>
  <si>
    <t xml:space="preserve">Symbol</t>
  </si>
  <si>
    <t xml:space="preserve">Parent</t>
  </si>
  <si>
    <t xml:space="preserve">Parent Name</t>
  </si>
  <si>
    <t xml:space="preserve">Mkt Cap ($mm)</t>
  </si>
  <si>
    <t xml:space="preserve">Structure</t>
  </si>
  <si>
    <t xml:space="preserve">Coupon Type</t>
  </si>
  <si>
    <t xml:space="preserve">QDI</t>
  </si>
  <si>
    <t xml:space="preserve">Freq</t>
  </si>
  <si>
    <t xml:space="preserve">Per/Yr</t>
  </si>
  <si>
    <t xml:space="preserve">Par (wb)</t>
  </si>
  <si>
    <t xml:space="preserve">Coupon (wb)</t>
  </si>
  <si>
    <t xml:space="preserve">Ann Amt (wb)</t>
  </si>
  <si>
    <t xml:space="preserve">Price</t>
  </si>
  <si>
    <t xml:space="preserve">Exception</t>
  </si>
  <si>
    <t xml:space="preserve">Group Base</t>
  </si>
  <si>
    <t xml:space="preserve">R cur</t>
  </si>
  <si>
    <t xml:space="preserve">S cur</t>
  </si>
  <si>
    <t xml:space="preserve">T cur</t>
  </si>
  <si>
    <t xml:space="preserve">U cur</t>
  </si>
  <si>
    <t xml:space="preserve">hist adj</t>
  </si>
  <si>
    <t xml:space="preserve">R L1</t>
  </si>
  <si>
    <t xml:space="preserve">S L1</t>
  </si>
  <si>
    <t xml:space="preserve">T L1</t>
  </si>
  <si>
    <t xml:space="preserve">U L1</t>
  </si>
  <si>
    <t xml:space="preserve">dU L1</t>
  </si>
  <si>
    <t xml:space="preserve">R L2</t>
  </si>
  <si>
    <t xml:space="preserve">S L2</t>
  </si>
  <si>
    <t xml:space="preserve">T L2</t>
  </si>
  <si>
    <t xml:space="preserve">U L2</t>
  </si>
  <si>
    <t xml:space="preserve">dU L2</t>
  </si>
  <si>
    <t xml:space="preserve">Ann Amt L3</t>
  </si>
  <si>
    <t xml:space="preserve">S L3</t>
  </si>
  <si>
    <t xml:space="preserve">T L3</t>
  </si>
  <si>
    <t xml:space="preserve">U L3</t>
  </si>
  <si>
    <t xml:space="preserve">dU L3</t>
  </si>
  <si>
    <t xml:space="preserve">Base mktcap</t>
  </si>
  <si>
    <t xml:space="preserve">Base override</t>
  </si>
  <si>
    <t xml:space="preserve">Base eff</t>
  </si>
  <si>
    <t xml:space="preserve">R L4</t>
  </si>
  <si>
    <t xml:space="preserve">S L4</t>
  </si>
  <si>
    <t xml:space="preserve">T L4</t>
  </si>
  <si>
    <t xml:space="preserve">U L4</t>
  </si>
  <si>
    <t xml:space="preserve">dU L4</t>
  </si>
  <si>
    <t xml:space="preserve">Par QOL</t>
  </si>
  <si>
    <t xml:space="preserve">Ann QOL</t>
  </si>
  <si>
    <t xml:space="preserve">Par eff</t>
  </si>
  <si>
    <t xml:space="preserve">Ann eff</t>
  </si>
  <si>
    <t xml:space="preserve">R L5</t>
  </si>
  <si>
    <t xml:space="preserve">S L5</t>
  </si>
  <si>
    <t xml:space="preserve">T L5</t>
  </si>
  <si>
    <t xml:space="preserve">U L5</t>
  </si>
  <si>
    <t xml:space="preserve">dU L5</t>
  </si>
  <si>
    <t xml:space="preserve">TOTAL dU</t>
  </si>
  <si>
    <t xml:space="preserve">Flags</t>
  </si>
  <si>
    <t xml:space="preserve">A-C</t>
  </si>
  <si>
    <t xml:space="preserve">AAIN</t>
  </si>
  <si>
    <t xml:space="preserve">AAIC</t>
  </si>
  <si>
    <t xml:space="preserve">na</t>
  </si>
  <si>
    <t xml:space="preserve">no</t>
  </si>
  <si>
    <t xml:space="preserve">Q</t>
  </si>
  <si>
    <t xml:space="preserve">OK</t>
  </si>
  <si>
    <t xml:space="preserve">NO PRICE; not in QOL paste - retire/rename?; group base = 0 (parent did not quote)</t>
  </si>
  <si>
    <t xml:space="preserve">ACP-A</t>
  </si>
  <si>
    <t xml:space="preserve">ACP</t>
  </si>
  <si>
    <t xml:space="preserve">ABRDN INCOME CREDIT STRATEGIES</t>
  </si>
  <si>
    <t xml:space="preserve">yes</t>
  </si>
  <si>
    <t xml:space="preserve">ACR-C</t>
  </si>
  <si>
    <t xml:space="preserve">ACR</t>
  </si>
  <si>
    <t xml:space="preserve">ACRES COMMERCIAL REALTY CORP COM NEW</t>
  </si>
  <si>
    <t xml:space="preserve">ACR-D</t>
  </si>
  <si>
    <t xml:space="preserve">ABR-D</t>
  </si>
  <si>
    <t xml:space="preserve">ABR</t>
  </si>
  <si>
    <t xml:space="preserve">ARBOR REALTY TRUST INC</t>
  </si>
  <si>
    <t xml:space="preserve">ABR-E</t>
  </si>
  <si>
    <t xml:space="preserve">ABR-F</t>
  </si>
  <si>
    <t xml:space="preserve">ACGLN</t>
  </si>
  <si>
    <t xml:space="preserve">ACGL</t>
  </si>
  <si>
    <t xml:space="preserve">ARCH CAP GROUP LTD</t>
  </si>
  <si>
    <t xml:space="preserve">ACGLO</t>
  </si>
  <si>
    <t xml:space="preserve">ADC-A</t>
  </si>
  <si>
    <t xml:space="preserve">ADC</t>
  </si>
  <si>
    <t xml:space="preserve">AGREE RLTY CORP</t>
  </si>
  <si>
    <t xml:space="preserve">M</t>
  </si>
  <si>
    <t xml:space="preserve">AILIH</t>
  </si>
  <si>
    <t xml:space="preserve">AEE</t>
  </si>
  <si>
    <t xml:space="preserve">AMEREN CORP</t>
  </si>
  <si>
    <t xml:space="preserve">PAR MISMATCH</t>
  </si>
  <si>
    <t xml:space="preserve">AILIM</t>
  </si>
  <si>
    <t xml:space="preserve">AILIN</t>
  </si>
  <si>
    <t xml:space="preserve">AILIO</t>
  </si>
  <si>
    <t xml:space="preserve">AILIP</t>
  </si>
  <si>
    <t xml:space="preserve">AILLI</t>
  </si>
  <si>
    <t xml:space="preserve">AILLM</t>
  </si>
  <si>
    <t xml:space="preserve">AILLN</t>
  </si>
  <si>
    <t xml:space="preserve">AILLO</t>
  </si>
  <si>
    <t xml:space="preserve">AILLP</t>
  </si>
  <si>
    <t xml:space="preserve">UELMO</t>
  </si>
  <si>
    <t xml:space="preserve">UEPCN</t>
  </si>
  <si>
    <t xml:space="preserve">UEPCO</t>
  </si>
  <si>
    <t xml:space="preserve">UEPCP</t>
  </si>
  <si>
    <t xml:space="preserve">UEPEM</t>
  </si>
  <si>
    <t xml:space="preserve">UEPEN</t>
  </si>
  <si>
    <t xml:space="preserve">UEPEO</t>
  </si>
  <si>
    <t xml:space="preserve">UEPEP</t>
  </si>
  <si>
    <t xml:space="preserve">AEFC</t>
  </si>
  <si>
    <t xml:space="preserve">AEG</t>
  </si>
  <si>
    <t xml:space="preserve">AEGON LTD AMER REG 1 CERT</t>
  </si>
  <si>
    <t xml:space="preserve">AEL-A</t>
  </si>
  <si>
    <t xml:space="preserve">AEL</t>
  </si>
  <si>
    <t xml:space="preserve">AESC</t>
  </si>
  <si>
    <t xml:space="preserve">AES</t>
  </si>
  <si>
    <t xml:space="preserve">AES CORP</t>
  </si>
  <si>
    <t xml:space="preserve">NO PRICE; not in QOL paste - retire/rename?</t>
  </si>
  <si>
    <t xml:space="preserve">AFGB</t>
  </si>
  <si>
    <t xml:space="preserve">AFG</t>
  </si>
  <si>
    <t xml:space="preserve">AMERICAN FINANCIAL GROUP INC</t>
  </si>
  <si>
    <t xml:space="preserve">AFGC</t>
  </si>
  <si>
    <t xml:space="preserve">AFGD</t>
  </si>
  <si>
    <t xml:space="preserve">AFGE</t>
  </si>
  <si>
    <t xml:space="preserve">AFSIA</t>
  </si>
  <si>
    <t xml:space="preserve">AFSIB</t>
  </si>
  <si>
    <t xml:space="preserve">AFSIC</t>
  </si>
  <si>
    <t xml:space="preserve">AFSIP</t>
  </si>
  <si>
    <t xml:space="preserve">AFSIM</t>
  </si>
  <si>
    <t xml:space="preserve">AFSIN</t>
  </si>
  <si>
    <t xml:space="preserve">AFFS</t>
  </si>
  <si>
    <t xml:space="preserve">AFFT</t>
  </si>
  <si>
    <t xml:space="preserve">AGM-C</t>
  </si>
  <si>
    <t xml:space="preserve">AGM</t>
  </si>
  <si>
    <t xml:space="preserve">FEDERAL AGRIC MTG CORP CL C</t>
  </si>
  <si>
    <t xml:space="preserve">AGM-D</t>
  </si>
  <si>
    <t xml:space="preserve">AGM-E</t>
  </si>
  <si>
    <t xml:space="preserve">AGM-F</t>
  </si>
  <si>
    <t xml:space="preserve">AGM-G</t>
  </si>
  <si>
    <t xml:space="preserve">AGNCL</t>
  </si>
  <si>
    <t xml:space="preserve">AGNC</t>
  </si>
  <si>
    <t xml:space="preserve">AGNC INVT CORP</t>
  </si>
  <si>
    <t xml:space="preserve">MISWIRED_CD</t>
  </si>
  <si>
    <t xml:space="preserve">wiring: reads C/D not D/E - no adjustments fired</t>
  </si>
  <si>
    <t xml:space="preserve">AGNCM</t>
  </si>
  <si>
    <t xml:space="preserve">AGNCN</t>
  </si>
  <si>
    <t xml:space="preserve">AGNCO</t>
  </si>
  <si>
    <t xml:space="preserve">AGNCP</t>
  </si>
  <si>
    <t xml:space="preserve">CTGSP</t>
  </si>
  <si>
    <t xml:space="preserve">AGR</t>
  </si>
  <si>
    <t xml:space="preserve">group base = 0 (parent did not quote)</t>
  </si>
  <si>
    <t xml:space="preserve">AHH-A</t>
  </si>
  <si>
    <t xml:space="preserve">AHH</t>
  </si>
  <si>
    <t xml:space="preserve">AHT-D</t>
  </si>
  <si>
    <t xml:space="preserve">AHT</t>
  </si>
  <si>
    <t xml:space="preserve">ASHFORD HOSPITALITY TR INC COM NEW</t>
  </si>
  <si>
    <t xml:space="preserve">CONST</t>
  </si>
  <si>
    <t xml:space="preserve">R hand-typed (deliberate override?)</t>
  </si>
  <si>
    <t xml:space="preserve">AHT-F</t>
  </si>
  <si>
    <t xml:space="preserve">AHT-G</t>
  </si>
  <si>
    <t xml:space="preserve">AHT-H</t>
  </si>
  <si>
    <t xml:space="preserve">AHT-I</t>
  </si>
  <si>
    <t xml:space="preserve">AIG-A</t>
  </si>
  <si>
    <t xml:space="preserve">AIG</t>
  </si>
  <si>
    <t xml:space="preserve">AMERICAN INTL GROUP INC COM NEW</t>
  </si>
  <si>
    <t xml:space="preserve">AIRTP</t>
  </si>
  <si>
    <t xml:space="preserve">AIRT</t>
  </si>
  <si>
    <t xml:space="preserve">AIR T INC</t>
  </si>
  <si>
    <t xml:space="preserve">AIZN</t>
  </si>
  <si>
    <t xml:space="preserve">AIZ</t>
  </si>
  <si>
    <t xml:space="preserve">ASSURANT INC</t>
  </si>
  <si>
    <t xml:space="preserve">AJXA</t>
  </si>
  <si>
    <t xml:space="preserve">AJX</t>
  </si>
  <si>
    <t xml:space="preserve">AL-A</t>
  </si>
  <si>
    <t xml:space="preserve">AL</t>
  </si>
  <si>
    <t xml:space="preserve">ALL-B</t>
  </si>
  <si>
    <t xml:space="preserve">ALL</t>
  </si>
  <si>
    <t xml:space="preserve">ALLSTATE CORP</t>
  </si>
  <si>
    <t xml:space="preserve">ALL-H</t>
  </si>
  <si>
    <t xml:space="preserve">ALL-I</t>
  </si>
  <si>
    <t xml:space="preserve">ALL-J</t>
  </si>
  <si>
    <t xml:space="preserve">ALTG-A</t>
  </si>
  <si>
    <t xml:space="preserve">ALTG</t>
  </si>
  <si>
    <t xml:space="preserve">ALTA EQUIPMENT GROUP INC COMMON STOCK</t>
  </si>
  <si>
    <t xml:space="preserve">MGR</t>
  </si>
  <si>
    <t xml:space="preserve">AMG</t>
  </si>
  <si>
    <t xml:space="preserve">AFFILIATED MANAGERS GROUP</t>
  </si>
  <si>
    <t xml:space="preserve">MGRB</t>
  </si>
  <si>
    <t xml:space="preserve">MGRD</t>
  </si>
  <si>
    <t xml:space="preserve">AMH-G</t>
  </si>
  <si>
    <t xml:space="preserve">AMH</t>
  </si>
  <si>
    <t xml:space="preserve">AMERICAN HOMES 4 RENT CL A</t>
  </si>
  <si>
    <t xml:space="preserve">AMH-H</t>
  </si>
  <si>
    <t xml:space="preserve">KTN</t>
  </si>
  <si>
    <t xml:space="preserve">AON</t>
  </si>
  <si>
    <t xml:space="preserve">AON PLC SHS CL A</t>
  </si>
  <si>
    <t xml:space="preserve">S-A</t>
  </si>
  <si>
    <t xml:space="preserve">AHL-C</t>
  </si>
  <si>
    <t xml:space="preserve">APO</t>
  </si>
  <si>
    <t xml:space="preserve">APOLLO GLOBAL MGMT INC</t>
  </si>
  <si>
    <t xml:space="preserve">AHL-D</t>
  </si>
  <si>
    <t xml:space="preserve">AHL-E</t>
  </si>
  <si>
    <t xml:space="preserve">APO-A</t>
  </si>
  <si>
    <t xml:space="preserve">wiring: reads C/D not D/E - no adjustments fired; NO PRICE</t>
  </si>
  <si>
    <t xml:space="preserve">APOS</t>
  </si>
  <si>
    <t xml:space="preserve">ATH-A</t>
  </si>
  <si>
    <t xml:space="preserve">ATH-B</t>
  </si>
  <si>
    <t xml:space="preserve">ATH-C</t>
  </si>
  <si>
    <t xml:space="preserve">ATH-D</t>
  </si>
  <si>
    <t xml:space="preserve">ATH-E</t>
  </si>
  <si>
    <t xml:space="preserve">AQNA</t>
  </si>
  <si>
    <t xml:space="preserve">AQN</t>
  </si>
  <si>
    <t xml:space="preserve">ALGONQUIN PWR UTILS CORP</t>
  </si>
  <si>
    <t xml:space="preserve">AQNB</t>
  </si>
  <si>
    <t xml:space="preserve">AQNU</t>
  </si>
  <si>
    <t xml:space="preserve">ARBKL</t>
  </si>
  <si>
    <t xml:space="preserve">ARBK</t>
  </si>
  <si>
    <t xml:space="preserve">ARGO BLOCKCHAIN PLC SPONSORED ADS</t>
  </si>
  <si>
    <t xml:space="preserve">NO PRICE</t>
  </si>
  <si>
    <t xml:space="preserve">ARGD</t>
  </si>
  <si>
    <t xml:space="preserve">ARGO</t>
  </si>
  <si>
    <t xml:space="preserve">NO PRICE; group base = 0 (parent did not quote)</t>
  </si>
  <si>
    <t xml:space="preserve">ARR-C</t>
  </si>
  <si>
    <t xml:space="preserve">ARR</t>
  </si>
  <si>
    <t xml:space="preserve">ARMOUR RESIDENTIAL REIT INC COM SHS</t>
  </si>
  <si>
    <t xml:space="preserve">ASB-E</t>
  </si>
  <si>
    <t xml:space="preserve">ASB</t>
  </si>
  <si>
    <t xml:space="preserve">ASSOCIATED BANC-CORP</t>
  </si>
  <si>
    <t xml:space="preserve">ASB-F</t>
  </si>
  <si>
    <t xml:space="preserve">ASBA</t>
  </si>
  <si>
    <t xml:space="preserve">wiring: reads C/D not D/E - no adjustments fired; group base = 0 (parent did not quote)</t>
  </si>
  <si>
    <t xml:space="preserve">ATCO-D</t>
  </si>
  <si>
    <t xml:space="preserve">ATCO</t>
  </si>
  <si>
    <t xml:space="preserve">ATCO-H</t>
  </si>
  <si>
    <t xml:space="preserve">ATCO-I</t>
  </si>
  <si>
    <t xml:space="preserve">REF_ERR</t>
  </si>
  <si>
    <t xml:space="preserve">REF error in formula; NO PRICE; not in QOL paste - retire/rename?; group base = 0 (parent did not quote)</t>
  </si>
  <si>
    <t xml:space="preserve">ATCOL</t>
  </si>
  <si>
    <t xml:space="preserve">ATLCL</t>
  </si>
  <si>
    <t xml:space="preserve">ATLC</t>
  </si>
  <si>
    <t xml:space="preserve">ATLANTICUS HOLDINGS CORP</t>
  </si>
  <si>
    <t xml:space="preserve">ATLCP</t>
  </si>
  <si>
    <t xml:space="preserve">AUB-A</t>
  </si>
  <si>
    <t xml:space="preserve">AUB</t>
  </si>
  <si>
    <t xml:space="preserve">ATLANTIC UN BANKSHARES CORP</t>
  </si>
  <si>
    <t xml:space="preserve">AULT-D</t>
  </si>
  <si>
    <t xml:space="preserve">AULT</t>
  </si>
  <si>
    <t xml:space="preserve">wiring: reads C/D not D/E - no adjustments fired; NO PRICE; not in QOL paste - retire/rename?; group base = 0 (parent did not quote)</t>
  </si>
  <si>
    <t xml:space="preserve">AUVIP</t>
  </si>
  <si>
    <t xml:space="preserve">AUVI</t>
  </si>
  <si>
    <t xml:space="preserve">APPLIED UV INC COM NEW</t>
  </si>
  <si>
    <t xml:space="preserve">not in QOL paste - retire/rename?</t>
  </si>
  <si>
    <t xml:space="preserve">AXS-E</t>
  </si>
  <si>
    <t xml:space="preserve">AXS</t>
  </si>
  <si>
    <t xml:space="preserve">AXIS CAP HLDGS LTD</t>
  </si>
  <si>
    <t xml:space="preserve">BAC-B</t>
  </si>
  <si>
    <t xml:space="preserve">BAC</t>
  </si>
  <si>
    <t xml:space="preserve">BANK OF AMER CORP</t>
  </si>
  <si>
    <t xml:space="preserve">BAC-E</t>
  </si>
  <si>
    <t xml:space="preserve">true floater - excluded by policy</t>
  </si>
  <si>
    <t xml:space="preserve">BAC-K</t>
  </si>
  <si>
    <t xml:space="preserve">BAC-L</t>
  </si>
  <si>
    <t xml:space="preserve">BAC-M</t>
  </si>
  <si>
    <t xml:space="preserve">BAC-N</t>
  </si>
  <si>
    <t xml:space="preserve">BAC-O</t>
  </si>
  <si>
    <t xml:space="preserve">BAC-P</t>
  </si>
  <si>
    <t xml:space="preserve">BAC-Q</t>
  </si>
  <si>
    <t xml:space="preserve">BAC-S</t>
  </si>
  <si>
    <t xml:space="preserve">BML-G</t>
  </si>
  <si>
    <t xml:space="preserve">BML-H</t>
  </si>
  <si>
    <t xml:space="preserve">BML-J</t>
  </si>
  <si>
    <t xml:space="preserve">BML-L</t>
  </si>
  <si>
    <t xml:space="preserve">BACRP</t>
  </si>
  <si>
    <t xml:space="preserve">IPB</t>
  </si>
  <si>
    <t xml:space="preserve">MER-K</t>
  </si>
  <si>
    <t xml:space="preserve">BANFP</t>
  </si>
  <si>
    <t xml:space="preserve">BANF</t>
  </si>
  <si>
    <t xml:space="preserve">BANCFIRST CORP</t>
  </si>
  <si>
    <t xml:space="preserve">BC-A</t>
  </si>
  <si>
    <t xml:space="preserve">BC</t>
  </si>
  <si>
    <t xml:space="preserve">BRUNSWICK CORP</t>
  </si>
  <si>
    <t xml:space="preserve">AG_BASE</t>
  </si>
  <si>
    <t xml:space="preserve">CIRCULAR REF (uses a current yield as required yield); NO PRICE</t>
  </si>
  <si>
    <t xml:space="preserve">BC-B</t>
  </si>
  <si>
    <t xml:space="preserve">BC-C</t>
  </si>
  <si>
    <t xml:space="preserve">BCV-A</t>
  </si>
  <si>
    <t xml:space="preserve">BCV</t>
  </si>
  <si>
    <t xml:space="preserve">BANCROFT FD LTD</t>
  </si>
  <si>
    <t xml:space="preserve">BEP-A</t>
  </si>
  <si>
    <t xml:space="preserve">BEP</t>
  </si>
  <si>
    <t xml:space="preserve">BROOKFIELD RENEWABLE ENERGY PARTNERSHIP UNIT</t>
  </si>
  <si>
    <t xml:space="preserve">BEPH</t>
  </si>
  <si>
    <t xml:space="preserve">BEPI</t>
  </si>
  <si>
    <t xml:space="preserve">BFS-D</t>
  </si>
  <si>
    <t xml:space="preserve">BFS</t>
  </si>
  <si>
    <t xml:space="preserve">SAUL CTRS INC</t>
  </si>
  <si>
    <t xml:space="preserve">BFS-E</t>
  </si>
  <si>
    <t xml:space="preserve">BHFAL</t>
  </si>
  <si>
    <t xml:space="preserve">BHF</t>
  </si>
  <si>
    <t xml:space="preserve">BRIGHTHOUSE FINL INC</t>
  </si>
  <si>
    <t xml:space="preserve">BHFAM</t>
  </si>
  <si>
    <t xml:space="preserve">BHFAN</t>
  </si>
  <si>
    <t xml:space="preserve">BHFAO</t>
  </si>
  <si>
    <t xml:space="preserve">BHFAP</t>
  </si>
  <si>
    <t xml:space="preserve">BHR-B</t>
  </si>
  <si>
    <t xml:space="preserve">BHR</t>
  </si>
  <si>
    <t xml:space="preserve">BRAEMAR HOTELS &amp; RESORTS INC</t>
  </si>
  <si>
    <t xml:space="preserve">BHR-D</t>
  </si>
  <si>
    <t xml:space="preserve">BIP-A</t>
  </si>
  <si>
    <t xml:space="preserve">BIP</t>
  </si>
  <si>
    <t xml:space="preserve">BROOKFIELD INFRASTRUCTURE PART LP INT UNIT</t>
  </si>
  <si>
    <t xml:space="preserve">BIP-B</t>
  </si>
  <si>
    <t xml:space="preserve">BIPH</t>
  </si>
  <si>
    <t xml:space="preserve">BIPI</t>
  </si>
  <si>
    <t xml:space="preserve">BMYMP</t>
  </si>
  <si>
    <t xml:space="preserve">BMY</t>
  </si>
  <si>
    <t xml:space="preserve">BRISTOL-MYERS SQUIBB CO</t>
  </si>
  <si>
    <t xml:space="preserve">BNH</t>
  </si>
  <si>
    <t xml:space="preserve">BN</t>
  </si>
  <si>
    <t xml:space="preserve">BROOKFIELD CORP CL A LTD VT SH</t>
  </si>
  <si>
    <t xml:space="preserve">BNJ</t>
  </si>
  <si>
    <t xml:space="preserve">BPYPM</t>
  </si>
  <si>
    <t xml:space="preserve">BKAAF</t>
  </si>
  <si>
    <t xml:space="preserve">NO PRICE; non-US / CAD</t>
  </si>
  <si>
    <t xml:space="preserve">BROXF</t>
  </si>
  <si>
    <t xml:space="preserve">non-US / CAD</t>
  </si>
  <si>
    <t xml:space="preserve">OAK-A</t>
  </si>
  <si>
    <t xml:space="preserve">OAK-B</t>
  </si>
  <si>
    <t xml:space="preserve">BOH-A</t>
  </si>
  <si>
    <t xml:space="preserve">BOH</t>
  </si>
  <si>
    <t xml:space="preserve">BANK HAWAII CORP</t>
  </si>
  <si>
    <t xml:space="preserve">BPOPM</t>
  </si>
  <si>
    <t xml:space="preserve">BPOP</t>
  </si>
  <si>
    <t xml:space="preserve">POPULAR INC COM NEW</t>
  </si>
  <si>
    <t xml:space="preserve">BPOPO</t>
  </si>
  <si>
    <t xml:space="preserve">REF error in formula</t>
  </si>
  <si>
    <t xml:space="preserve">BPYPN</t>
  </si>
  <si>
    <t xml:space="preserve">BPY</t>
  </si>
  <si>
    <t xml:space="preserve">BPYPO</t>
  </si>
  <si>
    <t xml:space="preserve">BPYPP</t>
  </si>
  <si>
    <t xml:space="preserve">DTLA-</t>
  </si>
  <si>
    <t xml:space="preserve">BW-A</t>
  </si>
  <si>
    <t xml:space="preserve">BW</t>
  </si>
  <si>
    <t xml:space="preserve">BABCOCK &amp; WILCOX ENTERPRISES</t>
  </si>
  <si>
    <t xml:space="preserve">BWNB</t>
  </si>
  <si>
    <t xml:space="preserve">BWSN</t>
  </si>
  <si>
    <t xml:space="preserve">BWBBP</t>
  </si>
  <si>
    <t xml:space="preserve">BWB</t>
  </si>
  <si>
    <t xml:space="preserve">BRIDGEWATER BANCSHARES INC</t>
  </si>
  <si>
    <t xml:space="preserve">C-J</t>
  </si>
  <si>
    <t xml:space="preserve">C</t>
  </si>
  <si>
    <t xml:space="preserve">CITIGROUP INC COM NEW</t>
  </si>
  <si>
    <t xml:space="preserve">R hand-typed (deliberate override?); NO PRICE; not in QOL paste - retire/rename?</t>
  </si>
  <si>
    <t xml:space="preserve">C-K</t>
  </si>
  <si>
    <t xml:space="preserve">C-N</t>
  </si>
  <si>
    <t xml:space="preserve">CADE-A</t>
  </si>
  <si>
    <t xml:space="preserve">CADE</t>
  </si>
  <si>
    <t xml:space="preserve">CUTLF</t>
  </si>
  <si>
    <t xml:space="preserve">CCLDP</t>
  </si>
  <si>
    <t xml:space="preserve">CCLD</t>
  </si>
  <si>
    <t xml:space="preserve">CARECLOUD INC</t>
  </si>
  <si>
    <t xml:space="preserve">CCLDO</t>
  </si>
  <si>
    <t xml:space="preserve">CCNEP</t>
  </si>
  <si>
    <t xml:space="preserve">CCNE</t>
  </si>
  <si>
    <t xml:space="preserve">CNB FINL CORP PA</t>
  </si>
  <si>
    <t xml:space="preserve">CDR-B</t>
  </si>
  <si>
    <t xml:space="preserve">CDR</t>
  </si>
  <si>
    <t xml:space="preserve">CDR-C</t>
  </si>
  <si>
    <t xml:space="preserve">CDZIP</t>
  </si>
  <si>
    <t xml:space="preserve">CDZI</t>
  </si>
  <si>
    <t xml:space="preserve">CADIZ INC COM NEW</t>
  </si>
  <si>
    <t xml:space="preserve">CEQP-</t>
  </si>
  <si>
    <t xml:space="preserve">CEQP</t>
  </si>
  <si>
    <t xml:space="preserve">CETXP</t>
  </si>
  <si>
    <t xml:space="preserve">CETX</t>
  </si>
  <si>
    <t xml:space="preserve">CEMTREX INC</t>
  </si>
  <si>
    <t xml:space="preserve">CFG-D</t>
  </si>
  <si>
    <t xml:space="preserve">CFG</t>
  </si>
  <si>
    <t xml:space="preserve">CITIZENS FINL GROUP INC</t>
  </si>
  <si>
    <t xml:space="preserve">CFG-E</t>
  </si>
  <si>
    <t xml:space="preserve">CFR-B</t>
  </si>
  <si>
    <t xml:space="preserve">CFR</t>
  </si>
  <si>
    <t xml:space="preserve">CULLEN FROST BANKERS INC</t>
  </si>
  <si>
    <t xml:space="preserve">CGABL</t>
  </si>
  <si>
    <t xml:space="preserve">CG</t>
  </si>
  <si>
    <t xml:space="preserve">CARLYLE GROUP INC</t>
  </si>
  <si>
    <t xml:space="preserve">CHMI-A</t>
  </si>
  <si>
    <t xml:space="preserve">CHMI</t>
  </si>
  <si>
    <t xml:space="preserve">CHERRY HILL MTG INVT CORP</t>
  </si>
  <si>
    <t xml:space="preserve">CHMI-B</t>
  </si>
  <si>
    <t xml:space="preserve">CHRB</t>
  </si>
  <si>
    <t xml:space="preserve">CHRA</t>
  </si>
  <si>
    <t xml:space="preserve">CHSCO</t>
  </si>
  <si>
    <t xml:space="preserve">CHSCP</t>
  </si>
  <si>
    <t xml:space="preserve">CHSCL</t>
  </si>
  <si>
    <t xml:space="preserve">CHSCM</t>
  </si>
  <si>
    <t xml:space="preserve">CHSCN</t>
  </si>
  <si>
    <t xml:space="preserve">CIM-A</t>
  </si>
  <si>
    <t xml:space="preserve">CIM</t>
  </si>
  <si>
    <t xml:space="preserve">CHIMERA INVT CORP COM SHS</t>
  </si>
  <si>
    <t xml:space="preserve">CIM-B</t>
  </si>
  <si>
    <t xml:space="preserve">CIM-C</t>
  </si>
  <si>
    <t xml:space="preserve">CIM-D</t>
  </si>
  <si>
    <t xml:space="preserve">CIO-A</t>
  </si>
  <si>
    <t xml:space="preserve">CIO</t>
  </si>
  <si>
    <t xml:space="preserve">CLDT-A</t>
  </si>
  <si>
    <t xml:space="preserve">CLDT</t>
  </si>
  <si>
    <t xml:space="preserve">CHATHAM LODGING TR</t>
  </si>
  <si>
    <t xml:space="preserve">CLVT-A</t>
  </si>
  <si>
    <t xml:space="preserve">CLVT</t>
  </si>
  <si>
    <t xml:space="preserve">CLARIVATE PLC ORD SHS</t>
  </si>
  <si>
    <t xml:space="preserve">CMRE-B</t>
  </si>
  <si>
    <t xml:space="preserve">CMRE</t>
  </si>
  <si>
    <t xml:space="preserve">COSTAMARE INC</t>
  </si>
  <si>
    <t xml:space="preserve">CMRE-C</t>
  </si>
  <si>
    <t xml:space="preserve">CMRE-D</t>
  </si>
  <si>
    <t xml:space="preserve">CMRE-E</t>
  </si>
  <si>
    <t xml:space="preserve">CMSA</t>
  </si>
  <si>
    <t xml:space="preserve">CMS</t>
  </si>
  <si>
    <t xml:space="preserve">CMS ENERGY CORP</t>
  </si>
  <si>
    <t xml:space="preserve">CMSC</t>
  </si>
  <si>
    <t xml:space="preserve">CMSD</t>
  </si>
  <si>
    <t xml:space="preserve">CMS-B</t>
  </si>
  <si>
    <t xml:space="preserve">CMS-C</t>
  </si>
  <si>
    <t xml:space="preserve">CNFRL</t>
  </si>
  <si>
    <t xml:space="preserve">CNFR</t>
  </si>
  <si>
    <t xml:space="preserve">CNFRZ</t>
  </si>
  <si>
    <t xml:space="preserve">wiring: reads C/D not D/E - no adjustments fired; NO PRICE; not in QOL paste - retire/rename?</t>
  </si>
  <si>
    <t xml:space="preserve">CNO-A</t>
  </si>
  <si>
    <t xml:space="preserve">CNO</t>
  </si>
  <si>
    <t xml:space="preserve">CNO FINL GROUP INC</t>
  </si>
  <si>
    <t xml:space="preserve">CKNQP</t>
  </si>
  <si>
    <t xml:space="preserve">CODI-A</t>
  </si>
  <si>
    <t xml:space="preserve">CODI</t>
  </si>
  <si>
    <t xml:space="preserve">COMPASS DIVERSIFIED SH BEN INT</t>
  </si>
  <si>
    <t xml:space="preserve">CODI-B</t>
  </si>
  <si>
    <t xml:space="preserve">CODI-C</t>
  </si>
  <si>
    <t xml:space="preserve">COF-I</t>
  </si>
  <si>
    <t xml:space="preserve">COF</t>
  </si>
  <si>
    <t xml:space="preserve">CAPITAL ONE FINL CORP</t>
  </si>
  <si>
    <t xml:space="preserve">COF-J</t>
  </si>
  <si>
    <t xml:space="preserve">COF-K</t>
  </si>
  <si>
    <t xml:space="preserve">COF-L</t>
  </si>
  <si>
    <t xml:space="preserve">COF-N</t>
  </si>
  <si>
    <t xml:space="preserve">COMSP</t>
  </si>
  <si>
    <t xml:space="preserve">COMS</t>
  </si>
  <si>
    <t xml:space="preserve">COMSOVEREIGN HLDG CORP COM NEW</t>
  </si>
  <si>
    <t xml:space="preserve">CORR-A</t>
  </si>
  <si>
    <t xml:space="preserve">CORR</t>
  </si>
  <si>
    <t xml:space="preserve">CSR-C</t>
  </si>
  <si>
    <t xml:space="preserve">CSR</t>
  </si>
  <si>
    <t xml:space="preserve">CENTERSPACE</t>
  </si>
  <si>
    <t xml:space="preserve">CSWCZ</t>
  </si>
  <si>
    <t xml:space="preserve">CSWC</t>
  </si>
  <si>
    <t xml:space="preserve">CAPITAL SOUTHWEST CORP</t>
  </si>
  <si>
    <t xml:space="preserve">CSSEN</t>
  </si>
  <si>
    <t xml:space="preserve">CSSE</t>
  </si>
  <si>
    <t xml:space="preserve">CSSEP</t>
  </si>
  <si>
    <t xml:space="preserve">CTLPP</t>
  </si>
  <si>
    <t xml:space="preserve">CTLP</t>
  </si>
  <si>
    <t xml:space="preserve">SA</t>
  </si>
  <si>
    <t xml:space="preserve">CTO-A</t>
  </si>
  <si>
    <t xml:space="preserve">CTO</t>
  </si>
  <si>
    <t xml:space="preserve">CTO RLTY GROWTH INC NEW</t>
  </si>
  <si>
    <t xml:space="preserve">CTA-A</t>
  </si>
  <si>
    <t xml:space="preserve">CTVA</t>
  </si>
  <si>
    <t xml:space="preserve">CORTEVA INC</t>
  </si>
  <si>
    <t xml:space="preserve">CTA-B</t>
  </si>
  <si>
    <t xml:space="preserve">CUBB</t>
  </si>
  <si>
    <t xml:space="preserve">CUBI</t>
  </si>
  <si>
    <t xml:space="preserve">CUSTOMERS BANCORP INC</t>
  </si>
  <si>
    <t xml:space="preserve">CUBI-E</t>
  </si>
  <si>
    <t xml:space="preserve">CUBI-F</t>
  </si>
  <si>
    <t xml:space="preserve">CYCCP</t>
  </si>
  <si>
    <t xml:space="preserve">CYCC</t>
  </si>
  <si>
    <t xml:space="preserve">D-F</t>
  </si>
  <si>
    <t xml:space="preserve">GJP</t>
  </si>
  <si>
    <t xml:space="preserve">D</t>
  </si>
  <si>
    <t xml:space="preserve">DOMINION ENERGY INC</t>
  </si>
  <si>
    <t xml:space="preserve">DBRG-H</t>
  </si>
  <si>
    <t xml:space="preserve">DBRG</t>
  </si>
  <si>
    <t xml:space="preserve">DIGITALBRIDGE GROUP INC CL A NEW</t>
  </si>
  <si>
    <t xml:space="preserve">DBRG-I</t>
  </si>
  <si>
    <t xml:space="preserve">DBRG-J</t>
  </si>
  <si>
    <t xml:space="preserve">DCOMP</t>
  </si>
  <si>
    <t xml:space="preserve">DCOM</t>
  </si>
  <si>
    <t xml:space="preserve">DIME COML BANCSHARES INC</t>
  </si>
  <si>
    <t xml:space="preserve">DCP-C</t>
  </si>
  <si>
    <t xml:space="preserve">DCP</t>
  </si>
  <si>
    <t xml:space="preserve">DDT</t>
  </si>
  <si>
    <t xml:space="preserve">DDS</t>
  </si>
  <si>
    <t xml:space="preserve">DILLARDS INC CL A</t>
  </si>
  <si>
    <t xml:space="preserve">DHCNI</t>
  </si>
  <si>
    <t xml:space="preserve">DHC</t>
  </si>
  <si>
    <t xml:space="preserve">DIVERSIFIED HEALTHCARE TR COM SH BEN INT</t>
  </si>
  <si>
    <t xml:space="preserve">DHCNL</t>
  </si>
  <si>
    <t xml:space="preserve">CIRCULAR REF (uses a current yield as required yield)</t>
  </si>
  <si>
    <t xml:space="preserve">DLNG-A</t>
  </si>
  <si>
    <t xml:space="preserve">DLNG</t>
  </si>
  <si>
    <t xml:space="preserve">DYNAGAS LNG PARTNERS LP COM UNIT LTD PT</t>
  </si>
  <si>
    <t xml:space="preserve">DLNG-B</t>
  </si>
  <si>
    <t xml:space="preserve">CIRCULAR REF (uses a current yield as required yield); NO PRICE; not in QOL paste - retire/rename?</t>
  </si>
  <si>
    <t xml:space="preserve">DLR-J</t>
  </si>
  <si>
    <t xml:space="preserve">DLR</t>
  </si>
  <si>
    <t xml:space="preserve">DIGITAL RLTY TR INC</t>
  </si>
  <si>
    <t xml:space="preserve">DLR-K</t>
  </si>
  <si>
    <t xml:space="preserve">DLR-L</t>
  </si>
  <si>
    <t xml:space="preserve">DRH-A</t>
  </si>
  <si>
    <t xml:space="preserve">DRH</t>
  </si>
  <si>
    <t xml:space="preserve">DIAMONDROCK HOSPITALITY CO</t>
  </si>
  <si>
    <t xml:space="preserve">DSHKN</t>
  </si>
  <si>
    <t xml:space="preserve">DSHK</t>
  </si>
  <si>
    <t xml:space="preserve">DSHKO</t>
  </si>
  <si>
    <t xml:space="preserve">DSHKP</t>
  </si>
  <si>
    <t xml:space="preserve">DSX-B</t>
  </si>
  <si>
    <t xml:space="preserve">DSX</t>
  </si>
  <si>
    <t xml:space="preserve">DIANA SHIPPING INC</t>
  </si>
  <si>
    <t xml:space="preserve">DTB</t>
  </si>
  <si>
    <t xml:space="preserve">DTE</t>
  </si>
  <si>
    <t xml:space="preserve">DTE ENERGY CO</t>
  </si>
  <si>
    <t xml:space="preserve">DTG</t>
  </si>
  <si>
    <t xml:space="preserve">DTW</t>
  </si>
  <si>
    <t xml:space="preserve">DUK-A</t>
  </si>
  <si>
    <t xml:space="preserve">DUK</t>
  </si>
  <si>
    <t xml:space="preserve">DUKE ENERGY CORP NEW COM NEW</t>
  </si>
  <si>
    <t xml:space="preserve">DUKB</t>
  </si>
  <si>
    <t xml:space="preserve">DX-C</t>
  </si>
  <si>
    <t xml:space="preserve">DX</t>
  </si>
  <si>
    <t xml:space="preserve">DYNEX CAP INC</t>
  </si>
  <si>
    <t xml:space="preserve">ECCC</t>
  </si>
  <si>
    <t xml:space="preserve">ECC</t>
  </si>
  <si>
    <t xml:space="preserve">EAGLE POINT CR CO</t>
  </si>
  <si>
    <t xml:space="preserve">ECC-D</t>
  </si>
  <si>
    <t xml:space="preserve">ECCV</t>
  </si>
  <si>
    <t xml:space="preserve">ECCW</t>
  </si>
  <si>
    <t xml:space="preserve">ECCX</t>
  </si>
  <si>
    <t xml:space="preserve">ECF-A</t>
  </si>
  <si>
    <t xml:space="preserve">ECF</t>
  </si>
  <si>
    <t xml:space="preserve">ELLSWORTH GROWTH &amp; INCOME FD</t>
  </si>
  <si>
    <t xml:space="preserve">EFC-A</t>
  </si>
  <si>
    <t xml:space="preserve">EFC</t>
  </si>
  <si>
    <t xml:space="preserve">ELLINGTON FINANCIAL INC</t>
  </si>
  <si>
    <t xml:space="preserve">EFC-B</t>
  </si>
  <si>
    <t xml:space="preserve">EFC-C</t>
  </si>
  <si>
    <t xml:space="preserve">EFSCP</t>
  </si>
  <si>
    <t xml:space="preserve">EFSC</t>
  </si>
  <si>
    <t xml:space="preserve">ENTERPRISE FINL SVCS CORP</t>
  </si>
  <si>
    <t xml:space="preserve">EICA</t>
  </si>
  <si>
    <t xml:space="preserve">EIC</t>
  </si>
  <si>
    <t xml:space="preserve">EAGLE POINT INCOME COMPANY INC</t>
  </si>
  <si>
    <t xml:space="preserve">EICB</t>
  </si>
  <si>
    <t xml:space="preserve">SCE-G</t>
  </si>
  <si>
    <t xml:space="preserve">EIX</t>
  </si>
  <si>
    <t xml:space="preserve">EDISON INTL</t>
  </si>
  <si>
    <t xml:space="preserve">SCE-H</t>
  </si>
  <si>
    <t xml:space="preserve">SCE-J</t>
  </si>
  <si>
    <t xml:space="preserve">SCE-K</t>
  </si>
  <si>
    <t xml:space="preserve">SCE-L</t>
  </si>
  <si>
    <t xml:space="preserve">EPR-C</t>
  </si>
  <si>
    <t xml:space="preserve">EPR</t>
  </si>
  <si>
    <t xml:space="preserve">EPR PPTYS COM SH BEN INT</t>
  </si>
  <si>
    <t xml:space="preserve">EPR-E</t>
  </si>
  <si>
    <t xml:space="preserve">EPR-G</t>
  </si>
  <si>
    <t xml:space="preserve">EQC-D</t>
  </si>
  <si>
    <t xml:space="preserve">EQC</t>
  </si>
  <si>
    <t xml:space="preserve">EQH-A</t>
  </si>
  <si>
    <t xml:space="preserve">EQH</t>
  </si>
  <si>
    <t xml:space="preserve">EQUITABLE HLDGS INC</t>
  </si>
  <si>
    <t xml:space="preserve">EQH-C</t>
  </si>
  <si>
    <t xml:space="preserve">CNLHN</t>
  </si>
  <si>
    <t xml:space="preserve">ES</t>
  </si>
  <si>
    <t xml:space="preserve">EVERSOURCE ENERGY</t>
  </si>
  <si>
    <t xml:space="preserve">CNLHO</t>
  </si>
  <si>
    <t xml:space="preserve">CNLHP</t>
  </si>
  <si>
    <t xml:space="preserve">CNLPL</t>
  </si>
  <si>
    <t xml:space="preserve">CNLPM</t>
  </si>
  <si>
    <t xml:space="preserve">CNLTL</t>
  </si>
  <si>
    <t xml:space="preserve">CNLTN</t>
  </si>
  <si>
    <t xml:space="preserve">CNLTP</t>
  </si>
  <si>
    <t xml:space="preserve">CNPWM</t>
  </si>
  <si>
    <t xml:space="preserve">CNPWP</t>
  </si>
  <si>
    <t xml:space="preserve">CNTHN</t>
  </si>
  <si>
    <t xml:space="preserve">CNTHO</t>
  </si>
  <si>
    <t xml:space="preserve">CNTHP</t>
  </si>
  <si>
    <t xml:space="preserve">NSARO</t>
  </si>
  <si>
    <t xml:space="preserve">NSARP</t>
  </si>
  <si>
    <t xml:space="preserve">ESGRO</t>
  </si>
  <si>
    <t xml:space="preserve">ESGR</t>
  </si>
  <si>
    <t xml:space="preserve">ESGRP</t>
  </si>
  <si>
    <t xml:space="preserve">ET-C</t>
  </si>
  <si>
    <t xml:space="preserve">ET</t>
  </si>
  <si>
    <t xml:space="preserve">ENERGY TRANSFER L P COM UT LTD PTN</t>
  </si>
  <si>
    <t xml:space="preserve">ET-D</t>
  </si>
  <si>
    <t xml:space="preserve">ET-E</t>
  </si>
  <si>
    <t xml:space="preserve">ENJ</t>
  </si>
  <si>
    <t xml:space="preserve">ETR</t>
  </si>
  <si>
    <t xml:space="preserve">ENTERGY CORP NEW</t>
  </si>
  <si>
    <t xml:space="preserve">ENO</t>
  </si>
  <si>
    <t xml:space="preserve">EAI</t>
  </si>
  <si>
    <t xml:space="preserve">ELC</t>
  </si>
  <si>
    <t xml:space="preserve">EMP</t>
  </si>
  <si>
    <t xml:space="preserve">ETI-</t>
  </si>
  <si>
    <t xml:space="preserve">KTH</t>
  </si>
  <si>
    <t xml:space="preserve">EXC</t>
  </si>
  <si>
    <t xml:space="preserve">EXELON CORP</t>
  </si>
  <si>
    <t xml:space="preserve">F-B</t>
  </si>
  <si>
    <t xml:space="preserve">F</t>
  </si>
  <si>
    <t xml:space="preserve">FORD MTR CO</t>
  </si>
  <si>
    <t xml:space="preserve">F-C</t>
  </si>
  <si>
    <t xml:space="preserve">F-D</t>
  </si>
  <si>
    <t xml:space="preserve">FATBP</t>
  </si>
  <si>
    <t xml:space="preserve">FAT</t>
  </si>
  <si>
    <t xml:space="preserve">FBIOP</t>
  </si>
  <si>
    <t xml:space="preserve">FBIO</t>
  </si>
  <si>
    <t xml:space="preserve">FORTRESS BIOTECH INC COM NEW</t>
  </si>
  <si>
    <t xml:space="preserve">FBRT-E</t>
  </si>
  <si>
    <t xml:space="preserve">FBRT</t>
  </si>
  <si>
    <t xml:space="preserve">FRANKLIN BSP RLTY TR INC COMMON STOCK</t>
  </si>
  <si>
    <t xml:space="preserve">FCNCO</t>
  </si>
  <si>
    <t xml:space="preserve">FCNCA</t>
  </si>
  <si>
    <t xml:space="preserve">FIRST CTZNS BANCSHARES INC DEL CL A</t>
  </si>
  <si>
    <t xml:space="preserve">FCNCP</t>
  </si>
  <si>
    <t xml:space="preserve">FHN-E</t>
  </si>
  <si>
    <t xml:space="preserve">FHN</t>
  </si>
  <si>
    <t xml:space="preserve">FIRST HORIZON CORPORATION</t>
  </si>
  <si>
    <t xml:space="preserve">FHN-F</t>
  </si>
  <si>
    <t xml:space="preserve">FGBIP</t>
  </si>
  <si>
    <t xml:space="preserve">FBGI</t>
  </si>
  <si>
    <t xml:space="preserve">FOODBASE GROUP INC</t>
  </si>
  <si>
    <t xml:space="preserve">FGFPP</t>
  </si>
  <si>
    <t xml:space="preserve">FGF</t>
  </si>
  <si>
    <t xml:space="preserve">FITB-I</t>
  </si>
  <si>
    <t xml:space="preserve">FITB</t>
  </si>
  <si>
    <t xml:space="preserve">FIFTH THIRD BANCORP</t>
  </si>
  <si>
    <t xml:space="preserve">FMCCH</t>
  </si>
  <si>
    <t xml:space="preserve">FMCC</t>
  </si>
  <si>
    <t xml:space="preserve">FEDERAL HOME LN MTG CORP</t>
  </si>
  <si>
    <t xml:space="preserve">FMCCO</t>
  </si>
  <si>
    <t xml:space="preserve">FMCCN</t>
  </si>
  <si>
    <t xml:space="preserve">FMCCK</t>
  </si>
  <si>
    <t xml:space="preserve">FREGP</t>
  </si>
  <si>
    <t xml:space="preserve">FREJP</t>
  </si>
  <si>
    <t xml:space="preserve">FMCKP</t>
  </si>
  <si>
    <t xml:space="preserve">FMCKK</t>
  </si>
  <si>
    <t xml:space="preserve">FMCCP</t>
  </si>
  <si>
    <t xml:space="preserve">FMCCT</t>
  </si>
  <si>
    <t xml:space="preserve">FMCCM</t>
  </si>
  <si>
    <t xml:space="preserve">FMCKI</t>
  </si>
  <si>
    <t xml:space="preserve">FMCKJ</t>
  </si>
  <si>
    <t xml:space="preserve">FMCKL</t>
  </si>
  <si>
    <t xml:space="preserve">FMCKM</t>
  </si>
  <si>
    <t xml:space="preserve">FMCKN</t>
  </si>
  <si>
    <t xml:space="preserve">FMCKO</t>
  </si>
  <si>
    <t xml:space="preserve">FNB-E</t>
  </si>
  <si>
    <t xml:space="preserve">FNB</t>
  </si>
  <si>
    <t xml:space="preserve">F N B CORP</t>
  </si>
  <si>
    <t xml:space="preserve">FNMAL</t>
  </si>
  <si>
    <t xml:space="preserve">FNMA</t>
  </si>
  <si>
    <t xml:space="preserve">FEDERAL NATL MTG ASSN</t>
  </si>
  <si>
    <t xml:space="preserve">FNMFM</t>
  </si>
  <si>
    <t xml:space="preserve">FNMAN</t>
  </si>
  <si>
    <t xml:space="preserve">FNMAG</t>
  </si>
  <si>
    <t xml:space="preserve">FNMAK</t>
  </si>
  <si>
    <t xml:space="preserve">FNMAM</t>
  </si>
  <si>
    <t xml:space="preserve">FNMFO</t>
  </si>
  <si>
    <t xml:space="preserve">FNMAI</t>
  </si>
  <si>
    <t xml:space="preserve">FNMAJ</t>
  </si>
  <si>
    <t xml:space="preserve">FNMAS</t>
  </si>
  <si>
    <t xml:space="preserve">FNMAT</t>
  </si>
  <si>
    <t xml:space="preserve">FOSLL</t>
  </si>
  <si>
    <t xml:space="preserve">FOSL</t>
  </si>
  <si>
    <t xml:space="preserve">FOSSIL GROUP INC</t>
  </si>
  <si>
    <t xml:space="preserve">FRMEP</t>
  </si>
  <si>
    <t xml:space="preserve">FRME</t>
  </si>
  <si>
    <t xml:space="preserve">FIRST MERCHANTS CORP</t>
  </si>
  <si>
    <t xml:space="preserve">FRT-C</t>
  </si>
  <si>
    <t xml:space="preserve">FRT</t>
  </si>
  <si>
    <t xml:space="preserve">FEDERAL RLTY INVT TR NEW SH BEN INT NEW</t>
  </si>
  <si>
    <t xml:space="preserve">FTAIP</t>
  </si>
  <si>
    <t xml:space="preserve">FTAI</t>
  </si>
  <si>
    <t xml:space="preserve">FTAI AVIATION LTD</t>
  </si>
  <si>
    <t xml:space="preserve">FTAIO</t>
  </si>
  <si>
    <t xml:space="preserve">FTAIM</t>
  </si>
  <si>
    <t xml:space="preserve">FTAIN</t>
  </si>
  <si>
    <t xml:space="preserve">FULTP</t>
  </si>
  <si>
    <t xml:space="preserve">FULT</t>
  </si>
  <si>
    <t xml:space="preserve">FULTON FINL CORP PA</t>
  </si>
  <si>
    <t xml:space="preserve">G-M</t>
  </si>
  <si>
    <t xml:space="preserve">GAB-G</t>
  </si>
  <si>
    <t xml:space="preserve">GAB</t>
  </si>
  <si>
    <t xml:space="preserve">GABELLI EQUITY TR INC</t>
  </si>
  <si>
    <t xml:space="preserve">GAB-H</t>
  </si>
  <si>
    <t xml:space="preserve">GAB-K</t>
  </si>
  <si>
    <t xml:space="preserve">GAINL</t>
  </si>
  <si>
    <t xml:space="preserve">GAIN</t>
  </si>
  <si>
    <t xml:space="preserve">GLADSTONE INVT CORP</t>
  </si>
  <si>
    <t xml:space="preserve">GAINN</t>
  </si>
  <si>
    <t xml:space="preserve">GAINZ</t>
  </si>
  <si>
    <t xml:space="preserve">GAM-B</t>
  </si>
  <si>
    <t xml:space="preserve">GAM</t>
  </si>
  <si>
    <t xml:space="preserve">GENERAL AMERN INVS CO INC</t>
  </si>
  <si>
    <t xml:space="preserve">GDL-C</t>
  </si>
  <si>
    <t xml:space="preserve">GDL</t>
  </si>
  <si>
    <t xml:space="preserve">GDL FD COM SH BEN IT</t>
  </si>
  <si>
    <t xml:space="preserve">GDV-H</t>
  </si>
  <si>
    <t xml:space="preserve">GDV</t>
  </si>
  <si>
    <t xml:space="preserve">GABELLI DIVID &amp; INCOME TR</t>
  </si>
  <si>
    <t xml:space="preserve">GDV-K</t>
  </si>
  <si>
    <t xml:space="preserve">GEGGL</t>
  </si>
  <si>
    <t xml:space="preserve">GEG</t>
  </si>
  <si>
    <t xml:space="preserve">GREAT ELM GROUP INC COM NEW</t>
  </si>
  <si>
    <t xml:space="preserve">GGN-B</t>
  </si>
  <si>
    <t xml:space="preserve">GGN</t>
  </si>
  <si>
    <t xml:space="preserve">GAMCO GLOBAL GOLD NAT RES &amp; COM SH BEN INT</t>
  </si>
  <si>
    <t xml:space="preserve">GGT-E</t>
  </si>
  <si>
    <t xml:space="preserve">GGT</t>
  </si>
  <si>
    <t xml:space="preserve">GABELLI MULTIMEDIA TR INC</t>
  </si>
  <si>
    <t xml:space="preserve">GGT-G</t>
  </si>
  <si>
    <t xml:space="preserve">GL-D</t>
  </si>
  <si>
    <t xml:space="preserve">GL</t>
  </si>
  <si>
    <t xml:space="preserve">GLOBE LIFE INC</t>
  </si>
  <si>
    <t xml:space="preserve">GLADZ</t>
  </si>
  <si>
    <t xml:space="preserve">GLAD</t>
  </si>
  <si>
    <t xml:space="preserve">GLADSTONE CAP CORP COM NEW</t>
  </si>
  <si>
    <t xml:space="preserve">GLOG-A</t>
  </si>
  <si>
    <t xml:space="preserve">GLOG</t>
  </si>
  <si>
    <t xml:space="preserve">GLOP-A</t>
  </si>
  <si>
    <t xml:space="preserve">GLOP</t>
  </si>
  <si>
    <t xml:space="preserve">GLOP-B</t>
  </si>
  <si>
    <t xml:space="preserve">GLOP-C</t>
  </si>
  <si>
    <t xml:space="preserve">TEMP10</t>
  </si>
  <si>
    <t xml:space="preserve">GLPI</t>
  </si>
  <si>
    <t xml:space="preserve">GAMING &amp; LEISURE P</t>
  </si>
  <si>
    <t xml:space="preserve">TEMP11</t>
  </si>
  <si>
    <t xml:space="preserve">GMBLP</t>
  </si>
  <si>
    <t xml:space="preserve">GMBL</t>
  </si>
  <si>
    <t xml:space="preserve">ESPORTS ENTMT GROUP INC</t>
  </si>
  <si>
    <t xml:space="preserve">GMLPF</t>
  </si>
  <si>
    <t xml:space="preserve">GMLP</t>
  </si>
  <si>
    <t xml:space="preserve">GMRE-A</t>
  </si>
  <si>
    <t xml:space="preserve">GMRE</t>
  </si>
  <si>
    <t xml:space="preserve">GNL-A</t>
  </si>
  <si>
    <t xml:space="preserve">GNL</t>
  </si>
  <si>
    <t xml:space="preserve">GLOBAL NET LEASE INC COM NEW</t>
  </si>
  <si>
    <t xml:space="preserve">GNL-B</t>
  </si>
  <si>
    <t xml:space="preserve">GNL-D</t>
  </si>
  <si>
    <t xml:space="preserve">GNL-E</t>
  </si>
  <si>
    <t xml:space="preserve">GNT-A</t>
  </si>
  <si>
    <t xml:space="preserve">GNT</t>
  </si>
  <si>
    <t xml:space="preserve">GAMCO NAT RES GOLD &amp; INCOME TR SH BEN INT</t>
  </si>
  <si>
    <t xml:space="preserve">GOODN</t>
  </si>
  <si>
    <t xml:space="preserve">GOOD</t>
  </si>
  <si>
    <t xml:space="preserve">GLADSTONE COMMERCIAL CORP</t>
  </si>
  <si>
    <t xml:space="preserve">GOODO</t>
  </si>
  <si>
    <t xml:space="preserve">GPMT-A</t>
  </si>
  <si>
    <t xml:space="preserve">GPMT</t>
  </si>
  <si>
    <t xml:space="preserve">GRANITE PT MTG TR INC COM STK</t>
  </si>
  <si>
    <t xml:space="preserve">GRBK-A</t>
  </si>
  <si>
    <t xml:space="preserve">GRBK</t>
  </si>
  <si>
    <t xml:space="preserve">GREEN BRICK PARTNERS INC</t>
  </si>
  <si>
    <t xml:space="preserve">GREEL</t>
  </si>
  <si>
    <t xml:space="preserve">GREE</t>
  </si>
  <si>
    <t xml:space="preserve">GS-A</t>
  </si>
  <si>
    <t xml:space="preserve">GS</t>
  </si>
  <si>
    <t xml:space="preserve">GOLDMAN SACHS GROUP INC</t>
  </si>
  <si>
    <t xml:space="preserve">GS-C</t>
  </si>
  <si>
    <t xml:space="preserve">GS-D</t>
  </si>
  <si>
    <t xml:space="preserve">PYT</t>
  </si>
  <si>
    <t xml:space="preserve">JBK</t>
  </si>
  <si>
    <t xml:space="preserve">GJS</t>
  </si>
  <si>
    <t xml:space="preserve">GS-K</t>
  </si>
  <si>
    <t xml:space="preserve">GSL-B</t>
  </si>
  <si>
    <t xml:space="preserve">GSL</t>
  </si>
  <si>
    <t xml:space="preserve">GLOBAL SHIP LEASE INC COM CL A</t>
  </si>
  <si>
    <t xml:space="preserve">GTLS-B</t>
  </si>
  <si>
    <t xml:space="preserve">GTLS</t>
  </si>
  <si>
    <t xml:space="preserve">wiring: reads C/D not D/E - no adjustments fired; NO PRICE; group base = 0 (parent did not quote)</t>
  </si>
  <si>
    <t xml:space="preserve">GUT-C</t>
  </si>
  <si>
    <t xml:space="preserve">GUT</t>
  </si>
  <si>
    <t xml:space="preserve">GABELLI UTIL TR</t>
  </si>
  <si>
    <t xml:space="preserve">HBANL</t>
  </si>
  <si>
    <t xml:space="preserve">HBAN</t>
  </si>
  <si>
    <t xml:space="preserve">HUNTINGTON BANCSHARES INC</t>
  </si>
  <si>
    <t xml:space="preserve">HBANM</t>
  </si>
  <si>
    <t xml:space="preserve">HBANP</t>
  </si>
  <si>
    <t xml:space="preserve">HCDIP</t>
  </si>
  <si>
    <t xml:space="preserve">HCDI</t>
  </si>
  <si>
    <t xml:space="preserve">HAWEL</t>
  </si>
  <si>
    <t xml:space="preserve">HE</t>
  </si>
  <si>
    <t xml:space="preserve">HAWAIIAN ELEC INDS INC MTN BE</t>
  </si>
  <si>
    <t xml:space="preserve">HAWEM</t>
  </si>
  <si>
    <t xml:space="preserve">HAWEN</t>
  </si>
  <si>
    <t xml:space="preserve">HAWLI</t>
  </si>
  <si>
    <t xml:space="preserve">HAWLL</t>
  </si>
  <si>
    <t xml:space="preserve">HAWLM</t>
  </si>
  <si>
    <t xml:space="preserve">HAWLN</t>
  </si>
  <si>
    <t xml:space="preserve">HFRO-A</t>
  </si>
  <si>
    <t xml:space="preserve">HFRO</t>
  </si>
  <si>
    <t xml:space="preserve">HIGHLAND OPPS &amp; INCOME FD HIGHLAND INCOME</t>
  </si>
  <si>
    <t xml:space="preserve">HIG-G</t>
  </si>
  <si>
    <t xml:space="preserve">HIG</t>
  </si>
  <si>
    <t xml:space="preserve">HARTFORD INSURANCE GROUP INC</t>
  </si>
  <si>
    <t xml:space="preserve">HL-B</t>
  </si>
  <si>
    <t xml:space="preserve">HL</t>
  </si>
  <si>
    <t xml:space="preserve">HECLA MINING COMPANY</t>
  </si>
  <si>
    <t xml:space="preserve">HTIA</t>
  </si>
  <si>
    <t xml:space="preserve">HNNAZ</t>
  </si>
  <si>
    <t xml:space="preserve">HNNA</t>
  </si>
  <si>
    <t xml:space="preserve">HENNESSY ADVISORS INC</t>
  </si>
  <si>
    <t xml:space="preserve">HMLPF</t>
  </si>
  <si>
    <t xml:space="preserve">HMLP</t>
  </si>
  <si>
    <t xml:space="preserve">HOVNP</t>
  </si>
  <si>
    <t xml:space="preserve">HOV</t>
  </si>
  <si>
    <t xml:space="preserve">HOVNANIAN ENTERPRISES INC CL A NEW</t>
  </si>
  <si>
    <t xml:space="preserve">HPP-C</t>
  </si>
  <si>
    <t xml:space="preserve">HPP</t>
  </si>
  <si>
    <t xml:space="preserve">HUDSON PACIFIC PROPERTIES INC</t>
  </si>
  <si>
    <t xml:space="preserve">HROWL</t>
  </si>
  <si>
    <t xml:space="preserve">HROW</t>
  </si>
  <si>
    <t xml:space="preserve">HARROW INC</t>
  </si>
  <si>
    <t xml:space="preserve">HROWM</t>
  </si>
  <si>
    <t xml:space="preserve">HTFB</t>
  </si>
  <si>
    <t xml:space="preserve">HRZN</t>
  </si>
  <si>
    <t xml:space="preserve">HORIZON TECHNOLOGY FIN CORP</t>
  </si>
  <si>
    <t xml:space="preserve">HTFC</t>
  </si>
  <si>
    <t xml:space="preserve">HT-C</t>
  </si>
  <si>
    <t xml:space="preserve">HT</t>
  </si>
  <si>
    <t xml:space="preserve">HT-D</t>
  </si>
  <si>
    <t xml:space="preserve">HT-E</t>
  </si>
  <si>
    <t xml:space="preserve">HCXY</t>
  </si>
  <si>
    <t xml:space="preserve">HTGC</t>
  </si>
  <si>
    <t xml:space="preserve">HERCULES CAPITAL INC</t>
  </si>
  <si>
    <t xml:space="preserve">HTIBP</t>
  </si>
  <si>
    <t xml:space="preserve">HWCPZ</t>
  </si>
  <si>
    <t xml:space="preserve">HWC</t>
  </si>
  <si>
    <t xml:space="preserve">HANCOCK WHITNEY CORPORATION</t>
  </si>
  <si>
    <t xml:space="preserve">HWM-</t>
  </si>
  <si>
    <t xml:space="preserve">HWM</t>
  </si>
  <si>
    <t xml:space="preserve">HOWMET AEROSPACE INC</t>
  </si>
  <si>
    <t xml:space="preserve">ICR-A</t>
  </si>
  <si>
    <t xml:space="preserve">IIPR-A</t>
  </si>
  <si>
    <t xml:space="preserve">IIPR</t>
  </si>
  <si>
    <t xml:space="preserve">INNOVATIVE INDL PPTYS INC</t>
  </si>
  <si>
    <t xml:space="preserve">IMPPP</t>
  </si>
  <si>
    <t xml:space="preserve">IMPP</t>
  </si>
  <si>
    <t xml:space="preserve">IMPERIAL PETE INC COM NEW</t>
  </si>
  <si>
    <t xml:space="preserve">INBKZ</t>
  </si>
  <si>
    <t xml:space="preserve">INBK</t>
  </si>
  <si>
    <t xml:space="preserve">FIRST INTERNET BANCORP</t>
  </si>
  <si>
    <t xml:space="preserve">INN-E</t>
  </si>
  <si>
    <t xml:space="preserve">INN</t>
  </si>
  <si>
    <t xml:space="preserve">SUMMIT HOTEL PPTYS</t>
  </si>
  <si>
    <t xml:space="preserve">INN-F</t>
  </si>
  <si>
    <t xml:space="preserve">INPAP</t>
  </si>
  <si>
    <t xml:space="preserve">IP</t>
  </si>
  <si>
    <t xml:space="preserve">INTERNATIONAL PAPER CO</t>
  </si>
  <si>
    <t xml:space="preserve">IVR-B</t>
  </si>
  <si>
    <t xml:space="preserve">IVR</t>
  </si>
  <si>
    <t xml:space="preserve">INVESCO MORTGAGE CAPITAL INC</t>
  </si>
  <si>
    <t xml:space="preserve">IVR-C</t>
  </si>
  <si>
    <t xml:space="preserve">JPM-C</t>
  </si>
  <si>
    <t xml:space="preserve">JPM</t>
  </si>
  <si>
    <t xml:space="preserve">JPMORGAN CHASE &amp; CO</t>
  </si>
  <si>
    <t xml:space="preserve">JPM-D</t>
  </si>
  <si>
    <t xml:space="preserve">JPM-J</t>
  </si>
  <si>
    <t xml:space="preserve">JPM-K</t>
  </si>
  <si>
    <t xml:space="preserve">JPM-L</t>
  </si>
  <si>
    <t xml:space="preserve">JPM-M</t>
  </si>
  <si>
    <t xml:space="preserve">JXN-A</t>
  </si>
  <si>
    <t xml:space="preserve">JXN</t>
  </si>
  <si>
    <t xml:space="preserve">JACKSON FINANCIAL INC COM CL A</t>
  </si>
  <si>
    <t xml:space="preserve">KEY-I</t>
  </si>
  <si>
    <t xml:space="preserve">KEY</t>
  </si>
  <si>
    <t xml:space="preserve">KEYCORP</t>
  </si>
  <si>
    <t xml:space="preserve">KEY-J</t>
  </si>
  <si>
    <t xml:space="preserve">KEY-K</t>
  </si>
  <si>
    <t xml:space="preserve">KEY-L</t>
  </si>
  <si>
    <t xml:space="preserve">KIM-L</t>
  </si>
  <si>
    <t xml:space="preserve">KIM</t>
  </si>
  <si>
    <t xml:space="preserve">KIMCO REALTY CORP</t>
  </si>
  <si>
    <t xml:space="preserve">KIM-M</t>
  </si>
  <si>
    <t xml:space="preserve">KKRS</t>
  </si>
  <si>
    <t xml:space="preserve">KKR</t>
  </si>
  <si>
    <t xml:space="preserve">KKR &amp; CO INC</t>
  </si>
  <si>
    <t xml:space="preserve">EP-C</t>
  </si>
  <si>
    <t xml:space="preserve">KMI</t>
  </si>
  <si>
    <t xml:space="preserve">KINDER MORGAN INC DEL</t>
  </si>
  <si>
    <t xml:space="preserve">KMPB</t>
  </si>
  <si>
    <t xml:space="preserve">KMPR</t>
  </si>
  <si>
    <t xml:space="preserve">KEMPER CORP</t>
  </si>
  <si>
    <t xml:space="preserve">KREF-A</t>
  </si>
  <si>
    <t xml:space="preserve">KREF</t>
  </si>
  <si>
    <t xml:space="preserve">KKR REAL ESTATE FIN TR INC</t>
  </si>
  <si>
    <t xml:space="preserve">LANDM</t>
  </si>
  <si>
    <t xml:space="preserve">LAND</t>
  </si>
  <si>
    <t xml:space="preserve">GLADSTONE LD CORP</t>
  </si>
  <si>
    <t xml:space="preserve">LANDO</t>
  </si>
  <si>
    <t xml:space="preserve">LANDP</t>
  </si>
  <si>
    <t xml:space="preserve">LFMDP</t>
  </si>
  <si>
    <t xml:space="preserve">LFMD</t>
  </si>
  <si>
    <t xml:space="preserve">LIFEMD INC</t>
  </si>
  <si>
    <t xml:space="preserve">LFT-A</t>
  </si>
  <si>
    <t xml:space="preserve">LFT</t>
  </si>
  <si>
    <t xml:space="preserve">LUMENT FINANCE TRUST INC</t>
  </si>
  <si>
    <t xml:space="preserve">LNC-D</t>
  </si>
  <si>
    <t xml:space="preserve">LNC</t>
  </si>
  <si>
    <t xml:space="preserve">LINCOLN NATL CORP IND</t>
  </si>
  <si>
    <t xml:space="preserve">LTSA</t>
  </si>
  <si>
    <t xml:space="preserve">LTSF</t>
  </si>
  <si>
    <t xml:space="preserve">LTSH</t>
  </si>
  <si>
    <t xml:space="preserve">LTSK</t>
  </si>
  <si>
    <t xml:space="preserve">CIRCULAR REF (uses a current yield as required yield); NO PRICE; group base = 0 (parent did not quote)</t>
  </si>
  <si>
    <t xml:space="preserve">LTSL</t>
  </si>
  <si>
    <t xml:space="preserve">CTBB</t>
  </si>
  <si>
    <t xml:space="preserve">LUMN</t>
  </si>
  <si>
    <t xml:space="preserve">LUMEN TECHNOLOGIES INC</t>
  </si>
  <si>
    <t xml:space="preserve">CTDD</t>
  </si>
  <si>
    <t xml:space="preserve">LXP-C</t>
  </si>
  <si>
    <t xml:space="preserve">LXP</t>
  </si>
  <si>
    <t xml:space="preserve">LXP INDUSTRIAL TRUST</t>
  </si>
  <si>
    <t xml:space="preserve">SLMNP</t>
  </si>
  <si>
    <t xml:space="preserve">LYB</t>
  </si>
  <si>
    <t xml:space="preserve">LYONDELLBASELL INDUSTRIES NV SHS - A -</t>
  </si>
  <si>
    <t xml:space="preserve">MAA-I</t>
  </si>
  <si>
    <t xml:space="preserve">MAA</t>
  </si>
  <si>
    <t xml:space="preserve">MID-AMER APT CMNTYS INC</t>
  </si>
  <si>
    <t xml:space="preserve">MBINM</t>
  </si>
  <si>
    <t xml:space="preserve">MBIN</t>
  </si>
  <si>
    <t xml:space="preserve">MERCHANTS BANCORP IND</t>
  </si>
  <si>
    <t xml:space="preserve">MBINN</t>
  </si>
  <si>
    <t xml:space="preserve">MBINO</t>
  </si>
  <si>
    <t xml:space="preserve">MBINP</t>
  </si>
  <si>
    <t xml:space="preserve">MDRRP</t>
  </si>
  <si>
    <t xml:space="preserve">MDRR</t>
  </si>
  <si>
    <t xml:space="preserve">MEDALIST DIVERSIFIED INC</t>
  </si>
  <si>
    <t xml:space="preserve">MET-A</t>
  </si>
  <si>
    <t xml:space="preserve">MET</t>
  </si>
  <si>
    <t xml:space="preserve">METLIFE INC</t>
  </si>
  <si>
    <t xml:space="preserve">MET-E</t>
  </si>
  <si>
    <t xml:space="preserve">MET-F</t>
  </si>
  <si>
    <t xml:space="preserve">METCL</t>
  </si>
  <si>
    <t xml:space="preserve">METC</t>
  </si>
  <si>
    <t xml:space="preserve">RAMACO RES INC COM CL A</t>
  </si>
  <si>
    <t xml:space="preserve">MFA-B</t>
  </si>
  <si>
    <t xml:space="preserve">MFA</t>
  </si>
  <si>
    <t xml:space="preserve">MFA FINL INC</t>
  </si>
  <si>
    <t xml:space="preserve">MFA-C</t>
  </si>
  <si>
    <t xml:space="preserve">MNQFF</t>
  </si>
  <si>
    <t xml:space="preserve">MFC</t>
  </si>
  <si>
    <t xml:space="preserve">MANULIFE FINL CORP NON CUM PFD 5</t>
  </si>
  <si>
    <t xml:space="preserve">MNUFF</t>
  </si>
  <si>
    <t xml:space="preserve">MBNKP</t>
  </si>
  <si>
    <t xml:space="preserve">MFIN</t>
  </si>
  <si>
    <t xml:space="preserve">MEDALLION FINANCIAL CORP</t>
  </si>
  <si>
    <t xml:space="preserve">MHNC</t>
  </si>
  <si>
    <t xml:space="preserve">MHLD</t>
  </si>
  <si>
    <t xml:space="preserve">MHLA</t>
  </si>
  <si>
    <t xml:space="preserve">MINDP</t>
  </si>
  <si>
    <t xml:space="preserve">MIND</t>
  </si>
  <si>
    <t xml:space="preserve">MIND TECHNOLOGY INC COM NEW</t>
  </si>
  <si>
    <t xml:space="preserve">MITT-A</t>
  </si>
  <si>
    <t xml:space="preserve">MITT</t>
  </si>
  <si>
    <t xml:space="preserve">TPG MTG INVTS TR INC COM NEW</t>
  </si>
  <si>
    <t xml:space="preserve">MITT-B</t>
  </si>
  <si>
    <t xml:space="preserve">MITT-C</t>
  </si>
  <si>
    <t xml:space="preserve">MNSBP</t>
  </si>
  <si>
    <t xml:space="preserve">MNSB</t>
  </si>
  <si>
    <t xml:space="preserve">MAINSTREET BANCSHARES INC</t>
  </si>
  <si>
    <t xml:space="preserve">MS-E</t>
  </si>
  <si>
    <t xml:space="preserve">MS</t>
  </si>
  <si>
    <t xml:space="preserve">MORGAN STANLEY COM NEW</t>
  </si>
  <si>
    <t xml:space="preserve">MS-F</t>
  </si>
  <si>
    <t xml:space="preserve">MS-I</t>
  </si>
  <si>
    <t xml:space="preserve">MS-K</t>
  </si>
  <si>
    <t xml:space="preserve">MS-L</t>
  </si>
  <si>
    <t xml:space="preserve">MS-O</t>
  </si>
  <si>
    <t xml:space="preserve">MS-P</t>
  </si>
  <si>
    <t xml:space="preserve">MNESP</t>
  </si>
  <si>
    <t xml:space="preserve">MSA</t>
  </si>
  <si>
    <t xml:space="preserve">MSA SAFETY INC</t>
  </si>
  <si>
    <t xml:space="preserve">MSBIP</t>
  </si>
  <si>
    <t xml:space="preserve">MSBI</t>
  </si>
  <si>
    <t xml:space="preserve">MIDLAND STATES BANCORP INC</t>
  </si>
  <si>
    <t xml:space="preserve">MTB-H</t>
  </si>
  <si>
    <t xml:space="preserve">MTB</t>
  </si>
  <si>
    <t xml:space="preserve">M &amp; T BK CORP</t>
  </si>
  <si>
    <t xml:space="preserve">N-S</t>
  </si>
  <si>
    <t xml:space="preserve">NCV-A</t>
  </si>
  <si>
    <t xml:space="preserve">NCV</t>
  </si>
  <si>
    <t xml:space="preserve">VIRTUS CONVERTIBLE &amp; INCOME FD COM NEW</t>
  </si>
  <si>
    <t xml:space="preserve">NCZ-A</t>
  </si>
  <si>
    <t xml:space="preserve">NCZ</t>
  </si>
  <si>
    <t xml:space="preserve">VIRTUS CONVERTIBLE &amp; INC FD II COM NEW</t>
  </si>
  <si>
    <t xml:space="preserve">NEE-N</t>
  </si>
  <si>
    <t xml:space="preserve">NEE</t>
  </si>
  <si>
    <t xml:space="preserve">NEXTERA ENERGY INC</t>
  </si>
  <si>
    <t xml:space="preserve">NEWTI</t>
  </si>
  <si>
    <t xml:space="preserve">NEWT</t>
  </si>
  <si>
    <t xml:space="preserve">NEWTEKONE INC COM NEW</t>
  </si>
  <si>
    <t xml:space="preserve">NEWTL</t>
  </si>
  <si>
    <t xml:space="preserve">NEWTZ</t>
  </si>
  <si>
    <t xml:space="preserve">NFE</t>
  </si>
  <si>
    <t xml:space="preserve">NEW FORTRESS ENERGY INC COM CL A</t>
  </si>
  <si>
    <t xml:space="preserve">NMK-B</t>
  </si>
  <si>
    <t xml:space="preserve">NGG</t>
  </si>
  <si>
    <t xml:space="preserve">NATIONAL GRID PLC SPONSORED ADR NE</t>
  </si>
  <si>
    <t xml:space="preserve">NMK-C</t>
  </si>
  <si>
    <t xml:space="preserve">MSSEL</t>
  </si>
  <si>
    <t xml:space="preserve">NEWEN</t>
  </si>
  <si>
    <t xml:space="preserve">NMPWP</t>
  </si>
  <si>
    <t xml:space="preserve">NGL-B</t>
  </si>
  <si>
    <t xml:space="preserve">NGL</t>
  </si>
  <si>
    <t xml:space="preserve">NGL ENERGY PARTNERS LP COM UNIT REPST</t>
  </si>
  <si>
    <t xml:space="preserve">NGL-C</t>
  </si>
  <si>
    <t xml:space="preserve">NI-B</t>
  </si>
  <si>
    <t xml:space="preserve">NI</t>
  </si>
  <si>
    <t xml:space="preserve">NISOURCE INC</t>
  </si>
  <si>
    <t xml:space="preserve">NIMC</t>
  </si>
  <si>
    <t xml:space="preserve">NLY-F</t>
  </si>
  <si>
    <t xml:space="preserve">NLY</t>
  </si>
  <si>
    <t xml:space="preserve">ANNALY CAPITAL MANAGEMENT INC COM NEW</t>
  </si>
  <si>
    <t xml:space="preserve">NLY-G</t>
  </si>
  <si>
    <t xml:space="preserve">NLY-I</t>
  </si>
  <si>
    <t xml:space="preserve">NM-G</t>
  </si>
  <si>
    <t xml:space="preserve">NM</t>
  </si>
  <si>
    <t xml:space="preserve">NM-H</t>
  </si>
  <si>
    <t xml:space="preserve">NREF-A</t>
  </si>
  <si>
    <t xml:space="preserve">NREF</t>
  </si>
  <si>
    <t xml:space="preserve">NEXPOINT REAL ESTATE FIN INC</t>
  </si>
  <si>
    <t xml:space="preserve">NRUC</t>
  </si>
  <si>
    <t xml:space="preserve">NATIONAL RURAL UTILS COOP FIN 5.5% SUB NT 64</t>
  </si>
  <si>
    <t xml:space="preserve">RITM-A</t>
  </si>
  <si>
    <t xml:space="preserve">RITM</t>
  </si>
  <si>
    <t xml:space="preserve">RITHM CAPITAL CORP COM NEW</t>
  </si>
  <si>
    <t xml:space="preserve">RITM-B</t>
  </si>
  <si>
    <t xml:space="preserve">RITM-C</t>
  </si>
  <si>
    <t xml:space="preserve">RITM-D</t>
  </si>
  <si>
    <t xml:space="preserve">NS-A</t>
  </si>
  <si>
    <t xml:space="preserve">NS</t>
  </si>
  <si>
    <t xml:space="preserve">NS-B</t>
  </si>
  <si>
    <t xml:space="preserve">NS-C</t>
  </si>
  <si>
    <t xml:space="preserve">NSS</t>
  </si>
  <si>
    <t xml:space="preserve">NSA-A</t>
  </si>
  <si>
    <t xml:space="preserve">NSA</t>
  </si>
  <si>
    <t xml:space="preserve">NTRSO</t>
  </si>
  <si>
    <t xml:space="preserve">NTRS</t>
  </si>
  <si>
    <t xml:space="preserve">NORTHERN TR CORP</t>
  </si>
  <si>
    <t xml:space="preserve">NXDT-A</t>
  </si>
  <si>
    <t xml:space="preserve">NXDT</t>
  </si>
  <si>
    <t xml:space="preserve">NEXPOINT DIVERSIFIED REL ET TR COM NEW</t>
  </si>
  <si>
    <t xml:space="preserve">NYCB-A</t>
  </si>
  <si>
    <t xml:space="preserve">NYCB</t>
  </si>
  <si>
    <t xml:space="preserve">NYCB-U</t>
  </si>
  <si>
    <t xml:space="preserve">NYMTL</t>
  </si>
  <si>
    <t xml:space="preserve">NYMT</t>
  </si>
  <si>
    <t xml:space="preserve">NYMTM</t>
  </si>
  <si>
    <t xml:space="preserve">NYMTN</t>
  </si>
  <si>
    <t xml:space="preserve">NYMTZ</t>
  </si>
  <si>
    <t xml:space="preserve">OCCIN</t>
  </si>
  <si>
    <t xml:space="preserve">OCCI</t>
  </si>
  <si>
    <t xml:space="preserve">OFS CREDIT COMPANY INC</t>
  </si>
  <si>
    <t xml:space="preserve">OCCIO</t>
  </si>
  <si>
    <t xml:space="preserve">OCFCP</t>
  </si>
  <si>
    <t xml:space="preserve">OCFC</t>
  </si>
  <si>
    <t xml:space="preserve">OCEANFIRST FINL CORP</t>
  </si>
  <si>
    <t xml:space="preserve">OFSSH</t>
  </si>
  <si>
    <t xml:space="preserve">OFS</t>
  </si>
  <si>
    <t xml:space="preserve">OFS CAP CORP</t>
  </si>
  <si>
    <t xml:space="preserve">ONBPO</t>
  </si>
  <si>
    <t xml:space="preserve">ONB</t>
  </si>
  <si>
    <t xml:space="preserve">OLD NATL BANCORP IND</t>
  </si>
  <si>
    <t xml:space="preserve">ONBPP</t>
  </si>
  <si>
    <t xml:space="preserve">OPINL</t>
  </si>
  <si>
    <t xml:space="preserve">OPI</t>
  </si>
  <si>
    <t xml:space="preserve">OFFICE PPTYS INCOME TR COM OF BENEFICIA</t>
  </si>
  <si>
    <t xml:space="preserve">OPP-A</t>
  </si>
  <si>
    <t xml:space="preserve">OPP</t>
  </si>
  <si>
    <t xml:space="preserve">RIVERNORTH DOUBLELINE STRATE</t>
  </si>
  <si>
    <t xml:space="preserve">OPP-B</t>
  </si>
  <si>
    <t xml:space="preserve">OXSQG</t>
  </si>
  <si>
    <t xml:space="preserve">OSXQ</t>
  </si>
  <si>
    <t xml:space="preserve">OXSQL</t>
  </si>
  <si>
    <t xml:space="preserve">OXSQZ</t>
  </si>
  <si>
    <t xml:space="preserve">OTRKP</t>
  </si>
  <si>
    <t xml:space="preserve">OTRK</t>
  </si>
  <si>
    <t xml:space="preserve">OXLCL</t>
  </si>
  <si>
    <t xml:space="preserve">OXLC</t>
  </si>
  <si>
    <t xml:space="preserve">OXFORD LANE CAP CORP</t>
  </si>
  <si>
    <t xml:space="preserve">OXLCM</t>
  </si>
  <si>
    <t xml:space="preserve">OXLCN</t>
  </si>
  <si>
    <t xml:space="preserve">OXLCO</t>
  </si>
  <si>
    <t xml:space="preserve">OXLCP</t>
  </si>
  <si>
    <t xml:space="preserve">OXLCZ</t>
  </si>
  <si>
    <t xml:space="preserve">OZKAP</t>
  </si>
  <si>
    <t xml:space="preserve">OZK</t>
  </si>
  <si>
    <t xml:space="preserve">BANK OZK LITTLE ROCK ARK</t>
  </si>
  <si>
    <t xml:space="preserve">PACWP</t>
  </si>
  <si>
    <t xml:space="preserve">PACW</t>
  </si>
  <si>
    <t xml:space="preserve">PARAP</t>
  </si>
  <si>
    <t xml:space="preserve">PARA</t>
  </si>
  <si>
    <t xml:space="preserve">BANZAI INTERNATIONAL INC COM CL A</t>
  </si>
  <si>
    <t xml:space="preserve">PPWLM</t>
  </si>
  <si>
    <t xml:space="preserve">PPWLO</t>
  </si>
  <si>
    <t xml:space="preserve">PBI-B</t>
  </si>
  <si>
    <t xml:space="preserve">PBI</t>
  </si>
  <si>
    <t xml:space="preserve">PITNEY BOWES INC</t>
  </si>
  <si>
    <t xml:space="preserve">PCG-A</t>
  </si>
  <si>
    <t xml:space="preserve">PCG</t>
  </si>
  <si>
    <t xml:space="preserve">PG&amp;E CORP</t>
  </si>
  <si>
    <t xml:space="preserve">PCG-B</t>
  </si>
  <si>
    <t xml:space="preserve">PCG-C</t>
  </si>
  <si>
    <t xml:space="preserve">PCG-D</t>
  </si>
  <si>
    <t xml:space="preserve">PCG-E</t>
  </si>
  <si>
    <t xml:space="preserve">PCG-G</t>
  </si>
  <si>
    <t xml:space="preserve">PCG-H</t>
  </si>
  <si>
    <t xml:space="preserve">PCG-I</t>
  </si>
  <si>
    <t xml:space="preserve">PEB-E</t>
  </si>
  <si>
    <t xml:space="preserve">PEB</t>
  </si>
  <si>
    <t xml:space="preserve">PEBBLEBROOK HOTEL TR</t>
  </si>
  <si>
    <t xml:space="preserve">PEB-F</t>
  </si>
  <si>
    <t xml:space="preserve">PEB-G</t>
  </si>
  <si>
    <t xml:space="preserve">PEB-H</t>
  </si>
  <si>
    <t xml:space="preserve">PFXNZ</t>
  </si>
  <si>
    <t xml:space="preserve">PFX</t>
  </si>
  <si>
    <t xml:space="preserve">PHENIXFIN CORP</t>
  </si>
  <si>
    <t xml:space="preserve">PLDGP</t>
  </si>
  <si>
    <t xml:space="preserve">PLD</t>
  </si>
  <si>
    <t xml:space="preserve">PROLOGIS INC.</t>
  </si>
  <si>
    <t xml:space="preserve">PMT-A</t>
  </si>
  <si>
    <t xml:space="preserve">PMT</t>
  </si>
  <si>
    <t xml:space="preserve">PENNYMAC MTG INVT TR</t>
  </si>
  <si>
    <t xml:space="preserve">PMT-B</t>
  </si>
  <si>
    <t xml:space="preserve">PMT-C</t>
  </si>
  <si>
    <t xml:space="preserve">PMTU</t>
  </si>
  <si>
    <t xml:space="preserve">PNFPP</t>
  </si>
  <si>
    <t xml:space="preserve">PNFP</t>
  </si>
  <si>
    <t xml:space="preserve">PINNACLE FINL PARTNERS INC</t>
  </si>
  <si>
    <t xml:space="preserve">PNMXO</t>
  </si>
  <si>
    <t xml:space="preserve">PNM</t>
  </si>
  <si>
    <t xml:space="preserve">POWWP</t>
  </si>
  <si>
    <t xml:space="preserve">POWW</t>
  </si>
  <si>
    <t xml:space="preserve">OUTDOOR HOLDING CO</t>
  </si>
  <si>
    <t xml:space="preserve">PRE-J</t>
  </si>
  <si>
    <t xml:space="preserve">PRETL</t>
  </si>
  <si>
    <t xml:space="preserve">PRET</t>
  </si>
  <si>
    <t xml:space="preserve">PRETM</t>
  </si>
  <si>
    <t xml:space="preserve">PRETN</t>
  </si>
  <si>
    <t xml:space="preserve">PRIF-D</t>
  </si>
  <si>
    <t xml:space="preserve">PRIF-F</t>
  </si>
  <si>
    <t xml:space="preserve">PRIF-G</t>
  </si>
  <si>
    <t xml:space="preserve">PRIF-H</t>
  </si>
  <si>
    <t xml:space="preserve">PRIF-I</t>
  </si>
  <si>
    <t xml:space="preserve">PRIF-J</t>
  </si>
  <si>
    <t xml:space="preserve">PRIF-K</t>
  </si>
  <si>
    <t xml:space="preserve">PRIF-L</t>
  </si>
  <si>
    <t xml:space="preserve">PFH</t>
  </si>
  <si>
    <t xml:space="preserve">PRU</t>
  </si>
  <si>
    <t xml:space="preserve">PRUDENTIAL FINL INC</t>
  </si>
  <si>
    <t xml:space="preserve">PRH</t>
  </si>
  <si>
    <t xml:space="preserve">PRS</t>
  </si>
  <si>
    <t xml:space="preserve">PSA-F</t>
  </si>
  <si>
    <t xml:space="preserve">PSA</t>
  </si>
  <si>
    <t xml:space="preserve">PUBLIC STORAGE</t>
  </si>
  <si>
    <t xml:space="preserve">PSA-G</t>
  </si>
  <si>
    <t xml:space="preserve">PSA-H</t>
  </si>
  <si>
    <t xml:space="preserve">PSA-I</t>
  </si>
  <si>
    <t xml:space="preserve">PSA-J</t>
  </si>
  <si>
    <t xml:space="preserve">PSA-K</t>
  </si>
  <si>
    <t xml:space="preserve">PSA-L</t>
  </si>
  <si>
    <t xml:space="preserve">PSA-M</t>
  </si>
  <si>
    <t xml:space="preserve">PSA-N</t>
  </si>
  <si>
    <t xml:space="preserve">PSA-O</t>
  </si>
  <si>
    <t xml:space="preserve">PSA-P</t>
  </si>
  <si>
    <t xml:space="preserve">PSA-Q</t>
  </si>
  <si>
    <t xml:space="preserve">PSA-R</t>
  </si>
  <si>
    <t xml:space="preserve">PSA-S</t>
  </si>
  <si>
    <t xml:space="preserve">PSBXP</t>
  </si>
  <si>
    <t xml:space="preserve">PSB</t>
  </si>
  <si>
    <t xml:space="preserve">PSBYP</t>
  </si>
  <si>
    <t xml:space="preserve">PSBZP</t>
  </si>
  <si>
    <t xml:space="preserve">PSEC-A</t>
  </si>
  <si>
    <t xml:space="preserve">PSEC</t>
  </si>
  <si>
    <t xml:space="preserve">PROSPECT CAP CORP</t>
  </si>
  <si>
    <t xml:space="preserve">PW-A</t>
  </si>
  <si>
    <t xml:space="preserve">PW</t>
  </si>
  <si>
    <t xml:space="preserve">POWER REIT COM NEW</t>
  </si>
  <si>
    <t xml:space="preserve">QRTEP</t>
  </si>
  <si>
    <t xml:space="preserve">QRTEA</t>
  </si>
  <si>
    <t xml:space="preserve">QVCD</t>
  </si>
  <si>
    <t xml:space="preserve">QVCC</t>
  </si>
  <si>
    <t xml:space="preserve">RBCP</t>
  </si>
  <si>
    <t xml:space="preserve">RBC</t>
  </si>
  <si>
    <t xml:space="preserve">RBC BEARINGS INC</t>
  </si>
  <si>
    <t xml:space="preserve">RCB</t>
  </si>
  <si>
    <t xml:space="preserve">RC</t>
  </si>
  <si>
    <t xml:space="preserve">READY CAPITAL CORP</t>
  </si>
  <si>
    <t xml:space="preserve">RCC</t>
  </si>
  <si>
    <t xml:space="preserve">RC-C</t>
  </si>
  <si>
    <t xml:space="preserve">RC-E</t>
  </si>
  <si>
    <t xml:space="preserve">REGCO</t>
  </si>
  <si>
    <t xml:space="preserve">REG</t>
  </si>
  <si>
    <t xml:space="preserve">REGENCY CTRS CORP</t>
  </si>
  <si>
    <t xml:space="preserve">REGCP</t>
  </si>
  <si>
    <t xml:space="preserve">REXR-B</t>
  </si>
  <si>
    <t xml:space="preserve">REXR</t>
  </si>
  <si>
    <t xml:space="preserve">REXFORD INDL RLTY INC</t>
  </si>
  <si>
    <t xml:space="preserve">REXR-C</t>
  </si>
  <si>
    <t xml:space="preserve">RF-B</t>
  </si>
  <si>
    <t xml:space="preserve">RF</t>
  </si>
  <si>
    <t xml:space="preserve">REGIONS FINANCIAL CORP NEW</t>
  </si>
  <si>
    <t xml:space="preserve">RF-C</t>
  </si>
  <si>
    <t xml:space="preserve">RF-E</t>
  </si>
  <si>
    <t xml:space="preserve">RZB</t>
  </si>
  <si>
    <t xml:space="preserve">RGA</t>
  </si>
  <si>
    <t xml:space="preserve">REINSURANCE GROUP AMER INC COM NEW</t>
  </si>
  <si>
    <t xml:space="preserve">RHE-A</t>
  </si>
  <si>
    <t xml:space="preserve">RHE</t>
  </si>
  <si>
    <t xml:space="preserve">RILYG</t>
  </si>
  <si>
    <t xml:space="preserve">RILY</t>
  </si>
  <si>
    <t xml:space="preserve">BRC GROUP HOLDINGS INC</t>
  </si>
  <si>
    <t xml:space="preserve">RILYK</t>
  </si>
  <si>
    <t xml:space="preserve">RILYL</t>
  </si>
  <si>
    <t xml:space="preserve">RILYM</t>
  </si>
  <si>
    <t xml:space="preserve">RILYN</t>
  </si>
  <si>
    <t xml:space="preserve">RILYO</t>
  </si>
  <si>
    <t xml:space="preserve">RILYP</t>
  </si>
  <si>
    <t xml:space="preserve">RILYT</t>
  </si>
  <si>
    <t xml:space="preserve">RILYZ</t>
  </si>
  <si>
    <t xml:space="preserve">RIV-A</t>
  </si>
  <si>
    <t xml:space="preserve">RIV</t>
  </si>
  <si>
    <t xml:space="preserve">RIVERNORTH OPPORTUNITIES FD IN</t>
  </si>
  <si>
    <t xml:space="preserve">RJF-B</t>
  </si>
  <si>
    <t xml:space="preserve">RJF</t>
  </si>
  <si>
    <t xml:space="preserve">RAYMOND JAMES FINL INC</t>
  </si>
  <si>
    <t xml:space="preserve">RLJ-A</t>
  </si>
  <si>
    <t xml:space="preserve">RLJ</t>
  </si>
  <si>
    <t xml:space="preserve">RLJ LODGING TR</t>
  </si>
  <si>
    <t xml:space="preserve">RMPL-</t>
  </si>
  <si>
    <t xml:space="preserve">RNR-F</t>
  </si>
  <si>
    <t xml:space="preserve">RNR</t>
  </si>
  <si>
    <t xml:space="preserve">RENAISSANCERE HLDGS LTD</t>
  </si>
  <si>
    <t xml:space="preserve">RNR-G</t>
  </si>
  <si>
    <t xml:space="preserve">RPT-D</t>
  </si>
  <si>
    <t xml:space="preserve">RPT</t>
  </si>
  <si>
    <t xml:space="preserve">RITHM PPTY TR INC COM NEW SHS</t>
  </si>
  <si>
    <t xml:space="preserve">RWAYL</t>
  </si>
  <si>
    <t xml:space="preserve">RWAY</t>
  </si>
  <si>
    <t xml:space="preserve">RUNWAY GROWTH FINANCE CORP</t>
  </si>
  <si>
    <t xml:space="preserve">RWAYZ</t>
  </si>
  <si>
    <t xml:space="preserve">RWT-A</t>
  </si>
  <si>
    <t xml:space="preserve">RWT</t>
  </si>
  <si>
    <t xml:space="preserve">REDWOOD TRUST INC</t>
  </si>
  <si>
    <t xml:space="preserve">RZC</t>
  </si>
  <si>
    <t xml:space="preserve">SACH-A</t>
  </si>
  <si>
    <t xml:space="preserve">SACH</t>
  </si>
  <si>
    <t xml:space="preserve">SACHEM CAP CORP</t>
  </si>
  <si>
    <t xml:space="preserve">SACC</t>
  </si>
  <si>
    <t xml:space="preserve">SCCB</t>
  </si>
  <si>
    <t xml:space="preserve">SCCC</t>
  </si>
  <si>
    <t xml:space="preserve">SCCD</t>
  </si>
  <si>
    <t xml:space="preserve">SCCE</t>
  </si>
  <si>
    <t xml:space="preserve">SCCF</t>
  </si>
  <si>
    <t xml:space="preserve">SCCG</t>
  </si>
  <si>
    <t xml:space="preserve">SAJ</t>
  </si>
  <si>
    <t xml:space="preserve">SAR</t>
  </si>
  <si>
    <t xml:space="preserve">SARATOGA INVT CORP COM NEW</t>
  </si>
  <si>
    <t xml:space="preserve">SAT</t>
  </si>
  <si>
    <t xml:space="preserve">SAY</t>
  </si>
  <si>
    <t xml:space="preserve">SAZ</t>
  </si>
  <si>
    <t xml:space="preserve">SB-C</t>
  </si>
  <si>
    <t xml:space="preserve">SB</t>
  </si>
  <si>
    <t xml:space="preserve">SAFE BULKERS INC</t>
  </si>
  <si>
    <t xml:space="preserve">SB-D</t>
  </si>
  <si>
    <t xml:space="preserve">SCHW-D</t>
  </si>
  <si>
    <t xml:space="preserve">SCHW</t>
  </si>
  <si>
    <t xml:space="preserve">CHARLES SCHWAB CORP (THE)</t>
  </si>
  <si>
    <t xml:space="preserve">SCHW-J</t>
  </si>
  <si>
    <t xml:space="preserve">SF-B</t>
  </si>
  <si>
    <t xml:space="preserve">SF</t>
  </si>
  <si>
    <t xml:space="preserve">STIFEL FINL CORP</t>
  </si>
  <si>
    <t xml:space="preserve">SF-C</t>
  </si>
  <si>
    <t xml:space="preserve">SF-D</t>
  </si>
  <si>
    <t xml:space="preserve">SFB</t>
  </si>
  <si>
    <t xml:space="preserve">SHO-H</t>
  </si>
  <si>
    <t xml:space="preserve">SHO</t>
  </si>
  <si>
    <t xml:space="preserve">SUNSTONE HOTEL INVS INC NEW</t>
  </si>
  <si>
    <t xml:space="preserve">SHO-I</t>
  </si>
  <si>
    <t xml:space="preserve">SICPL</t>
  </si>
  <si>
    <t xml:space="preserve">SICP</t>
  </si>
  <si>
    <t xml:space="preserve">SILVERGATE CAP CORP CL A</t>
  </si>
  <si>
    <t xml:space="preserve">SIGIP</t>
  </si>
  <si>
    <t xml:space="preserve">SIGI</t>
  </si>
  <si>
    <t xml:space="preserve">SELECTIVE INS GROUP INC</t>
  </si>
  <si>
    <t xml:space="preserve">SITC-A</t>
  </si>
  <si>
    <t xml:space="preserve">SITC</t>
  </si>
  <si>
    <t xml:space="preserve">SITE CTRS CORP</t>
  </si>
  <si>
    <t xml:space="preserve">SLFIF</t>
  </si>
  <si>
    <t xml:space="preserve">SLF</t>
  </si>
  <si>
    <t xml:space="preserve">SUN LIFE FINL INC</t>
  </si>
  <si>
    <t xml:space="preserve">SLG-I</t>
  </si>
  <si>
    <t xml:space="preserve">SLG</t>
  </si>
  <si>
    <t xml:space="preserve">SL GREEN RLTY CORP</t>
  </si>
  <si>
    <t xml:space="preserve">JSM</t>
  </si>
  <si>
    <t xml:space="preserve">SLM</t>
  </si>
  <si>
    <t xml:space="preserve">SLM CORP</t>
  </si>
  <si>
    <t xml:space="preserve">SLNHP</t>
  </si>
  <si>
    <t xml:space="preserve">SLNH</t>
  </si>
  <si>
    <t xml:space="preserve">SOLUNA HOLDINGS INC COM NEW</t>
  </si>
  <si>
    <t xml:space="preserve">TEMP53</t>
  </si>
  <si>
    <t xml:space="preserve">SMLP</t>
  </si>
  <si>
    <t xml:space="preserve">SNCRL</t>
  </si>
  <si>
    <t xml:space="preserve">SNCR</t>
  </si>
  <si>
    <t xml:space="preserve">SNV-D</t>
  </si>
  <si>
    <t xml:space="preserve">SNV</t>
  </si>
  <si>
    <t xml:space="preserve">CIRCULAR REF (uses a current yield as required yield); NO PRICE; not in QOL paste - retire/rename?; group base = 0 (parent did not quote)</t>
  </si>
  <si>
    <t xml:space="preserve">SNV-E</t>
  </si>
  <si>
    <t xml:space="preserve">SOJC</t>
  </si>
  <si>
    <t xml:space="preserve">SO</t>
  </si>
  <si>
    <t xml:space="preserve">SOUTHERN CO</t>
  </si>
  <si>
    <t xml:space="preserve">SOJD</t>
  </si>
  <si>
    <t xml:space="preserve">SOJE</t>
  </si>
  <si>
    <t xml:space="preserve">GPJA</t>
  </si>
  <si>
    <t xml:space="preserve">SOHOB</t>
  </si>
  <si>
    <t xml:space="preserve">SOHO</t>
  </si>
  <si>
    <t xml:space="preserve">SOHON</t>
  </si>
  <si>
    <t xml:space="preserve">SOHOO</t>
  </si>
  <si>
    <t xml:space="preserve">SPE-C</t>
  </si>
  <si>
    <t xml:space="preserve">SPE</t>
  </si>
  <si>
    <t xml:space="preserve">SPECIAL OPPORTUNITIES FD INC</t>
  </si>
  <si>
    <t xml:space="preserve">SPG-J</t>
  </si>
  <si>
    <t xml:space="preserve">SPG</t>
  </si>
  <si>
    <t xml:space="preserve">SIMON PPTY GROUP INC NEW</t>
  </si>
  <si>
    <t xml:space="preserve">SPLP-A</t>
  </si>
  <si>
    <t xml:space="preserve">SPLP</t>
  </si>
  <si>
    <t xml:space="preserve">?</t>
  </si>
  <si>
    <t xml:space="preserve">SPNT-B</t>
  </si>
  <si>
    <t xml:space="preserve">SPNT</t>
  </si>
  <si>
    <t xml:space="preserve">SIRIUSPOINT LTD</t>
  </si>
  <si>
    <t xml:space="preserve">SQFTP</t>
  </si>
  <si>
    <t xml:space="preserve">SQFT</t>
  </si>
  <si>
    <t xml:space="preserve">PRESIDIO PPTY TR INC COM CL A NEW</t>
  </si>
  <si>
    <t xml:space="preserve">SR-A</t>
  </si>
  <si>
    <t xml:space="preserve">SR</t>
  </si>
  <si>
    <t xml:space="preserve">SPIRE INC</t>
  </si>
  <si>
    <t xml:space="preserve">SRCU</t>
  </si>
  <si>
    <t xml:space="preserve">SRC-A</t>
  </si>
  <si>
    <t xml:space="preserve">SRC</t>
  </si>
  <si>
    <t xml:space="preserve">SOCGM</t>
  </si>
  <si>
    <t xml:space="preserve">SRE</t>
  </si>
  <si>
    <t xml:space="preserve">SEMPRA</t>
  </si>
  <si>
    <t xml:space="preserve">SOCGP</t>
  </si>
  <si>
    <t xml:space="preserve">SREA</t>
  </si>
  <si>
    <t xml:space="preserve">SRG-A</t>
  </si>
  <si>
    <t xml:space="preserve">SRG</t>
  </si>
  <si>
    <t xml:space="preserve">SERITAGE GROWTH PPTYS CL A</t>
  </si>
  <si>
    <t xml:space="preserve">SSSSL</t>
  </si>
  <si>
    <t xml:space="preserve">SSSS</t>
  </si>
  <si>
    <t xml:space="preserve">SBBA</t>
  </si>
  <si>
    <t xml:space="preserve">STNG</t>
  </si>
  <si>
    <t xml:space="preserve">SCORPIO TANKERS INC</t>
  </si>
  <si>
    <t xml:space="preserve">STRRP</t>
  </si>
  <si>
    <t xml:space="preserve">STRR</t>
  </si>
  <si>
    <t xml:space="preserve">STAR EQUITY HOLDINGS INC COM NEW</t>
  </si>
  <si>
    <t xml:space="preserve">STT-D</t>
  </si>
  <si>
    <t xml:space="preserve">STT</t>
  </si>
  <si>
    <t xml:space="preserve">STATE STR CORP</t>
  </si>
  <si>
    <t xml:space="preserve">STT-G</t>
  </si>
  <si>
    <t xml:space="preserve">SWKHL</t>
  </si>
  <si>
    <t xml:space="preserve">SWKH</t>
  </si>
  <si>
    <t xml:space="preserve">SYF-A</t>
  </si>
  <si>
    <t xml:space="preserve">SYF</t>
  </si>
  <si>
    <t xml:space="preserve">SYNCHRONY FINANCIAL</t>
  </si>
  <si>
    <t xml:space="preserve">T-Z</t>
  </si>
  <si>
    <t xml:space="preserve">KTBA</t>
  </si>
  <si>
    <t xml:space="preserve">T</t>
  </si>
  <si>
    <t xml:space="preserve">AT&amp;T INC</t>
  </si>
  <si>
    <t xml:space="preserve">T-A</t>
  </si>
  <si>
    <t xml:space="preserve">T-C</t>
  </si>
  <si>
    <t xml:space="preserve">TBC</t>
  </si>
  <si>
    <t xml:space="preserve">TBB</t>
  </si>
  <si>
    <t xml:space="preserve">TFINP</t>
  </si>
  <si>
    <t xml:space="preserve">TBK</t>
  </si>
  <si>
    <t xml:space="preserve">TCBIO</t>
  </si>
  <si>
    <t xml:space="preserve">TCBI</t>
  </si>
  <si>
    <t xml:space="preserve">TEXAS CAP BANCSHARES INC</t>
  </si>
  <si>
    <t xml:space="preserve">TDS-U</t>
  </si>
  <si>
    <t xml:space="preserve">TDS</t>
  </si>
  <si>
    <t xml:space="preserve">TELEPHONE &amp; DATA SYS INC COM NEW</t>
  </si>
  <si>
    <t xml:space="preserve">TDS-V</t>
  </si>
  <si>
    <t xml:space="preserve">TECTP</t>
  </si>
  <si>
    <t xml:space="preserve">TELZ</t>
  </si>
  <si>
    <t xml:space="preserve">TELL</t>
  </si>
  <si>
    <t xml:space="preserve">TEUCF</t>
  </si>
  <si>
    <t xml:space="preserve">TEUFF</t>
  </si>
  <si>
    <t xml:space="preserve">BOX SHIPS INC SHS NEW</t>
  </si>
  <si>
    <t xml:space="preserve">NONE</t>
  </si>
  <si>
    <t xml:space="preserve">no R formula; NO PRICE; group base = 0 (parent did not quote)</t>
  </si>
  <si>
    <t xml:space="preserve">TPTA</t>
  </si>
  <si>
    <t xml:space="preserve">TFC-O</t>
  </si>
  <si>
    <t xml:space="preserve">TFC</t>
  </si>
  <si>
    <t xml:space="preserve">TRUIST FINL CORP</t>
  </si>
  <si>
    <t xml:space="preserve">TFC-R</t>
  </si>
  <si>
    <t xml:space="preserve">TFSA</t>
  </si>
  <si>
    <t xml:space="preserve">TGH-B</t>
  </si>
  <si>
    <t xml:space="preserve">TGH</t>
  </si>
  <si>
    <t xml:space="preserve">SEAL-A</t>
  </si>
  <si>
    <t xml:space="preserve">TGP</t>
  </si>
  <si>
    <t xml:space="preserve">SEAL-B</t>
  </si>
  <si>
    <t xml:space="preserve">TNP-E</t>
  </si>
  <si>
    <t xml:space="preserve">TNP</t>
  </si>
  <si>
    <t xml:space="preserve">TNP-F</t>
  </si>
  <si>
    <t xml:space="preserve">TRINL</t>
  </si>
  <si>
    <t xml:space="preserve">TRIN</t>
  </si>
  <si>
    <t xml:space="preserve">TRINITY CAP INC</t>
  </si>
  <si>
    <t xml:space="preserve">TRTN-A</t>
  </si>
  <si>
    <t xml:space="preserve">TRTN</t>
  </si>
  <si>
    <t xml:space="preserve">TRTN-B</t>
  </si>
  <si>
    <t xml:space="preserve">TRTN-C</t>
  </si>
  <si>
    <t xml:space="preserve">TRTN-D</t>
  </si>
  <si>
    <t xml:space="preserve">TRTN-E</t>
  </si>
  <si>
    <t xml:space="preserve">TRTX-C</t>
  </si>
  <si>
    <t xml:space="preserve">TRTX</t>
  </si>
  <si>
    <t xml:space="preserve">TPG RE FIN TR INC</t>
  </si>
  <si>
    <t xml:space="preserve">TWO-A</t>
  </si>
  <si>
    <t xml:space="preserve">TWO</t>
  </si>
  <si>
    <t xml:space="preserve">TWO HARBORS INVENTMENT CORPOR</t>
  </si>
  <si>
    <t xml:space="preserve">TWO-B</t>
  </si>
  <si>
    <t xml:space="preserve">TWO-C</t>
  </si>
  <si>
    <t xml:space="preserve">TY-</t>
  </si>
  <si>
    <t xml:space="preserve">TY</t>
  </si>
  <si>
    <t xml:space="preserve">TRI CONTL CORP</t>
  </si>
  <si>
    <t xml:space="preserve">UCBIO</t>
  </si>
  <si>
    <t xml:space="preserve">UCBI</t>
  </si>
  <si>
    <t xml:space="preserve">UGIC</t>
  </si>
  <si>
    <t xml:space="preserve">UGI</t>
  </si>
  <si>
    <t xml:space="preserve">UGI CORP NEW</t>
  </si>
  <si>
    <t xml:space="preserve">UMH-D</t>
  </si>
  <si>
    <t xml:space="preserve">UMH</t>
  </si>
  <si>
    <t xml:space="preserve">UMH PPTYS INC</t>
  </si>
  <si>
    <t xml:space="preserve">UNMA</t>
  </si>
  <si>
    <t xml:space="preserve">UNM</t>
  </si>
  <si>
    <t xml:space="preserve">UNUM GROUP</t>
  </si>
  <si>
    <t xml:space="preserve">USB-A</t>
  </si>
  <si>
    <t xml:space="preserve">USB</t>
  </si>
  <si>
    <t xml:space="preserve">US BANCORP COM NEW</t>
  </si>
  <si>
    <t xml:space="preserve">USB-H</t>
  </si>
  <si>
    <t xml:space="preserve">USB-P</t>
  </si>
  <si>
    <t xml:space="preserve">USB-Q</t>
  </si>
  <si>
    <t xml:space="preserve">USB-R</t>
  </si>
  <si>
    <t xml:space="preserve">USB-S</t>
  </si>
  <si>
    <t xml:space="preserve">GJH</t>
  </si>
  <si>
    <t xml:space="preserve">USM</t>
  </si>
  <si>
    <t xml:space="preserve">UZD</t>
  </si>
  <si>
    <t xml:space="preserve">UZE</t>
  </si>
  <si>
    <t xml:space="preserve">UZF</t>
  </si>
  <si>
    <t xml:space="preserve">VIASP</t>
  </si>
  <si>
    <t xml:space="preserve">VIA</t>
  </si>
  <si>
    <t xml:space="preserve">VIA TRANSN INC COM CL A</t>
  </si>
  <si>
    <t xml:space="preserve">VLYPO</t>
  </si>
  <si>
    <t xml:space="preserve">VLY</t>
  </si>
  <si>
    <t xml:space="preserve">VALLEY NATL BANCORP</t>
  </si>
  <si>
    <t xml:space="preserve">VLYPP</t>
  </si>
  <si>
    <t xml:space="preserve">VNORP</t>
  </si>
  <si>
    <t xml:space="preserve">VNO</t>
  </si>
  <si>
    <t xml:space="preserve">VORNADO RLTY TR SH BEN INT</t>
  </si>
  <si>
    <t xml:space="preserve">VNO-L</t>
  </si>
  <si>
    <t xml:space="preserve">VNO-M</t>
  </si>
  <si>
    <t xml:space="preserve">VNO-N</t>
  </si>
  <si>
    <t xml:space="preserve">VNO-O</t>
  </si>
  <si>
    <t xml:space="preserve">VOYA-B</t>
  </si>
  <si>
    <t xml:space="preserve">VOYA</t>
  </si>
  <si>
    <t xml:space="preserve">VOYA FINANCIAL INC</t>
  </si>
  <si>
    <t xml:space="preserve">WAFDP</t>
  </si>
  <si>
    <t xml:space="preserve">WAFD</t>
  </si>
  <si>
    <t xml:space="preserve">WAFD INC</t>
  </si>
  <si>
    <t xml:space="preserve">WAL-A</t>
  </si>
  <si>
    <t xml:space="preserve">WAL</t>
  </si>
  <si>
    <t xml:space="preserve">WESTERN ALLIANCE BANCORP</t>
  </si>
  <si>
    <t xml:space="preserve">WBS-F</t>
  </si>
  <si>
    <t xml:space="preserve">WBS</t>
  </si>
  <si>
    <t xml:space="preserve">WEBSTER FINL CORP</t>
  </si>
  <si>
    <t xml:space="preserve">NO PRICE; PAR MISMATCH</t>
  </si>
  <si>
    <t xml:space="preserve">WBS-G</t>
  </si>
  <si>
    <t xml:space="preserve">WCC-A</t>
  </si>
  <si>
    <t xml:space="preserve">WCC</t>
  </si>
  <si>
    <t xml:space="preserve">WESCO INTL INC</t>
  </si>
  <si>
    <t xml:space="preserve">WELPM</t>
  </si>
  <si>
    <t xml:space="preserve">WEC</t>
  </si>
  <si>
    <t xml:space="preserve">WEC ENERGY GROUP INC</t>
  </si>
  <si>
    <t xml:space="preserve">WELPP</t>
  </si>
  <si>
    <t xml:space="preserve">WFC-A</t>
  </si>
  <si>
    <t xml:space="preserve">WFC</t>
  </si>
  <si>
    <t xml:space="preserve">WELLS FARGO &amp; CO</t>
  </si>
  <si>
    <t xml:space="preserve">WFC-C</t>
  </si>
  <si>
    <t xml:space="preserve">WFC-D</t>
  </si>
  <si>
    <t xml:space="preserve">WFC-L</t>
  </si>
  <si>
    <t xml:space="preserve">WFC-R</t>
  </si>
  <si>
    <t xml:space="preserve">WFC-Y</t>
  </si>
  <si>
    <t xml:space="preserve">WFC-Z</t>
  </si>
  <si>
    <t xml:space="preserve">WHFCL</t>
  </si>
  <si>
    <t xml:space="preserve">WHF</t>
  </si>
  <si>
    <t xml:space="preserve">WHITEHORSE FIN INC</t>
  </si>
  <si>
    <t xml:space="preserve">WHLRD</t>
  </si>
  <si>
    <t xml:space="preserve">WHLR</t>
  </si>
  <si>
    <t xml:space="preserve">WHEELER REAL ESTATE INVT TR IN</t>
  </si>
  <si>
    <t xml:space="preserve">WHLRL</t>
  </si>
  <si>
    <t xml:space="preserve">WHLRP</t>
  </si>
  <si>
    <t xml:space="preserve">GJO</t>
  </si>
  <si>
    <t xml:space="preserve">WMT</t>
  </si>
  <si>
    <t xml:space="preserve">WALMART INC</t>
  </si>
  <si>
    <t xml:space="preserve">WRB-E</t>
  </si>
  <si>
    <t xml:space="preserve">WRB</t>
  </si>
  <si>
    <t xml:space="preserve">BERKLEY W R CORP</t>
  </si>
  <si>
    <t xml:space="preserve">WRB-F</t>
  </si>
  <si>
    <t xml:space="preserve">WRB-G</t>
  </si>
  <si>
    <t xml:space="preserve">WRB-H</t>
  </si>
  <si>
    <t xml:space="preserve">WTFCM</t>
  </si>
  <si>
    <t xml:space="preserve">WTFC</t>
  </si>
  <si>
    <t xml:space="preserve">WINTRUST FINL CORP</t>
  </si>
  <si>
    <t xml:space="preserve">WTFCP</t>
  </si>
  <si>
    <t xml:space="preserve">WVVIP</t>
  </si>
  <si>
    <t xml:space="preserve">WVVI</t>
  </si>
  <si>
    <t xml:space="preserve">WILLAMETTE VALLEY VINEYARDS</t>
  </si>
  <si>
    <t xml:space="preserve">A</t>
  </si>
  <si>
    <t xml:space="preserve">XELAP</t>
  </si>
  <si>
    <t xml:space="preserve">XELA</t>
  </si>
  <si>
    <t xml:space="preserve">EXELA TECHNOLOGIES INC</t>
  </si>
  <si>
    <t xml:space="preserve">XFLT-A</t>
  </si>
  <si>
    <t xml:space="preserve">XFLT</t>
  </si>
  <si>
    <t xml:space="preserve">XAI FLOATING RATE &amp; ALTER INCO COM SHS BENF IN</t>
  </si>
  <si>
    <t xml:space="preserve">XOMAO</t>
  </si>
  <si>
    <t xml:space="preserve">XOMA</t>
  </si>
  <si>
    <t xml:space="preserve">XOMAP</t>
  </si>
  <si>
    <t xml:space="preserve">YCBD-A</t>
  </si>
  <si>
    <t xml:space="preserve">YCBD</t>
  </si>
  <si>
    <t xml:space="preserve">CBDMD INC COM SHS</t>
  </si>
  <si>
    <t xml:space="preserve">YGYIP</t>
  </si>
  <si>
    <t xml:space="preserve">YGYI</t>
  </si>
  <si>
    <t xml:space="preserve">ZIONL</t>
  </si>
  <si>
    <t xml:space="preserve">ZION</t>
  </si>
  <si>
    <t xml:space="preserve">ZIONS BANCORPORATION NATL ASSN</t>
  </si>
  <si>
    <t xml:space="preserve">ZIONO</t>
  </si>
  <si>
    <t xml:space="preserve">ZIONP</t>
  </si>
  <si>
    <t xml:space="preserve">Class</t>
  </si>
  <si>
    <t xml:space="preserve">R as it sits</t>
  </si>
  <si>
    <t xml:space="preserve">Group base</t>
  </si>
  <si>
    <t xml:space="preserve">What is wrong</t>
  </si>
  <si>
    <t xml:space="preserve">Actual formula in column R  (a broken reference shows as &lt;&lt;REF&gt;&gt;)</t>
  </si>
  <si>
    <t xml:space="preserve">CIRCULAR: required yield = a CURRENT YIELD (col AG). Price up -&gt; required yield down -&gt; normal price up -&gt; discount widens. Feedback loop inverts the screen.</t>
  </si>
  <si>
    <t xml:space="preserve"> =+IF(C237="yes",AG237+AG237*0.05*Switch,AG237)+IF(E237="cumm",-0.25%,0)+IF(E237="debt",-0.75%,0)</t>
  </si>
  <si>
    <t xml:space="preserve"> =+IF(C29="yes",AG28+AG28*0.05*Switch,AG28)+IF(E29="cumm",-0.25%,0)+IF(E29="debt",-0.75%,0)</t>
  </si>
  <si>
    <t xml:space="preserve"> =+IF(C33="yes",AG32+AG32*0.05*Switch,AG32)+IF(E33="cumm",-0.25%,0)+IF(E33="debt",-0.75%,0)</t>
  </si>
  <si>
    <t xml:space="preserve"> =+IF(C60="yes",AG59+AG59*0.05*Switch,AG59)+IF(E60="cumm",-0.25%,0)+IF(E60="debt",-0.75%,0)</t>
  </si>
  <si>
    <t xml:space="preserve"> =+IF(C150="yes",AG149+AG149*0.05*Switch,AG149)+IF(E150="cumm",-0.25%,0)+IF(E150="debt",-0.75%,0)</t>
  </si>
  <si>
    <t xml:space="preserve"> =+IF(C240="yes",AG239+AG239*0.05*Switch,AG239)+IF(E240="cumm",-0.25%,0)+IF(E240="debt",-0.75%,0)</t>
  </si>
  <si>
    <t xml:space="preserve"> =+IF(C301="yes",AG299+AG299*0.05*Switch,AG299)+IF(E301="cumm",-0.25%,0)+IF(E301="debt",-0.75%,0)</t>
  </si>
  <si>
    <t xml:space="preserve"> =+IF(C414="yes",AG414+AG414*0.05*Switch,AG414)+IF(E414="cumm",-0.25%,0)+IF(E414="debt",-0.75%,0)</t>
  </si>
  <si>
    <t xml:space="preserve">REF error - the formula points at a deleted cell.</t>
  </si>
  <si>
    <t xml:space="preserve"> =+IF(C188="yes",&lt;&lt;REF&gt;&gt;+&lt;&lt;REF&gt;&gt;*0.05*Switch,&lt;&lt;REF&gt;&gt;)+IF(E188="cumm",-0.25%,0)+IF(E188="debt",-0.75%,0)</t>
  </si>
  <si>
    <t xml:space="preserve"> =+&lt;&lt;REF&gt;&gt;+1%</t>
  </si>
  <si>
    <t xml:space="preserve"> =+IF(&lt;&lt;REF&gt;&gt;="yes",AI81+AI81*0.05*Switch,AI81)+IF(D81="cumm",-1%,0)+IF(D81="debt",-0.5%,0)</t>
  </si>
  <si>
    <t xml:space="preserve"> =+IF(&lt;&lt;REF&gt;&gt;="yes",AI354+AI354*0.05*Switch,AI354)+IF(D354="cumm",-1%,0)+IF(D354="debt",-0.5%,0)</t>
  </si>
  <si>
    <t xml:space="preserve"> =+IF(&lt;&lt;REF&gt;&gt;="yes",AI176+AI176*0.05*Switch,AI176)+IF(D176="cumm",-1%,0)+IF(D176="debt",-0.5%,0)</t>
  </si>
  <si>
    <t xml:space="preserve">No formula at all - required yield is blank.</t>
  </si>
  <si>
    <t xml:space="preserve"> (blank)</t>
  </si>
  <si>
    <t xml:space="preserve">R hand-typed as a constant. Some are deliberate per-issue overrides (see Base override on Reconciliation).</t>
  </si>
  <si>
    <t xml:space="preserve"> (constant 0.085)</t>
  </si>
  <si>
    <t xml:space="preserve"> (constant 0.075)</t>
  </si>
  <si>
    <t xml:space="preserve"> (constant 0.07)</t>
  </si>
  <si>
    <t xml:space="preserve">Reads the QDI flag from col C and the type from col D instead of D and E. Neither ever matches, so NO adjustment ever fired - the row sits at the raw group base.</t>
  </si>
  <si>
    <t xml:space="preserve"> =+IF(C87="yes",AI87+AI87*0.05*Switch,AI87)+IF(D87="cumm",-1%,0)+IF(D87="debt",-0.5%,0)</t>
  </si>
  <si>
    <t xml:space="preserve"> =+IF(C132="yes",AI132+AI132*0.05*Switch,AI132)+IF(D132="cumm",-1%,0)+IF(D132="debt",-0.5%,0)</t>
  </si>
  <si>
    <t xml:space="preserve"> =+IF(C155="yes",AI155+AI155*0.05*Switch,AI155)+IF(D155="cumm",-1%,0)+IF(D155="debt",-0.5%,0)</t>
  </si>
  <si>
    <t xml:space="preserve"> =+IF(C156="yes",AI156+AI156*0.05*Switch,AI156)+IF(D156="cumm",-1%,0)+IF(D156="debt",-0.5%,0)</t>
  </si>
  <si>
    <t xml:space="preserve"> =+IF(C183="yes",AI183+AI183*0.05*Switch,AI183)+IF(D183="cumm",-1%,0)+IF(D183="debt",-0.5%,0)</t>
  </si>
  <si>
    <t xml:space="preserve"> =+IF(C161="yes",AI161+AI161*0.05*Switch,AI161)+IF(D161="cumm",-1%,0)+IF(D161="debt",-0.5%,0)</t>
  </si>
  <si>
    <t xml:space="preserve"> =+IF(C200="yes",AI200+AI200*0.05*Switch,AI200)+IF(D200="cumm",-1%,0)+IF(D200="debt",-0.5%,0)</t>
  </si>
  <si>
    <t xml:space="preserve"> =+IF(C223="yes",AI223+AI223*0.05*Switch,AI223)+IF(D223="cumm",-1%,0)+IF(D223="debt",-0.5%,0)</t>
  </si>
  <si>
    <t xml:space="preserve"> =+IF(C248="yes",AI248+AI248*0.05*Switch,AI248)+IF(D248="cumm",-1%,0)+IF(D248="debt",-0.5%,0)</t>
  </si>
  <si>
    <t xml:space="preserve"> =+IF(C268="yes",AI268+AI268*0.05*Switch,AI268)+IF(D268="cumm",-1%,0)+IF(D268="debt",-0.5%,0)</t>
  </si>
  <si>
    <t xml:space="preserve"> =+IF(C269="yes",AI269+AI269*0.05*Switch,AI269)+IF(D269="cumm",-1%,0)+IF(D269="debt",-0.5%,0)</t>
  </si>
  <si>
    <t xml:space="preserve"> =+IF(C304="yes",AI304+AI304*0.05*Switch,AI304)+IF(D304="cumm",-1%,0)+IF(D304="debt",-0.5%,0)</t>
  </si>
  <si>
    <t xml:space="preserve"> =+IF(C300="yes",AI300+AI300*0.05*Switch,AI300)+IF(D300="cumm",-1%,0)+IF(D300="debt",-0.5%,0)</t>
  </si>
  <si>
    <t xml:space="preserve"> =+IF(C406="yes",AI406+AI406*0.05*Switch,AI406)+IF(D406="cumm",-1%,0)+IF(D406="debt",-0.5%,0)</t>
  </si>
  <si>
    <t xml:space="preserve"> =+IF(C441="yes",AI441+AI441*0.05*Switch,AI441)+IF(D441="cumm",-1%,0)+IF(D441="debt",-0.5%,0)</t>
  </si>
  <si>
    <t xml:space="preserve"> =+IF(C55="yes",AI55+AI55*0.05*Switch,AI55)+IF(D55="cumm",-1%,0)+IF(D55="debt",-0.5%,0)</t>
  </si>
  <si>
    <t xml:space="preserve"> =+IF(C71="yes",AI71+AI71*0.05*Switch,AI71)+IF(D71="cumm",-1%,0)+IF(D71="debt",-0.5%,0)</t>
  </si>
  <si>
    <t xml:space="preserve"> =+IF(C71="yes",AI73+AI73*0.05*Switch,AI73)+IF(E73="cumm",-0.25%,0)+IF(E73="debt",-0.75%,0)</t>
  </si>
  <si>
    <t xml:space="preserve"> =+IF(C82="yes",AI82+AI82*0.05*Switch,AI82)+IF(D82="cumm",-1%,0)+IF(D82="debt",-0.5%,0)</t>
  </si>
  <si>
    <t xml:space="preserve"> =+IF(C90="yes",AI90+AI90*0.05*Switch,AI90)+IF(D90="cumm",-1%,0)+IF(D90="debt",-0.5%,0)</t>
  </si>
  <si>
    <t xml:space="preserve"> =+IF(C196="yes",AI196+AI196*0.05*Switch,AI196)+IF(D196="cumm",-1%,0)+IF(D196="debt",-0.5%,0)</t>
  </si>
  <si>
    <t xml:space="preserve"> =+IF(C242="yes",AI242+AI242*0.05*Switch,AI242)+IF(D242="cumm",-1%,0)+IF(D242="debt",-0.5%,0)</t>
  </si>
  <si>
    <t xml:space="preserve"> =+IF(C12="yes",AI12+AI12*0.05*Switch,AI12)+IF(D12="cumm",-1%,0)+IF(D12="debt",-0.5%,0)</t>
  </si>
  <si>
    <t xml:space="preserve"> =+IF(C34="yes",AI34+AI34*0.05*Switch,AI34)+IF(D34="cumm",-1%,0)+IF(D34="debt",-0.5%,0)</t>
  </si>
  <si>
    <t xml:space="preserve"> =+IF(C46="yes",AI46+AI46*0.05*Switch,AI46)+IF(D46="cumm",-1%,0)+IF(D46="debt",-0.5%,0)</t>
  </si>
  <si>
    <t xml:space="preserve"> =+IF(C50="yes",AI50+AI50*0.05*Switch,AI50)+IF(D50="cumm",-1%,0)+IF(D50="debt",-0.5%,0)</t>
  </si>
  <si>
    <t xml:space="preserve"> =+IF(C67="yes",AI67+AI67*0.05*Switch,AI67)+IF(D67="cumm",-1%,0)+IF(D67="debt",-0.5%,0)</t>
  </si>
  <si>
    <t xml:space="preserve"> =+IF(C97="yes",AI97+AI97*0.05*Switch,AI97)+IF(D97="cumm",-1%,0)+IF(D97="debt",-0.5%,0)</t>
  </si>
  <si>
    <t xml:space="preserve"> =+IF(C118="yes",AI118+AI118*0.05*Switch,AI118)+IF(D118="cumm",-1%,0)+IF(D118="debt",-0.5%,0)</t>
  </si>
  <si>
    <t xml:space="preserve"> =+IF(C140="yes",AI140+AI140*0.05*Switch,AI140)+IF(D140="cumm",-1%,0)+IF(D140="debt",-0.5%,0)</t>
  </si>
  <si>
    <t xml:space="preserve"> =+IF(C142="yes",AI142+AI142*0.05*Switch,AI142)+IF(D142="cumm",-1%,0)+IF(D142="debt",-0.5%,0)</t>
  </si>
  <si>
    <t xml:space="preserve"> =+IF(C128="yes",AI128+AI128*0.05*Switch,AI128)+IF(D128="cumm",-1%,0)+IF(D128="debt",-0.5%,0)</t>
  </si>
  <si>
    <t xml:space="preserve"> =+IF(C166="yes",AI166+AI166*0.05*Switch,AI166)+IF(D166="cumm",-1%,0)+IF(D166="debt",-0.5%,0)</t>
  </si>
  <si>
    <t xml:space="preserve"> =+IF(C179="yes",AI179+AI179*0.05*Switch,AI179)+IF(D179="cumm",-1%,0)+IF(D179="debt",-0.5%,0)</t>
  </si>
  <si>
    <t xml:space="preserve"> =+IF(C217="yes",AI217+AI217*0.05*Switch,AI217)+IF(D217="cumm",-1%,0)+IF(D217="debt",-0.5%,0)</t>
  </si>
  <si>
    <t xml:space="preserve"> =+IF(C247="yes",AI247+AI247*0.05*Switch,AI247)+IF(D247="cumm",-1%,0)+IF(D247="debt",-0.5%,0)</t>
  </si>
  <si>
    <t xml:space="preserve"> =+IF(C256="yes",AI256+AI256*0.05*Switch,AI256)+IF(D256="cumm",-1%,0)+IF(D256="debt",-0.5%,0)</t>
  </si>
  <si>
    <t xml:space="preserve"> =+IF(C271="yes",AI271+AI271*0.05*Switch,AI271)+IF(D271="cumm",-1%,0)+IF(D271="debt",-0.5%,0)</t>
  </si>
  <si>
    <t xml:space="preserve"> =+IF(C283="yes",AI283+AI283*0.05*Switch,AI283)+IF(D283="cumm",-1%,0)+IF(D283="debt",-0.5%,0)</t>
  </si>
  <si>
    <t xml:space="preserve"> =+IF(C286="yes",AI286+AI286*0.05*Switch,AI286)+IF(D286="cumm",-1%,0)+IF(D286="debt",-0.5%,0)</t>
  </si>
  <si>
    <t xml:space="preserve"> =+IF(C294="yes",AI294+AI294*0.05*Switch,AI294)+IF(D294="cumm",-1%,0)+IF(D294="debt",-0.5%,0)</t>
  </si>
  <si>
    <t xml:space="preserve"> =+IF(C323="yes",AI323+AI323*0.05*Switch,AI323)+IF(D323="cumm",-1%,0)+IF(D323="debt",-0.5%,0)</t>
  </si>
  <si>
    <t xml:space="preserve"> =+IF(C376="yes",AI376+AI376*0.05*Switch,AI376)+IF(D376="cumm",-1%,0)+IF(D376="debt",-0.5%,0)</t>
  </si>
  <si>
    <t xml:space="preserve"> =+IF(C377="yes",AI377+AI377*0.05*Switch,AI377)+IF(D377="cumm",-1%,0)+IF(D377="debt",-0.5%,0)</t>
  </si>
  <si>
    <t xml:space="preserve"> =+IF(C384="yes",AI384+AI384*0.05*Switch,AI384)+IF(D384="cumm",-1%,0)+IF(D384="debt",-0.5%,0)</t>
  </si>
  <si>
    <t xml:space="preserve"> =+IF(C19="yes",AI19+AI19*0.05*Switch,AI19)+IF(D19="cumm",-1%,0)+IF(D19="debt",-0.5%,0)</t>
  </si>
  <si>
    <t xml:space="preserve"> =+IF(C80="yes",AI80+AI80*0.05*Switch,AI80)+IF(D80="cumm",-1%,0)+IF(D80="debt",-0.5%,0)</t>
  </si>
  <si>
    <t xml:space="preserve"> =+IF(C91="yes",AI91+AI91*0.05*Switch,AI91)+IF(D91="cumm",-1%,0)+IF(D91="debt",-0.5%,0)</t>
  </si>
  <si>
    <t xml:space="preserve"> =+IF(C96="yes",AI96+AI96*0.05*Switch,AI96)+IF(D96="cumm",-1%,0)+IF(D96="debt",-0.5%,0)</t>
  </si>
  <si>
    <t xml:space="preserve"> =+IF(C117="yes",AI117+AI117*0.05*Switch,AI117)+IF(D117="cumm",-1%,0)+IF(D117="debt",-0.5%,0)</t>
  </si>
  <si>
    <t xml:space="preserve"> =+IF(C131="yes",AI131+AI131*0.05*Switch,AI131)+IF(D131="cumm",-1%,0)+IF(D131="debt",-0.5%,0)</t>
  </si>
  <si>
    <t xml:space="preserve"> =+IF(C134="yes",AI134+AI134*0.05*Switch,AI134)+IF(D134="cumm",-1%,0)+IF(D134="debt",-0.5%,0)</t>
  </si>
  <si>
    <t xml:space="preserve"> =+IF(C137="yes",AI137+AI137*0.05*Switch,AI137)+IF(D137="cumm",-1%,0)+IF(D137="debt",-0.5%,0)</t>
  </si>
  <si>
    <t xml:space="preserve"> =+IF(C143="yes",AI143+AI143*0.05*Switch,AI143)+IF(D143="cumm",-1%,0)+IF(D143="debt",-0.5%,0)</t>
  </si>
  <si>
    <t xml:space="preserve"> =+IF(C175="yes",AI175+AI175*0.05*Switch,AI175)+IF(D175="cumm",-1%,0)+IF(D175="debt",-0.5%,0)</t>
  </si>
  <si>
    <t xml:space="preserve"> =+IF(C186="yes",AI186+AI186*0.05*Switch,AI186)+IF(D186="cumm",-1%,0)+IF(D186="debt",-0.5%,0)</t>
  </si>
  <si>
    <t xml:space="preserve"> =+IF(C221="yes",AI221+AI221*0.05*Switch,AI221)+IF(D221="cumm",-1%,0)+IF(D221="debt",-0.5%,0)</t>
  </si>
  <si>
    <t xml:space="preserve"> =+IF(C216="yes",AI216+AI216*0.05*Switch,AI216)+IF(D216="cumm",-1%,0)+IF(D216="debt",-0.5%,0)</t>
  </si>
  <si>
    <t xml:space="preserve"> =+IF(C237="yes",AI237+AI237*0.05*Switch,AI237)+IF(D237="cumm",-1%,0)+IF(D237="debt",-0.5%,0)</t>
  </si>
  <si>
    <t xml:space="preserve"> =+IF(C238="yes",AI238+AI238*0.05*Switch,AI238)+IF(D238="cumm",-1%,0)+IF(D238="debt",-0.5%,0)</t>
  </si>
  <si>
    <t xml:space="preserve"> =+IF(C241="yes",AI241+AI241*0.05*Switch,AI241)+IF(D241="cumm",-1%,0)+IF(D241="debt",-0.5%,0)</t>
  </si>
  <si>
    <t xml:space="preserve"> =+IF(C243="yes",AI243+AI243*0.05*Switch,AI243)+IF(D243="cumm",-1%,0)+IF(D243="debt",-0.5%,0)</t>
  </si>
  <si>
    <t xml:space="preserve"> =+IF(C305="yes",AI305+AI305*0.05*Switch,AI305)+IF(D305="cumm",-1%,0)+IF(D305="debt",-0.5%,0)</t>
  </si>
  <si>
    <t xml:space="preserve"> =+IF(C329="yes",AI329+AI329*0.05*Switch,AI329)+IF(D329="cumm",-1%,0)+IF(D329="debt",-0.5%,0)</t>
  </si>
  <si>
    <t xml:space="preserve"> =+IF(C330="yes",AI330+AI330*0.05*Switch,AI330)+IF(D330="cumm",-1%,0)+IF(D330="debt",-0.5%,0)</t>
  </si>
  <si>
    <t xml:space="preserve"> =+IF(C333="yes",AI333+AI333*0.05*Switch,AI333)+IF(D333="cumm",-1%,0)+IF(D333="debt",-0.5%,0)</t>
  </si>
  <si>
    <t xml:space="preserve"> =+IF(C337="yes",AI337+AI337*0.05*Switch,AI337)+IF(D337="cumm",-1%,0)+IF(D337="debt",-0.5%,0)</t>
  </si>
  <si>
    <t xml:space="preserve"> =+IF(C353="yes",AI353+AI353*0.05*Switch,AI353)+IF(D353="cumm",-1%,0)+IF(D353="debt",-0.5%,0)</t>
  </si>
  <si>
    <t xml:space="preserve"> =+IF(C355="yes",AI355+AI355*0.05*Switch,AI355)+IF(D355="cumm",-1%,0)+IF(D355="debt",-0.5%,0)</t>
  </si>
  <si>
    <t xml:space="preserve"> =+IF(C356="yes",AI356+AI356*0.05*Switch,AI356)+IF(D356="cumm",-1%,0)+IF(D356="debt",-0.5%,0)</t>
  </si>
  <si>
    <t xml:space="preserve"> =+IF(C347="yes",AI347+AI347*0.05*Switch,AI347)+IF(D347="cumm",-1%,0)+IF(D347="debt",-0.5%,0)</t>
  </si>
  <si>
    <t xml:space="preserve"> =+IF(C348="yes",AI348+AI348*0.05*Switch,AI348)+IF(D348="cumm",-1%,0)+IF(D348="debt",-0.5%,0)</t>
  </si>
  <si>
    <t xml:space="preserve"> =+IF(C349="yes",AI349+AI349*0.05*Switch,AI349)+IF(D349="cumm",-1%,0)+IF(D349="debt",-0.5%,0)</t>
  </si>
  <si>
    <t xml:space="preserve"> =+IF(C350="yes",AI350+AI350*0.05*Switch,AI350)+IF(D350="cumm",-1%,0)+IF(D350="debt",-0.5%,0)</t>
  </si>
  <si>
    <t xml:space="preserve"> =+IF(C378="yes",AI378+AI378*0.05*Switch,AI378)+IF(D378="cumm",-1%,0)+IF(D378="debt",-0.5%,0)</t>
  </si>
  <si>
    <t xml:space="preserve"> =+IF(C429="yes",AI429+AI429*0.05*Switch,AI429)+IF(D429="cumm",-1%,0)+IF(D429="debt",-0.5%,0)</t>
  </si>
  <si>
    <t xml:space="preserve"> =+IF(C466="yes",AI466+AI466*0.05*Switch,AI466)+IF(D466="cumm",-1%,0)+IF(D466="debt",-0.5%,0)</t>
  </si>
  <si>
    <t xml:space="preserve"> =+IF(C482="yes",AI482+AI482*0.05*Switch,AI482)+IF(D482="cumm",-1%,0)+IF(D482="debt",-0.5%,0)</t>
  </si>
  <si>
    <t xml:space="preserve"> =+IF(C30="yes",AI30+AI30*0.05*Switch,AI30)+IF(D30="cumm",-1%,0)+IF(D30="debt",-0.5%,0)</t>
  </si>
  <si>
    <t xml:space="preserve"> =+IF(C63="yes",AI63+AI63*0.05*Switch,AI63)+IF(E63="cumm",-0.25%,0)+IF(E63="debt",-0.75%,0)</t>
  </si>
  <si>
    <t xml:space="preserve"> =+IF(C64="yes",AI64+AI64*0.05*Switch,AI64)+IF(E64="cumm",-0.25%,0)+IF(E64="debt",-0.75%,0)</t>
  </si>
  <si>
    <t xml:space="preserve"> =+IF(C62="yes",AI62+AI62*0.05*Switch,AI62)+IF(D62="cumm",-1%,0)+IF(D62="debt",-0.5%,0)</t>
  </si>
  <si>
    <t xml:space="preserve"> =+IF(C171="yes",AI171+AI171*0.05*Switch,AI171)+IF(D171="cumm",-1%,0)+IF(D171="debt",-0.5%,0)</t>
  </si>
  <si>
    <t xml:space="preserve"> =+IF(C208="yes",AI208+AI208*0.05*Switch,AI208)+IF(D208="cumm",-1%,0)+IF(D208="debt",-0.5%,0)</t>
  </si>
  <si>
    <t xml:space="preserve"> =+IF(C209="yes",AI209+AI209*0.05*Switch,AI209)+IF(D209="cumm",-1%,0)+IF(D209="debt",-0.5%,0)</t>
  </si>
  <si>
    <t xml:space="preserve">Type</t>
  </si>
  <si>
    <t xml:space="preserve">Par (QOL)</t>
  </si>
  <si>
    <t xml:space="preserve">Coupon</t>
  </si>
  <si>
    <t xml:space="preserve">Ann Amt (QOL)</t>
  </si>
  <si>
    <t xml:space="preserve">Cur yld as shown</t>
  </si>
  <si>
    <t xml:space="preserve">Cur yld at QOL par</t>
  </si>
  <si>
    <t xml:space="preserve">Understated by</t>
  </si>
  <si>
    <t xml:space="preserve">Note</t>
  </si>
  <si>
    <t xml:space="preserve">PAR + AMOUNT</t>
  </si>
  <si>
    <t xml:space="preserve">workbook par understates the security - yield shown is too low</t>
  </si>
  <si>
    <t xml:space="preserve">PAR</t>
  </si>
  <si>
    <t xml:space="preserve">AMOUNT</t>
  </si>
  <si>
    <t xml:space="preserve">floater drift - workbook holds the old fixed coupon</t>
  </si>
  <si>
    <t xml:space="preserve">check against the prospectus</t>
  </si>
  <si>
    <t xml:space="preserve">QOL value looks like a decimal-shift artifact - verify</t>
  </si>
  <si>
    <t xml:space="preserve">Issues</t>
  </si>
  <si>
    <t xml:space="preserve">Issues w/ live price</t>
  </si>
  <si>
    <t xml:space="preserve">Cached Mkt Cap ($mm)</t>
  </si>
  <si>
    <t xml:space="preserve">Symbols</t>
  </si>
  <si>
    <t xml:space="preserve">Read</t>
  </si>
  <si>
    <t xml:space="preserve">TRTN-A, TRTN-B, TRTN-C, TRTN-D, TRTN-E</t>
  </si>
  <si>
    <t xml:space="preserve">PARENT SYMBOL LIKELY STALE - preferreds still quote</t>
  </si>
  <si>
    <t xml:space="preserve">GJH, UZD, UZE, UZF</t>
  </si>
  <si>
    <t xml:space="preserve">GLOP-A, GLOP-B, GLOP-C</t>
  </si>
  <si>
    <t xml:space="preserve">MET-A, MET-E, MET-F</t>
  </si>
  <si>
    <t xml:space="preserve">PRETL, PRETM, PRETN, PRIF-D, PRIF-F, PRIF-G, PRIF-H, PRIF-I, PRIF-J, PRIF-K, PRIF-L</t>
  </si>
  <si>
    <t xml:space="preserve">PSBXP, PSBYP, PSBZP</t>
  </si>
  <si>
    <t xml:space="preserve">SOHOB, SOHON, SOHOO</t>
  </si>
  <si>
    <t xml:space="preserve">MHNC, MHLA</t>
  </si>
  <si>
    <t xml:space="preserve">SEAL-A, SEAL-B</t>
  </si>
  <si>
    <t xml:space="preserve">CADE-A, CUTLF</t>
  </si>
  <si>
    <t xml:space="preserve">no live price anywhere - probably genuinely gone</t>
  </si>
  <si>
    <t xml:space="preserve">ATCO-D, ATCO-H, ATCO-I, ATCOL</t>
  </si>
  <si>
    <t xml:space="preserve">DSHKN, DSHKO, DSHKP</t>
  </si>
  <si>
    <t xml:space="preserve">ESGRO, ESGRP</t>
  </si>
  <si>
    <t xml:space="preserve">ET-C, ET-D, ET-E</t>
  </si>
  <si>
    <t xml:space="preserve">HT-C, HT-D, HT-E</t>
  </si>
  <si>
    <t xml:space="preserve">HTIA, HTIBP</t>
  </si>
  <si>
    <t xml:space="preserve">NM-G, NM-H</t>
  </si>
  <si>
    <t xml:space="preserve">NS-A, NS-B, NS-C, NSS</t>
  </si>
  <si>
    <t xml:space="preserve">NYCB-A, NYCB-U</t>
  </si>
  <si>
    <t xml:space="preserve">NYMTL, NYMTM, NYMTN, NYMTZ</t>
  </si>
  <si>
    <t xml:space="preserve">QRTEP, QVCD, QVCC</t>
  </si>
  <si>
    <t xml:space="preserve">SNV-D, SNV-E</t>
  </si>
  <si>
    <t xml:space="preserve">TEUCF, TPTA</t>
  </si>
  <si>
    <t xml:space="preserve">TNP-E, TNP-F</t>
  </si>
  <si>
    <t xml:space="preserve">XOMAO, XOMAP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</si>
</sst>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"/>
    <numFmt numFmtId="167" formatCode="#,##0"/>
    <numFmt numFmtId="168" formatCode="0.0%"/>
    <numFmt numFmtId="169" formatCode="\$#,##0.00"/>
    <numFmt numFmtId="170" formatCode="\+0.0%;\-0.0%;\-"/>
    <numFmt numFmtId="171" formatCode="\+0.00%;\-0.00%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C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404040"/>
      </patternFill>
    </fill>
    <fill>
      <patternFill patternType="solid">
        <fgColor rgb="FF7F7F7F"/>
        <bgColor rgb="FF969696"/>
      </patternFill>
    </fill>
    <fill>
      <patternFill patternType="solid">
        <fgColor rgb="FF2E5C8A"/>
        <bgColor rgb="FF595959"/>
      </patternFill>
    </fill>
    <fill>
      <patternFill patternType="solid">
        <fgColor rgb="FF2E7D5C"/>
        <bgColor rgb="FF008080"/>
      </patternFill>
    </fill>
    <fill>
      <patternFill patternType="solid">
        <fgColor rgb="FF7D6B2E"/>
        <bgColor rgb="FF595959"/>
      </patternFill>
    </fill>
    <fill>
      <patternFill patternType="solid">
        <fgColor rgb="FF7D3F2E"/>
        <bgColor rgb="FF993366"/>
      </patternFill>
    </fill>
    <fill>
      <patternFill patternType="solid">
        <fgColor rgb="FF5C2E7D"/>
        <bgColor rgb="FF404040"/>
      </patternFill>
    </fill>
    <fill>
      <patternFill patternType="solid">
        <fgColor rgb="FF000000"/>
        <bgColor rgb="FF003300"/>
      </patternFill>
    </fill>
    <fill>
      <patternFill patternType="solid">
        <fgColor rgb="FF404040"/>
        <bgColor rgb="FF1F3864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4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ECA92"/>
          <bgColor rgb="FF000000"/>
        </patternFill>
      </fill>
    </dxf>
    <dxf>
      <fill>
        <patternFill patternType="solid">
          <fgColor rgb="FF83CC96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9D5A9"/>
          <bgColor rgb="FF000000"/>
        </patternFill>
      </fill>
    </dxf>
    <dxf>
      <fill>
        <patternFill patternType="solid">
          <fgColor rgb="FF9BD6AB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1D8B0"/>
          <bgColor rgb="FF000000"/>
        </patternFill>
      </fill>
    </dxf>
    <dxf>
      <fill>
        <patternFill patternType="solid">
          <fgColor rgb="FFAADCB7"/>
          <bgColor rgb="FF000000"/>
        </patternFill>
      </fill>
    </dxf>
    <dxf>
      <fill>
        <patternFill patternType="solid">
          <fgColor rgb="FFABDCB8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AEDEBB"/>
          <bgColor rgb="FF000000"/>
        </patternFill>
      </fill>
    </dxf>
    <dxf>
      <fill>
        <patternFill patternType="solid">
          <fgColor rgb="FFAFDEBC"/>
          <bgColor rgb="FF000000"/>
        </patternFill>
      </fill>
    </dxf>
    <dxf>
      <fill>
        <patternFill patternType="solid">
          <fgColor rgb="FFB0DFBD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B3DFBE"/>
          <bgColor rgb="FF000000"/>
        </patternFill>
      </fill>
    </dxf>
    <dxf>
      <fill>
        <patternFill patternType="solid">
          <fgColor rgb="FFB4E0C0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5E1C1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7E1C2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BE3C6"/>
          <bgColor rgb="FF000000"/>
        </patternFill>
      </fill>
    </dxf>
    <dxf>
      <fill>
        <patternFill patternType="solid">
          <fgColor rgb="FFBFE4C9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C1E6CB"/>
          <bgColor rgb="FF000000"/>
        </patternFill>
      </fill>
    </dxf>
    <dxf>
      <fill>
        <patternFill patternType="solid">
          <fgColor rgb="FFC3E6CC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C4E7CE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6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8E8D1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AE9D3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AD4"/>
          <bgColor rgb="FF000000"/>
        </patternFill>
      </fill>
    </dxf>
    <dxf>
      <fill>
        <patternFill patternType="solid">
          <fgColor rgb="FFCDEAD5"/>
          <bgColor rgb="FF000000"/>
        </patternFill>
      </fill>
    </dxf>
    <dxf>
      <fill>
        <patternFill patternType="solid">
          <fgColor rgb="FFCDEBD5"/>
          <bgColor rgb="FF000000"/>
        </patternFill>
      </fill>
    </dxf>
    <dxf>
      <fill>
        <patternFill patternType="solid">
          <fgColor rgb="FFCEEBD5"/>
          <bgColor rgb="FF000000"/>
        </patternFill>
      </fill>
    </dxf>
    <dxf>
      <fill>
        <patternFill patternType="solid">
          <fgColor rgb="FFCEEBD6"/>
          <bgColor rgb="FF000000"/>
        </patternFill>
      </fill>
    </dxf>
    <dxf>
      <fill>
        <patternFill patternType="solid">
          <fgColor rgb="FFCFEBD6"/>
          <bgColor rgb="FF000000"/>
        </patternFill>
      </fill>
    </dxf>
    <dxf>
      <fill>
        <patternFill patternType="solid">
          <fgColor rgb="FFCFEBD7"/>
          <bgColor rgb="FF000000"/>
        </patternFill>
      </fill>
    </dxf>
    <dxf>
      <fill>
        <patternFill patternType="solid">
          <fgColor rgb="FFD0ECD8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D2ED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5EEDC"/>
          <bgColor rgb="FF000000"/>
        </patternFill>
      </fill>
    </dxf>
    <dxf>
      <fill>
        <patternFill patternType="solid">
          <fgColor rgb="FFD6EEDC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9F0DF"/>
          <bgColor rgb="FF000000"/>
        </patternFill>
      </fill>
    </dxf>
    <dxf>
      <fill>
        <patternFill patternType="solid">
          <fgColor rgb="FFDAF0DF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0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DF1E3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0F3E5"/>
          <bgColor rgb="FF000000"/>
        </patternFill>
      </fill>
    </dxf>
    <dxf>
      <fill>
        <patternFill patternType="solid">
          <fgColor rgb="FFE1F3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2F3E6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3F3E7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5F4E9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9F6EC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BF7EF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EFF9F1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5FBF7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9092"/>
          <bgColor rgb="FF000000"/>
        </patternFill>
      </fill>
    </dxf>
    <dxf>
      <fill>
        <patternFill patternType="solid">
          <fgColor rgb="FFFA9799"/>
          <bgColor rgb="FF000000"/>
        </patternFill>
      </fill>
    </dxf>
    <dxf>
      <fill>
        <patternFill patternType="solid">
          <fgColor rgb="FFFAA5A6"/>
          <bgColor rgb="FF000000"/>
        </patternFill>
      </fill>
    </dxf>
    <dxf>
      <fill>
        <patternFill patternType="solid">
          <fgColor rgb="FFFAA7A8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BB0B1"/>
          <bgColor rgb="FF000000"/>
        </patternFill>
      </fill>
    </dxf>
    <dxf>
      <fill>
        <patternFill patternType="solid">
          <fgColor rgb="FFFBB3B4"/>
          <bgColor rgb="FF000000"/>
        </patternFill>
      </fill>
    </dxf>
    <dxf>
      <fill>
        <patternFill patternType="solid">
          <fgColor rgb="FFFBB9BA"/>
          <bgColor rgb="FF000000"/>
        </patternFill>
      </fill>
    </dxf>
    <dxf>
      <fill>
        <patternFill patternType="solid">
          <fgColor rgb="FFFBBBBC"/>
          <bgColor rgb="FF000000"/>
        </patternFill>
      </fill>
    </dxf>
    <dxf>
      <fill>
        <patternFill patternType="solid">
          <fgColor rgb="FFFCBFC0"/>
          <bgColor rgb="FF000000"/>
        </patternFill>
      </fill>
    </dxf>
    <dxf>
      <fill>
        <patternFill patternType="solid">
          <fgColor rgb="FFFCC0C1"/>
          <bgColor rgb="FF000000"/>
        </patternFill>
      </fill>
    </dxf>
    <dxf>
      <fill>
        <patternFill patternType="solid">
          <fgColor rgb="FFFCC2C2"/>
          <bgColor rgb="FF000000"/>
        </patternFill>
      </fill>
    </dxf>
    <dxf>
      <fill>
        <patternFill patternType="solid">
          <fgColor rgb="FFFCC2C3"/>
          <bgColor rgb="FF000000"/>
        </patternFill>
      </fill>
    </dxf>
    <dxf>
      <fill>
        <patternFill patternType="solid">
          <fgColor rgb="FFFCC4C5"/>
          <bgColor rgb="FF000000"/>
        </patternFill>
      </fill>
    </dxf>
    <dxf>
      <fill>
        <patternFill patternType="solid">
          <fgColor rgb="FFFCC5C6"/>
          <bgColor rgb="FF000000"/>
        </patternFill>
      </fill>
    </dxf>
    <dxf>
      <fill>
        <patternFill patternType="solid">
          <fgColor rgb="FFFCC6C7"/>
          <bgColor rgb="FF000000"/>
        </patternFill>
      </fill>
    </dxf>
    <dxf>
      <fill>
        <patternFill patternType="solid">
          <fgColor rgb="FFFCC7C8"/>
          <bgColor rgb="FF000000"/>
        </patternFill>
      </fill>
    </dxf>
    <dxf>
      <fill>
        <patternFill patternType="solid">
          <fgColor rgb="FFFCC8C9"/>
          <bgColor rgb="FF000000"/>
        </patternFill>
      </fill>
    </dxf>
    <dxf>
      <fill>
        <patternFill patternType="solid">
          <fgColor rgb="FFFCCBCC"/>
          <bgColor rgb="FF000000"/>
        </patternFill>
      </fill>
    </dxf>
    <dxf>
      <fill>
        <patternFill patternType="solid">
          <fgColor rgb="FFFCCCCC"/>
          <bgColor rgb="FF000000"/>
        </patternFill>
      </fill>
    </dxf>
    <dxf>
      <fill>
        <patternFill patternType="solid">
          <fgColor rgb="FFFCCECE"/>
          <bgColor rgb="FF000000"/>
        </patternFill>
      </fill>
    </dxf>
    <dxf>
      <fill>
        <patternFill patternType="solid">
          <fgColor rgb="FFFCCECF"/>
          <bgColor rgb="FF000000"/>
        </patternFill>
      </fill>
    </dxf>
    <dxf>
      <fill>
        <patternFill patternType="solid">
          <fgColor rgb="FFFCCFD0"/>
          <bgColor rgb="FF000000"/>
        </patternFill>
      </fill>
    </dxf>
    <dxf>
      <fill>
        <patternFill patternType="solid">
          <fgColor rgb="FFFCD0D0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D5D6"/>
          <bgColor rgb="FF000000"/>
        </patternFill>
      </fill>
    </dxf>
    <dxf>
      <fill>
        <patternFill patternType="solid">
          <fgColor rgb="FFFDD9D9"/>
          <bgColor rgb="FF000000"/>
        </patternFill>
      </fill>
    </dxf>
    <dxf>
      <fill>
        <patternFill patternType="solid">
          <fgColor rgb="FFFDDEDE"/>
          <bgColor rgb="FF000000"/>
        </patternFill>
      </fill>
    </dxf>
    <dxf>
      <fill>
        <patternFill patternType="solid">
          <fgColor rgb="FFFDDFE0"/>
          <bgColor rgb="FF000000"/>
        </patternFill>
      </fill>
    </dxf>
    <dxf>
      <fill>
        <patternFill patternType="solid">
          <fgColor rgb="FFFDE0E0"/>
          <bgColor rgb="FF000000"/>
        </patternFill>
      </fill>
    </dxf>
    <dxf>
      <fill>
        <patternFill patternType="solid">
          <fgColor rgb="FFFDE1E1"/>
          <bgColor rgb="FF000000"/>
        </patternFill>
      </fill>
    </dxf>
    <dxf>
      <fill>
        <patternFill patternType="solid">
          <fgColor rgb="FFFDE1E2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DE2E3"/>
          <bgColor rgb="FF000000"/>
        </patternFill>
      </fill>
    </dxf>
    <dxf>
      <fill>
        <patternFill patternType="solid">
          <fgColor rgb="FFFDE3E3"/>
          <bgColor rgb="FF000000"/>
        </patternFill>
      </fill>
    </dxf>
    <dxf>
      <fill>
        <patternFill patternType="solid">
          <fgColor rgb="FFFDE3E4"/>
          <bgColor rgb="FF000000"/>
        </patternFill>
      </fill>
    </dxf>
    <dxf>
      <fill>
        <patternFill patternType="solid">
          <fgColor rgb="FFFDE4E4"/>
          <bgColor rgb="FF000000"/>
        </patternFill>
      </fill>
    </dxf>
    <dxf>
      <fill>
        <patternFill patternType="solid">
          <fgColor rgb="FFFDE5E5"/>
          <bgColor rgb="FF000000"/>
        </patternFill>
      </fill>
    </dxf>
    <dxf>
      <fill>
        <patternFill patternType="solid">
          <fgColor rgb="FFFDE5E6"/>
          <bgColor rgb="FF000000"/>
        </patternFill>
      </fill>
    </dxf>
    <dxf>
      <fill>
        <patternFill patternType="solid">
          <fgColor rgb="FFFDE6E6"/>
          <bgColor rgb="FF000000"/>
        </patternFill>
      </fill>
    </dxf>
    <dxf>
      <fill>
        <patternFill patternType="solid">
          <fgColor rgb="FFFDE6E7"/>
          <bgColor rgb="FF000000"/>
        </patternFill>
      </fill>
    </dxf>
    <dxf>
      <fill>
        <patternFill patternType="solid">
          <fgColor rgb="FFFDE7E7"/>
          <bgColor rgb="FF000000"/>
        </patternFill>
      </fill>
    </dxf>
    <dxf>
      <fill>
        <patternFill patternType="solid">
          <fgColor rgb="FFFDE7E8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EECEC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B2E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2E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5C"/>
      <rgbColor rgb="FF003300"/>
      <rgbColor rgb="FF333300"/>
      <rgbColor rgb="FF7D3F2E"/>
      <rgbColor rgb="FF993366"/>
      <rgbColor rgb="FF5C2E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24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3" t="s">
        <v>25</v>
      </c>
    </row>
    <row r="35" customFormat="false" ht="15" hidden="false" customHeight="false" outlineLevel="0" collapsed="false">
      <c r="A35" s="2" t="s">
        <v>26</v>
      </c>
    </row>
    <row r="36" customFormat="false" ht="15" hidden="false" customHeight="false" outlineLevel="0" collapsed="false">
      <c r="A36" s="2" t="s">
        <v>27</v>
      </c>
    </row>
    <row r="37" customFormat="false" ht="15" hidden="false" customHeight="false" outlineLevel="0" collapsed="false">
      <c r="A37" s="2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3" t="s">
        <v>30</v>
      </c>
    </row>
    <row r="41" customFormat="false" ht="15" hidden="false" customHeight="false" outlineLevel="0" collapsed="false">
      <c r="A41" s="2" t="s">
        <v>31</v>
      </c>
    </row>
    <row r="42" customFormat="false" ht="15" hidden="false" customHeight="false" outlineLevel="0" collapsed="false">
      <c r="A42" s="2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2" t="s">
        <v>34</v>
      </c>
    </row>
    <row r="45" customFormat="false" ht="15" hidden="false" customHeight="false" outlineLevel="0" collapsed="false">
      <c r="A45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4" t="s">
        <v>36</v>
      </c>
    </row>
    <row r="2" customFormat="false" ht="15" hidden="false" customHeight="false" outlineLevel="0" collapsed="false">
      <c r="A2" s="5" t="s">
        <v>37</v>
      </c>
    </row>
    <row r="4" customFormat="false" ht="15" hidden="false" customHeight="false" outlineLevel="0" collapsed="false">
      <c r="A4" s="6" t="s">
        <v>38</v>
      </c>
      <c r="B4" s="7"/>
      <c r="C4" s="7"/>
      <c r="D4" s="7"/>
    </row>
    <row r="5" customFormat="false" ht="15" hidden="false" customHeight="false" outlineLevel="0" collapsed="false">
      <c r="A5" s="8" t="s">
        <v>39</v>
      </c>
      <c r="B5" s="9" t="n">
        <v>0.04</v>
      </c>
      <c r="D5" s="10" t="s">
        <v>40</v>
      </c>
    </row>
    <row r="6" customFormat="false" ht="15" hidden="false" customHeight="false" outlineLevel="0" collapsed="false">
      <c r="A6" s="8" t="s">
        <v>41</v>
      </c>
      <c r="B6" s="11"/>
      <c r="C6" s="12" t="s">
        <v>42</v>
      </c>
      <c r="D6" s="10" t="s">
        <v>43</v>
      </c>
    </row>
    <row r="8" customFormat="false" ht="15" hidden="false" customHeight="false" outlineLevel="0" collapsed="false">
      <c r="A8" s="6" t="s">
        <v>44</v>
      </c>
      <c r="B8" s="7"/>
      <c r="C8" s="7"/>
      <c r="D8" s="7"/>
    </row>
    <row r="9" customFormat="false" ht="15" hidden="false" customHeight="false" outlineLevel="0" collapsed="false">
      <c r="A9" s="8" t="s">
        <v>45</v>
      </c>
      <c r="B9" s="11" t="n">
        <v>-1</v>
      </c>
      <c r="D9" s="10" t="s">
        <v>46</v>
      </c>
    </row>
    <row r="10" customFormat="false" ht="15" hidden="false" customHeight="false" outlineLevel="0" collapsed="false">
      <c r="A10" s="8" t="s">
        <v>47</v>
      </c>
      <c r="B10" s="9" t="n">
        <v>0.05</v>
      </c>
      <c r="D10" s="10" t="s">
        <v>48</v>
      </c>
    </row>
    <row r="12" customFormat="false" ht="15" hidden="false" customHeight="false" outlineLevel="0" collapsed="false">
      <c r="A12" s="8" t="s">
        <v>49</v>
      </c>
      <c r="B12" s="11"/>
      <c r="D12" s="10" t="s">
        <v>50</v>
      </c>
    </row>
    <row r="13" customFormat="false" ht="15" hidden="false" customHeight="false" outlineLevel="0" collapsed="false">
      <c r="A13" s="8" t="s">
        <v>51</v>
      </c>
      <c r="B13" s="9" t="n">
        <v>0</v>
      </c>
    </row>
    <row r="14" customFormat="false" ht="15" hidden="false" customHeight="false" outlineLevel="0" collapsed="false">
      <c r="A14" s="8" t="s">
        <v>52</v>
      </c>
      <c r="B14" s="9" t="n">
        <v>-0.005</v>
      </c>
      <c r="D14" s="10" t="s">
        <v>53</v>
      </c>
    </row>
    <row r="15" customFormat="false" ht="15" hidden="false" customHeight="false" outlineLevel="0" collapsed="false">
      <c r="A15" s="8" t="s">
        <v>54</v>
      </c>
      <c r="B15" s="9" t="n">
        <v>-0.005</v>
      </c>
      <c r="D15" s="10" t="s">
        <v>55</v>
      </c>
    </row>
    <row r="17" customFormat="false" ht="15" hidden="false" customHeight="false" outlineLevel="0" collapsed="false">
      <c r="A17" s="8" t="s">
        <v>56</v>
      </c>
      <c r="B17" s="11"/>
      <c r="D17" s="10" t="s">
        <v>57</v>
      </c>
    </row>
    <row r="18" customFormat="false" ht="15" hidden="false" customHeight="false" outlineLevel="0" collapsed="false">
      <c r="A18" s="8" t="s">
        <v>58</v>
      </c>
      <c r="B18" s="9" t="n">
        <v>0</v>
      </c>
    </row>
    <row r="19" customFormat="false" ht="15" hidden="false" customHeight="false" outlineLevel="0" collapsed="false">
      <c r="A19" s="8" t="s">
        <v>59</v>
      </c>
      <c r="B19" s="9" t="n">
        <v>0</v>
      </c>
    </row>
    <row r="20" customFormat="false" ht="15" hidden="false" customHeight="false" outlineLevel="0" collapsed="false">
      <c r="A20" s="8" t="s">
        <v>60</v>
      </c>
      <c r="B20" s="9" t="n">
        <v>0</v>
      </c>
    </row>
    <row r="21" customFormat="false" ht="15" hidden="false" customHeight="false" outlineLevel="0" collapsed="false">
      <c r="A21" s="8" t="s">
        <v>61</v>
      </c>
      <c r="B21" s="9" t="n">
        <v>0</v>
      </c>
    </row>
    <row r="22" customFormat="false" ht="15" hidden="false" customHeight="false" outlineLevel="0" collapsed="false">
      <c r="A22" s="8" t="s">
        <v>62</v>
      </c>
      <c r="B22" s="9" t="n">
        <v>0</v>
      </c>
    </row>
    <row r="23" customFormat="false" ht="15" hidden="false" customHeight="false" outlineLevel="0" collapsed="false">
      <c r="A23" s="8" t="s">
        <v>63</v>
      </c>
      <c r="B23" s="9" t="n">
        <v>0</v>
      </c>
    </row>
    <row r="24" customFormat="false" ht="15" hidden="false" customHeight="false" outlineLevel="0" collapsed="false">
      <c r="A24" s="8" t="s">
        <v>64</v>
      </c>
      <c r="B24" s="9" t="n">
        <v>0</v>
      </c>
    </row>
    <row r="26" customFormat="false" ht="15" hidden="false" customHeight="false" outlineLevel="0" collapsed="false">
      <c r="A26" s="6" t="s">
        <v>65</v>
      </c>
      <c r="B26" s="7"/>
      <c r="C26" s="7"/>
      <c r="D26" s="7"/>
    </row>
    <row r="27" customFormat="false" ht="22.35" hidden="false" customHeight="false" outlineLevel="0" collapsed="false">
      <c r="A27" s="13" t="s">
        <v>66</v>
      </c>
      <c r="B27" s="13" t="s">
        <v>67</v>
      </c>
      <c r="C27" s="13"/>
      <c r="D27" s="13" t="s">
        <v>68</v>
      </c>
    </row>
    <row r="28" customFormat="false" ht="15" hidden="false" customHeight="false" outlineLevel="0" collapsed="false">
      <c r="A28" s="14" t="n">
        <v>250</v>
      </c>
      <c r="B28" s="15" t="n">
        <v>0.1</v>
      </c>
    </row>
    <row r="29" customFormat="false" ht="15" hidden="false" customHeight="false" outlineLevel="0" collapsed="false">
      <c r="A29" s="14" t="n">
        <v>1000</v>
      </c>
      <c r="B29" s="15" t="n">
        <v>0.09</v>
      </c>
    </row>
    <row r="30" customFormat="false" ht="15" hidden="false" customHeight="false" outlineLevel="0" collapsed="false">
      <c r="A30" s="14" t="n">
        <v>5000</v>
      </c>
      <c r="B30" s="15" t="n">
        <v>0.085</v>
      </c>
    </row>
    <row r="31" customFormat="false" ht="15" hidden="false" customHeight="false" outlineLevel="0" collapsed="false">
      <c r="A31" s="14" t="n">
        <v>20000</v>
      </c>
      <c r="B31" s="15" t="n">
        <v>0.08</v>
      </c>
    </row>
    <row r="32" customFormat="false" ht="15" hidden="false" customHeight="false" outlineLevel="0" collapsed="false">
      <c r="A32" s="14" t="n">
        <v>99999999</v>
      </c>
      <c r="B32" s="15" t="n">
        <v>0.075</v>
      </c>
    </row>
    <row r="34" customFormat="false" ht="15" hidden="false" customHeight="false" outlineLevel="0" collapsed="false">
      <c r="A34" s="16" t="s">
        <v>69</v>
      </c>
    </row>
    <row r="35" customFormat="false" ht="15" hidden="false" customHeight="false" outlineLevel="0" collapsed="false">
      <c r="A35" s="17" t="s">
        <v>70</v>
      </c>
    </row>
    <row r="36" customFormat="false" ht="15" hidden="false" customHeight="false" outlineLevel="0" collapsed="false">
      <c r="A36" s="17" t="s">
        <v>71</v>
      </c>
    </row>
    <row r="37" customFormat="false" ht="15" hidden="false" customHeight="false" outlineLevel="0" collapsed="false">
      <c r="A37" s="17" t="s">
        <v>72</v>
      </c>
    </row>
    <row r="38" customFormat="false" ht="15" hidden="false" customHeight="false" outlineLevel="0" collapsed="false">
      <c r="A38" s="17" t="s">
        <v>73</v>
      </c>
    </row>
    <row r="39" customFormat="false" ht="15" hidden="false" customHeight="false" outlineLevel="0" collapsed="false">
      <c r="A39" s="17" t="s">
        <v>74</v>
      </c>
    </row>
    <row r="40" customFormat="false" ht="15" hidden="false" customHeight="false" outlineLevel="0" collapsed="false">
      <c r="A40" s="1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5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20" min="18" style="0" width="8"/>
    <col collapsed="false" customWidth="true" hidden="false" outlineLevel="0" max="21" min="21" style="0" width="9"/>
    <col collapsed="false" customWidth="true" hidden="false" outlineLevel="0" max="25" min="22" style="0" width="8"/>
    <col collapsed="false" customWidth="true" hidden="false" outlineLevel="0" max="27" min="26" style="0" width="9"/>
    <col collapsed="false" customWidth="true" hidden="false" outlineLevel="0" max="30" min="28" style="0" width="8"/>
    <col collapsed="false" customWidth="true" hidden="false" outlineLevel="0" max="32" min="31" style="0" width="9"/>
    <col collapsed="false" customWidth="true" hidden="false" outlineLevel="0" max="33" min="33" style="0" width="10"/>
    <col collapsed="false" customWidth="true" hidden="false" outlineLevel="0" max="35" min="34" style="0" width="8"/>
    <col collapsed="false" customWidth="true" hidden="false" outlineLevel="0" max="37" min="36" style="0" width="9"/>
    <col collapsed="false" customWidth="true" hidden="false" outlineLevel="0" max="38" min="38" style="0" width="10"/>
    <col collapsed="false" customWidth="true" hidden="false" outlineLevel="0" max="39" min="39" style="0" width="11"/>
    <col collapsed="false" customWidth="true" hidden="false" outlineLevel="0" max="40" min="40" style="0" width="9"/>
    <col collapsed="false" customWidth="true" hidden="false" outlineLevel="0" max="43" min="41" style="0" width="8"/>
    <col collapsed="false" customWidth="true" hidden="false" outlineLevel="0" max="45" min="44" style="0" width="9"/>
    <col collapsed="false" customWidth="true" hidden="false" outlineLevel="0" max="46" min="46" style="0" width="8"/>
    <col collapsed="false" customWidth="true" hidden="false" outlineLevel="0" max="47" min="47" style="0" width="9"/>
    <col collapsed="false" customWidth="true" hidden="false" outlineLevel="0" max="48" min="48" style="0" width="8"/>
    <col collapsed="false" customWidth="true" hidden="false" outlineLevel="0" max="49" min="49" style="0" width="9"/>
    <col collapsed="false" customWidth="true" hidden="false" outlineLevel="0" max="52" min="50" style="0" width="8"/>
    <col collapsed="false" customWidth="true" hidden="false" outlineLevel="0" max="54" min="53" style="0" width="9"/>
    <col collapsed="false" customWidth="true" hidden="false" outlineLevel="0" max="55" min="55" style="0" width="10"/>
    <col collapsed="false" customWidth="true" hidden="false" outlineLevel="0" max="56" min="56" style="0" width="34"/>
  </cols>
  <sheetData>
    <row r="1" customFormat="false" ht="15" hidden="false" customHeight="false" outlineLevel="0" collapsed="false">
      <c r="A1" s="18" t="s">
        <v>76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 t="s">
        <v>77</v>
      </c>
      <c r="S1" s="19"/>
      <c r="T1" s="19"/>
      <c r="U1" s="19"/>
      <c r="V1" s="20" t="s">
        <v>78</v>
      </c>
      <c r="W1" s="20"/>
      <c r="X1" s="20"/>
      <c r="Y1" s="20"/>
      <c r="Z1" s="20"/>
      <c r="AA1" s="20"/>
      <c r="AB1" s="21" t="s">
        <v>79</v>
      </c>
      <c r="AC1" s="21"/>
      <c r="AD1" s="21"/>
      <c r="AE1" s="21"/>
      <c r="AF1" s="21"/>
      <c r="AG1" s="22" t="s">
        <v>80</v>
      </c>
      <c r="AH1" s="22"/>
      <c r="AI1" s="22"/>
      <c r="AJ1" s="22"/>
      <c r="AK1" s="22"/>
      <c r="AL1" s="23" t="s">
        <v>81</v>
      </c>
      <c r="AM1" s="23"/>
      <c r="AN1" s="23"/>
      <c r="AO1" s="23"/>
      <c r="AP1" s="23"/>
      <c r="AQ1" s="23"/>
      <c r="AR1" s="23"/>
      <c r="AS1" s="23"/>
      <c r="AT1" s="24" t="s">
        <v>82</v>
      </c>
      <c r="AU1" s="24"/>
      <c r="AV1" s="24"/>
      <c r="AW1" s="24"/>
      <c r="AX1" s="24"/>
      <c r="AY1" s="24"/>
      <c r="AZ1" s="24"/>
      <c r="BA1" s="24"/>
      <c r="BB1" s="24"/>
      <c r="BC1" s="25" t="s">
        <v>83</v>
      </c>
      <c r="BD1" s="25"/>
    </row>
    <row r="2" customFormat="false" ht="30" hidden="false" customHeight="true" outlineLevel="0" collapsed="false">
      <c r="A2" s="26" t="s">
        <v>84</v>
      </c>
      <c r="B2" s="26" t="s">
        <v>85</v>
      </c>
      <c r="C2" s="26" t="s">
        <v>86</v>
      </c>
      <c r="D2" s="26" t="s">
        <v>87</v>
      </c>
      <c r="E2" s="26" t="s">
        <v>88</v>
      </c>
      <c r="F2" s="26" t="s">
        <v>89</v>
      </c>
      <c r="G2" s="26" t="s">
        <v>90</v>
      </c>
      <c r="H2" s="26" t="s">
        <v>91</v>
      </c>
      <c r="I2" s="26" t="s">
        <v>92</v>
      </c>
      <c r="J2" s="26" t="s">
        <v>93</v>
      </c>
      <c r="K2" s="26" t="s">
        <v>94</v>
      </c>
      <c r="L2" s="26" t="s">
        <v>95</v>
      </c>
      <c r="M2" s="26" t="s">
        <v>96</v>
      </c>
      <c r="N2" s="26" t="s">
        <v>97</v>
      </c>
      <c r="O2" s="26" t="s">
        <v>98</v>
      </c>
      <c r="P2" s="26" t="s">
        <v>99</v>
      </c>
      <c r="Q2" s="26" t="s">
        <v>100</v>
      </c>
      <c r="R2" s="26" t="s">
        <v>101</v>
      </c>
      <c r="S2" s="26" t="s">
        <v>102</v>
      </c>
      <c r="T2" s="26" t="s">
        <v>103</v>
      </c>
      <c r="U2" s="26" t="s">
        <v>104</v>
      </c>
      <c r="V2" s="26" t="s">
        <v>105</v>
      </c>
      <c r="W2" s="26" t="s">
        <v>106</v>
      </c>
      <c r="X2" s="26" t="s">
        <v>107</v>
      </c>
      <c r="Y2" s="26" t="s">
        <v>108</v>
      </c>
      <c r="Z2" s="26" t="s">
        <v>109</v>
      </c>
      <c r="AA2" s="26" t="s">
        <v>110</v>
      </c>
      <c r="AB2" s="26" t="s">
        <v>111</v>
      </c>
      <c r="AC2" s="26" t="s">
        <v>112</v>
      </c>
      <c r="AD2" s="26" t="s">
        <v>113</v>
      </c>
      <c r="AE2" s="26" t="s">
        <v>114</v>
      </c>
      <c r="AF2" s="26" t="s">
        <v>115</v>
      </c>
      <c r="AG2" s="26" t="s">
        <v>116</v>
      </c>
      <c r="AH2" s="26" t="s">
        <v>117</v>
      </c>
      <c r="AI2" s="26" t="s">
        <v>118</v>
      </c>
      <c r="AJ2" s="26" t="s">
        <v>119</v>
      </c>
      <c r="AK2" s="26" t="s">
        <v>120</v>
      </c>
      <c r="AL2" s="26" t="s">
        <v>121</v>
      </c>
      <c r="AM2" s="26" t="s">
        <v>122</v>
      </c>
      <c r="AN2" s="26" t="s">
        <v>123</v>
      </c>
      <c r="AO2" s="26" t="s">
        <v>124</v>
      </c>
      <c r="AP2" s="26" t="s">
        <v>125</v>
      </c>
      <c r="AQ2" s="26" t="s">
        <v>126</v>
      </c>
      <c r="AR2" s="26" t="s">
        <v>127</v>
      </c>
      <c r="AS2" s="26" t="s">
        <v>128</v>
      </c>
      <c r="AT2" s="26" t="s">
        <v>129</v>
      </c>
      <c r="AU2" s="26" t="s">
        <v>130</v>
      </c>
      <c r="AV2" s="26" t="s">
        <v>131</v>
      </c>
      <c r="AW2" s="26" t="s">
        <v>132</v>
      </c>
      <c r="AX2" s="26" t="s">
        <v>133</v>
      </c>
      <c r="AY2" s="26" t="s">
        <v>134</v>
      </c>
      <c r="AZ2" s="26" t="s">
        <v>135</v>
      </c>
      <c r="BA2" s="26" t="s">
        <v>136</v>
      </c>
      <c r="BB2" s="26" t="s">
        <v>137</v>
      </c>
      <c r="BC2" s="26" t="s">
        <v>138</v>
      </c>
      <c r="BD2" s="26" t="s">
        <v>139</v>
      </c>
    </row>
    <row r="3" customFormat="false" ht="15" hidden="false" customHeight="false" outlineLevel="0" collapsed="false">
      <c r="A3" s="2" t="s">
        <v>140</v>
      </c>
      <c r="B3" s="2" t="n">
        <v>7</v>
      </c>
      <c r="C3" s="2" t="s">
        <v>141</v>
      </c>
      <c r="D3" s="2" t="s">
        <v>142</v>
      </c>
      <c r="E3" s="2" t="s">
        <v>143</v>
      </c>
      <c r="F3" s="27"/>
      <c r="G3" s="2" t="s">
        <v>51</v>
      </c>
      <c r="H3" s="2" t="s">
        <v>58</v>
      </c>
      <c r="I3" s="2" t="s">
        <v>144</v>
      </c>
      <c r="J3" s="2" t="s">
        <v>145</v>
      </c>
      <c r="K3" s="2" t="n">
        <v>4</v>
      </c>
      <c r="L3" s="28" t="n">
        <v>25</v>
      </c>
      <c r="M3" s="29" t="n">
        <v>0.06</v>
      </c>
      <c r="N3" s="28" t="n">
        <v>1.5</v>
      </c>
      <c r="O3" s="28" t="n">
        <v>0</v>
      </c>
      <c r="P3" s="2" t="s">
        <v>146</v>
      </c>
      <c r="Q3" s="29" t="n">
        <v>0</v>
      </c>
      <c r="R3" s="30" t="n">
        <v>0</v>
      </c>
      <c r="S3" s="31"/>
      <c r="T3" s="30"/>
      <c r="U3" s="30"/>
      <c r="V3" s="29" t="n">
        <v>0</v>
      </c>
      <c r="W3" s="29" t="str">
        <f aca="false">IF(N(Q3)=0,"",Q3+IF(I3="yes",Q3*Inputs!$B$10*Inputs!$B$9,0)+V3)</f>
        <v/>
      </c>
      <c r="X3" s="28" t="str">
        <f aca="false">IF(OR(N(W3)&lt;=0,N(N3)=0,N(L3)=0),"",MIN(L3,N3/W3))</f>
        <v/>
      </c>
      <c r="Y3" s="29" t="str">
        <f aca="false">IF(OR(X3="",N(O3)=0),"",X3/O3-1)</f>
        <v/>
      </c>
      <c r="Z3" s="29" t="str">
        <f aca="false">IF(OR(Y3="",N(O3)=0),"",Y3+N3/O3)</f>
        <v/>
      </c>
      <c r="AA3" s="32" t="str">
        <f aca="false">IF(OR(Z3="",N(U3)=0),"",Z3-U3)</f>
        <v/>
      </c>
      <c r="AB3" s="29" t="str">
        <f aca="false">IF(N(Q3)=0,"",Q3+IF(I3="yes",Q3*Inputs!$B$10*Inputs!$B$9,0)+IFERROR(INDEX(Inputs!$B$13:$B$15,MATCH(G3,Inputs!$A$13:$A$15,0)),0)+IFERROR(INDEX(Inputs!$B$18:$B$24,MATCH(H3,Inputs!$A$18:$A$24,0)),0))</f>
        <v/>
      </c>
      <c r="AC3" s="28" t="str">
        <f aca="false">IF(OR(N(AB3)&lt;=0,N(N3)=0,N(L3)=0),"",MIN(L3,N3/AB3))</f>
        <v/>
      </c>
      <c r="AD3" s="29" t="str">
        <f aca="false">IF(OR(AC3="",N(O3)=0),"",AC3/O3-1)</f>
        <v/>
      </c>
      <c r="AE3" s="29" t="str">
        <f aca="false">IF(OR(AD3="",N(O3)=0),"",AD3+N3/O3)</f>
        <v/>
      </c>
      <c r="AF3" s="32" t="str">
        <f aca="false">IF(OR(AE3="",N(Z3)=0),"",AE3-Z3)</f>
        <v/>
      </c>
      <c r="AG3" s="28" t="n">
        <f aca="false">IF(AND(N(M3)&gt;0,N(L3)&gt;0),M3*L3,N3)</f>
        <v>1.5</v>
      </c>
      <c r="AH3" s="28" t="str">
        <f aca="false">IF(OR(N(AB3)&lt;=0,N(AG3)=0,N(L3)=0),"",MIN(L3,AG3/AB3))</f>
        <v/>
      </c>
      <c r="AI3" s="29" t="str">
        <f aca="false">IF(OR(AH3="",N(O3)=0),"",AH3/O3-1)</f>
        <v/>
      </c>
      <c r="AJ3" s="29" t="str">
        <f aca="false">IF(OR(AI3="",N(O3)=0),"",AI3+AG3/O3)</f>
        <v/>
      </c>
      <c r="AK3" s="32" t="str">
        <f aca="false">IF(OR(AJ3="",N(AE3)=0),"",AJ3-AE3)</f>
        <v/>
      </c>
      <c r="AL3" s="33" t="str">
        <f aca="false">IF(N(F3)=0,"",INDEX(Inputs!$B$28:$B$32,IFERROR(MATCH(F3,Inputs!$A$28:$A$32,1),0)+1))</f>
        <v/>
      </c>
      <c r="AM3" s="34"/>
      <c r="AN3" s="33" t="str">
        <f aca="false">IF(N(AM3)&gt;0,AM3,AL3)</f>
        <v/>
      </c>
      <c r="AO3" s="29" t="str">
        <f aca="false">IF(N(AN3)=0,"",AN3+IF(I3="yes",AN3*Inputs!$B$10*Inputs!$B$9,0)+IFERROR(INDEX(Inputs!$B$13:$B$15,MATCH(G3,Inputs!$A$13:$A$15,0)),0)+IFERROR(INDEX(Inputs!$B$18:$B$24,MATCH(H3,Inputs!$A$18:$A$24,0)),0))</f>
        <v/>
      </c>
      <c r="AP3" s="28" t="str">
        <f aca="false">IF(OR(N(AO3)&lt;=0,N(AG3)=0,N(L3)=0),"",MIN(L3,AG3/AO3))</f>
        <v/>
      </c>
      <c r="AQ3" s="29" t="str">
        <f aca="false">IF(OR(AP3="",N(O3)=0),"",AP3/O3-1)</f>
        <v/>
      </c>
      <c r="AR3" s="29" t="str">
        <f aca="false">IF(OR(AQ3="",N(O3)=0),"",AQ3+AG3/O3)</f>
        <v/>
      </c>
      <c r="AS3" s="32" t="str">
        <f aca="false">IF(OR(AR3="",N(AJ3)=0),"",AR3-AJ3)</f>
        <v/>
      </c>
      <c r="AT3" s="28"/>
      <c r="AU3" s="28"/>
      <c r="AV3" s="28" t="n">
        <f aca="false">IF(N(AT3)&gt;0,AT3,L3)</f>
        <v>25</v>
      </c>
      <c r="AW3" s="28" t="n">
        <f aca="false">IF(AND(N(M3)&gt;0,N(AV3)&gt;0),M3*AV3,IF(N(AU3)&gt;0,AU3,N3))</f>
        <v>1.5</v>
      </c>
      <c r="AX3" s="29" t="str">
        <f aca="false">IF(N(AN3)=0,"",AN3+IF(I3="yes",AN3*Inputs!$B$10*Inputs!$B$9,0)+IFERROR(INDEX(Inputs!$B$13:$B$15,MATCH(G3,Inputs!$A$13:$A$15,0)),0)+IFERROR(INDEX(Inputs!$B$18:$B$24,MATCH(H3,Inputs!$A$18:$A$24,0)),0))</f>
        <v/>
      </c>
      <c r="AY3" s="28" t="str">
        <f aca="false">IF(OR(N(AX3)&lt;=0,N(AW3)=0,N(AV3)=0),"",MIN(AV3,AW3/AX3))</f>
        <v/>
      </c>
      <c r="AZ3" s="29" t="str">
        <f aca="false">IF(OR(AY3="",N(O3)=0),"",AY3/O3-1)</f>
        <v/>
      </c>
      <c r="BA3" s="29" t="str">
        <f aca="false">IF(OR(AZ3="",N(O3)=0),"",AZ3+AW3/O3)</f>
        <v/>
      </c>
      <c r="BB3" s="32" t="str">
        <f aca="false">IF(OR(BA3="",N(AR3)=0),"",BA3-AR3)</f>
        <v/>
      </c>
      <c r="BC3" s="35" t="str">
        <f aca="false">IF(OR(BA3="",N(U3)=0),"",BA3-U3)</f>
        <v/>
      </c>
      <c r="BD3" s="36" t="s">
        <v>147</v>
      </c>
    </row>
    <row r="4" customFormat="false" ht="15" hidden="false" customHeight="false" outlineLevel="0" collapsed="false">
      <c r="A4" s="2" t="s">
        <v>140</v>
      </c>
      <c r="B4" s="2" t="n">
        <v>11</v>
      </c>
      <c r="C4" s="2" t="s">
        <v>148</v>
      </c>
      <c r="D4" s="2" t="s">
        <v>149</v>
      </c>
      <c r="E4" s="2" t="s">
        <v>150</v>
      </c>
      <c r="F4" s="27" t="n">
        <v>637</v>
      </c>
      <c r="G4" s="2" t="s">
        <v>51</v>
      </c>
      <c r="H4" s="2" t="s">
        <v>58</v>
      </c>
      <c r="I4" s="2" t="s">
        <v>151</v>
      </c>
      <c r="J4" s="2" t="s">
        <v>145</v>
      </c>
      <c r="K4" s="2" t="n">
        <v>4</v>
      </c>
      <c r="L4" s="28" t="n">
        <v>25</v>
      </c>
      <c r="M4" s="29" t="n">
        <v>0.0525</v>
      </c>
      <c r="N4" s="28" t="n">
        <v>1.3125</v>
      </c>
      <c r="O4" s="28" t="n">
        <v>19.36</v>
      </c>
      <c r="P4" s="2" t="s">
        <v>146</v>
      </c>
      <c r="Q4" s="29" t="n">
        <v>0.1</v>
      </c>
      <c r="R4" s="30" t="n">
        <v>0.095</v>
      </c>
      <c r="S4" s="31" t="n">
        <v>13.8157894736842</v>
      </c>
      <c r="T4" s="30" t="n">
        <v>-0.286374510656807</v>
      </c>
      <c r="U4" s="30" t="n">
        <v>-0.218580089169204</v>
      </c>
      <c r="V4" s="29" t="n">
        <v>0</v>
      </c>
      <c r="W4" s="29" t="n">
        <f aca="false">IF(N(Q4)=0,"",Q4+IF(I4="yes",Q4*Inputs!$B$10*Inputs!$B$9,0)+V4)</f>
        <v>0.095</v>
      </c>
      <c r="X4" s="28" t="n">
        <f aca="false">IF(OR(N(W4)&lt;=0,N(N4)=0,N(L4)=0),"",MIN(L4,N4/W4))</f>
        <v>13.8157894736842</v>
      </c>
      <c r="Y4" s="29" t="n">
        <f aca="false">IF(OR(X4="",N(O4)=0),"",X4/O4-1)</f>
        <v>-0.286374510656807</v>
      </c>
      <c r="Z4" s="29" t="n">
        <f aca="false">IF(OR(Y4="",N(O4)=0),"",Y4+N4/O4)</f>
        <v>-0.218580089169204</v>
      </c>
      <c r="AA4" s="32" t="n">
        <f aca="false">IF(OR(Z4="",N(U4)=0),"",Z4-U4)</f>
        <v>0</v>
      </c>
      <c r="AB4" s="29" t="n">
        <f aca="false">IF(N(Q4)=0,"",Q4+IF(I4="yes",Q4*Inputs!$B$10*Inputs!$B$9,0)+IFERROR(INDEX(Inputs!$B$13:$B$15,MATCH(G4,Inputs!$A$13:$A$15,0)),0)+IFERROR(INDEX(Inputs!$B$18:$B$24,MATCH(H4,Inputs!$A$18:$A$24,0)),0))</f>
        <v>0.095</v>
      </c>
      <c r="AC4" s="28" t="n">
        <f aca="false">IF(OR(N(AB4)&lt;=0,N(N4)=0,N(L4)=0),"",MIN(L4,N4/AB4))</f>
        <v>13.8157894736842</v>
      </c>
      <c r="AD4" s="29" t="n">
        <f aca="false">IF(OR(AC4="",N(O4)=0),"",AC4/O4-1)</f>
        <v>-0.286374510656807</v>
      </c>
      <c r="AE4" s="29" t="n">
        <f aca="false">IF(OR(AD4="",N(O4)=0),"",AD4+N4/O4)</f>
        <v>-0.218580089169204</v>
      </c>
      <c r="AF4" s="32" t="n">
        <f aca="false">IF(OR(AE4="",N(Z4)=0),"",AE4-Z4)</f>
        <v>0</v>
      </c>
      <c r="AG4" s="28" t="n">
        <f aca="false">IF(AND(N(M4)&gt;0,N(L4)&gt;0),M4*L4,N4)</f>
        <v>1.3125</v>
      </c>
      <c r="AH4" s="28" t="n">
        <f aca="false">IF(OR(N(AB4)&lt;=0,N(AG4)=0,N(L4)=0),"",MIN(L4,AG4/AB4))</f>
        <v>13.8157894736842</v>
      </c>
      <c r="AI4" s="29" t="n">
        <f aca="false">IF(OR(AH4="",N(O4)=0),"",AH4/O4-1)</f>
        <v>-0.286374510656807</v>
      </c>
      <c r="AJ4" s="29" t="n">
        <f aca="false">IF(OR(AI4="",N(O4)=0),"",AI4+AG4/O4)</f>
        <v>-0.218580089169204</v>
      </c>
      <c r="AK4" s="32" t="n">
        <f aca="false">IF(OR(AJ4="",N(AE4)=0),"",AJ4-AE4)</f>
        <v>0</v>
      </c>
      <c r="AL4" s="33" t="n">
        <f aca="false">IF(N(F4)=0,"",INDEX(Inputs!$B$28:$B$32,IFERROR(MATCH(F4,Inputs!$A$28:$A$32,1),0)+1))</f>
        <v>0.09</v>
      </c>
      <c r="AM4" s="34"/>
      <c r="AN4" s="33" t="n">
        <f aca="false">IF(N(AM4)&gt;0,AM4,AL4)</f>
        <v>0.09</v>
      </c>
      <c r="AO4" s="29" t="n">
        <f aca="false">IF(N(AN4)=0,"",AN4+IF(I4="yes",AN4*Inputs!$B$10*Inputs!$B$9,0)+IFERROR(INDEX(Inputs!$B$13:$B$15,MATCH(G4,Inputs!$A$13:$A$15,0)),0)+IFERROR(INDEX(Inputs!$B$18:$B$24,MATCH(H4,Inputs!$A$18:$A$24,0)),0))</f>
        <v>0.0855</v>
      </c>
      <c r="AP4" s="28" t="n">
        <f aca="false">IF(OR(N(AO4)&lt;=0,N(AG4)=0,N(L4)=0),"",MIN(L4,AG4/AO4))</f>
        <v>15.3508771929825</v>
      </c>
      <c r="AQ4" s="29" t="n">
        <f aca="false">IF(OR(AP4="",N(O4)=0),"",AP4/O4-1)</f>
        <v>-0.207082789618675</v>
      </c>
      <c r="AR4" s="29" t="n">
        <f aca="false">IF(OR(AQ4="",N(O4)=0),"",AQ4+AG4/O4)</f>
        <v>-0.139288368131071</v>
      </c>
      <c r="AS4" s="32" t="n">
        <f aca="false">IF(OR(AR4="",N(AJ4)=0),"",AR4-AJ4)</f>
        <v>0.0792917210381327</v>
      </c>
      <c r="AT4" s="28" t="n">
        <v>25</v>
      </c>
      <c r="AU4" s="28" t="n">
        <v>1.3125</v>
      </c>
      <c r="AV4" s="28" t="n">
        <f aca="false">IF(N(AT4)&gt;0,AT4,L4)</f>
        <v>25</v>
      </c>
      <c r="AW4" s="28" t="n">
        <f aca="false">IF(AND(N(M4)&gt;0,N(AV4)&gt;0),M4*AV4,IF(N(AU4)&gt;0,AU4,N4))</f>
        <v>1.3125</v>
      </c>
      <c r="AX4" s="29" t="n">
        <f aca="false">IF(N(AN4)=0,"",AN4+IF(I4="yes",AN4*Inputs!$B$10*Inputs!$B$9,0)+IFERROR(INDEX(Inputs!$B$13:$B$15,MATCH(G4,Inputs!$A$13:$A$15,0)),0)+IFERROR(INDEX(Inputs!$B$18:$B$24,MATCH(H4,Inputs!$A$18:$A$24,0)),0))</f>
        <v>0.0855</v>
      </c>
      <c r="AY4" s="28" t="n">
        <f aca="false">IF(OR(N(AX4)&lt;=0,N(AW4)=0,N(AV4)=0),"",MIN(AV4,AW4/AX4))</f>
        <v>15.3508771929825</v>
      </c>
      <c r="AZ4" s="29" t="n">
        <f aca="false">IF(OR(AY4="",N(O4)=0),"",AY4/O4-1)</f>
        <v>-0.207082789618675</v>
      </c>
      <c r="BA4" s="29" t="n">
        <f aca="false">IF(OR(AZ4="",N(O4)=0),"",AZ4+AW4/O4)</f>
        <v>-0.139288368131071</v>
      </c>
      <c r="BB4" s="32" t="n">
        <f aca="false">IF(OR(BA4="",N(AR4)=0),"",BA4-AR4)</f>
        <v>0</v>
      </c>
      <c r="BC4" s="35" t="n">
        <f aca="false">IF(OR(BA4="",N(U4)=0),"",BA4-U4)</f>
        <v>0.0792917210381327</v>
      </c>
      <c r="BD4" s="37"/>
    </row>
    <row r="5" customFormat="false" ht="15" hidden="false" customHeight="false" outlineLevel="0" collapsed="false">
      <c r="A5" s="2" t="s">
        <v>140</v>
      </c>
      <c r="B5" s="2" t="n">
        <v>15</v>
      </c>
      <c r="C5" s="2" t="s">
        <v>152</v>
      </c>
      <c r="D5" s="2" t="s">
        <v>153</v>
      </c>
      <c r="E5" s="2" t="s">
        <v>154</v>
      </c>
      <c r="F5" s="27" t="n">
        <v>104</v>
      </c>
      <c r="G5" s="2" t="s">
        <v>51</v>
      </c>
      <c r="H5" s="2" t="s">
        <v>58</v>
      </c>
      <c r="I5" s="2" t="s">
        <v>151</v>
      </c>
      <c r="J5" s="2" t="s">
        <v>145</v>
      </c>
      <c r="K5" s="2" t="n">
        <v>4</v>
      </c>
      <c r="L5" s="28" t="n">
        <v>25</v>
      </c>
      <c r="M5" s="29" t="n">
        <v>0.08625</v>
      </c>
      <c r="N5" s="28" t="n">
        <v>2.15625</v>
      </c>
      <c r="O5" s="28" t="n">
        <v>23.89</v>
      </c>
      <c r="P5" s="2" t="s">
        <v>146</v>
      </c>
      <c r="Q5" s="29" t="n">
        <v>0.09</v>
      </c>
      <c r="R5" s="30" t="n">
        <v>0.0855</v>
      </c>
      <c r="S5" s="31" t="n">
        <v>25</v>
      </c>
      <c r="T5" s="30" t="n">
        <v>0.0464629552113856</v>
      </c>
      <c r="U5" s="30" t="n">
        <v>0.136720385098368</v>
      </c>
      <c r="V5" s="29" t="n">
        <v>0</v>
      </c>
      <c r="W5" s="29" t="n">
        <f aca="false">IF(N(Q5)=0,"",Q5+IF(I5="yes",Q5*Inputs!$B$10*Inputs!$B$9,0)+V5)</f>
        <v>0.0855</v>
      </c>
      <c r="X5" s="28" t="n">
        <f aca="false">IF(OR(N(W5)&lt;=0,N(N5)=0,N(L5)=0),"",MIN(L5,N5/W5))</f>
        <v>25</v>
      </c>
      <c r="Y5" s="29" t="n">
        <f aca="false">IF(OR(X5="",N(O5)=0),"",X5/O5-1)</f>
        <v>0.0464629552113856</v>
      </c>
      <c r="Z5" s="29" t="n">
        <f aca="false">IF(OR(Y5="",N(O5)=0),"",Y5+N5/O5)</f>
        <v>0.136720385098368</v>
      </c>
      <c r="AA5" s="32" t="n">
        <f aca="false">IF(OR(Z5="",N(U5)=0),"",Z5-U5)</f>
        <v>0</v>
      </c>
      <c r="AB5" s="29" t="n">
        <f aca="false">IF(N(Q5)=0,"",Q5+IF(I5="yes",Q5*Inputs!$B$10*Inputs!$B$9,0)+IFERROR(INDEX(Inputs!$B$13:$B$15,MATCH(G5,Inputs!$A$13:$A$15,0)),0)+IFERROR(INDEX(Inputs!$B$18:$B$24,MATCH(H5,Inputs!$A$18:$A$24,0)),0))</f>
        <v>0.0855</v>
      </c>
      <c r="AC5" s="28" t="n">
        <f aca="false">IF(OR(N(AB5)&lt;=0,N(N5)=0,N(L5)=0),"",MIN(L5,N5/AB5))</f>
        <v>25</v>
      </c>
      <c r="AD5" s="29" t="n">
        <f aca="false">IF(OR(AC5="",N(O5)=0),"",AC5/O5-1)</f>
        <v>0.0464629552113856</v>
      </c>
      <c r="AE5" s="29" t="n">
        <f aca="false">IF(OR(AD5="",N(O5)=0),"",AD5+N5/O5)</f>
        <v>0.136720385098368</v>
      </c>
      <c r="AF5" s="32" t="n">
        <f aca="false">IF(OR(AE5="",N(Z5)=0),"",AE5-Z5)</f>
        <v>0</v>
      </c>
      <c r="AG5" s="28" t="n">
        <f aca="false">IF(AND(N(M5)&gt;0,N(L5)&gt;0),M5*L5,N5)</f>
        <v>2.15625</v>
      </c>
      <c r="AH5" s="28" t="n">
        <f aca="false">IF(OR(N(AB5)&lt;=0,N(AG5)=0,N(L5)=0),"",MIN(L5,AG5/AB5))</f>
        <v>25</v>
      </c>
      <c r="AI5" s="29" t="n">
        <f aca="false">IF(OR(AH5="",N(O5)=0),"",AH5/O5-1)</f>
        <v>0.0464629552113856</v>
      </c>
      <c r="AJ5" s="29" t="n">
        <f aca="false">IF(OR(AI5="",N(O5)=0),"",AI5+AG5/O5)</f>
        <v>0.136720385098368</v>
      </c>
      <c r="AK5" s="32" t="n">
        <f aca="false">IF(OR(AJ5="",N(AE5)=0),"",AJ5-AE5)</f>
        <v>0</v>
      </c>
      <c r="AL5" s="33" t="n">
        <f aca="false">IF(N(F5)=0,"",INDEX(Inputs!$B$28:$B$32,IFERROR(MATCH(F5,Inputs!$A$28:$A$32,1),0)+1))</f>
        <v>0.1</v>
      </c>
      <c r="AM5" s="34"/>
      <c r="AN5" s="33" t="n">
        <f aca="false">IF(N(AM5)&gt;0,AM5,AL5)</f>
        <v>0.1</v>
      </c>
      <c r="AO5" s="29" t="n">
        <f aca="false">IF(N(AN5)=0,"",AN5+IF(I5="yes",AN5*Inputs!$B$10*Inputs!$B$9,0)+IFERROR(INDEX(Inputs!$B$13:$B$15,MATCH(G5,Inputs!$A$13:$A$15,0)),0)+IFERROR(INDEX(Inputs!$B$18:$B$24,MATCH(H5,Inputs!$A$18:$A$24,0)),0))</f>
        <v>0.095</v>
      </c>
      <c r="AP5" s="28" t="n">
        <f aca="false">IF(OR(N(AO5)&lt;=0,N(AG5)=0,N(L5)=0),"",MIN(L5,AG5/AO5))</f>
        <v>22.6973684210526</v>
      </c>
      <c r="AQ5" s="29" t="n">
        <f aca="false">IF(OR(AP5="",N(O5)=0),"",AP5/O5-1)</f>
        <v>-0.0499217906633475</v>
      </c>
      <c r="AR5" s="29" t="n">
        <f aca="false">IF(OR(AQ5="",N(O5)=0),"",AQ5+AG5/O5)</f>
        <v>0.0403356392236346</v>
      </c>
      <c r="AS5" s="32" t="n">
        <f aca="false">IF(OR(AR5="",N(AJ5)=0),"",AR5-AJ5)</f>
        <v>-0.096384745874733</v>
      </c>
      <c r="AT5" s="28" t="n">
        <v>25</v>
      </c>
      <c r="AU5" s="28" t="n">
        <v>2.16</v>
      </c>
      <c r="AV5" s="28" t="n">
        <f aca="false">IF(N(AT5)&gt;0,AT5,L5)</f>
        <v>25</v>
      </c>
      <c r="AW5" s="28" t="n">
        <f aca="false">IF(AND(N(M5)&gt;0,N(AV5)&gt;0),M5*AV5,IF(N(AU5)&gt;0,AU5,N5))</f>
        <v>2.15625</v>
      </c>
      <c r="AX5" s="29" t="n">
        <f aca="false">IF(N(AN5)=0,"",AN5+IF(I5="yes",AN5*Inputs!$B$10*Inputs!$B$9,0)+IFERROR(INDEX(Inputs!$B$13:$B$15,MATCH(G5,Inputs!$A$13:$A$15,0)),0)+IFERROR(INDEX(Inputs!$B$18:$B$24,MATCH(H5,Inputs!$A$18:$A$24,0)),0))</f>
        <v>0.095</v>
      </c>
      <c r="AY5" s="28" t="n">
        <f aca="false">IF(OR(N(AX5)&lt;=0,N(AW5)=0,N(AV5)=0),"",MIN(AV5,AW5/AX5))</f>
        <v>22.6973684210526</v>
      </c>
      <c r="AZ5" s="29" t="n">
        <f aca="false">IF(OR(AY5="",N(O5)=0),"",AY5/O5-1)</f>
        <v>-0.0499217906633475</v>
      </c>
      <c r="BA5" s="29" t="n">
        <f aca="false">IF(OR(AZ5="",N(O5)=0),"",AZ5+AW5/O5)</f>
        <v>0.0403356392236346</v>
      </c>
      <c r="BB5" s="32" t="n">
        <f aca="false">IF(OR(BA5="",N(AR5)=0),"",BA5-AR5)</f>
        <v>0</v>
      </c>
      <c r="BC5" s="35" t="n">
        <f aca="false">IF(OR(BA5="",N(U5)=0),"",BA5-U5)</f>
        <v>-0.096384745874733</v>
      </c>
      <c r="BD5" s="37"/>
    </row>
    <row r="6" customFormat="false" ht="15" hidden="false" customHeight="false" outlineLevel="0" collapsed="false">
      <c r="A6" s="2" t="s">
        <v>140</v>
      </c>
      <c r="B6" s="2" t="n">
        <v>16</v>
      </c>
      <c r="C6" s="2" t="s">
        <v>155</v>
      </c>
      <c r="D6" s="2" t="s">
        <v>153</v>
      </c>
      <c r="E6" s="2" t="s">
        <v>154</v>
      </c>
      <c r="F6" s="27" t="n">
        <v>104</v>
      </c>
      <c r="G6" s="2" t="s">
        <v>51</v>
      </c>
      <c r="H6" s="2" t="s">
        <v>58</v>
      </c>
      <c r="I6" s="2" t="s">
        <v>151</v>
      </c>
      <c r="J6" s="2" t="s">
        <v>145</v>
      </c>
      <c r="K6" s="2" t="n">
        <v>4</v>
      </c>
      <c r="L6" s="28" t="n">
        <v>25</v>
      </c>
      <c r="M6" s="29" t="n">
        <v>0.07875</v>
      </c>
      <c r="N6" s="28" t="n">
        <v>1.96875</v>
      </c>
      <c r="O6" s="28" t="n">
        <v>20.85</v>
      </c>
      <c r="P6" s="2" t="s">
        <v>146</v>
      </c>
      <c r="Q6" s="29" t="n">
        <v>0.09</v>
      </c>
      <c r="R6" s="30" t="n">
        <v>0.0855</v>
      </c>
      <c r="S6" s="31" t="n">
        <v>23.0263157894737</v>
      </c>
      <c r="T6" s="30" t="n">
        <v>0.1043796541714</v>
      </c>
      <c r="U6" s="30" t="n">
        <v>0.198804114603054</v>
      </c>
      <c r="V6" s="29" t="n">
        <v>0</v>
      </c>
      <c r="W6" s="29" t="n">
        <f aca="false">IF(N(Q6)=0,"",Q6+IF(I6="yes",Q6*Inputs!$B$10*Inputs!$B$9,0)+V6)</f>
        <v>0.0855</v>
      </c>
      <c r="X6" s="28" t="n">
        <f aca="false">IF(OR(N(W6)&lt;=0,N(N6)=0,N(L6)=0),"",MIN(L6,N6/W6))</f>
        <v>23.0263157894737</v>
      </c>
      <c r="Y6" s="29" t="n">
        <f aca="false">IF(OR(X6="",N(O6)=0),"",X6/O6-1)</f>
        <v>0.1043796541714</v>
      </c>
      <c r="Z6" s="29" t="n">
        <f aca="false">IF(OR(Y6="",N(O6)=0),"",Y6+N6/O6)</f>
        <v>0.198804114603054</v>
      </c>
      <c r="AA6" s="32" t="n">
        <f aca="false">IF(OR(Z6="",N(U6)=0),"",Z6-U6)</f>
        <v>0</v>
      </c>
      <c r="AB6" s="29" t="n">
        <f aca="false">IF(N(Q6)=0,"",Q6+IF(I6="yes",Q6*Inputs!$B$10*Inputs!$B$9,0)+IFERROR(INDEX(Inputs!$B$13:$B$15,MATCH(G6,Inputs!$A$13:$A$15,0)),0)+IFERROR(INDEX(Inputs!$B$18:$B$24,MATCH(H6,Inputs!$A$18:$A$24,0)),0))</f>
        <v>0.0855</v>
      </c>
      <c r="AC6" s="28" t="n">
        <f aca="false">IF(OR(N(AB6)&lt;=0,N(N6)=0,N(L6)=0),"",MIN(L6,N6/AB6))</f>
        <v>23.0263157894737</v>
      </c>
      <c r="AD6" s="29" t="n">
        <f aca="false">IF(OR(AC6="",N(O6)=0),"",AC6/O6-1)</f>
        <v>0.1043796541714</v>
      </c>
      <c r="AE6" s="29" t="n">
        <f aca="false">IF(OR(AD6="",N(O6)=0),"",AD6+N6/O6)</f>
        <v>0.198804114603054</v>
      </c>
      <c r="AF6" s="32" t="n">
        <f aca="false">IF(OR(AE6="",N(Z6)=0),"",AE6-Z6)</f>
        <v>0</v>
      </c>
      <c r="AG6" s="28" t="n">
        <f aca="false">IF(AND(N(M6)&gt;0,N(L6)&gt;0),M6*L6,N6)</f>
        <v>1.96875</v>
      </c>
      <c r="AH6" s="28" t="n">
        <f aca="false">IF(OR(N(AB6)&lt;=0,N(AG6)=0,N(L6)=0),"",MIN(L6,AG6/AB6))</f>
        <v>23.0263157894737</v>
      </c>
      <c r="AI6" s="29" t="n">
        <f aca="false">IF(OR(AH6="",N(O6)=0),"",AH6/O6-1)</f>
        <v>0.1043796541714</v>
      </c>
      <c r="AJ6" s="29" t="n">
        <f aca="false">IF(OR(AI6="",N(O6)=0),"",AI6+AG6/O6)</f>
        <v>0.198804114603054</v>
      </c>
      <c r="AK6" s="32" t="n">
        <f aca="false">IF(OR(AJ6="",N(AE6)=0),"",AJ6-AE6)</f>
        <v>0</v>
      </c>
      <c r="AL6" s="33" t="n">
        <f aca="false">IF(N(F6)=0,"",INDEX(Inputs!$B$28:$B$32,IFERROR(MATCH(F6,Inputs!$A$28:$A$32,1),0)+1))</f>
        <v>0.1</v>
      </c>
      <c r="AM6" s="34"/>
      <c r="AN6" s="33" t="n">
        <f aca="false">IF(N(AM6)&gt;0,AM6,AL6)</f>
        <v>0.1</v>
      </c>
      <c r="AO6" s="29" t="n">
        <f aca="false">IF(N(AN6)=0,"",AN6+IF(I6="yes",AN6*Inputs!$B$10*Inputs!$B$9,0)+IFERROR(INDEX(Inputs!$B$13:$B$15,MATCH(G6,Inputs!$A$13:$A$15,0)),0)+IFERROR(INDEX(Inputs!$B$18:$B$24,MATCH(H6,Inputs!$A$18:$A$24,0)),0))</f>
        <v>0.095</v>
      </c>
      <c r="AP6" s="28" t="n">
        <f aca="false">IF(OR(N(AO6)&lt;=0,N(AG6)=0,N(L6)=0),"",MIN(L6,AG6/AO6))</f>
        <v>20.7236842105263</v>
      </c>
      <c r="AQ6" s="29" t="n">
        <f aca="false">IF(OR(AP6="",N(O6)=0),"",AP6/O6-1)</f>
        <v>-0.0060583112457403</v>
      </c>
      <c r="AR6" s="29" t="n">
        <f aca="false">IF(OR(AQ6="",N(O6)=0),"",AQ6+AG6/O6)</f>
        <v>0.0883661491859144</v>
      </c>
      <c r="AS6" s="32" t="n">
        <f aca="false">IF(OR(AR6="",N(AJ6)=0),"",AR6-AJ6)</f>
        <v>-0.11043796541714</v>
      </c>
      <c r="AT6" s="28" t="n">
        <v>25</v>
      </c>
      <c r="AU6" s="28" t="n">
        <v>1.96875</v>
      </c>
      <c r="AV6" s="28" t="n">
        <f aca="false">IF(N(AT6)&gt;0,AT6,L6)</f>
        <v>25</v>
      </c>
      <c r="AW6" s="28" t="n">
        <f aca="false">IF(AND(N(M6)&gt;0,N(AV6)&gt;0),M6*AV6,IF(N(AU6)&gt;0,AU6,N6))</f>
        <v>1.96875</v>
      </c>
      <c r="AX6" s="29" t="n">
        <f aca="false">IF(N(AN6)=0,"",AN6+IF(I6="yes",AN6*Inputs!$B$10*Inputs!$B$9,0)+IFERROR(INDEX(Inputs!$B$13:$B$15,MATCH(G6,Inputs!$A$13:$A$15,0)),0)+IFERROR(INDEX(Inputs!$B$18:$B$24,MATCH(H6,Inputs!$A$18:$A$24,0)),0))</f>
        <v>0.095</v>
      </c>
      <c r="AY6" s="28" t="n">
        <f aca="false">IF(OR(N(AX6)&lt;=0,N(AW6)=0,N(AV6)=0),"",MIN(AV6,AW6/AX6))</f>
        <v>20.7236842105263</v>
      </c>
      <c r="AZ6" s="29" t="n">
        <f aca="false">IF(OR(AY6="",N(O6)=0),"",AY6/O6-1)</f>
        <v>-0.0060583112457403</v>
      </c>
      <c r="BA6" s="29" t="n">
        <f aca="false">IF(OR(AZ6="",N(O6)=0),"",AZ6+AW6/O6)</f>
        <v>0.0883661491859144</v>
      </c>
      <c r="BB6" s="32" t="n">
        <f aca="false">IF(OR(BA6="",N(AR6)=0),"",BA6-AR6)</f>
        <v>0</v>
      </c>
      <c r="BC6" s="35" t="n">
        <f aca="false">IF(OR(BA6="",N(U6)=0),"",BA6-U6)</f>
        <v>-0.11043796541714</v>
      </c>
      <c r="BD6" s="37"/>
    </row>
    <row r="7" customFormat="false" ht="15" hidden="false" customHeight="false" outlineLevel="0" collapsed="false">
      <c r="A7" s="2" t="s">
        <v>140</v>
      </c>
      <c r="B7" s="2" t="n">
        <v>19</v>
      </c>
      <c r="C7" s="2" t="s">
        <v>156</v>
      </c>
      <c r="D7" s="2" t="s">
        <v>157</v>
      </c>
      <c r="E7" s="2" t="s">
        <v>158</v>
      </c>
      <c r="F7" s="27" t="n">
        <v>966</v>
      </c>
      <c r="G7" s="2" t="s">
        <v>51</v>
      </c>
      <c r="H7" s="2" t="s">
        <v>58</v>
      </c>
      <c r="I7" s="2" t="s">
        <v>144</v>
      </c>
      <c r="J7" s="2" t="s">
        <v>145</v>
      </c>
      <c r="K7" s="2" t="n">
        <v>4</v>
      </c>
      <c r="L7" s="28" t="n">
        <v>25</v>
      </c>
      <c r="M7" s="29" t="n">
        <v>0.06375</v>
      </c>
      <c r="N7" s="28" t="n">
        <v>1.59375</v>
      </c>
      <c r="O7" s="28" t="n">
        <v>15.94</v>
      </c>
      <c r="P7" s="2" t="s">
        <v>146</v>
      </c>
      <c r="Q7" s="29" t="n">
        <v>0.1</v>
      </c>
      <c r="R7" s="30" t="n">
        <v>0.1</v>
      </c>
      <c r="S7" s="31" t="n">
        <v>15.9375</v>
      </c>
      <c r="T7" s="30" t="n">
        <v>-0.000156838143036353</v>
      </c>
      <c r="U7" s="30" t="n">
        <v>0.09982747804266</v>
      </c>
      <c r="V7" s="29" t="n">
        <v>0</v>
      </c>
      <c r="W7" s="29" t="n">
        <f aca="false">IF(N(Q7)=0,"",Q7+IF(I7="yes",Q7*Inputs!$B$10*Inputs!$B$9,0)+V7)</f>
        <v>0.1</v>
      </c>
      <c r="X7" s="28" t="n">
        <f aca="false">IF(OR(N(W7)&lt;=0,N(N7)=0,N(L7)=0),"",MIN(L7,N7/W7))</f>
        <v>15.9375</v>
      </c>
      <c r="Y7" s="29" t="n">
        <f aca="false">IF(OR(X7="",N(O7)=0),"",X7/O7-1)</f>
        <v>-0.000156838143036353</v>
      </c>
      <c r="Z7" s="29" t="n">
        <f aca="false">IF(OR(Y7="",N(O7)=0),"",Y7+N7/O7)</f>
        <v>0.09982747804266</v>
      </c>
      <c r="AA7" s="32" t="n">
        <f aca="false">IF(OR(Z7="",N(U7)=0),"",Z7-U7)</f>
        <v>0</v>
      </c>
      <c r="AB7" s="29" t="n">
        <f aca="false">IF(N(Q7)=0,"",Q7+IF(I7="yes",Q7*Inputs!$B$10*Inputs!$B$9,0)+IFERROR(INDEX(Inputs!$B$13:$B$15,MATCH(G7,Inputs!$A$13:$A$15,0)),0)+IFERROR(INDEX(Inputs!$B$18:$B$24,MATCH(H7,Inputs!$A$18:$A$24,0)),0))</f>
        <v>0.1</v>
      </c>
      <c r="AC7" s="28" t="n">
        <f aca="false">IF(OR(N(AB7)&lt;=0,N(N7)=0,N(L7)=0),"",MIN(L7,N7/AB7))</f>
        <v>15.9375</v>
      </c>
      <c r="AD7" s="29" t="n">
        <f aca="false">IF(OR(AC7="",N(O7)=0),"",AC7/O7-1)</f>
        <v>-0.000156838143036353</v>
      </c>
      <c r="AE7" s="29" t="n">
        <f aca="false">IF(OR(AD7="",N(O7)=0),"",AD7+N7/O7)</f>
        <v>0.09982747804266</v>
      </c>
      <c r="AF7" s="32" t="n">
        <f aca="false">IF(OR(AE7="",N(Z7)=0),"",AE7-Z7)</f>
        <v>0</v>
      </c>
      <c r="AG7" s="28" t="n">
        <f aca="false">IF(AND(N(M7)&gt;0,N(L7)&gt;0),M7*L7,N7)</f>
        <v>1.59375</v>
      </c>
      <c r="AH7" s="28" t="n">
        <f aca="false">IF(OR(N(AB7)&lt;=0,N(AG7)=0,N(L7)=0),"",MIN(L7,AG7/AB7))</f>
        <v>15.9375</v>
      </c>
      <c r="AI7" s="29" t="n">
        <f aca="false">IF(OR(AH7="",N(O7)=0),"",AH7/O7-1)</f>
        <v>-0.000156838143036353</v>
      </c>
      <c r="AJ7" s="29" t="n">
        <f aca="false">IF(OR(AI7="",N(O7)=0),"",AI7+AG7/O7)</f>
        <v>0.09982747804266</v>
      </c>
      <c r="AK7" s="32" t="n">
        <f aca="false">IF(OR(AJ7="",N(AE7)=0),"",AJ7-AE7)</f>
        <v>0</v>
      </c>
      <c r="AL7" s="33" t="n">
        <f aca="false">IF(N(F7)=0,"",INDEX(Inputs!$B$28:$B$32,IFERROR(MATCH(F7,Inputs!$A$28:$A$32,1),0)+1))</f>
        <v>0.09</v>
      </c>
      <c r="AM7" s="34"/>
      <c r="AN7" s="33" t="n">
        <f aca="false">IF(N(AM7)&gt;0,AM7,AL7)</f>
        <v>0.09</v>
      </c>
      <c r="AO7" s="29" t="n">
        <f aca="false">IF(N(AN7)=0,"",AN7+IF(I7="yes",AN7*Inputs!$B$10*Inputs!$B$9,0)+IFERROR(INDEX(Inputs!$B$13:$B$15,MATCH(G7,Inputs!$A$13:$A$15,0)),0)+IFERROR(INDEX(Inputs!$B$18:$B$24,MATCH(H7,Inputs!$A$18:$A$24,0)),0))</f>
        <v>0.09</v>
      </c>
      <c r="AP7" s="28" t="n">
        <f aca="false">IF(OR(N(AO7)&lt;=0,N(AG7)=0,N(L7)=0),"",MIN(L7,AG7/AO7))</f>
        <v>17.7083333333333</v>
      </c>
      <c r="AQ7" s="29" t="n">
        <f aca="false">IF(OR(AP7="",N(O7)=0),"",AP7/O7-1)</f>
        <v>0.110936846507738</v>
      </c>
      <c r="AR7" s="29" t="n">
        <f aca="false">IF(OR(AQ7="",N(O7)=0),"",AQ7+AG7/O7)</f>
        <v>0.210921162693434</v>
      </c>
      <c r="AS7" s="32" t="n">
        <f aca="false">IF(OR(AR7="",N(AJ7)=0),"",AR7-AJ7)</f>
        <v>0.111093684650774</v>
      </c>
      <c r="AT7" s="28" t="n">
        <v>25</v>
      </c>
      <c r="AU7" s="28" t="n">
        <v>1.59375</v>
      </c>
      <c r="AV7" s="28" t="n">
        <f aca="false">IF(N(AT7)&gt;0,AT7,L7)</f>
        <v>25</v>
      </c>
      <c r="AW7" s="28" t="n">
        <f aca="false">IF(AND(N(M7)&gt;0,N(AV7)&gt;0),M7*AV7,IF(N(AU7)&gt;0,AU7,N7))</f>
        <v>1.59375</v>
      </c>
      <c r="AX7" s="29" t="n">
        <f aca="false">IF(N(AN7)=0,"",AN7+IF(I7="yes",AN7*Inputs!$B$10*Inputs!$B$9,0)+IFERROR(INDEX(Inputs!$B$13:$B$15,MATCH(G7,Inputs!$A$13:$A$15,0)),0)+IFERROR(INDEX(Inputs!$B$18:$B$24,MATCH(H7,Inputs!$A$18:$A$24,0)),0))</f>
        <v>0.09</v>
      </c>
      <c r="AY7" s="28" t="n">
        <f aca="false">IF(OR(N(AX7)&lt;=0,N(AW7)=0,N(AV7)=0),"",MIN(AV7,AW7/AX7))</f>
        <v>17.7083333333333</v>
      </c>
      <c r="AZ7" s="29" t="n">
        <f aca="false">IF(OR(AY7="",N(O7)=0),"",AY7/O7-1)</f>
        <v>0.110936846507738</v>
      </c>
      <c r="BA7" s="29" t="n">
        <f aca="false">IF(OR(AZ7="",N(O7)=0),"",AZ7+AW7/O7)</f>
        <v>0.210921162693434</v>
      </c>
      <c r="BB7" s="32" t="n">
        <f aca="false">IF(OR(BA7="",N(AR7)=0),"",BA7-AR7)</f>
        <v>0</v>
      </c>
      <c r="BC7" s="35" t="n">
        <f aca="false">IF(OR(BA7="",N(U7)=0),"",BA7-U7)</f>
        <v>0.111093684650774</v>
      </c>
      <c r="BD7" s="37"/>
    </row>
    <row r="8" customFormat="false" ht="15" hidden="false" customHeight="false" outlineLevel="0" collapsed="false">
      <c r="A8" s="2" t="s">
        <v>140</v>
      </c>
      <c r="B8" s="2" t="n">
        <v>20</v>
      </c>
      <c r="C8" s="2" t="s">
        <v>159</v>
      </c>
      <c r="D8" s="2" t="s">
        <v>157</v>
      </c>
      <c r="E8" s="2" t="s">
        <v>158</v>
      </c>
      <c r="F8" s="27" t="n">
        <v>966</v>
      </c>
      <c r="G8" s="2" t="s">
        <v>51</v>
      </c>
      <c r="H8" s="2" t="s">
        <v>58</v>
      </c>
      <c r="I8" s="2" t="s">
        <v>144</v>
      </c>
      <c r="J8" s="2" t="s">
        <v>145</v>
      </c>
      <c r="K8" s="2" t="n">
        <v>4</v>
      </c>
      <c r="L8" s="28" t="n">
        <v>25</v>
      </c>
      <c r="M8" s="29" t="n">
        <v>0.0625</v>
      </c>
      <c r="N8" s="28" t="n">
        <v>1.5625</v>
      </c>
      <c r="O8" s="28" t="n">
        <v>15.75</v>
      </c>
      <c r="P8" s="2" t="s">
        <v>146</v>
      </c>
      <c r="Q8" s="29" t="n">
        <v>0.1</v>
      </c>
      <c r="R8" s="30" t="n">
        <v>0.1</v>
      </c>
      <c r="S8" s="31" t="n">
        <v>15.625</v>
      </c>
      <c r="T8" s="30" t="n">
        <v>-0.00793650793650791</v>
      </c>
      <c r="U8" s="30" t="n">
        <v>0.0912698412698413</v>
      </c>
      <c r="V8" s="29" t="n">
        <v>0</v>
      </c>
      <c r="W8" s="29" t="n">
        <f aca="false">IF(N(Q8)=0,"",Q8+IF(I8="yes",Q8*Inputs!$B$10*Inputs!$B$9,0)+V8)</f>
        <v>0.1</v>
      </c>
      <c r="X8" s="28" t="n">
        <f aca="false">IF(OR(N(W8)&lt;=0,N(N8)=0,N(L8)=0),"",MIN(L8,N8/W8))</f>
        <v>15.625</v>
      </c>
      <c r="Y8" s="29" t="n">
        <f aca="false">IF(OR(X8="",N(O8)=0),"",X8/O8-1)</f>
        <v>-0.00793650793650791</v>
      </c>
      <c r="Z8" s="29" t="n">
        <f aca="false">IF(OR(Y8="",N(O8)=0),"",Y8+N8/O8)</f>
        <v>0.0912698412698413</v>
      </c>
      <c r="AA8" s="32" t="n">
        <f aca="false">IF(OR(Z8="",N(U8)=0),"",Z8-U8)</f>
        <v>0</v>
      </c>
      <c r="AB8" s="29" t="n">
        <f aca="false">IF(N(Q8)=0,"",Q8+IF(I8="yes",Q8*Inputs!$B$10*Inputs!$B$9,0)+IFERROR(INDEX(Inputs!$B$13:$B$15,MATCH(G8,Inputs!$A$13:$A$15,0)),0)+IFERROR(INDEX(Inputs!$B$18:$B$24,MATCH(H8,Inputs!$A$18:$A$24,0)),0))</f>
        <v>0.1</v>
      </c>
      <c r="AC8" s="28" t="n">
        <f aca="false">IF(OR(N(AB8)&lt;=0,N(N8)=0,N(L8)=0),"",MIN(L8,N8/AB8))</f>
        <v>15.625</v>
      </c>
      <c r="AD8" s="29" t="n">
        <f aca="false">IF(OR(AC8="",N(O8)=0),"",AC8/O8-1)</f>
        <v>-0.00793650793650791</v>
      </c>
      <c r="AE8" s="29" t="n">
        <f aca="false">IF(OR(AD8="",N(O8)=0),"",AD8+N8/O8)</f>
        <v>0.0912698412698413</v>
      </c>
      <c r="AF8" s="32" t="n">
        <f aca="false">IF(OR(AE8="",N(Z8)=0),"",AE8-Z8)</f>
        <v>0</v>
      </c>
      <c r="AG8" s="28" t="n">
        <f aca="false">IF(AND(N(M8)&gt;0,N(L8)&gt;0),M8*L8,N8)</f>
        <v>1.5625</v>
      </c>
      <c r="AH8" s="28" t="n">
        <f aca="false">IF(OR(N(AB8)&lt;=0,N(AG8)=0,N(L8)=0),"",MIN(L8,AG8/AB8))</f>
        <v>15.625</v>
      </c>
      <c r="AI8" s="29" t="n">
        <f aca="false">IF(OR(AH8="",N(O8)=0),"",AH8/O8-1)</f>
        <v>-0.00793650793650791</v>
      </c>
      <c r="AJ8" s="29" t="n">
        <f aca="false">IF(OR(AI8="",N(O8)=0),"",AI8+AG8/O8)</f>
        <v>0.0912698412698413</v>
      </c>
      <c r="AK8" s="32" t="n">
        <f aca="false">IF(OR(AJ8="",N(AE8)=0),"",AJ8-AE8)</f>
        <v>0</v>
      </c>
      <c r="AL8" s="33" t="n">
        <f aca="false">IF(N(F8)=0,"",INDEX(Inputs!$B$28:$B$32,IFERROR(MATCH(F8,Inputs!$A$28:$A$32,1),0)+1))</f>
        <v>0.09</v>
      </c>
      <c r="AM8" s="34"/>
      <c r="AN8" s="33" t="n">
        <f aca="false">IF(N(AM8)&gt;0,AM8,AL8)</f>
        <v>0.09</v>
      </c>
      <c r="AO8" s="29" t="n">
        <f aca="false">IF(N(AN8)=0,"",AN8+IF(I8="yes",AN8*Inputs!$B$10*Inputs!$B$9,0)+IFERROR(INDEX(Inputs!$B$13:$B$15,MATCH(G8,Inputs!$A$13:$A$15,0)),0)+IFERROR(INDEX(Inputs!$B$18:$B$24,MATCH(H8,Inputs!$A$18:$A$24,0)),0))</f>
        <v>0.09</v>
      </c>
      <c r="AP8" s="28" t="n">
        <f aca="false">IF(OR(N(AO8)&lt;=0,N(AG8)=0,N(L8)=0),"",MIN(L8,AG8/AO8))</f>
        <v>17.3611111111111</v>
      </c>
      <c r="AQ8" s="29" t="n">
        <f aca="false">IF(OR(AP8="",N(O8)=0),"",AP8/O8-1)</f>
        <v>0.102292768959436</v>
      </c>
      <c r="AR8" s="29" t="n">
        <f aca="false">IF(OR(AQ8="",N(O8)=0),"",AQ8+AG8/O8)</f>
        <v>0.201499118165785</v>
      </c>
      <c r="AS8" s="32" t="n">
        <f aca="false">IF(OR(AR8="",N(AJ8)=0),"",AR8-AJ8)</f>
        <v>0.110229276895943</v>
      </c>
      <c r="AT8" s="28" t="n">
        <v>25</v>
      </c>
      <c r="AU8" s="28" t="n">
        <v>1.5625</v>
      </c>
      <c r="AV8" s="28" t="n">
        <f aca="false">IF(N(AT8)&gt;0,AT8,L8)</f>
        <v>25</v>
      </c>
      <c r="AW8" s="28" t="n">
        <f aca="false">IF(AND(N(M8)&gt;0,N(AV8)&gt;0),M8*AV8,IF(N(AU8)&gt;0,AU8,N8))</f>
        <v>1.5625</v>
      </c>
      <c r="AX8" s="29" t="n">
        <f aca="false">IF(N(AN8)=0,"",AN8+IF(I8="yes",AN8*Inputs!$B$10*Inputs!$B$9,0)+IFERROR(INDEX(Inputs!$B$13:$B$15,MATCH(G8,Inputs!$A$13:$A$15,0)),0)+IFERROR(INDEX(Inputs!$B$18:$B$24,MATCH(H8,Inputs!$A$18:$A$24,0)),0))</f>
        <v>0.09</v>
      </c>
      <c r="AY8" s="28" t="n">
        <f aca="false">IF(OR(N(AX8)&lt;=0,N(AW8)=0,N(AV8)=0),"",MIN(AV8,AW8/AX8))</f>
        <v>17.3611111111111</v>
      </c>
      <c r="AZ8" s="29" t="n">
        <f aca="false">IF(OR(AY8="",N(O8)=0),"",AY8/O8-1)</f>
        <v>0.102292768959436</v>
      </c>
      <c r="BA8" s="29" t="n">
        <f aca="false">IF(OR(AZ8="",N(O8)=0),"",AZ8+AW8/O8)</f>
        <v>0.201499118165785</v>
      </c>
      <c r="BB8" s="32" t="n">
        <f aca="false">IF(OR(BA8="",N(AR8)=0),"",BA8-AR8)</f>
        <v>0</v>
      </c>
      <c r="BC8" s="35" t="n">
        <f aca="false">IF(OR(BA8="",N(U8)=0),"",BA8-U8)</f>
        <v>0.110229276895943</v>
      </c>
      <c r="BD8" s="37"/>
    </row>
    <row r="9" customFormat="false" ht="15" hidden="false" customHeight="false" outlineLevel="0" collapsed="false">
      <c r="A9" s="2" t="s">
        <v>140</v>
      </c>
      <c r="B9" s="2" t="n">
        <v>21</v>
      </c>
      <c r="C9" s="2" t="s">
        <v>160</v>
      </c>
      <c r="D9" s="2" t="s">
        <v>157</v>
      </c>
      <c r="E9" s="2" t="s">
        <v>158</v>
      </c>
      <c r="F9" s="27" t="n">
        <v>966</v>
      </c>
      <c r="G9" s="2" t="s">
        <v>51</v>
      </c>
      <c r="H9" s="2" t="s">
        <v>58</v>
      </c>
      <c r="I9" s="2" t="s">
        <v>144</v>
      </c>
      <c r="J9" s="2" t="s">
        <v>145</v>
      </c>
      <c r="K9" s="2" t="n">
        <v>4</v>
      </c>
      <c r="L9" s="28" t="n">
        <v>25</v>
      </c>
      <c r="M9" s="29" t="n">
        <v>0.0625</v>
      </c>
      <c r="N9" s="28" t="n">
        <v>1.5625</v>
      </c>
      <c r="O9" s="28" t="n">
        <v>22.34</v>
      </c>
      <c r="P9" s="2" t="s">
        <v>146</v>
      </c>
      <c r="Q9" s="29" t="n">
        <v>0.1</v>
      </c>
      <c r="R9" s="30" t="n">
        <v>0.1</v>
      </c>
      <c r="S9" s="31" t="n">
        <v>15.625</v>
      </c>
      <c r="T9" s="30" t="n">
        <v>-0.300581915846016</v>
      </c>
      <c r="U9" s="30" t="n">
        <v>-0.230640107430618</v>
      </c>
      <c r="V9" s="29" t="n">
        <v>0</v>
      </c>
      <c r="W9" s="29" t="n">
        <f aca="false">IF(N(Q9)=0,"",Q9+IF(I9="yes",Q9*Inputs!$B$10*Inputs!$B$9,0)+V9)</f>
        <v>0.1</v>
      </c>
      <c r="X9" s="28" t="n">
        <f aca="false">IF(OR(N(W9)&lt;=0,N(N9)=0,N(L9)=0),"",MIN(L9,N9/W9))</f>
        <v>15.625</v>
      </c>
      <c r="Y9" s="29" t="n">
        <f aca="false">IF(OR(X9="",N(O9)=0),"",X9/O9-1)</f>
        <v>-0.300581915846016</v>
      </c>
      <c r="Z9" s="29" t="n">
        <f aca="false">IF(OR(Y9="",N(O9)=0),"",Y9+N9/O9)</f>
        <v>-0.230640107430618</v>
      </c>
      <c r="AA9" s="32" t="n">
        <f aca="false">IF(OR(Z9="",N(U9)=0),"",Z9-U9)</f>
        <v>0</v>
      </c>
      <c r="AB9" s="29" t="n">
        <f aca="false">IF(N(Q9)=0,"",Q9+IF(I9="yes",Q9*Inputs!$B$10*Inputs!$B$9,0)+IFERROR(INDEX(Inputs!$B$13:$B$15,MATCH(G9,Inputs!$A$13:$A$15,0)),0)+IFERROR(INDEX(Inputs!$B$18:$B$24,MATCH(H9,Inputs!$A$18:$A$24,0)),0))</f>
        <v>0.1</v>
      </c>
      <c r="AC9" s="28" t="n">
        <f aca="false">IF(OR(N(AB9)&lt;=0,N(N9)=0,N(L9)=0),"",MIN(L9,N9/AB9))</f>
        <v>15.625</v>
      </c>
      <c r="AD9" s="29" t="n">
        <f aca="false">IF(OR(AC9="",N(O9)=0),"",AC9/O9-1)</f>
        <v>-0.300581915846016</v>
      </c>
      <c r="AE9" s="29" t="n">
        <f aca="false">IF(OR(AD9="",N(O9)=0),"",AD9+N9/O9)</f>
        <v>-0.230640107430618</v>
      </c>
      <c r="AF9" s="32" t="n">
        <f aca="false">IF(OR(AE9="",N(Z9)=0),"",AE9-Z9)</f>
        <v>0</v>
      </c>
      <c r="AG9" s="28" t="n">
        <f aca="false">IF(AND(N(M9)&gt;0,N(L9)&gt;0),M9*L9,N9)</f>
        <v>1.5625</v>
      </c>
      <c r="AH9" s="28" t="n">
        <f aca="false">IF(OR(N(AB9)&lt;=0,N(AG9)=0,N(L9)=0),"",MIN(L9,AG9/AB9))</f>
        <v>15.625</v>
      </c>
      <c r="AI9" s="29" t="n">
        <f aca="false">IF(OR(AH9="",N(O9)=0),"",AH9/O9-1)</f>
        <v>-0.300581915846016</v>
      </c>
      <c r="AJ9" s="29" t="n">
        <f aca="false">IF(OR(AI9="",N(O9)=0),"",AI9+AG9/O9)</f>
        <v>-0.230640107430618</v>
      </c>
      <c r="AK9" s="32" t="n">
        <f aca="false">IF(OR(AJ9="",N(AE9)=0),"",AJ9-AE9)</f>
        <v>0</v>
      </c>
      <c r="AL9" s="33" t="n">
        <f aca="false">IF(N(F9)=0,"",INDEX(Inputs!$B$28:$B$32,IFERROR(MATCH(F9,Inputs!$A$28:$A$32,1),0)+1))</f>
        <v>0.09</v>
      </c>
      <c r="AM9" s="34"/>
      <c r="AN9" s="33" t="n">
        <f aca="false">IF(N(AM9)&gt;0,AM9,AL9)</f>
        <v>0.09</v>
      </c>
      <c r="AO9" s="29" t="n">
        <f aca="false">IF(N(AN9)=0,"",AN9+IF(I9="yes",AN9*Inputs!$B$10*Inputs!$B$9,0)+IFERROR(INDEX(Inputs!$B$13:$B$15,MATCH(G9,Inputs!$A$13:$A$15,0)),0)+IFERROR(INDEX(Inputs!$B$18:$B$24,MATCH(H9,Inputs!$A$18:$A$24,0)),0))</f>
        <v>0.09</v>
      </c>
      <c r="AP9" s="28" t="n">
        <f aca="false">IF(OR(N(AO9)&lt;=0,N(AG9)=0,N(L9)=0),"",MIN(L9,AG9/AO9))</f>
        <v>17.3611111111111</v>
      </c>
      <c r="AQ9" s="29" t="n">
        <f aca="false">IF(OR(AP9="",N(O9)=0),"",AP9/O9-1)</f>
        <v>-0.222868795384462</v>
      </c>
      <c r="AR9" s="29" t="n">
        <f aca="false">IF(OR(AQ9="",N(O9)=0),"",AQ9+AG9/O9)</f>
        <v>-0.152926986969064</v>
      </c>
      <c r="AS9" s="32" t="n">
        <f aca="false">IF(OR(AR9="",N(AJ9)=0),"",AR9-AJ9)</f>
        <v>0.0777131204615538</v>
      </c>
      <c r="AT9" s="28" t="n">
        <v>25</v>
      </c>
      <c r="AU9" s="28" t="n">
        <v>1.5625</v>
      </c>
      <c r="AV9" s="28" t="n">
        <f aca="false">IF(N(AT9)&gt;0,AT9,L9)</f>
        <v>25</v>
      </c>
      <c r="AW9" s="28" t="n">
        <f aca="false">IF(AND(N(M9)&gt;0,N(AV9)&gt;0),M9*AV9,IF(N(AU9)&gt;0,AU9,N9))</f>
        <v>1.5625</v>
      </c>
      <c r="AX9" s="29" t="n">
        <f aca="false">IF(N(AN9)=0,"",AN9+IF(I9="yes",AN9*Inputs!$B$10*Inputs!$B$9,0)+IFERROR(INDEX(Inputs!$B$13:$B$15,MATCH(G9,Inputs!$A$13:$A$15,0)),0)+IFERROR(INDEX(Inputs!$B$18:$B$24,MATCH(H9,Inputs!$A$18:$A$24,0)),0))</f>
        <v>0.09</v>
      </c>
      <c r="AY9" s="28" t="n">
        <f aca="false">IF(OR(N(AX9)&lt;=0,N(AW9)=0,N(AV9)=0),"",MIN(AV9,AW9/AX9))</f>
        <v>17.3611111111111</v>
      </c>
      <c r="AZ9" s="29" t="n">
        <f aca="false">IF(OR(AY9="",N(O9)=0),"",AY9/O9-1)</f>
        <v>-0.222868795384462</v>
      </c>
      <c r="BA9" s="29" t="n">
        <f aca="false">IF(OR(AZ9="",N(O9)=0),"",AZ9+AW9/O9)</f>
        <v>-0.152926986969064</v>
      </c>
      <c r="BB9" s="32" t="n">
        <f aca="false">IF(OR(BA9="",N(AR9)=0),"",BA9-AR9)</f>
        <v>0</v>
      </c>
      <c r="BC9" s="35" t="n">
        <f aca="false">IF(OR(BA9="",N(U9)=0),"",BA9-U9)</f>
        <v>0.0777131204615537</v>
      </c>
      <c r="BD9" s="37"/>
    </row>
    <row r="10" customFormat="false" ht="15" hidden="false" customHeight="false" outlineLevel="0" collapsed="false">
      <c r="A10" s="2" t="s">
        <v>140</v>
      </c>
      <c r="B10" s="2" t="n">
        <v>24</v>
      </c>
      <c r="C10" s="2" t="s">
        <v>161</v>
      </c>
      <c r="D10" s="2" t="s">
        <v>162</v>
      </c>
      <c r="E10" s="2" t="s">
        <v>163</v>
      </c>
      <c r="F10" s="27" t="n">
        <v>33900</v>
      </c>
      <c r="G10" s="2" t="s">
        <v>51</v>
      </c>
      <c r="H10" s="2" t="s">
        <v>58</v>
      </c>
      <c r="I10" s="2" t="s">
        <v>151</v>
      </c>
      <c r="J10" s="2" t="s">
        <v>145</v>
      </c>
      <c r="K10" s="2" t="n">
        <v>4</v>
      </c>
      <c r="L10" s="28" t="n">
        <v>25</v>
      </c>
      <c r="M10" s="29" t="n">
        <v>0.0455</v>
      </c>
      <c r="N10" s="28" t="n">
        <v>1.1375</v>
      </c>
      <c r="O10" s="28" t="n">
        <v>16.01</v>
      </c>
      <c r="P10" s="2" t="s">
        <v>146</v>
      </c>
      <c r="Q10" s="29" t="n">
        <v>0.08</v>
      </c>
      <c r="R10" s="30" t="n">
        <v>0.076</v>
      </c>
      <c r="S10" s="31" t="n">
        <v>14.9671052631579</v>
      </c>
      <c r="T10" s="30" t="n">
        <v>-0.0651402084223678</v>
      </c>
      <c r="U10" s="30" t="n">
        <v>0.00590913573753227</v>
      </c>
      <c r="V10" s="29" t="n">
        <v>0</v>
      </c>
      <c r="W10" s="29" t="n">
        <f aca="false">IF(N(Q10)=0,"",Q10+IF(I10="yes",Q10*Inputs!$B$10*Inputs!$B$9,0)+V10)</f>
        <v>0.076</v>
      </c>
      <c r="X10" s="28" t="n">
        <f aca="false">IF(OR(N(W10)&lt;=0,N(N10)=0,N(L10)=0),"",MIN(L10,N10/W10))</f>
        <v>14.9671052631579</v>
      </c>
      <c r="Y10" s="29" t="n">
        <f aca="false">IF(OR(X10="",N(O10)=0),"",X10/O10-1)</f>
        <v>-0.0651402084223678</v>
      </c>
      <c r="Z10" s="29" t="n">
        <f aca="false">IF(OR(Y10="",N(O10)=0),"",Y10+N10/O10)</f>
        <v>0.00590913573753227</v>
      </c>
      <c r="AA10" s="32" t="n">
        <f aca="false">IF(OR(Z10="",N(U10)=0),"",Z10-U10)</f>
        <v>0</v>
      </c>
      <c r="AB10" s="29" t="n">
        <f aca="false">IF(N(Q10)=0,"",Q10+IF(I10="yes",Q10*Inputs!$B$10*Inputs!$B$9,0)+IFERROR(INDEX(Inputs!$B$13:$B$15,MATCH(G10,Inputs!$A$13:$A$15,0)),0)+IFERROR(INDEX(Inputs!$B$18:$B$24,MATCH(H10,Inputs!$A$18:$A$24,0)),0))</f>
        <v>0.076</v>
      </c>
      <c r="AC10" s="28" t="n">
        <f aca="false">IF(OR(N(AB10)&lt;=0,N(N10)=0,N(L10)=0),"",MIN(L10,N10/AB10))</f>
        <v>14.9671052631579</v>
      </c>
      <c r="AD10" s="29" t="n">
        <f aca="false">IF(OR(AC10="",N(O10)=0),"",AC10/O10-1)</f>
        <v>-0.0651402084223678</v>
      </c>
      <c r="AE10" s="29" t="n">
        <f aca="false">IF(OR(AD10="",N(O10)=0),"",AD10+N10/O10)</f>
        <v>0.00590913573753227</v>
      </c>
      <c r="AF10" s="32" t="n">
        <f aca="false">IF(OR(AE10="",N(Z10)=0),"",AE10-Z10)</f>
        <v>0</v>
      </c>
      <c r="AG10" s="28" t="n">
        <f aca="false">IF(AND(N(M10)&gt;0,N(L10)&gt;0),M10*L10,N10)</f>
        <v>1.1375</v>
      </c>
      <c r="AH10" s="28" t="n">
        <f aca="false">IF(OR(N(AB10)&lt;=0,N(AG10)=0,N(L10)=0),"",MIN(L10,AG10/AB10))</f>
        <v>14.9671052631579</v>
      </c>
      <c r="AI10" s="29" t="n">
        <f aca="false">IF(OR(AH10="",N(O10)=0),"",AH10/O10-1)</f>
        <v>-0.0651402084223678</v>
      </c>
      <c r="AJ10" s="29" t="n">
        <f aca="false">IF(OR(AI10="",N(O10)=0),"",AI10+AG10/O10)</f>
        <v>0.00590913573753227</v>
      </c>
      <c r="AK10" s="32" t="n">
        <f aca="false">IF(OR(AJ10="",N(AE10)=0),"",AJ10-AE10)</f>
        <v>0</v>
      </c>
      <c r="AL10" s="33" t="n">
        <f aca="false">IF(N(F10)=0,"",INDEX(Inputs!$B$28:$B$32,IFERROR(MATCH(F10,Inputs!$A$28:$A$32,1),0)+1))</f>
        <v>0.075</v>
      </c>
      <c r="AM10" s="34"/>
      <c r="AN10" s="33" t="n">
        <f aca="false">IF(N(AM10)&gt;0,AM10,AL10)</f>
        <v>0.075</v>
      </c>
      <c r="AO10" s="29" t="n">
        <f aca="false">IF(N(AN10)=0,"",AN10+IF(I10="yes",AN10*Inputs!$B$10*Inputs!$B$9,0)+IFERROR(INDEX(Inputs!$B$13:$B$15,MATCH(G10,Inputs!$A$13:$A$15,0)),0)+IFERROR(INDEX(Inputs!$B$18:$B$24,MATCH(H10,Inputs!$A$18:$A$24,0)),0))</f>
        <v>0.07125</v>
      </c>
      <c r="AP10" s="28" t="n">
        <f aca="false">IF(OR(N(AO10)&lt;=0,N(AG10)=0,N(L10)=0),"",MIN(L10,AG10/AO10))</f>
        <v>15.9649122807018</v>
      </c>
      <c r="AQ10" s="29" t="n">
        <f aca="false">IF(OR(AP10="",N(O10)=0),"",AP10/O10-1)</f>
        <v>-0.00281622231719214</v>
      </c>
      <c r="AR10" s="29" t="n">
        <f aca="false">IF(OR(AQ10="",N(O10)=0),"",AQ10+AG10/O10)</f>
        <v>0.0682331218427079</v>
      </c>
      <c r="AS10" s="32" t="n">
        <f aca="false">IF(OR(AR10="",N(AJ10)=0),"",AR10-AJ10)</f>
        <v>0.0623239861051756</v>
      </c>
      <c r="AT10" s="28" t="n">
        <v>25</v>
      </c>
      <c r="AU10" s="28" t="n">
        <v>1.1375</v>
      </c>
      <c r="AV10" s="28" t="n">
        <f aca="false">IF(N(AT10)&gt;0,AT10,L10)</f>
        <v>25</v>
      </c>
      <c r="AW10" s="28" t="n">
        <f aca="false">IF(AND(N(M10)&gt;0,N(AV10)&gt;0),M10*AV10,IF(N(AU10)&gt;0,AU10,N10))</f>
        <v>1.1375</v>
      </c>
      <c r="AX10" s="29" t="n">
        <f aca="false">IF(N(AN10)=0,"",AN10+IF(I10="yes",AN10*Inputs!$B$10*Inputs!$B$9,0)+IFERROR(INDEX(Inputs!$B$13:$B$15,MATCH(G10,Inputs!$A$13:$A$15,0)),0)+IFERROR(INDEX(Inputs!$B$18:$B$24,MATCH(H10,Inputs!$A$18:$A$24,0)),0))</f>
        <v>0.07125</v>
      </c>
      <c r="AY10" s="28" t="n">
        <f aca="false">IF(OR(N(AX10)&lt;=0,N(AW10)=0,N(AV10)=0),"",MIN(AV10,AW10/AX10))</f>
        <v>15.9649122807018</v>
      </c>
      <c r="AZ10" s="29" t="n">
        <f aca="false">IF(OR(AY10="",N(O10)=0),"",AY10/O10-1)</f>
        <v>-0.00281622231719214</v>
      </c>
      <c r="BA10" s="29" t="n">
        <f aca="false">IF(OR(AZ10="",N(O10)=0),"",AZ10+AW10/O10)</f>
        <v>0.0682331218427079</v>
      </c>
      <c r="BB10" s="32" t="n">
        <f aca="false">IF(OR(BA10="",N(AR10)=0),"",BA10-AR10)</f>
        <v>0</v>
      </c>
      <c r="BC10" s="35" t="n">
        <f aca="false">IF(OR(BA10="",N(U10)=0),"",BA10-U10)</f>
        <v>0.0623239861051756</v>
      </c>
      <c r="BD10" s="37"/>
    </row>
    <row r="11" customFormat="false" ht="15" hidden="false" customHeight="false" outlineLevel="0" collapsed="false">
      <c r="A11" s="2" t="s">
        <v>140</v>
      </c>
      <c r="B11" s="2" t="n">
        <v>25</v>
      </c>
      <c r="C11" s="2" t="s">
        <v>164</v>
      </c>
      <c r="D11" s="2" t="s">
        <v>162</v>
      </c>
      <c r="E11" s="2" t="s">
        <v>163</v>
      </c>
      <c r="F11" s="27" t="n">
        <v>33900</v>
      </c>
      <c r="G11" s="2" t="s">
        <v>51</v>
      </c>
      <c r="H11" s="2" t="s">
        <v>58</v>
      </c>
      <c r="I11" s="2" t="s">
        <v>151</v>
      </c>
      <c r="J11" s="2" t="s">
        <v>145</v>
      </c>
      <c r="K11" s="2" t="n">
        <v>4</v>
      </c>
      <c r="L11" s="28" t="n">
        <v>25</v>
      </c>
      <c r="M11" s="29" t="n">
        <v>0.0545</v>
      </c>
      <c r="N11" s="28" t="n">
        <v>1.3625</v>
      </c>
      <c r="O11" s="28" t="n">
        <v>18.96</v>
      </c>
      <c r="P11" s="2" t="s">
        <v>146</v>
      </c>
      <c r="Q11" s="29" t="n">
        <v>0.08</v>
      </c>
      <c r="R11" s="30" t="n">
        <v>0.076</v>
      </c>
      <c r="S11" s="31" t="n">
        <v>17.9276315789474</v>
      </c>
      <c r="T11" s="30" t="n">
        <v>-0.0544498112369531</v>
      </c>
      <c r="U11" s="30" t="n">
        <v>0.0174120031090384</v>
      </c>
      <c r="V11" s="29" t="n">
        <v>0</v>
      </c>
      <c r="W11" s="29" t="n">
        <f aca="false">IF(N(Q11)=0,"",Q11+IF(I11="yes",Q11*Inputs!$B$10*Inputs!$B$9,0)+V11)</f>
        <v>0.076</v>
      </c>
      <c r="X11" s="28" t="n">
        <f aca="false">IF(OR(N(W11)&lt;=0,N(N11)=0,N(L11)=0),"",MIN(L11,N11/W11))</f>
        <v>17.9276315789474</v>
      </c>
      <c r="Y11" s="29" t="n">
        <f aca="false">IF(OR(X11="",N(O11)=0),"",X11/O11-1)</f>
        <v>-0.0544498112369531</v>
      </c>
      <c r="Z11" s="29" t="n">
        <f aca="false">IF(OR(Y11="",N(O11)=0),"",Y11+N11/O11)</f>
        <v>0.0174120031090384</v>
      </c>
      <c r="AA11" s="32" t="n">
        <f aca="false">IF(OR(Z11="",N(U11)=0),"",Z11-U11)</f>
        <v>0</v>
      </c>
      <c r="AB11" s="29" t="n">
        <f aca="false">IF(N(Q11)=0,"",Q11+IF(I11="yes",Q11*Inputs!$B$10*Inputs!$B$9,0)+IFERROR(INDEX(Inputs!$B$13:$B$15,MATCH(G11,Inputs!$A$13:$A$15,0)),0)+IFERROR(INDEX(Inputs!$B$18:$B$24,MATCH(H11,Inputs!$A$18:$A$24,0)),0))</f>
        <v>0.076</v>
      </c>
      <c r="AC11" s="28" t="n">
        <f aca="false">IF(OR(N(AB11)&lt;=0,N(N11)=0,N(L11)=0),"",MIN(L11,N11/AB11))</f>
        <v>17.9276315789474</v>
      </c>
      <c r="AD11" s="29" t="n">
        <f aca="false">IF(OR(AC11="",N(O11)=0),"",AC11/O11-1)</f>
        <v>-0.0544498112369531</v>
      </c>
      <c r="AE11" s="29" t="n">
        <f aca="false">IF(OR(AD11="",N(O11)=0),"",AD11+N11/O11)</f>
        <v>0.0174120031090384</v>
      </c>
      <c r="AF11" s="32" t="n">
        <f aca="false">IF(OR(AE11="",N(Z11)=0),"",AE11-Z11)</f>
        <v>0</v>
      </c>
      <c r="AG11" s="28" t="n">
        <f aca="false">IF(AND(N(M11)&gt;0,N(L11)&gt;0),M11*L11,N11)</f>
        <v>1.3625</v>
      </c>
      <c r="AH11" s="28" t="n">
        <f aca="false">IF(OR(N(AB11)&lt;=0,N(AG11)=0,N(L11)=0),"",MIN(L11,AG11/AB11))</f>
        <v>17.9276315789474</v>
      </c>
      <c r="AI11" s="29" t="n">
        <f aca="false">IF(OR(AH11="",N(O11)=0),"",AH11/O11-1)</f>
        <v>-0.0544498112369531</v>
      </c>
      <c r="AJ11" s="29" t="n">
        <f aca="false">IF(OR(AI11="",N(O11)=0),"",AI11+AG11/O11)</f>
        <v>0.0174120031090384</v>
      </c>
      <c r="AK11" s="32" t="n">
        <f aca="false">IF(OR(AJ11="",N(AE11)=0),"",AJ11-AE11)</f>
        <v>0</v>
      </c>
      <c r="AL11" s="33" t="n">
        <f aca="false">IF(N(F11)=0,"",INDEX(Inputs!$B$28:$B$32,IFERROR(MATCH(F11,Inputs!$A$28:$A$32,1),0)+1))</f>
        <v>0.075</v>
      </c>
      <c r="AM11" s="34"/>
      <c r="AN11" s="33" t="n">
        <f aca="false">IF(N(AM11)&gt;0,AM11,AL11)</f>
        <v>0.075</v>
      </c>
      <c r="AO11" s="29" t="n">
        <f aca="false">IF(N(AN11)=0,"",AN11+IF(I11="yes",AN11*Inputs!$B$10*Inputs!$B$9,0)+IFERROR(INDEX(Inputs!$B$13:$B$15,MATCH(G11,Inputs!$A$13:$A$15,0)),0)+IFERROR(INDEX(Inputs!$B$18:$B$24,MATCH(H11,Inputs!$A$18:$A$24,0)),0))</f>
        <v>0.07125</v>
      </c>
      <c r="AP11" s="28" t="n">
        <f aca="false">IF(OR(N(AO11)&lt;=0,N(AG11)=0,N(L11)=0),"",MIN(L11,AG11/AO11))</f>
        <v>19.1228070175439</v>
      </c>
      <c r="AQ11" s="29" t="n">
        <f aca="false">IF(OR(AP11="",N(O11)=0),"",AP11/O11-1)</f>
        <v>0.00858686801391673</v>
      </c>
      <c r="AR11" s="29" t="n">
        <f aca="false">IF(OR(AQ11="",N(O11)=0),"",AQ11+AG11/O11)</f>
        <v>0.0804486823599083</v>
      </c>
      <c r="AS11" s="32" t="n">
        <f aca="false">IF(OR(AR11="",N(AJ11)=0),"",AR11-AJ11)</f>
        <v>0.0630366792508699</v>
      </c>
      <c r="AT11" s="28" t="n">
        <v>25</v>
      </c>
      <c r="AU11" s="28" t="n">
        <v>1.36</v>
      </c>
      <c r="AV11" s="28" t="n">
        <f aca="false">IF(N(AT11)&gt;0,AT11,L11)</f>
        <v>25</v>
      </c>
      <c r="AW11" s="28" t="n">
        <f aca="false">IF(AND(N(M11)&gt;0,N(AV11)&gt;0),M11*AV11,IF(N(AU11)&gt;0,AU11,N11))</f>
        <v>1.3625</v>
      </c>
      <c r="AX11" s="29" t="n">
        <f aca="false">IF(N(AN11)=0,"",AN11+IF(I11="yes",AN11*Inputs!$B$10*Inputs!$B$9,0)+IFERROR(INDEX(Inputs!$B$13:$B$15,MATCH(G11,Inputs!$A$13:$A$15,0)),0)+IFERROR(INDEX(Inputs!$B$18:$B$24,MATCH(H11,Inputs!$A$18:$A$24,0)),0))</f>
        <v>0.07125</v>
      </c>
      <c r="AY11" s="28" t="n">
        <f aca="false">IF(OR(N(AX11)&lt;=0,N(AW11)=0,N(AV11)=0),"",MIN(AV11,AW11/AX11))</f>
        <v>19.1228070175439</v>
      </c>
      <c r="AZ11" s="29" t="n">
        <f aca="false">IF(OR(AY11="",N(O11)=0),"",AY11/O11-1)</f>
        <v>0.00858686801391673</v>
      </c>
      <c r="BA11" s="29" t="n">
        <f aca="false">IF(OR(AZ11="",N(O11)=0),"",AZ11+AW11/O11)</f>
        <v>0.0804486823599083</v>
      </c>
      <c r="BB11" s="32" t="n">
        <f aca="false">IF(OR(BA11="",N(AR11)=0),"",BA11-AR11)</f>
        <v>0</v>
      </c>
      <c r="BC11" s="35" t="n">
        <f aca="false">IF(OR(BA11="",N(U11)=0),"",BA11-U11)</f>
        <v>0.0630366792508699</v>
      </c>
      <c r="BD11" s="37"/>
    </row>
    <row r="12" customFormat="false" ht="15" hidden="false" customHeight="false" outlineLevel="0" collapsed="false">
      <c r="A12" s="2" t="s">
        <v>140</v>
      </c>
      <c r="B12" s="2" t="n">
        <v>28</v>
      </c>
      <c r="C12" s="2" t="s">
        <v>165</v>
      </c>
      <c r="D12" s="2" t="s">
        <v>166</v>
      </c>
      <c r="E12" s="2" t="s">
        <v>167</v>
      </c>
      <c r="F12" s="27" t="n">
        <v>9300</v>
      </c>
      <c r="G12" s="2" t="s">
        <v>51</v>
      </c>
      <c r="H12" s="2" t="s">
        <v>58</v>
      </c>
      <c r="I12" s="2" t="s">
        <v>144</v>
      </c>
      <c r="J12" s="2" t="s">
        <v>168</v>
      </c>
      <c r="K12" s="2" t="n">
        <v>12</v>
      </c>
      <c r="L12" s="28" t="n">
        <v>25</v>
      </c>
      <c r="M12" s="29" t="n">
        <v>0.0425</v>
      </c>
      <c r="N12" s="28" t="n">
        <v>1.0625</v>
      </c>
      <c r="O12" s="28" t="n">
        <v>16.86</v>
      </c>
      <c r="P12" s="2" t="s">
        <v>146</v>
      </c>
      <c r="Q12" s="29" t="n">
        <v>0.08</v>
      </c>
      <c r="R12" s="30" t="n">
        <v>0.08</v>
      </c>
      <c r="S12" s="31" t="n">
        <v>13.28125</v>
      </c>
      <c r="T12" s="30" t="n">
        <v>-0.212262752075919</v>
      </c>
      <c r="U12" s="30" t="n">
        <v>-0.149243772241993</v>
      </c>
      <c r="V12" s="29" t="n">
        <v>0</v>
      </c>
      <c r="W12" s="29" t="n">
        <f aca="false">IF(N(Q12)=0,"",Q12+IF(I12="yes",Q12*Inputs!$B$10*Inputs!$B$9,0)+V12)</f>
        <v>0.08</v>
      </c>
      <c r="X12" s="28" t="n">
        <f aca="false">IF(OR(N(W12)&lt;=0,N(N12)=0,N(L12)=0),"",MIN(L12,N12/W12))</f>
        <v>13.28125</v>
      </c>
      <c r="Y12" s="29" t="n">
        <f aca="false">IF(OR(X12="",N(O12)=0),"",X12/O12-1)</f>
        <v>-0.212262752075919</v>
      </c>
      <c r="Z12" s="29" t="n">
        <f aca="false">IF(OR(Y12="",N(O12)=0),"",Y12+N12/O12)</f>
        <v>-0.149243772241993</v>
      </c>
      <c r="AA12" s="32" t="n">
        <f aca="false">IF(OR(Z12="",N(U12)=0),"",Z12-U12)</f>
        <v>0</v>
      </c>
      <c r="AB12" s="29" t="n">
        <f aca="false">IF(N(Q12)=0,"",Q12+IF(I12="yes",Q12*Inputs!$B$10*Inputs!$B$9,0)+IFERROR(INDEX(Inputs!$B$13:$B$15,MATCH(G12,Inputs!$A$13:$A$15,0)),0)+IFERROR(INDEX(Inputs!$B$18:$B$24,MATCH(H12,Inputs!$A$18:$A$24,0)),0))</f>
        <v>0.08</v>
      </c>
      <c r="AC12" s="28" t="n">
        <f aca="false">IF(OR(N(AB12)&lt;=0,N(N12)=0,N(L12)=0),"",MIN(L12,N12/AB12))</f>
        <v>13.28125</v>
      </c>
      <c r="AD12" s="29" t="n">
        <f aca="false">IF(OR(AC12="",N(O12)=0),"",AC12/O12-1)</f>
        <v>-0.212262752075919</v>
      </c>
      <c r="AE12" s="29" t="n">
        <f aca="false">IF(OR(AD12="",N(O12)=0),"",AD12+N12/O12)</f>
        <v>-0.149243772241993</v>
      </c>
      <c r="AF12" s="32" t="n">
        <f aca="false">IF(OR(AE12="",N(Z12)=0),"",AE12-Z12)</f>
        <v>0</v>
      </c>
      <c r="AG12" s="28" t="n">
        <f aca="false">IF(AND(N(M12)&gt;0,N(L12)&gt;0),M12*L12,N12)</f>
        <v>1.0625</v>
      </c>
      <c r="AH12" s="28" t="n">
        <f aca="false">IF(OR(N(AB12)&lt;=0,N(AG12)=0,N(L12)=0),"",MIN(L12,AG12/AB12))</f>
        <v>13.28125</v>
      </c>
      <c r="AI12" s="29" t="n">
        <f aca="false">IF(OR(AH12="",N(O12)=0),"",AH12/O12-1)</f>
        <v>-0.212262752075919</v>
      </c>
      <c r="AJ12" s="29" t="n">
        <f aca="false">IF(OR(AI12="",N(O12)=0),"",AI12+AG12/O12)</f>
        <v>-0.149243772241993</v>
      </c>
      <c r="AK12" s="32" t="n">
        <f aca="false">IF(OR(AJ12="",N(AE12)=0),"",AJ12-AE12)</f>
        <v>0</v>
      </c>
      <c r="AL12" s="33" t="n">
        <f aca="false">IF(N(F12)=0,"",INDEX(Inputs!$B$28:$B$32,IFERROR(MATCH(F12,Inputs!$A$28:$A$32,1),0)+1))</f>
        <v>0.08</v>
      </c>
      <c r="AM12" s="34"/>
      <c r="AN12" s="33" t="n">
        <f aca="false">IF(N(AM12)&gt;0,AM12,AL12)</f>
        <v>0.08</v>
      </c>
      <c r="AO12" s="29" t="n">
        <f aca="false">IF(N(AN12)=0,"",AN12+IF(I12="yes",AN12*Inputs!$B$10*Inputs!$B$9,0)+IFERROR(INDEX(Inputs!$B$13:$B$15,MATCH(G12,Inputs!$A$13:$A$15,0)),0)+IFERROR(INDEX(Inputs!$B$18:$B$24,MATCH(H12,Inputs!$A$18:$A$24,0)),0))</f>
        <v>0.08</v>
      </c>
      <c r="AP12" s="28" t="n">
        <f aca="false">IF(OR(N(AO12)&lt;=0,N(AG12)=0,N(L12)=0),"",MIN(L12,AG12/AO12))</f>
        <v>13.28125</v>
      </c>
      <c r="AQ12" s="29" t="n">
        <f aca="false">IF(OR(AP12="",N(O12)=0),"",AP12/O12-1)</f>
        <v>-0.212262752075919</v>
      </c>
      <c r="AR12" s="29" t="n">
        <f aca="false">IF(OR(AQ12="",N(O12)=0),"",AQ12+AG12/O12)</f>
        <v>-0.149243772241993</v>
      </c>
      <c r="AS12" s="32" t="n">
        <f aca="false">IF(OR(AR12="",N(AJ12)=0),"",AR12-AJ12)</f>
        <v>0</v>
      </c>
      <c r="AT12" s="28" t="n">
        <v>25</v>
      </c>
      <c r="AU12" s="28" t="n">
        <v>1.0625</v>
      </c>
      <c r="AV12" s="28" t="n">
        <f aca="false">IF(N(AT12)&gt;0,AT12,L12)</f>
        <v>25</v>
      </c>
      <c r="AW12" s="28" t="n">
        <f aca="false">IF(AND(N(M12)&gt;0,N(AV12)&gt;0),M12*AV12,IF(N(AU12)&gt;0,AU12,N12))</f>
        <v>1.0625</v>
      </c>
      <c r="AX12" s="29" t="n">
        <f aca="false">IF(N(AN12)=0,"",AN12+IF(I12="yes",AN12*Inputs!$B$10*Inputs!$B$9,0)+IFERROR(INDEX(Inputs!$B$13:$B$15,MATCH(G12,Inputs!$A$13:$A$15,0)),0)+IFERROR(INDEX(Inputs!$B$18:$B$24,MATCH(H12,Inputs!$A$18:$A$24,0)),0))</f>
        <v>0.08</v>
      </c>
      <c r="AY12" s="28" t="n">
        <f aca="false">IF(OR(N(AX12)&lt;=0,N(AW12)=0,N(AV12)=0),"",MIN(AV12,AW12/AX12))</f>
        <v>13.28125</v>
      </c>
      <c r="AZ12" s="29" t="n">
        <f aca="false">IF(OR(AY12="",N(O12)=0),"",AY12/O12-1)</f>
        <v>-0.212262752075919</v>
      </c>
      <c r="BA12" s="29" t="n">
        <f aca="false">IF(OR(AZ12="",N(O12)=0),"",AZ12+AW12/O12)</f>
        <v>-0.149243772241993</v>
      </c>
      <c r="BB12" s="32" t="n">
        <f aca="false">IF(OR(BA12="",N(AR12)=0),"",BA12-AR12)</f>
        <v>0</v>
      </c>
      <c r="BC12" s="35" t="n">
        <f aca="false">IF(OR(BA12="",N(U12)=0),"",BA12-U12)</f>
        <v>0</v>
      </c>
      <c r="BD12" s="37"/>
    </row>
    <row r="13" customFormat="false" ht="15" hidden="false" customHeight="false" outlineLevel="0" collapsed="false">
      <c r="A13" s="2" t="s">
        <v>140</v>
      </c>
      <c r="B13" s="2" t="n">
        <v>32</v>
      </c>
      <c r="C13" s="2" t="s">
        <v>169</v>
      </c>
      <c r="D13" s="2" t="s">
        <v>170</v>
      </c>
      <c r="E13" s="2" t="s">
        <v>171</v>
      </c>
      <c r="F13" s="27" t="n">
        <v>30100</v>
      </c>
      <c r="G13" s="2" t="s">
        <v>51</v>
      </c>
      <c r="H13" s="2" t="s">
        <v>58</v>
      </c>
      <c r="I13" s="2" t="s">
        <v>151</v>
      </c>
      <c r="J13" s="2" t="s">
        <v>145</v>
      </c>
      <c r="K13" s="2" t="n">
        <v>4</v>
      </c>
      <c r="L13" s="28" t="n">
        <v>50</v>
      </c>
      <c r="M13" s="29" t="n">
        <v>0.0408</v>
      </c>
      <c r="N13" s="28" t="n">
        <v>2.04</v>
      </c>
      <c r="O13" s="28" t="n">
        <v>66</v>
      </c>
      <c r="P13" s="2" t="s">
        <v>146</v>
      </c>
      <c r="Q13" s="29" t="n">
        <v>0.08</v>
      </c>
      <c r="R13" s="30" t="n">
        <v>0.076</v>
      </c>
      <c r="S13" s="31" t="n">
        <v>26.8421052631579</v>
      </c>
      <c r="T13" s="30" t="n">
        <v>-0.593301435406699</v>
      </c>
      <c r="U13" s="30" t="n">
        <v>-0.562392344497608</v>
      </c>
      <c r="V13" s="29" t="n">
        <v>0</v>
      </c>
      <c r="W13" s="29" t="n">
        <f aca="false">IF(N(Q13)=0,"",Q13+IF(I13="yes",Q13*Inputs!$B$10*Inputs!$B$9,0)+V13)</f>
        <v>0.076</v>
      </c>
      <c r="X13" s="28" t="n">
        <f aca="false">IF(OR(N(W13)&lt;=0,N(N13)=0,N(L13)=0),"",MIN(L13,N13/W13))</f>
        <v>26.8421052631579</v>
      </c>
      <c r="Y13" s="29" t="n">
        <f aca="false">IF(OR(X13="",N(O13)=0),"",X13/O13-1)</f>
        <v>-0.593301435406699</v>
      </c>
      <c r="Z13" s="29" t="n">
        <f aca="false">IF(OR(Y13="",N(O13)=0),"",Y13+N13/O13)</f>
        <v>-0.562392344497608</v>
      </c>
      <c r="AA13" s="32" t="n">
        <f aca="false">IF(OR(Z13="",N(U13)=0),"",Z13-U13)</f>
        <v>0</v>
      </c>
      <c r="AB13" s="29" t="n">
        <f aca="false">IF(N(Q13)=0,"",Q13+IF(I13="yes",Q13*Inputs!$B$10*Inputs!$B$9,0)+IFERROR(INDEX(Inputs!$B$13:$B$15,MATCH(G13,Inputs!$A$13:$A$15,0)),0)+IFERROR(INDEX(Inputs!$B$18:$B$24,MATCH(H13,Inputs!$A$18:$A$24,0)),0))</f>
        <v>0.076</v>
      </c>
      <c r="AC13" s="28" t="n">
        <f aca="false">IF(OR(N(AB13)&lt;=0,N(N13)=0,N(L13)=0),"",MIN(L13,N13/AB13))</f>
        <v>26.8421052631579</v>
      </c>
      <c r="AD13" s="29" t="n">
        <f aca="false">IF(OR(AC13="",N(O13)=0),"",AC13/O13-1)</f>
        <v>-0.593301435406699</v>
      </c>
      <c r="AE13" s="29" t="n">
        <f aca="false">IF(OR(AD13="",N(O13)=0),"",AD13+N13/O13)</f>
        <v>-0.562392344497608</v>
      </c>
      <c r="AF13" s="32" t="n">
        <f aca="false">IF(OR(AE13="",N(Z13)=0),"",AE13-Z13)</f>
        <v>0</v>
      </c>
      <c r="AG13" s="28" t="n">
        <f aca="false">IF(AND(N(M13)&gt;0,N(L13)&gt;0),M13*L13,N13)</f>
        <v>2.04</v>
      </c>
      <c r="AH13" s="28" t="n">
        <f aca="false">IF(OR(N(AB13)&lt;=0,N(AG13)=0,N(L13)=0),"",MIN(L13,AG13/AB13))</f>
        <v>26.8421052631579</v>
      </c>
      <c r="AI13" s="29" t="n">
        <f aca="false">IF(OR(AH13="",N(O13)=0),"",AH13/O13-1)</f>
        <v>-0.593301435406699</v>
      </c>
      <c r="AJ13" s="29" t="n">
        <f aca="false">IF(OR(AI13="",N(O13)=0),"",AI13+AG13/O13)</f>
        <v>-0.562392344497608</v>
      </c>
      <c r="AK13" s="32" t="n">
        <f aca="false">IF(OR(AJ13="",N(AE13)=0),"",AJ13-AE13)</f>
        <v>0</v>
      </c>
      <c r="AL13" s="33" t="n">
        <f aca="false">IF(N(F13)=0,"",INDEX(Inputs!$B$28:$B$32,IFERROR(MATCH(F13,Inputs!$A$28:$A$32,1),0)+1))</f>
        <v>0.075</v>
      </c>
      <c r="AM13" s="34"/>
      <c r="AN13" s="33" t="n">
        <f aca="false">IF(N(AM13)&gt;0,AM13,AL13)</f>
        <v>0.075</v>
      </c>
      <c r="AO13" s="29" t="n">
        <f aca="false">IF(N(AN13)=0,"",AN13+IF(I13="yes",AN13*Inputs!$B$10*Inputs!$B$9,0)+IFERROR(INDEX(Inputs!$B$13:$B$15,MATCH(G13,Inputs!$A$13:$A$15,0)),0)+IFERROR(INDEX(Inputs!$B$18:$B$24,MATCH(H13,Inputs!$A$18:$A$24,0)),0))</f>
        <v>0.07125</v>
      </c>
      <c r="AP13" s="28" t="n">
        <f aca="false">IF(OR(N(AO13)&lt;=0,N(AG13)=0,N(L13)=0),"",MIN(L13,AG13/AO13))</f>
        <v>28.6315789473684</v>
      </c>
      <c r="AQ13" s="29" t="n">
        <f aca="false">IF(OR(AP13="",N(O13)=0),"",AP13/O13-1)</f>
        <v>-0.566188197767145</v>
      </c>
      <c r="AR13" s="29" t="n">
        <f aca="false">IF(OR(AQ13="",N(O13)=0),"",AQ13+AG13/O13)</f>
        <v>-0.535279106858054</v>
      </c>
      <c r="AS13" s="32" t="n">
        <f aca="false">IF(OR(AR13="",N(AJ13)=0),"",AR13-AJ13)</f>
        <v>0.0271132376395535</v>
      </c>
      <c r="AT13" s="28" t="n">
        <v>100</v>
      </c>
      <c r="AU13" s="28" t="n">
        <v>4.08</v>
      </c>
      <c r="AV13" s="28" t="n">
        <f aca="false">IF(N(AT13)&gt;0,AT13,L13)</f>
        <v>100</v>
      </c>
      <c r="AW13" s="28" t="n">
        <f aca="false">IF(AND(N(M13)&gt;0,N(AV13)&gt;0),M13*AV13,IF(N(AU13)&gt;0,AU13,N13))</f>
        <v>4.08</v>
      </c>
      <c r="AX13" s="29" t="n">
        <f aca="false">IF(N(AN13)=0,"",AN13+IF(I13="yes",AN13*Inputs!$B$10*Inputs!$B$9,0)+IFERROR(INDEX(Inputs!$B$13:$B$15,MATCH(G13,Inputs!$A$13:$A$15,0)),0)+IFERROR(INDEX(Inputs!$B$18:$B$24,MATCH(H13,Inputs!$A$18:$A$24,0)),0))</f>
        <v>0.07125</v>
      </c>
      <c r="AY13" s="28" t="n">
        <f aca="false">IF(OR(N(AX13)&lt;=0,N(AW13)=0,N(AV13)=0),"",MIN(AV13,AW13/AX13))</f>
        <v>57.2631578947369</v>
      </c>
      <c r="AZ13" s="29" t="n">
        <f aca="false">IF(OR(AY13="",N(O13)=0),"",AY13/O13-1)</f>
        <v>-0.13237639553429</v>
      </c>
      <c r="BA13" s="29" t="n">
        <f aca="false">IF(OR(AZ13="",N(O13)=0),"",AZ13+AW13/O13)</f>
        <v>-0.0705582137161083</v>
      </c>
      <c r="BB13" s="32" t="n">
        <f aca="false">IF(OR(BA13="",N(AR13)=0),"",BA13-AR13)</f>
        <v>0.464720893141946</v>
      </c>
      <c r="BC13" s="35" t="n">
        <f aca="false">IF(OR(BA13="",N(U13)=0),"",BA13-U13)</f>
        <v>0.491834130781499</v>
      </c>
      <c r="BD13" s="36" t="s">
        <v>172</v>
      </c>
    </row>
    <row r="14" customFormat="false" ht="15" hidden="false" customHeight="false" outlineLevel="0" collapsed="false">
      <c r="A14" s="2" t="s">
        <v>140</v>
      </c>
      <c r="B14" s="2" t="n">
        <v>33</v>
      </c>
      <c r="C14" s="2" t="s">
        <v>173</v>
      </c>
      <c r="D14" s="2" t="s">
        <v>170</v>
      </c>
      <c r="E14" s="2" t="s">
        <v>171</v>
      </c>
      <c r="F14" s="27" t="n">
        <v>30100</v>
      </c>
      <c r="G14" s="2" t="s">
        <v>51</v>
      </c>
      <c r="H14" s="2" t="s">
        <v>58</v>
      </c>
      <c r="I14" s="2" t="s">
        <v>151</v>
      </c>
      <c r="J14" s="2" t="s">
        <v>145</v>
      </c>
      <c r="K14" s="2" t="n">
        <v>4</v>
      </c>
      <c r="L14" s="28" t="n">
        <v>50</v>
      </c>
      <c r="M14" s="29" t="n">
        <v>0.047</v>
      </c>
      <c r="N14" s="28" t="n">
        <v>2.35</v>
      </c>
      <c r="O14" s="28" t="n">
        <v>77</v>
      </c>
      <c r="P14" s="2" t="s">
        <v>146</v>
      </c>
      <c r="Q14" s="29" t="n">
        <v>0.08</v>
      </c>
      <c r="R14" s="30" t="n">
        <v>0.076</v>
      </c>
      <c r="S14" s="31" t="n">
        <v>30.921052631579</v>
      </c>
      <c r="T14" s="30" t="n">
        <v>-0.598427887901572</v>
      </c>
      <c r="U14" s="30" t="n">
        <v>-0.567908407382092</v>
      </c>
      <c r="V14" s="29" t="n">
        <v>0</v>
      </c>
      <c r="W14" s="29" t="n">
        <f aca="false">IF(N(Q14)=0,"",Q14+IF(I14="yes",Q14*Inputs!$B$10*Inputs!$B$9,0)+V14)</f>
        <v>0.076</v>
      </c>
      <c r="X14" s="28" t="n">
        <f aca="false">IF(OR(N(W14)&lt;=0,N(N14)=0,N(L14)=0),"",MIN(L14,N14/W14))</f>
        <v>30.921052631579</v>
      </c>
      <c r="Y14" s="29" t="n">
        <f aca="false">IF(OR(X14="",N(O14)=0),"",X14/O14-1)</f>
        <v>-0.598427887901572</v>
      </c>
      <c r="Z14" s="29" t="n">
        <f aca="false">IF(OR(Y14="",N(O14)=0),"",Y14+N14/O14)</f>
        <v>-0.567908407382092</v>
      </c>
      <c r="AA14" s="32" t="n">
        <f aca="false">IF(OR(Z14="",N(U14)=0),"",Z14-U14)</f>
        <v>0</v>
      </c>
      <c r="AB14" s="29" t="n">
        <f aca="false">IF(N(Q14)=0,"",Q14+IF(I14="yes",Q14*Inputs!$B$10*Inputs!$B$9,0)+IFERROR(INDEX(Inputs!$B$13:$B$15,MATCH(G14,Inputs!$A$13:$A$15,0)),0)+IFERROR(INDEX(Inputs!$B$18:$B$24,MATCH(H14,Inputs!$A$18:$A$24,0)),0))</f>
        <v>0.076</v>
      </c>
      <c r="AC14" s="28" t="n">
        <f aca="false">IF(OR(N(AB14)&lt;=0,N(N14)=0,N(L14)=0),"",MIN(L14,N14/AB14))</f>
        <v>30.921052631579</v>
      </c>
      <c r="AD14" s="29" t="n">
        <f aca="false">IF(OR(AC14="",N(O14)=0),"",AC14/O14-1)</f>
        <v>-0.598427887901572</v>
      </c>
      <c r="AE14" s="29" t="n">
        <f aca="false">IF(OR(AD14="",N(O14)=0),"",AD14+N14/O14)</f>
        <v>-0.567908407382092</v>
      </c>
      <c r="AF14" s="32" t="n">
        <f aca="false">IF(OR(AE14="",N(Z14)=0),"",AE14-Z14)</f>
        <v>0</v>
      </c>
      <c r="AG14" s="28" t="n">
        <f aca="false">IF(AND(N(M14)&gt;0,N(L14)&gt;0),M14*L14,N14)</f>
        <v>2.35</v>
      </c>
      <c r="AH14" s="28" t="n">
        <f aca="false">IF(OR(N(AB14)&lt;=0,N(AG14)=0,N(L14)=0),"",MIN(L14,AG14/AB14))</f>
        <v>30.921052631579</v>
      </c>
      <c r="AI14" s="29" t="n">
        <f aca="false">IF(OR(AH14="",N(O14)=0),"",AH14/O14-1)</f>
        <v>-0.598427887901572</v>
      </c>
      <c r="AJ14" s="29" t="n">
        <f aca="false">IF(OR(AI14="",N(O14)=0),"",AI14+AG14/O14)</f>
        <v>-0.567908407382092</v>
      </c>
      <c r="AK14" s="32" t="n">
        <f aca="false">IF(OR(AJ14="",N(AE14)=0),"",AJ14-AE14)</f>
        <v>0</v>
      </c>
      <c r="AL14" s="33" t="n">
        <f aca="false">IF(N(F14)=0,"",INDEX(Inputs!$B$28:$B$32,IFERROR(MATCH(F14,Inputs!$A$28:$A$32,1),0)+1))</f>
        <v>0.075</v>
      </c>
      <c r="AM14" s="34"/>
      <c r="AN14" s="33" t="n">
        <f aca="false">IF(N(AM14)&gt;0,AM14,AL14)</f>
        <v>0.075</v>
      </c>
      <c r="AO14" s="29" t="n">
        <f aca="false">IF(N(AN14)=0,"",AN14+IF(I14="yes",AN14*Inputs!$B$10*Inputs!$B$9,0)+IFERROR(INDEX(Inputs!$B$13:$B$15,MATCH(G14,Inputs!$A$13:$A$15,0)),0)+IFERROR(INDEX(Inputs!$B$18:$B$24,MATCH(H14,Inputs!$A$18:$A$24,0)),0))</f>
        <v>0.07125</v>
      </c>
      <c r="AP14" s="28" t="n">
        <f aca="false">IF(OR(N(AO14)&lt;=0,N(AG14)=0,N(L14)=0),"",MIN(L14,AG14/AO14))</f>
        <v>32.9824561403509</v>
      </c>
      <c r="AQ14" s="29" t="n">
        <f aca="false">IF(OR(AP14="",N(O14)=0),"",AP14/O14-1)</f>
        <v>-0.571656413761677</v>
      </c>
      <c r="AR14" s="29" t="n">
        <f aca="false">IF(OR(AQ14="",N(O14)=0),"",AQ14+AG14/O14)</f>
        <v>-0.541136933242196</v>
      </c>
      <c r="AS14" s="32" t="n">
        <f aca="false">IF(OR(AR14="",N(AJ14)=0),"",AR14-AJ14)</f>
        <v>0.0267714741398952</v>
      </c>
      <c r="AT14" s="28" t="n">
        <v>100</v>
      </c>
      <c r="AU14" s="28" t="n">
        <v>4.7</v>
      </c>
      <c r="AV14" s="28" t="n">
        <f aca="false">IF(N(AT14)&gt;0,AT14,L14)</f>
        <v>100</v>
      </c>
      <c r="AW14" s="28" t="n">
        <f aca="false">IF(AND(N(M14)&gt;0,N(AV14)&gt;0),M14*AV14,IF(N(AU14)&gt;0,AU14,N14))</f>
        <v>4.7</v>
      </c>
      <c r="AX14" s="29" t="n">
        <f aca="false">IF(N(AN14)=0,"",AN14+IF(I14="yes",AN14*Inputs!$B$10*Inputs!$B$9,0)+IFERROR(INDEX(Inputs!$B$13:$B$15,MATCH(G14,Inputs!$A$13:$A$15,0)),0)+IFERROR(INDEX(Inputs!$B$18:$B$24,MATCH(H14,Inputs!$A$18:$A$24,0)),0))</f>
        <v>0.07125</v>
      </c>
      <c r="AY14" s="28" t="n">
        <f aca="false">IF(OR(N(AX14)&lt;=0,N(AW14)=0,N(AV14)=0),"",MIN(AV14,AW14/AX14))</f>
        <v>65.9649122807018</v>
      </c>
      <c r="AZ14" s="29" t="n">
        <f aca="false">IF(OR(AY14="",N(O14)=0),"",AY14/O14-1)</f>
        <v>-0.143312827523354</v>
      </c>
      <c r="BA14" s="29" t="n">
        <f aca="false">IF(OR(AZ14="",N(O14)=0),"",AZ14+AW14/O14)</f>
        <v>-0.0822738664843926</v>
      </c>
      <c r="BB14" s="32" t="n">
        <f aca="false">IF(OR(BA14="",N(AR14)=0),"",BA14-AR14)</f>
        <v>0.458863066757804</v>
      </c>
      <c r="BC14" s="35" t="n">
        <f aca="false">IF(OR(BA14="",N(U14)=0),"",BA14-U14)</f>
        <v>0.485634540897699</v>
      </c>
      <c r="BD14" s="36" t="s">
        <v>172</v>
      </c>
    </row>
    <row r="15" customFormat="false" ht="15" hidden="false" customHeight="false" outlineLevel="0" collapsed="false">
      <c r="A15" s="2" t="s">
        <v>140</v>
      </c>
      <c r="B15" s="2" t="n">
        <v>34</v>
      </c>
      <c r="C15" s="2" t="s">
        <v>174</v>
      </c>
      <c r="D15" s="2" t="s">
        <v>170</v>
      </c>
      <c r="E15" s="2" t="s">
        <v>171</v>
      </c>
      <c r="F15" s="27" t="n">
        <v>30100</v>
      </c>
      <c r="G15" s="2" t="s">
        <v>51</v>
      </c>
      <c r="H15" s="2" t="s">
        <v>58</v>
      </c>
      <c r="I15" s="2" t="s">
        <v>151</v>
      </c>
      <c r="J15" s="2" t="s">
        <v>145</v>
      </c>
      <c r="K15" s="2" t="n">
        <v>4</v>
      </c>
      <c r="L15" s="28" t="n">
        <v>50</v>
      </c>
      <c r="M15" s="29" t="n">
        <v>0.0442</v>
      </c>
      <c r="N15" s="28" t="n">
        <v>2.21</v>
      </c>
      <c r="O15" s="28" t="n">
        <v>71</v>
      </c>
      <c r="P15" s="2" t="s">
        <v>146</v>
      </c>
      <c r="Q15" s="29" t="n">
        <v>0.08</v>
      </c>
      <c r="R15" s="30" t="n">
        <v>0.076</v>
      </c>
      <c r="S15" s="31" t="n">
        <v>29.0789473684211</v>
      </c>
      <c r="T15" s="30" t="n">
        <v>-0.590437361008154</v>
      </c>
      <c r="U15" s="30" t="n">
        <v>-0.559310600444774</v>
      </c>
      <c r="V15" s="29" t="n">
        <v>0</v>
      </c>
      <c r="W15" s="29" t="n">
        <f aca="false">IF(N(Q15)=0,"",Q15+IF(I15="yes",Q15*Inputs!$B$10*Inputs!$B$9,0)+V15)</f>
        <v>0.076</v>
      </c>
      <c r="X15" s="28" t="n">
        <f aca="false">IF(OR(N(W15)&lt;=0,N(N15)=0,N(L15)=0),"",MIN(L15,N15/W15))</f>
        <v>29.0789473684211</v>
      </c>
      <c r="Y15" s="29" t="n">
        <f aca="false">IF(OR(X15="",N(O15)=0),"",X15/O15-1)</f>
        <v>-0.590437361008154</v>
      </c>
      <c r="Z15" s="29" t="n">
        <f aca="false">IF(OR(Y15="",N(O15)=0),"",Y15+N15/O15)</f>
        <v>-0.559310600444774</v>
      </c>
      <c r="AA15" s="32" t="n">
        <f aca="false">IF(OR(Z15="",N(U15)=0),"",Z15-U15)</f>
        <v>0</v>
      </c>
      <c r="AB15" s="29" t="n">
        <f aca="false">IF(N(Q15)=0,"",Q15+IF(I15="yes",Q15*Inputs!$B$10*Inputs!$B$9,0)+IFERROR(INDEX(Inputs!$B$13:$B$15,MATCH(G15,Inputs!$A$13:$A$15,0)),0)+IFERROR(INDEX(Inputs!$B$18:$B$24,MATCH(H15,Inputs!$A$18:$A$24,0)),0))</f>
        <v>0.076</v>
      </c>
      <c r="AC15" s="28" t="n">
        <f aca="false">IF(OR(N(AB15)&lt;=0,N(N15)=0,N(L15)=0),"",MIN(L15,N15/AB15))</f>
        <v>29.0789473684211</v>
      </c>
      <c r="AD15" s="29" t="n">
        <f aca="false">IF(OR(AC15="",N(O15)=0),"",AC15/O15-1)</f>
        <v>-0.590437361008154</v>
      </c>
      <c r="AE15" s="29" t="n">
        <f aca="false">IF(OR(AD15="",N(O15)=0),"",AD15+N15/O15)</f>
        <v>-0.559310600444774</v>
      </c>
      <c r="AF15" s="32" t="n">
        <f aca="false">IF(OR(AE15="",N(Z15)=0),"",AE15-Z15)</f>
        <v>0</v>
      </c>
      <c r="AG15" s="28" t="n">
        <f aca="false">IF(AND(N(M15)&gt;0,N(L15)&gt;0),M15*L15,N15)</f>
        <v>2.21</v>
      </c>
      <c r="AH15" s="28" t="n">
        <f aca="false">IF(OR(N(AB15)&lt;=0,N(AG15)=0,N(L15)=0),"",MIN(L15,AG15/AB15))</f>
        <v>29.0789473684211</v>
      </c>
      <c r="AI15" s="29" t="n">
        <f aca="false">IF(OR(AH15="",N(O15)=0),"",AH15/O15-1)</f>
        <v>-0.590437361008154</v>
      </c>
      <c r="AJ15" s="29" t="n">
        <f aca="false">IF(OR(AI15="",N(O15)=0),"",AI15+AG15/O15)</f>
        <v>-0.559310600444774</v>
      </c>
      <c r="AK15" s="32" t="n">
        <f aca="false">IF(OR(AJ15="",N(AE15)=0),"",AJ15-AE15)</f>
        <v>0</v>
      </c>
      <c r="AL15" s="33" t="n">
        <f aca="false">IF(N(F15)=0,"",INDEX(Inputs!$B$28:$B$32,IFERROR(MATCH(F15,Inputs!$A$28:$A$32,1),0)+1))</f>
        <v>0.075</v>
      </c>
      <c r="AM15" s="34"/>
      <c r="AN15" s="33" t="n">
        <f aca="false">IF(N(AM15)&gt;0,AM15,AL15)</f>
        <v>0.075</v>
      </c>
      <c r="AO15" s="29" t="n">
        <f aca="false">IF(N(AN15)=0,"",AN15+IF(I15="yes",AN15*Inputs!$B$10*Inputs!$B$9,0)+IFERROR(INDEX(Inputs!$B$13:$B$15,MATCH(G15,Inputs!$A$13:$A$15,0)),0)+IFERROR(INDEX(Inputs!$B$18:$B$24,MATCH(H15,Inputs!$A$18:$A$24,0)),0))</f>
        <v>0.07125</v>
      </c>
      <c r="AP15" s="28" t="n">
        <f aca="false">IF(OR(N(AO15)&lt;=0,N(AG15)=0,N(L15)=0),"",MIN(L15,AG15/AO15))</f>
        <v>31.0175438596491</v>
      </c>
      <c r="AQ15" s="29" t="n">
        <f aca="false">IF(OR(AP15="",N(O15)=0),"",AP15/O15-1)</f>
        <v>-0.563133185075365</v>
      </c>
      <c r="AR15" s="29" t="n">
        <f aca="false">IF(OR(AQ15="",N(O15)=0),"",AQ15+AG15/O15)</f>
        <v>-0.532006424511984</v>
      </c>
      <c r="AS15" s="32" t="n">
        <f aca="false">IF(OR(AR15="",N(AJ15)=0),"",AR15-AJ15)</f>
        <v>0.0273041759327897</v>
      </c>
      <c r="AT15" s="28" t="n">
        <v>100</v>
      </c>
      <c r="AU15" s="28" t="n">
        <v>4.42</v>
      </c>
      <c r="AV15" s="28" t="n">
        <f aca="false">IF(N(AT15)&gt;0,AT15,L15)</f>
        <v>100</v>
      </c>
      <c r="AW15" s="28" t="n">
        <f aca="false">IF(AND(N(M15)&gt;0,N(AV15)&gt;0),M15*AV15,IF(N(AU15)&gt;0,AU15,N15))</f>
        <v>4.42</v>
      </c>
      <c r="AX15" s="29" t="n">
        <f aca="false">IF(N(AN15)=0,"",AN15+IF(I15="yes",AN15*Inputs!$B$10*Inputs!$B$9,0)+IFERROR(INDEX(Inputs!$B$13:$B$15,MATCH(G15,Inputs!$A$13:$A$15,0)),0)+IFERROR(INDEX(Inputs!$B$18:$B$24,MATCH(H15,Inputs!$A$18:$A$24,0)),0))</f>
        <v>0.07125</v>
      </c>
      <c r="AY15" s="28" t="n">
        <f aca="false">IF(OR(N(AX15)&lt;=0,N(AW15)=0,N(AV15)=0),"",MIN(AV15,AW15/AX15))</f>
        <v>62.0350877192983</v>
      </c>
      <c r="AZ15" s="29" t="n">
        <f aca="false">IF(OR(AY15="",N(O15)=0),"",AY15/O15-1)</f>
        <v>-0.126266370150729</v>
      </c>
      <c r="BA15" s="29" t="n">
        <f aca="false">IF(OR(AZ15="",N(O15)=0),"",AZ15+AW15/O15)</f>
        <v>-0.0640128490239684</v>
      </c>
      <c r="BB15" s="32" t="n">
        <f aca="false">IF(OR(BA15="",N(AR15)=0),"",BA15-AR15)</f>
        <v>0.467993575488016</v>
      </c>
      <c r="BC15" s="35" t="n">
        <f aca="false">IF(OR(BA15="",N(U15)=0),"",BA15-U15)</f>
        <v>0.495297751420805</v>
      </c>
      <c r="BD15" s="36" t="s">
        <v>172</v>
      </c>
    </row>
    <row r="16" customFormat="false" ht="15" hidden="false" customHeight="false" outlineLevel="0" collapsed="false">
      <c r="A16" s="2" t="s">
        <v>140</v>
      </c>
      <c r="B16" s="2" t="n">
        <v>35</v>
      </c>
      <c r="C16" s="2" t="s">
        <v>175</v>
      </c>
      <c r="D16" s="2" t="s">
        <v>170</v>
      </c>
      <c r="E16" s="2" t="s">
        <v>171</v>
      </c>
      <c r="F16" s="27" t="n">
        <v>30100</v>
      </c>
      <c r="G16" s="2" t="s">
        <v>51</v>
      </c>
      <c r="H16" s="2" t="s">
        <v>58</v>
      </c>
      <c r="I16" s="2" t="s">
        <v>151</v>
      </c>
      <c r="J16" s="2" t="s">
        <v>145</v>
      </c>
      <c r="K16" s="2" t="n">
        <v>4</v>
      </c>
      <c r="L16" s="28" t="n">
        <v>50</v>
      </c>
      <c r="M16" s="29" t="n">
        <v>0.0426</v>
      </c>
      <c r="N16" s="28" t="n">
        <v>2.13</v>
      </c>
      <c r="O16" s="28" t="n">
        <v>69.825</v>
      </c>
      <c r="P16" s="2" t="s">
        <v>146</v>
      </c>
      <c r="Q16" s="29" t="n">
        <v>0.08</v>
      </c>
      <c r="R16" s="30" t="n">
        <v>0.076</v>
      </c>
      <c r="S16" s="31" t="n">
        <v>28.0263157894737</v>
      </c>
      <c r="T16" s="30" t="n">
        <v>-0.598620611679575</v>
      </c>
      <c r="U16" s="30" t="n">
        <v>-0.568115778167223</v>
      </c>
      <c r="V16" s="29" t="n">
        <v>0</v>
      </c>
      <c r="W16" s="29" t="n">
        <f aca="false">IF(N(Q16)=0,"",Q16+IF(I16="yes",Q16*Inputs!$B$10*Inputs!$B$9,0)+V16)</f>
        <v>0.076</v>
      </c>
      <c r="X16" s="28" t="n">
        <f aca="false">IF(OR(N(W16)&lt;=0,N(N16)=0,N(L16)=0),"",MIN(L16,N16/W16))</f>
        <v>28.0263157894737</v>
      </c>
      <c r="Y16" s="29" t="n">
        <f aca="false">IF(OR(X16="",N(O16)=0),"",X16/O16-1)</f>
        <v>-0.598620611679575</v>
      </c>
      <c r="Z16" s="29" t="n">
        <f aca="false">IF(OR(Y16="",N(O16)=0),"",Y16+N16/O16)</f>
        <v>-0.568115778167223</v>
      </c>
      <c r="AA16" s="32" t="n">
        <f aca="false">IF(OR(Z16="",N(U16)=0),"",Z16-U16)</f>
        <v>0</v>
      </c>
      <c r="AB16" s="29" t="n">
        <f aca="false">IF(N(Q16)=0,"",Q16+IF(I16="yes",Q16*Inputs!$B$10*Inputs!$B$9,0)+IFERROR(INDEX(Inputs!$B$13:$B$15,MATCH(G16,Inputs!$A$13:$A$15,0)),0)+IFERROR(INDEX(Inputs!$B$18:$B$24,MATCH(H16,Inputs!$A$18:$A$24,0)),0))</f>
        <v>0.076</v>
      </c>
      <c r="AC16" s="28" t="n">
        <f aca="false">IF(OR(N(AB16)&lt;=0,N(N16)=0,N(L16)=0),"",MIN(L16,N16/AB16))</f>
        <v>28.0263157894737</v>
      </c>
      <c r="AD16" s="29" t="n">
        <f aca="false">IF(OR(AC16="",N(O16)=0),"",AC16/O16-1)</f>
        <v>-0.598620611679575</v>
      </c>
      <c r="AE16" s="29" t="n">
        <f aca="false">IF(OR(AD16="",N(O16)=0),"",AD16+N16/O16)</f>
        <v>-0.568115778167223</v>
      </c>
      <c r="AF16" s="32" t="n">
        <f aca="false">IF(OR(AE16="",N(Z16)=0),"",AE16-Z16)</f>
        <v>0</v>
      </c>
      <c r="AG16" s="28" t="n">
        <f aca="false">IF(AND(N(M16)&gt;0,N(L16)&gt;0),M16*L16,N16)</f>
        <v>2.13</v>
      </c>
      <c r="AH16" s="28" t="n">
        <f aca="false">IF(OR(N(AB16)&lt;=0,N(AG16)=0,N(L16)=0),"",MIN(L16,AG16/AB16))</f>
        <v>28.0263157894737</v>
      </c>
      <c r="AI16" s="29" t="n">
        <f aca="false">IF(OR(AH16="",N(O16)=0),"",AH16/O16-1)</f>
        <v>-0.598620611679575</v>
      </c>
      <c r="AJ16" s="29" t="n">
        <f aca="false">IF(OR(AI16="",N(O16)=0),"",AI16+AG16/O16)</f>
        <v>-0.568115778167223</v>
      </c>
      <c r="AK16" s="32" t="n">
        <f aca="false">IF(OR(AJ16="",N(AE16)=0),"",AJ16-AE16)</f>
        <v>0</v>
      </c>
      <c r="AL16" s="33" t="n">
        <f aca="false">IF(N(F16)=0,"",INDEX(Inputs!$B$28:$B$32,IFERROR(MATCH(F16,Inputs!$A$28:$A$32,1),0)+1))</f>
        <v>0.075</v>
      </c>
      <c r="AM16" s="34"/>
      <c r="AN16" s="33" t="n">
        <f aca="false">IF(N(AM16)&gt;0,AM16,AL16)</f>
        <v>0.075</v>
      </c>
      <c r="AO16" s="29" t="n">
        <f aca="false">IF(N(AN16)=0,"",AN16+IF(I16="yes",AN16*Inputs!$B$10*Inputs!$B$9,0)+IFERROR(INDEX(Inputs!$B$13:$B$15,MATCH(G16,Inputs!$A$13:$A$15,0)),0)+IFERROR(INDEX(Inputs!$B$18:$B$24,MATCH(H16,Inputs!$A$18:$A$24,0)),0))</f>
        <v>0.07125</v>
      </c>
      <c r="AP16" s="28" t="n">
        <f aca="false">IF(OR(N(AO16)&lt;=0,N(AG16)=0,N(L16)=0),"",MIN(L16,AG16/AO16))</f>
        <v>29.8947368421053</v>
      </c>
      <c r="AQ16" s="29" t="n">
        <f aca="false">IF(OR(AP16="",N(O16)=0),"",AP16/O16-1)</f>
        <v>-0.571861985791547</v>
      </c>
      <c r="AR16" s="29" t="n">
        <f aca="false">IF(OR(AQ16="",N(O16)=0),"",AQ16+AG16/O16)</f>
        <v>-0.541357152279194</v>
      </c>
      <c r="AS16" s="32" t="n">
        <f aca="false">IF(OR(AR16="",N(AJ16)=0),"",AR16-AJ16)</f>
        <v>0.0267586258880284</v>
      </c>
      <c r="AT16" s="28" t="n">
        <v>100</v>
      </c>
      <c r="AU16" s="28" t="n">
        <v>4.26</v>
      </c>
      <c r="AV16" s="28" t="n">
        <f aca="false">IF(N(AT16)&gt;0,AT16,L16)</f>
        <v>100</v>
      </c>
      <c r="AW16" s="28" t="n">
        <f aca="false">IF(AND(N(M16)&gt;0,N(AV16)&gt;0),M16*AV16,IF(N(AU16)&gt;0,AU16,N16))</f>
        <v>4.26</v>
      </c>
      <c r="AX16" s="29" t="n">
        <f aca="false">IF(N(AN16)=0,"",AN16+IF(I16="yes",AN16*Inputs!$B$10*Inputs!$B$9,0)+IFERROR(INDEX(Inputs!$B$13:$B$15,MATCH(G16,Inputs!$A$13:$A$15,0)),0)+IFERROR(INDEX(Inputs!$B$18:$B$24,MATCH(H16,Inputs!$A$18:$A$24,0)),0))</f>
        <v>0.07125</v>
      </c>
      <c r="AY16" s="28" t="n">
        <f aca="false">IF(OR(N(AX16)&lt;=0,N(AW16)=0,N(AV16)=0),"",MIN(AV16,AW16/AX16))</f>
        <v>59.7894736842105</v>
      </c>
      <c r="AZ16" s="29" t="n">
        <f aca="false">IF(OR(AY16="",N(O16)=0),"",AY16/O16-1)</f>
        <v>-0.143723971583093</v>
      </c>
      <c r="BA16" s="29" t="n">
        <f aca="false">IF(OR(AZ16="",N(O16)=0),"",AZ16+AW16/O16)</f>
        <v>-0.0827143045583885</v>
      </c>
      <c r="BB16" s="32" t="n">
        <f aca="false">IF(OR(BA16="",N(AR16)=0),"",BA16-AR16)</f>
        <v>0.458642847720806</v>
      </c>
      <c r="BC16" s="35" t="n">
        <f aca="false">IF(OR(BA16="",N(U16)=0),"",BA16-U16)</f>
        <v>0.485401473608834</v>
      </c>
      <c r="BD16" s="36" t="s">
        <v>172</v>
      </c>
    </row>
    <row r="17" customFormat="false" ht="15" hidden="false" customHeight="false" outlineLevel="0" collapsed="false">
      <c r="A17" s="2" t="s">
        <v>140</v>
      </c>
      <c r="B17" s="2" t="n">
        <v>36</v>
      </c>
      <c r="C17" s="2" t="s">
        <v>176</v>
      </c>
      <c r="D17" s="2" t="s">
        <v>170</v>
      </c>
      <c r="E17" s="2" t="s">
        <v>171</v>
      </c>
      <c r="F17" s="27" t="n">
        <v>30100</v>
      </c>
      <c r="G17" s="2" t="s">
        <v>51</v>
      </c>
      <c r="H17" s="2" t="s">
        <v>58</v>
      </c>
      <c r="I17" s="2" t="s">
        <v>151</v>
      </c>
      <c r="J17" s="2" t="s">
        <v>145</v>
      </c>
      <c r="K17" s="2" t="n">
        <v>4</v>
      </c>
      <c r="L17" s="28" t="n">
        <v>50</v>
      </c>
      <c r="M17" s="29" t="n">
        <v>0.042</v>
      </c>
      <c r="N17" s="28" t="n">
        <v>2.1</v>
      </c>
      <c r="O17" s="28" t="n">
        <v>67.3</v>
      </c>
      <c r="P17" s="2" t="s">
        <v>146</v>
      </c>
      <c r="Q17" s="29" t="n">
        <v>0.08</v>
      </c>
      <c r="R17" s="30" t="n">
        <v>0.076</v>
      </c>
      <c r="S17" s="31" t="n">
        <v>27.6315789473684</v>
      </c>
      <c r="T17" s="30" t="n">
        <v>-0.589426761554704</v>
      </c>
      <c r="U17" s="30" t="n">
        <v>-0.558223195432862</v>
      </c>
      <c r="V17" s="29" t="n">
        <v>0</v>
      </c>
      <c r="W17" s="29" t="n">
        <f aca="false">IF(N(Q17)=0,"",Q17+IF(I17="yes",Q17*Inputs!$B$10*Inputs!$B$9,0)+V17)</f>
        <v>0.076</v>
      </c>
      <c r="X17" s="28" t="n">
        <f aca="false">IF(OR(N(W17)&lt;=0,N(N17)=0,N(L17)=0),"",MIN(L17,N17/W17))</f>
        <v>27.6315789473684</v>
      </c>
      <c r="Y17" s="29" t="n">
        <f aca="false">IF(OR(X17="",N(O17)=0),"",X17/O17-1)</f>
        <v>-0.589426761554704</v>
      </c>
      <c r="Z17" s="29" t="n">
        <f aca="false">IF(OR(Y17="",N(O17)=0),"",Y17+N17/O17)</f>
        <v>-0.558223195432862</v>
      </c>
      <c r="AA17" s="32" t="n">
        <f aca="false">IF(OR(Z17="",N(U17)=0),"",Z17-U17)</f>
        <v>0</v>
      </c>
      <c r="AB17" s="29" t="n">
        <f aca="false">IF(N(Q17)=0,"",Q17+IF(I17="yes",Q17*Inputs!$B$10*Inputs!$B$9,0)+IFERROR(INDEX(Inputs!$B$13:$B$15,MATCH(G17,Inputs!$A$13:$A$15,0)),0)+IFERROR(INDEX(Inputs!$B$18:$B$24,MATCH(H17,Inputs!$A$18:$A$24,0)),0))</f>
        <v>0.076</v>
      </c>
      <c r="AC17" s="28" t="n">
        <f aca="false">IF(OR(N(AB17)&lt;=0,N(N17)=0,N(L17)=0),"",MIN(L17,N17/AB17))</f>
        <v>27.6315789473684</v>
      </c>
      <c r="AD17" s="29" t="n">
        <f aca="false">IF(OR(AC17="",N(O17)=0),"",AC17/O17-1)</f>
        <v>-0.589426761554704</v>
      </c>
      <c r="AE17" s="29" t="n">
        <f aca="false">IF(OR(AD17="",N(O17)=0),"",AD17+N17/O17)</f>
        <v>-0.558223195432862</v>
      </c>
      <c r="AF17" s="32" t="n">
        <f aca="false">IF(OR(AE17="",N(Z17)=0),"",AE17-Z17)</f>
        <v>0</v>
      </c>
      <c r="AG17" s="28" t="n">
        <f aca="false">IF(AND(N(M17)&gt;0,N(L17)&gt;0),M17*L17,N17)</f>
        <v>2.1</v>
      </c>
      <c r="AH17" s="28" t="n">
        <f aca="false">IF(OR(N(AB17)&lt;=0,N(AG17)=0,N(L17)=0),"",MIN(L17,AG17/AB17))</f>
        <v>27.6315789473684</v>
      </c>
      <c r="AI17" s="29" t="n">
        <f aca="false">IF(OR(AH17="",N(O17)=0),"",AH17/O17-1)</f>
        <v>-0.589426761554704</v>
      </c>
      <c r="AJ17" s="29" t="n">
        <f aca="false">IF(OR(AI17="",N(O17)=0),"",AI17+AG17/O17)</f>
        <v>-0.558223195432862</v>
      </c>
      <c r="AK17" s="32" t="n">
        <f aca="false">IF(OR(AJ17="",N(AE17)=0),"",AJ17-AE17)</f>
        <v>0</v>
      </c>
      <c r="AL17" s="33" t="n">
        <f aca="false">IF(N(F17)=0,"",INDEX(Inputs!$B$28:$B$32,IFERROR(MATCH(F17,Inputs!$A$28:$A$32,1),0)+1))</f>
        <v>0.075</v>
      </c>
      <c r="AM17" s="34"/>
      <c r="AN17" s="33" t="n">
        <f aca="false">IF(N(AM17)&gt;0,AM17,AL17)</f>
        <v>0.075</v>
      </c>
      <c r="AO17" s="29" t="n">
        <f aca="false">IF(N(AN17)=0,"",AN17+IF(I17="yes",AN17*Inputs!$B$10*Inputs!$B$9,0)+IFERROR(INDEX(Inputs!$B$13:$B$15,MATCH(G17,Inputs!$A$13:$A$15,0)),0)+IFERROR(INDEX(Inputs!$B$18:$B$24,MATCH(H17,Inputs!$A$18:$A$24,0)),0))</f>
        <v>0.07125</v>
      </c>
      <c r="AP17" s="28" t="n">
        <f aca="false">IF(OR(N(AO17)&lt;=0,N(AG17)=0,N(L17)=0),"",MIN(L17,AG17/AO17))</f>
        <v>29.4736842105263</v>
      </c>
      <c r="AQ17" s="29" t="n">
        <f aca="false">IF(OR(AP17="",N(O17)=0),"",AP17/O17-1)</f>
        <v>-0.562055212325018</v>
      </c>
      <c r="AR17" s="29" t="n">
        <f aca="false">IF(OR(AQ17="",N(O17)=0),"",AQ17+AG17/O17)</f>
        <v>-0.530851646203175</v>
      </c>
      <c r="AS17" s="32" t="n">
        <f aca="false">IF(OR(AR17="",N(AJ17)=0),"",AR17-AJ17)</f>
        <v>0.0273715492296864</v>
      </c>
      <c r="AT17" s="28" t="n">
        <v>100</v>
      </c>
      <c r="AU17" s="28" t="n">
        <v>4.2</v>
      </c>
      <c r="AV17" s="28" t="n">
        <f aca="false">IF(N(AT17)&gt;0,AT17,L17)</f>
        <v>100</v>
      </c>
      <c r="AW17" s="28" t="n">
        <f aca="false">IF(AND(N(M17)&gt;0,N(AV17)&gt;0),M17*AV17,IF(N(AU17)&gt;0,AU17,N17))</f>
        <v>4.2</v>
      </c>
      <c r="AX17" s="29" t="n">
        <f aca="false">IF(N(AN17)=0,"",AN17+IF(I17="yes",AN17*Inputs!$B$10*Inputs!$B$9,0)+IFERROR(INDEX(Inputs!$B$13:$B$15,MATCH(G17,Inputs!$A$13:$A$15,0)),0)+IFERROR(INDEX(Inputs!$B$18:$B$24,MATCH(H17,Inputs!$A$18:$A$24,0)),0))</f>
        <v>0.07125</v>
      </c>
      <c r="AY17" s="28" t="n">
        <f aca="false">IF(OR(N(AX17)&lt;=0,N(AW17)=0,N(AV17)=0),"",MIN(AV17,AW17/AX17))</f>
        <v>58.9473684210526</v>
      </c>
      <c r="AZ17" s="29" t="n">
        <f aca="false">IF(OR(AY17="",N(O17)=0),"",AY17/O17-1)</f>
        <v>-0.124110424650035</v>
      </c>
      <c r="BA17" s="29" t="n">
        <f aca="false">IF(OR(AZ17="",N(O17)=0),"",AZ17+AW17/O17)</f>
        <v>-0.0617032924063501</v>
      </c>
      <c r="BB17" s="32" t="n">
        <f aca="false">IF(OR(BA17="",N(AR17)=0),"",BA17-AR17)</f>
        <v>0.469148353796825</v>
      </c>
      <c r="BC17" s="35" t="n">
        <f aca="false">IF(OR(BA17="",N(U17)=0),"",BA17-U17)</f>
        <v>0.496519903026511</v>
      </c>
      <c r="BD17" s="36" t="s">
        <v>172</v>
      </c>
    </row>
    <row r="18" customFormat="false" ht="15" hidden="false" customHeight="false" outlineLevel="0" collapsed="false">
      <c r="A18" s="2" t="s">
        <v>140</v>
      </c>
      <c r="B18" s="2" t="n">
        <v>37</v>
      </c>
      <c r="C18" s="2" t="s">
        <v>177</v>
      </c>
      <c r="D18" s="2" t="s">
        <v>170</v>
      </c>
      <c r="E18" s="2" t="s">
        <v>171</v>
      </c>
      <c r="F18" s="27" t="n">
        <v>30100</v>
      </c>
      <c r="G18" s="2" t="s">
        <v>51</v>
      </c>
      <c r="H18" s="2" t="s">
        <v>58</v>
      </c>
      <c r="I18" s="2" t="s">
        <v>151</v>
      </c>
      <c r="J18" s="2" t="s">
        <v>145</v>
      </c>
      <c r="K18" s="2" t="n">
        <v>4</v>
      </c>
      <c r="L18" s="28" t="n">
        <v>100</v>
      </c>
      <c r="M18" s="29" t="n">
        <v>0.0516</v>
      </c>
      <c r="N18" s="28" t="n">
        <v>5.16</v>
      </c>
      <c r="O18" s="28" t="n">
        <v>81</v>
      </c>
      <c r="P18" s="2" t="s">
        <v>146</v>
      </c>
      <c r="Q18" s="29" t="n">
        <v>0.08</v>
      </c>
      <c r="R18" s="30" t="n">
        <v>0.076</v>
      </c>
      <c r="S18" s="31" t="n">
        <v>67.8947368421053</v>
      </c>
      <c r="T18" s="30" t="n">
        <v>-0.161793372319688</v>
      </c>
      <c r="U18" s="30" t="n">
        <v>-0.0980896686159845</v>
      </c>
      <c r="V18" s="29" t="n">
        <v>0</v>
      </c>
      <c r="W18" s="29" t="n">
        <f aca="false">IF(N(Q18)=0,"",Q18+IF(I18="yes",Q18*Inputs!$B$10*Inputs!$B$9,0)+V18)</f>
        <v>0.076</v>
      </c>
      <c r="X18" s="28" t="n">
        <f aca="false">IF(OR(N(W18)&lt;=0,N(N18)=0,N(L18)=0),"",MIN(L18,N18/W18))</f>
        <v>67.8947368421053</v>
      </c>
      <c r="Y18" s="29" t="n">
        <f aca="false">IF(OR(X18="",N(O18)=0),"",X18/O18-1)</f>
        <v>-0.161793372319688</v>
      </c>
      <c r="Z18" s="29" t="n">
        <f aca="false">IF(OR(Y18="",N(O18)=0),"",Y18+N18/O18)</f>
        <v>-0.0980896686159845</v>
      </c>
      <c r="AA18" s="32" t="n">
        <f aca="false">IF(OR(Z18="",N(U18)=0),"",Z18-U18)</f>
        <v>0</v>
      </c>
      <c r="AB18" s="29" t="n">
        <f aca="false">IF(N(Q18)=0,"",Q18+IF(I18="yes",Q18*Inputs!$B$10*Inputs!$B$9,0)+IFERROR(INDEX(Inputs!$B$13:$B$15,MATCH(G18,Inputs!$A$13:$A$15,0)),0)+IFERROR(INDEX(Inputs!$B$18:$B$24,MATCH(H18,Inputs!$A$18:$A$24,0)),0))</f>
        <v>0.076</v>
      </c>
      <c r="AC18" s="28" t="n">
        <f aca="false">IF(OR(N(AB18)&lt;=0,N(N18)=0,N(L18)=0),"",MIN(L18,N18/AB18))</f>
        <v>67.8947368421053</v>
      </c>
      <c r="AD18" s="29" t="n">
        <f aca="false">IF(OR(AC18="",N(O18)=0),"",AC18/O18-1)</f>
        <v>-0.161793372319688</v>
      </c>
      <c r="AE18" s="29" t="n">
        <f aca="false">IF(OR(AD18="",N(O18)=0),"",AD18+N18/O18)</f>
        <v>-0.0980896686159845</v>
      </c>
      <c r="AF18" s="32" t="n">
        <f aca="false">IF(OR(AE18="",N(Z18)=0),"",AE18-Z18)</f>
        <v>0</v>
      </c>
      <c r="AG18" s="28" t="n">
        <f aca="false">IF(AND(N(M18)&gt;0,N(L18)&gt;0),M18*L18,N18)</f>
        <v>5.16</v>
      </c>
      <c r="AH18" s="28" t="n">
        <f aca="false">IF(OR(N(AB18)&lt;=0,N(AG18)=0,N(L18)=0),"",MIN(L18,AG18/AB18))</f>
        <v>67.8947368421053</v>
      </c>
      <c r="AI18" s="29" t="n">
        <f aca="false">IF(OR(AH18="",N(O18)=0),"",AH18/O18-1)</f>
        <v>-0.161793372319688</v>
      </c>
      <c r="AJ18" s="29" t="n">
        <f aca="false">IF(OR(AI18="",N(O18)=0),"",AI18+AG18/O18)</f>
        <v>-0.0980896686159845</v>
      </c>
      <c r="AK18" s="32" t="n">
        <f aca="false">IF(OR(AJ18="",N(AE18)=0),"",AJ18-AE18)</f>
        <v>0</v>
      </c>
      <c r="AL18" s="33" t="n">
        <f aca="false">IF(N(F18)=0,"",INDEX(Inputs!$B$28:$B$32,IFERROR(MATCH(F18,Inputs!$A$28:$A$32,1),0)+1))</f>
        <v>0.075</v>
      </c>
      <c r="AM18" s="34"/>
      <c r="AN18" s="33" t="n">
        <f aca="false">IF(N(AM18)&gt;0,AM18,AL18)</f>
        <v>0.075</v>
      </c>
      <c r="AO18" s="29" t="n">
        <f aca="false">IF(N(AN18)=0,"",AN18+IF(I18="yes",AN18*Inputs!$B$10*Inputs!$B$9,0)+IFERROR(INDEX(Inputs!$B$13:$B$15,MATCH(G18,Inputs!$A$13:$A$15,0)),0)+IFERROR(INDEX(Inputs!$B$18:$B$24,MATCH(H18,Inputs!$A$18:$A$24,0)),0))</f>
        <v>0.07125</v>
      </c>
      <c r="AP18" s="28" t="n">
        <f aca="false">IF(OR(N(AO18)&lt;=0,N(AG18)=0,N(L18)=0),"",MIN(L18,AG18/AO18))</f>
        <v>72.421052631579</v>
      </c>
      <c r="AQ18" s="29" t="n">
        <f aca="false">IF(OR(AP18="",N(O18)=0),"",AP18/O18-1)</f>
        <v>-0.105912930474334</v>
      </c>
      <c r="AR18" s="29" t="n">
        <f aca="false">IF(OR(AQ18="",N(O18)=0),"",AQ18+AG18/O18)</f>
        <v>-0.0422092267706301</v>
      </c>
      <c r="AS18" s="32" t="n">
        <f aca="false">IF(OR(AR18="",N(AJ18)=0),"",AR18-AJ18)</f>
        <v>0.0558804418453543</v>
      </c>
      <c r="AT18" s="28" t="n">
        <v>100</v>
      </c>
      <c r="AU18" s="28" t="n">
        <v>5.16</v>
      </c>
      <c r="AV18" s="28" t="n">
        <f aca="false">IF(N(AT18)&gt;0,AT18,L18)</f>
        <v>100</v>
      </c>
      <c r="AW18" s="28" t="n">
        <f aca="false">IF(AND(N(M18)&gt;0,N(AV18)&gt;0),M18*AV18,IF(N(AU18)&gt;0,AU18,N18))</f>
        <v>5.16</v>
      </c>
      <c r="AX18" s="29" t="n">
        <f aca="false">IF(N(AN18)=0,"",AN18+IF(I18="yes",AN18*Inputs!$B$10*Inputs!$B$9,0)+IFERROR(INDEX(Inputs!$B$13:$B$15,MATCH(G18,Inputs!$A$13:$A$15,0)),0)+IFERROR(INDEX(Inputs!$B$18:$B$24,MATCH(H18,Inputs!$A$18:$A$24,0)),0))</f>
        <v>0.07125</v>
      </c>
      <c r="AY18" s="28" t="n">
        <f aca="false">IF(OR(N(AX18)&lt;=0,N(AW18)=0,N(AV18)=0),"",MIN(AV18,AW18/AX18))</f>
        <v>72.421052631579</v>
      </c>
      <c r="AZ18" s="29" t="n">
        <f aca="false">IF(OR(AY18="",N(O18)=0),"",AY18/O18-1)</f>
        <v>-0.105912930474334</v>
      </c>
      <c r="BA18" s="29" t="n">
        <f aca="false">IF(OR(AZ18="",N(O18)=0),"",AZ18+AW18/O18)</f>
        <v>-0.0422092267706301</v>
      </c>
      <c r="BB18" s="32" t="n">
        <f aca="false">IF(OR(BA18="",N(AR18)=0),"",BA18-AR18)</f>
        <v>0</v>
      </c>
      <c r="BC18" s="35" t="n">
        <f aca="false">IF(OR(BA18="",N(U18)=0),"",BA18-U18)</f>
        <v>0.0558804418453543</v>
      </c>
      <c r="BD18" s="37"/>
    </row>
    <row r="19" customFormat="false" ht="15" hidden="false" customHeight="false" outlineLevel="0" collapsed="false">
      <c r="A19" s="2" t="s">
        <v>140</v>
      </c>
      <c r="B19" s="2" t="n">
        <v>38</v>
      </c>
      <c r="C19" s="2" t="s">
        <v>178</v>
      </c>
      <c r="D19" s="2" t="s">
        <v>170</v>
      </c>
      <c r="E19" s="2" t="s">
        <v>171</v>
      </c>
      <c r="F19" s="27" t="n">
        <v>30100</v>
      </c>
      <c r="G19" s="2" t="s">
        <v>51</v>
      </c>
      <c r="H19" s="2" t="s">
        <v>58</v>
      </c>
      <c r="I19" s="2" t="s">
        <v>151</v>
      </c>
      <c r="J19" s="2" t="s">
        <v>145</v>
      </c>
      <c r="K19" s="2" t="n">
        <v>4</v>
      </c>
      <c r="L19" s="28" t="n">
        <v>100</v>
      </c>
      <c r="M19" s="29" t="n">
        <v>0.0492</v>
      </c>
      <c r="N19" s="28" t="n">
        <v>4.92</v>
      </c>
      <c r="O19" s="28" t="n">
        <v>78.6</v>
      </c>
      <c r="P19" s="2" t="s">
        <v>146</v>
      </c>
      <c r="Q19" s="29" t="n">
        <v>0.08</v>
      </c>
      <c r="R19" s="30" t="n">
        <v>0.076</v>
      </c>
      <c r="S19" s="31" t="n">
        <v>64.7368421052632</v>
      </c>
      <c r="T19" s="30" t="n">
        <v>-0.176376054640418</v>
      </c>
      <c r="U19" s="30" t="n">
        <v>-0.11378063479309</v>
      </c>
      <c r="V19" s="29" t="n">
        <v>0</v>
      </c>
      <c r="W19" s="29" t="n">
        <f aca="false">IF(N(Q19)=0,"",Q19+IF(I19="yes",Q19*Inputs!$B$10*Inputs!$B$9,0)+V19)</f>
        <v>0.076</v>
      </c>
      <c r="X19" s="28" t="n">
        <f aca="false">IF(OR(N(W19)&lt;=0,N(N19)=0,N(L19)=0),"",MIN(L19,N19/W19))</f>
        <v>64.7368421052632</v>
      </c>
      <c r="Y19" s="29" t="n">
        <f aca="false">IF(OR(X19="",N(O19)=0),"",X19/O19-1)</f>
        <v>-0.176376054640418</v>
      </c>
      <c r="Z19" s="29" t="n">
        <f aca="false">IF(OR(Y19="",N(O19)=0),"",Y19+N19/O19)</f>
        <v>-0.11378063479309</v>
      </c>
      <c r="AA19" s="32" t="n">
        <f aca="false">IF(OR(Z19="",N(U19)=0),"",Z19-U19)</f>
        <v>0</v>
      </c>
      <c r="AB19" s="29" t="n">
        <f aca="false">IF(N(Q19)=0,"",Q19+IF(I19="yes",Q19*Inputs!$B$10*Inputs!$B$9,0)+IFERROR(INDEX(Inputs!$B$13:$B$15,MATCH(G19,Inputs!$A$13:$A$15,0)),0)+IFERROR(INDEX(Inputs!$B$18:$B$24,MATCH(H19,Inputs!$A$18:$A$24,0)),0))</f>
        <v>0.076</v>
      </c>
      <c r="AC19" s="28" t="n">
        <f aca="false">IF(OR(N(AB19)&lt;=0,N(N19)=0,N(L19)=0),"",MIN(L19,N19/AB19))</f>
        <v>64.7368421052632</v>
      </c>
      <c r="AD19" s="29" t="n">
        <f aca="false">IF(OR(AC19="",N(O19)=0),"",AC19/O19-1)</f>
        <v>-0.176376054640418</v>
      </c>
      <c r="AE19" s="29" t="n">
        <f aca="false">IF(OR(AD19="",N(O19)=0),"",AD19+N19/O19)</f>
        <v>-0.11378063479309</v>
      </c>
      <c r="AF19" s="32" t="n">
        <f aca="false">IF(OR(AE19="",N(Z19)=0),"",AE19-Z19)</f>
        <v>0</v>
      </c>
      <c r="AG19" s="28" t="n">
        <f aca="false">IF(AND(N(M19)&gt;0,N(L19)&gt;0),M19*L19,N19)</f>
        <v>4.92</v>
      </c>
      <c r="AH19" s="28" t="n">
        <f aca="false">IF(OR(N(AB19)&lt;=0,N(AG19)=0,N(L19)=0),"",MIN(L19,AG19/AB19))</f>
        <v>64.7368421052632</v>
      </c>
      <c r="AI19" s="29" t="n">
        <f aca="false">IF(OR(AH19="",N(O19)=0),"",AH19/O19-1)</f>
        <v>-0.176376054640418</v>
      </c>
      <c r="AJ19" s="29" t="n">
        <f aca="false">IF(OR(AI19="",N(O19)=0),"",AI19+AG19/O19)</f>
        <v>-0.11378063479309</v>
      </c>
      <c r="AK19" s="32" t="n">
        <f aca="false">IF(OR(AJ19="",N(AE19)=0),"",AJ19-AE19)</f>
        <v>0</v>
      </c>
      <c r="AL19" s="33" t="n">
        <f aca="false">IF(N(F19)=0,"",INDEX(Inputs!$B$28:$B$32,IFERROR(MATCH(F19,Inputs!$A$28:$A$32,1),0)+1))</f>
        <v>0.075</v>
      </c>
      <c r="AM19" s="34"/>
      <c r="AN19" s="33" t="n">
        <f aca="false">IF(N(AM19)&gt;0,AM19,AL19)</f>
        <v>0.075</v>
      </c>
      <c r="AO19" s="29" t="n">
        <f aca="false">IF(N(AN19)=0,"",AN19+IF(I19="yes",AN19*Inputs!$B$10*Inputs!$B$9,0)+IFERROR(INDEX(Inputs!$B$13:$B$15,MATCH(G19,Inputs!$A$13:$A$15,0)),0)+IFERROR(INDEX(Inputs!$B$18:$B$24,MATCH(H19,Inputs!$A$18:$A$24,0)),0))</f>
        <v>0.07125</v>
      </c>
      <c r="AP19" s="28" t="n">
        <f aca="false">IF(OR(N(AO19)&lt;=0,N(AG19)=0,N(L19)=0),"",MIN(L19,AG19/AO19))</f>
        <v>69.0526315789474</v>
      </c>
      <c r="AQ19" s="29" t="n">
        <f aca="false">IF(OR(AP19="",N(O19)=0),"",AP19/O19-1)</f>
        <v>-0.121467791616446</v>
      </c>
      <c r="AR19" s="29" t="n">
        <f aca="false">IF(OR(AQ19="",N(O19)=0),"",AQ19+AG19/O19)</f>
        <v>-0.0588723717691175</v>
      </c>
      <c r="AS19" s="32" t="n">
        <f aca="false">IF(OR(AR19="",N(AJ19)=0),"",AR19-AJ19)</f>
        <v>0.0549082630239721</v>
      </c>
      <c r="AT19" s="28" t="n">
        <v>100</v>
      </c>
      <c r="AU19" s="28" t="n">
        <v>4.92</v>
      </c>
      <c r="AV19" s="28" t="n">
        <f aca="false">IF(N(AT19)&gt;0,AT19,L19)</f>
        <v>100</v>
      </c>
      <c r="AW19" s="28" t="n">
        <f aca="false">IF(AND(N(M19)&gt;0,N(AV19)&gt;0),M19*AV19,IF(N(AU19)&gt;0,AU19,N19))</f>
        <v>4.92</v>
      </c>
      <c r="AX19" s="29" t="n">
        <f aca="false">IF(N(AN19)=0,"",AN19+IF(I19="yes",AN19*Inputs!$B$10*Inputs!$B$9,0)+IFERROR(INDEX(Inputs!$B$13:$B$15,MATCH(G19,Inputs!$A$13:$A$15,0)),0)+IFERROR(INDEX(Inputs!$B$18:$B$24,MATCH(H19,Inputs!$A$18:$A$24,0)),0))</f>
        <v>0.07125</v>
      </c>
      <c r="AY19" s="28" t="n">
        <f aca="false">IF(OR(N(AX19)&lt;=0,N(AW19)=0,N(AV19)=0),"",MIN(AV19,AW19/AX19))</f>
        <v>69.0526315789474</v>
      </c>
      <c r="AZ19" s="29" t="n">
        <f aca="false">IF(OR(AY19="",N(O19)=0),"",AY19/O19-1)</f>
        <v>-0.121467791616446</v>
      </c>
      <c r="BA19" s="29" t="n">
        <f aca="false">IF(OR(AZ19="",N(O19)=0),"",AZ19+AW19/O19)</f>
        <v>-0.0588723717691175</v>
      </c>
      <c r="BB19" s="32" t="n">
        <f aca="false">IF(OR(BA19="",N(AR19)=0),"",BA19-AR19)</f>
        <v>0</v>
      </c>
      <c r="BC19" s="35" t="n">
        <f aca="false">IF(OR(BA19="",N(U19)=0),"",BA19-U19)</f>
        <v>0.0549082630239721</v>
      </c>
      <c r="BD19" s="37"/>
    </row>
    <row r="20" customFormat="false" ht="15" hidden="false" customHeight="false" outlineLevel="0" collapsed="false">
      <c r="A20" s="2" t="s">
        <v>140</v>
      </c>
      <c r="B20" s="2" t="n">
        <v>39</v>
      </c>
      <c r="C20" s="2" t="s">
        <v>179</v>
      </c>
      <c r="D20" s="2" t="s">
        <v>170</v>
      </c>
      <c r="E20" s="2" t="s">
        <v>171</v>
      </c>
      <c r="F20" s="27" t="n">
        <v>30100</v>
      </c>
      <c r="G20" s="2" t="s">
        <v>51</v>
      </c>
      <c r="H20" s="2" t="s">
        <v>58</v>
      </c>
      <c r="I20" s="2" t="s">
        <v>151</v>
      </c>
      <c r="J20" s="2" t="s">
        <v>145</v>
      </c>
      <c r="K20" s="2" t="n">
        <v>4</v>
      </c>
      <c r="L20" s="28" t="n">
        <v>100</v>
      </c>
      <c r="M20" s="29" t="n">
        <v>0.049</v>
      </c>
      <c r="N20" s="28" t="n">
        <v>4.9</v>
      </c>
      <c r="O20" s="28" t="n">
        <v>77.66</v>
      </c>
      <c r="P20" s="2" t="s">
        <v>146</v>
      </c>
      <c r="Q20" s="29" t="n">
        <v>0.08</v>
      </c>
      <c r="R20" s="30" t="n">
        <v>0.076</v>
      </c>
      <c r="S20" s="31" t="n">
        <v>64.4736842105263</v>
      </c>
      <c r="T20" s="30" t="n">
        <v>-0.169795464711225</v>
      </c>
      <c r="U20" s="30" t="n">
        <v>-0.106699920029278</v>
      </c>
      <c r="V20" s="29" t="n">
        <v>0</v>
      </c>
      <c r="W20" s="29" t="n">
        <f aca="false">IF(N(Q20)=0,"",Q20+IF(I20="yes",Q20*Inputs!$B$10*Inputs!$B$9,0)+V20)</f>
        <v>0.076</v>
      </c>
      <c r="X20" s="28" t="n">
        <f aca="false">IF(OR(N(W20)&lt;=0,N(N20)=0,N(L20)=0),"",MIN(L20,N20/W20))</f>
        <v>64.4736842105263</v>
      </c>
      <c r="Y20" s="29" t="n">
        <f aca="false">IF(OR(X20="",N(O20)=0),"",X20/O20-1)</f>
        <v>-0.169795464711225</v>
      </c>
      <c r="Z20" s="29" t="n">
        <f aca="false">IF(OR(Y20="",N(O20)=0),"",Y20+N20/O20)</f>
        <v>-0.106699920029278</v>
      </c>
      <c r="AA20" s="32" t="n">
        <f aca="false">IF(OR(Z20="",N(U20)=0),"",Z20-U20)</f>
        <v>0</v>
      </c>
      <c r="AB20" s="29" t="n">
        <f aca="false">IF(N(Q20)=0,"",Q20+IF(I20="yes",Q20*Inputs!$B$10*Inputs!$B$9,0)+IFERROR(INDEX(Inputs!$B$13:$B$15,MATCH(G20,Inputs!$A$13:$A$15,0)),0)+IFERROR(INDEX(Inputs!$B$18:$B$24,MATCH(H20,Inputs!$A$18:$A$24,0)),0))</f>
        <v>0.076</v>
      </c>
      <c r="AC20" s="28" t="n">
        <f aca="false">IF(OR(N(AB20)&lt;=0,N(N20)=0,N(L20)=0),"",MIN(L20,N20/AB20))</f>
        <v>64.4736842105263</v>
      </c>
      <c r="AD20" s="29" t="n">
        <f aca="false">IF(OR(AC20="",N(O20)=0),"",AC20/O20-1)</f>
        <v>-0.169795464711225</v>
      </c>
      <c r="AE20" s="29" t="n">
        <f aca="false">IF(OR(AD20="",N(O20)=0),"",AD20+N20/O20)</f>
        <v>-0.106699920029278</v>
      </c>
      <c r="AF20" s="32" t="n">
        <f aca="false">IF(OR(AE20="",N(Z20)=0),"",AE20-Z20)</f>
        <v>0</v>
      </c>
      <c r="AG20" s="28" t="n">
        <f aca="false">IF(AND(N(M20)&gt;0,N(L20)&gt;0),M20*L20,N20)</f>
        <v>4.9</v>
      </c>
      <c r="AH20" s="28" t="n">
        <f aca="false">IF(OR(N(AB20)&lt;=0,N(AG20)=0,N(L20)=0),"",MIN(L20,AG20/AB20))</f>
        <v>64.4736842105263</v>
      </c>
      <c r="AI20" s="29" t="n">
        <f aca="false">IF(OR(AH20="",N(O20)=0),"",AH20/O20-1)</f>
        <v>-0.169795464711225</v>
      </c>
      <c r="AJ20" s="29" t="n">
        <f aca="false">IF(OR(AI20="",N(O20)=0),"",AI20+AG20/O20)</f>
        <v>-0.106699920029278</v>
      </c>
      <c r="AK20" s="32" t="n">
        <f aca="false">IF(OR(AJ20="",N(AE20)=0),"",AJ20-AE20)</f>
        <v>0</v>
      </c>
      <c r="AL20" s="33" t="n">
        <f aca="false">IF(N(F20)=0,"",INDEX(Inputs!$B$28:$B$32,IFERROR(MATCH(F20,Inputs!$A$28:$A$32,1),0)+1))</f>
        <v>0.075</v>
      </c>
      <c r="AM20" s="34"/>
      <c r="AN20" s="33" t="n">
        <f aca="false">IF(N(AM20)&gt;0,AM20,AL20)</f>
        <v>0.075</v>
      </c>
      <c r="AO20" s="29" t="n">
        <f aca="false">IF(N(AN20)=0,"",AN20+IF(I20="yes",AN20*Inputs!$B$10*Inputs!$B$9,0)+IFERROR(INDEX(Inputs!$B$13:$B$15,MATCH(G20,Inputs!$A$13:$A$15,0)),0)+IFERROR(INDEX(Inputs!$B$18:$B$24,MATCH(H20,Inputs!$A$18:$A$24,0)),0))</f>
        <v>0.07125</v>
      </c>
      <c r="AP20" s="28" t="n">
        <f aca="false">IF(OR(N(AO20)&lt;=0,N(AG20)=0,N(L20)=0),"",MIN(L20,AG20/AO20))</f>
        <v>68.7719298245614</v>
      </c>
      <c r="AQ20" s="29" t="n">
        <f aca="false">IF(OR(AP20="",N(O20)=0),"",AP20/O20-1)</f>
        <v>-0.114448495691973</v>
      </c>
      <c r="AR20" s="29" t="n">
        <f aca="false">IF(OR(AQ20="",N(O20)=0),"",AQ20+AG20/O20)</f>
        <v>-0.0513529510100257</v>
      </c>
      <c r="AS20" s="32" t="n">
        <f aca="false">IF(OR(AR20="",N(AJ20)=0),"",AR20-AJ20)</f>
        <v>0.0553469690192518</v>
      </c>
      <c r="AT20" s="28" t="n">
        <v>100</v>
      </c>
      <c r="AU20" s="28" t="n">
        <v>4.9</v>
      </c>
      <c r="AV20" s="28" t="n">
        <f aca="false">IF(N(AT20)&gt;0,AT20,L20)</f>
        <v>100</v>
      </c>
      <c r="AW20" s="28" t="n">
        <f aca="false">IF(AND(N(M20)&gt;0,N(AV20)&gt;0),M20*AV20,IF(N(AU20)&gt;0,AU20,N20))</f>
        <v>4.9</v>
      </c>
      <c r="AX20" s="29" t="n">
        <f aca="false">IF(N(AN20)=0,"",AN20+IF(I20="yes",AN20*Inputs!$B$10*Inputs!$B$9,0)+IFERROR(INDEX(Inputs!$B$13:$B$15,MATCH(G20,Inputs!$A$13:$A$15,0)),0)+IFERROR(INDEX(Inputs!$B$18:$B$24,MATCH(H20,Inputs!$A$18:$A$24,0)),0))</f>
        <v>0.07125</v>
      </c>
      <c r="AY20" s="28" t="n">
        <f aca="false">IF(OR(N(AX20)&lt;=0,N(AW20)=0,N(AV20)=0),"",MIN(AV20,AW20/AX20))</f>
        <v>68.7719298245614</v>
      </c>
      <c r="AZ20" s="29" t="n">
        <f aca="false">IF(OR(AY20="",N(O20)=0),"",AY20/O20-1)</f>
        <v>-0.114448495691973</v>
      </c>
      <c r="BA20" s="29" t="n">
        <f aca="false">IF(OR(AZ20="",N(O20)=0),"",AZ20+AW20/O20)</f>
        <v>-0.0513529510100257</v>
      </c>
      <c r="BB20" s="32" t="n">
        <f aca="false">IF(OR(BA20="",N(AR20)=0),"",BA20-AR20)</f>
        <v>0</v>
      </c>
      <c r="BC20" s="35" t="n">
        <f aca="false">IF(OR(BA20="",N(U20)=0),"",BA20-U20)</f>
        <v>0.0553469690192519</v>
      </c>
      <c r="BD20" s="37"/>
    </row>
    <row r="21" customFormat="false" ht="15" hidden="false" customHeight="false" outlineLevel="0" collapsed="false">
      <c r="A21" s="2" t="s">
        <v>140</v>
      </c>
      <c r="B21" s="2" t="n">
        <v>40</v>
      </c>
      <c r="C21" s="2" t="s">
        <v>180</v>
      </c>
      <c r="D21" s="2" t="s">
        <v>170</v>
      </c>
      <c r="E21" s="2" t="s">
        <v>171</v>
      </c>
      <c r="F21" s="27" t="n">
        <v>30100</v>
      </c>
      <c r="G21" s="2" t="s">
        <v>51</v>
      </c>
      <c r="H21" s="2" t="s">
        <v>58</v>
      </c>
      <c r="I21" s="2" t="s">
        <v>151</v>
      </c>
      <c r="J21" s="2" t="s">
        <v>145</v>
      </c>
      <c r="K21" s="2" t="n">
        <v>4</v>
      </c>
      <c r="L21" s="28" t="n">
        <v>100</v>
      </c>
      <c r="M21" s="29" t="n">
        <v>0.0425</v>
      </c>
      <c r="N21" s="28" t="n">
        <v>4.25</v>
      </c>
      <c r="O21" s="28" t="n">
        <v>67.5</v>
      </c>
      <c r="P21" s="2" t="s">
        <v>146</v>
      </c>
      <c r="Q21" s="29" t="n">
        <v>0.08</v>
      </c>
      <c r="R21" s="30" t="n">
        <v>0.076</v>
      </c>
      <c r="S21" s="31" t="n">
        <v>55.921052631579</v>
      </c>
      <c r="T21" s="30" t="n">
        <v>-0.171539961013645</v>
      </c>
      <c r="U21" s="30" t="n">
        <v>-0.108576998050682</v>
      </c>
      <c r="V21" s="29" t="n">
        <v>0</v>
      </c>
      <c r="W21" s="29" t="n">
        <f aca="false">IF(N(Q21)=0,"",Q21+IF(I21="yes",Q21*Inputs!$B$10*Inputs!$B$9,0)+V21)</f>
        <v>0.076</v>
      </c>
      <c r="X21" s="28" t="n">
        <f aca="false">IF(OR(N(W21)&lt;=0,N(N21)=0,N(L21)=0),"",MIN(L21,N21/W21))</f>
        <v>55.921052631579</v>
      </c>
      <c r="Y21" s="29" t="n">
        <f aca="false">IF(OR(X21="",N(O21)=0),"",X21/O21-1)</f>
        <v>-0.171539961013645</v>
      </c>
      <c r="Z21" s="29" t="n">
        <f aca="false">IF(OR(Y21="",N(O21)=0),"",Y21+N21/O21)</f>
        <v>-0.108576998050682</v>
      </c>
      <c r="AA21" s="32" t="n">
        <f aca="false">IF(OR(Z21="",N(U21)=0),"",Z21-U21)</f>
        <v>0</v>
      </c>
      <c r="AB21" s="29" t="n">
        <f aca="false">IF(N(Q21)=0,"",Q21+IF(I21="yes",Q21*Inputs!$B$10*Inputs!$B$9,0)+IFERROR(INDEX(Inputs!$B$13:$B$15,MATCH(G21,Inputs!$A$13:$A$15,0)),0)+IFERROR(INDEX(Inputs!$B$18:$B$24,MATCH(H21,Inputs!$A$18:$A$24,0)),0))</f>
        <v>0.076</v>
      </c>
      <c r="AC21" s="28" t="n">
        <f aca="false">IF(OR(N(AB21)&lt;=0,N(N21)=0,N(L21)=0),"",MIN(L21,N21/AB21))</f>
        <v>55.921052631579</v>
      </c>
      <c r="AD21" s="29" t="n">
        <f aca="false">IF(OR(AC21="",N(O21)=0),"",AC21/O21-1)</f>
        <v>-0.171539961013645</v>
      </c>
      <c r="AE21" s="29" t="n">
        <f aca="false">IF(OR(AD21="",N(O21)=0),"",AD21+N21/O21)</f>
        <v>-0.108576998050682</v>
      </c>
      <c r="AF21" s="32" t="n">
        <f aca="false">IF(OR(AE21="",N(Z21)=0),"",AE21-Z21)</f>
        <v>0</v>
      </c>
      <c r="AG21" s="28" t="n">
        <f aca="false">IF(AND(N(M21)&gt;0,N(L21)&gt;0),M21*L21,N21)</f>
        <v>4.25</v>
      </c>
      <c r="AH21" s="28" t="n">
        <f aca="false">IF(OR(N(AB21)&lt;=0,N(AG21)=0,N(L21)=0),"",MIN(L21,AG21/AB21))</f>
        <v>55.921052631579</v>
      </c>
      <c r="AI21" s="29" t="n">
        <f aca="false">IF(OR(AH21="",N(O21)=0),"",AH21/O21-1)</f>
        <v>-0.171539961013645</v>
      </c>
      <c r="AJ21" s="29" t="n">
        <f aca="false">IF(OR(AI21="",N(O21)=0),"",AI21+AG21/O21)</f>
        <v>-0.108576998050682</v>
      </c>
      <c r="AK21" s="32" t="n">
        <f aca="false">IF(OR(AJ21="",N(AE21)=0),"",AJ21-AE21)</f>
        <v>0</v>
      </c>
      <c r="AL21" s="33" t="n">
        <f aca="false">IF(N(F21)=0,"",INDEX(Inputs!$B$28:$B$32,IFERROR(MATCH(F21,Inputs!$A$28:$A$32,1),0)+1))</f>
        <v>0.075</v>
      </c>
      <c r="AM21" s="34"/>
      <c r="AN21" s="33" t="n">
        <f aca="false">IF(N(AM21)&gt;0,AM21,AL21)</f>
        <v>0.075</v>
      </c>
      <c r="AO21" s="29" t="n">
        <f aca="false">IF(N(AN21)=0,"",AN21+IF(I21="yes",AN21*Inputs!$B$10*Inputs!$B$9,0)+IFERROR(INDEX(Inputs!$B$13:$B$15,MATCH(G21,Inputs!$A$13:$A$15,0)),0)+IFERROR(INDEX(Inputs!$B$18:$B$24,MATCH(H21,Inputs!$A$18:$A$24,0)),0))</f>
        <v>0.07125</v>
      </c>
      <c r="AP21" s="28" t="n">
        <f aca="false">IF(OR(N(AO21)&lt;=0,N(AG21)=0,N(L21)=0),"",MIN(L21,AG21/AO21))</f>
        <v>59.6491228070176</v>
      </c>
      <c r="AQ21" s="29" t="n">
        <f aca="false">IF(OR(AP21="",N(O21)=0),"",AP21/O21-1)</f>
        <v>-0.116309291747888</v>
      </c>
      <c r="AR21" s="29" t="n">
        <f aca="false">IF(OR(AQ21="",N(O21)=0),"",AQ21+AG21/O21)</f>
        <v>-0.0533463287849252</v>
      </c>
      <c r="AS21" s="32" t="n">
        <f aca="false">IF(OR(AR21="",N(AJ21)=0),"",AR21-AJ21)</f>
        <v>0.0552306692657569</v>
      </c>
      <c r="AT21" s="28" t="n">
        <v>100</v>
      </c>
      <c r="AU21" s="28" t="n">
        <v>4.25</v>
      </c>
      <c r="AV21" s="28" t="n">
        <f aca="false">IF(N(AT21)&gt;0,AT21,L21)</f>
        <v>100</v>
      </c>
      <c r="AW21" s="28" t="n">
        <f aca="false">IF(AND(N(M21)&gt;0,N(AV21)&gt;0),M21*AV21,IF(N(AU21)&gt;0,AU21,N21))</f>
        <v>4.25</v>
      </c>
      <c r="AX21" s="29" t="n">
        <f aca="false">IF(N(AN21)=0,"",AN21+IF(I21="yes",AN21*Inputs!$B$10*Inputs!$B$9,0)+IFERROR(INDEX(Inputs!$B$13:$B$15,MATCH(G21,Inputs!$A$13:$A$15,0)),0)+IFERROR(INDEX(Inputs!$B$18:$B$24,MATCH(H21,Inputs!$A$18:$A$24,0)),0))</f>
        <v>0.07125</v>
      </c>
      <c r="AY21" s="28" t="n">
        <f aca="false">IF(OR(N(AX21)&lt;=0,N(AW21)=0,N(AV21)=0),"",MIN(AV21,AW21/AX21))</f>
        <v>59.6491228070176</v>
      </c>
      <c r="AZ21" s="29" t="n">
        <f aca="false">IF(OR(AY21="",N(O21)=0),"",AY21/O21-1)</f>
        <v>-0.116309291747888</v>
      </c>
      <c r="BA21" s="29" t="n">
        <f aca="false">IF(OR(AZ21="",N(O21)=0),"",AZ21+AW21/O21)</f>
        <v>-0.0533463287849252</v>
      </c>
      <c r="BB21" s="32" t="n">
        <f aca="false">IF(OR(BA21="",N(AR21)=0),"",BA21-AR21)</f>
        <v>0</v>
      </c>
      <c r="BC21" s="35" t="n">
        <f aca="false">IF(OR(BA21="",N(U21)=0),"",BA21-U21)</f>
        <v>0.0552306692657569</v>
      </c>
      <c r="BD21" s="37"/>
    </row>
    <row r="22" customFormat="false" ht="15" hidden="false" customHeight="false" outlineLevel="0" collapsed="false">
      <c r="A22" s="2" t="s">
        <v>140</v>
      </c>
      <c r="B22" s="2" t="n">
        <v>41</v>
      </c>
      <c r="C22" s="2" t="s">
        <v>181</v>
      </c>
      <c r="D22" s="2" t="s">
        <v>170</v>
      </c>
      <c r="E22" s="2" t="s">
        <v>171</v>
      </c>
      <c r="F22" s="27" t="n">
        <v>30100</v>
      </c>
      <c r="G22" s="2" t="s">
        <v>51</v>
      </c>
      <c r="H22" s="2" t="s">
        <v>58</v>
      </c>
      <c r="I22" s="2" t="s">
        <v>151</v>
      </c>
      <c r="J22" s="2" t="s">
        <v>145</v>
      </c>
      <c r="K22" s="2" t="n">
        <v>4</v>
      </c>
      <c r="L22" s="28" t="n">
        <v>100</v>
      </c>
      <c r="M22" s="29" t="n">
        <v>0.04</v>
      </c>
      <c r="N22" s="28" t="n">
        <v>4</v>
      </c>
      <c r="O22" s="28" t="n">
        <v>62.75</v>
      </c>
      <c r="P22" s="2" t="s">
        <v>146</v>
      </c>
      <c r="Q22" s="29" t="n">
        <v>0.08</v>
      </c>
      <c r="R22" s="30" t="n">
        <v>0.076</v>
      </c>
      <c r="S22" s="31" t="n">
        <v>52.6315789473684</v>
      </c>
      <c r="T22" s="30" t="n">
        <v>-0.161249737890543</v>
      </c>
      <c r="U22" s="30" t="n">
        <v>-0.0975047179702243</v>
      </c>
      <c r="V22" s="29" t="n">
        <v>0</v>
      </c>
      <c r="W22" s="29" t="n">
        <f aca="false">IF(N(Q22)=0,"",Q22+IF(I22="yes",Q22*Inputs!$B$10*Inputs!$B$9,0)+V22)</f>
        <v>0.076</v>
      </c>
      <c r="X22" s="28" t="n">
        <f aca="false">IF(OR(N(W22)&lt;=0,N(N22)=0,N(L22)=0),"",MIN(L22,N22/W22))</f>
        <v>52.6315789473684</v>
      </c>
      <c r="Y22" s="29" t="n">
        <f aca="false">IF(OR(X22="",N(O22)=0),"",X22/O22-1)</f>
        <v>-0.161249737890543</v>
      </c>
      <c r="Z22" s="29" t="n">
        <f aca="false">IF(OR(Y22="",N(O22)=0),"",Y22+N22/O22)</f>
        <v>-0.0975047179702243</v>
      </c>
      <c r="AA22" s="32" t="n">
        <f aca="false">IF(OR(Z22="",N(U22)=0),"",Z22-U22)</f>
        <v>0</v>
      </c>
      <c r="AB22" s="29" t="n">
        <f aca="false">IF(N(Q22)=0,"",Q22+IF(I22="yes",Q22*Inputs!$B$10*Inputs!$B$9,0)+IFERROR(INDEX(Inputs!$B$13:$B$15,MATCH(G22,Inputs!$A$13:$A$15,0)),0)+IFERROR(INDEX(Inputs!$B$18:$B$24,MATCH(H22,Inputs!$A$18:$A$24,0)),0))</f>
        <v>0.076</v>
      </c>
      <c r="AC22" s="28" t="n">
        <f aca="false">IF(OR(N(AB22)&lt;=0,N(N22)=0,N(L22)=0),"",MIN(L22,N22/AB22))</f>
        <v>52.6315789473684</v>
      </c>
      <c r="AD22" s="29" t="n">
        <f aca="false">IF(OR(AC22="",N(O22)=0),"",AC22/O22-1)</f>
        <v>-0.161249737890543</v>
      </c>
      <c r="AE22" s="29" t="n">
        <f aca="false">IF(OR(AD22="",N(O22)=0),"",AD22+N22/O22)</f>
        <v>-0.0975047179702243</v>
      </c>
      <c r="AF22" s="32" t="n">
        <f aca="false">IF(OR(AE22="",N(Z22)=0),"",AE22-Z22)</f>
        <v>0</v>
      </c>
      <c r="AG22" s="28" t="n">
        <f aca="false">IF(AND(N(M22)&gt;0,N(L22)&gt;0),M22*L22,N22)</f>
        <v>4</v>
      </c>
      <c r="AH22" s="28" t="n">
        <f aca="false">IF(OR(N(AB22)&lt;=0,N(AG22)=0,N(L22)=0),"",MIN(L22,AG22/AB22))</f>
        <v>52.6315789473684</v>
      </c>
      <c r="AI22" s="29" t="n">
        <f aca="false">IF(OR(AH22="",N(O22)=0),"",AH22/O22-1)</f>
        <v>-0.161249737890543</v>
      </c>
      <c r="AJ22" s="29" t="n">
        <f aca="false">IF(OR(AI22="",N(O22)=0),"",AI22+AG22/O22)</f>
        <v>-0.0975047179702243</v>
      </c>
      <c r="AK22" s="32" t="n">
        <f aca="false">IF(OR(AJ22="",N(AE22)=0),"",AJ22-AE22)</f>
        <v>0</v>
      </c>
      <c r="AL22" s="33" t="n">
        <f aca="false">IF(N(F22)=0,"",INDEX(Inputs!$B$28:$B$32,IFERROR(MATCH(F22,Inputs!$A$28:$A$32,1),0)+1))</f>
        <v>0.075</v>
      </c>
      <c r="AM22" s="34"/>
      <c r="AN22" s="33" t="n">
        <f aca="false">IF(N(AM22)&gt;0,AM22,AL22)</f>
        <v>0.075</v>
      </c>
      <c r="AO22" s="29" t="n">
        <f aca="false">IF(N(AN22)=0,"",AN22+IF(I22="yes",AN22*Inputs!$B$10*Inputs!$B$9,0)+IFERROR(INDEX(Inputs!$B$13:$B$15,MATCH(G22,Inputs!$A$13:$A$15,0)),0)+IFERROR(INDEX(Inputs!$B$18:$B$24,MATCH(H22,Inputs!$A$18:$A$24,0)),0))</f>
        <v>0.07125</v>
      </c>
      <c r="AP22" s="28" t="n">
        <f aca="false">IF(OR(N(AO22)&lt;=0,N(AG22)=0,N(L22)=0),"",MIN(L22,AG22/AO22))</f>
        <v>56.140350877193</v>
      </c>
      <c r="AQ22" s="29" t="n">
        <f aca="false">IF(OR(AP22="",N(O22)=0),"",AP22/O22-1)</f>
        <v>-0.105333053749913</v>
      </c>
      <c r="AR22" s="29" t="n">
        <f aca="false">IF(OR(AQ22="",N(O22)=0),"",AQ22+AG22/O22)</f>
        <v>-0.0415880338295938</v>
      </c>
      <c r="AS22" s="32" t="n">
        <f aca="false">IF(OR(AR22="",N(AJ22)=0),"",AR22-AJ22)</f>
        <v>0.0559166841406304</v>
      </c>
      <c r="AT22" s="28" t="n">
        <v>100</v>
      </c>
      <c r="AU22" s="28" t="n">
        <v>4</v>
      </c>
      <c r="AV22" s="28" t="n">
        <f aca="false">IF(N(AT22)&gt;0,AT22,L22)</f>
        <v>100</v>
      </c>
      <c r="AW22" s="28" t="n">
        <f aca="false">IF(AND(N(M22)&gt;0,N(AV22)&gt;0),M22*AV22,IF(N(AU22)&gt;0,AU22,N22))</f>
        <v>4</v>
      </c>
      <c r="AX22" s="29" t="n">
        <f aca="false">IF(N(AN22)=0,"",AN22+IF(I22="yes",AN22*Inputs!$B$10*Inputs!$B$9,0)+IFERROR(INDEX(Inputs!$B$13:$B$15,MATCH(G22,Inputs!$A$13:$A$15,0)),0)+IFERROR(INDEX(Inputs!$B$18:$B$24,MATCH(H22,Inputs!$A$18:$A$24,0)),0))</f>
        <v>0.07125</v>
      </c>
      <c r="AY22" s="28" t="n">
        <f aca="false">IF(OR(N(AX22)&lt;=0,N(AW22)=0,N(AV22)=0),"",MIN(AV22,AW22/AX22))</f>
        <v>56.140350877193</v>
      </c>
      <c r="AZ22" s="29" t="n">
        <f aca="false">IF(OR(AY22="",N(O22)=0),"",AY22/O22-1)</f>
        <v>-0.105333053749913</v>
      </c>
      <c r="BA22" s="29" t="n">
        <f aca="false">IF(OR(AZ22="",N(O22)=0),"",AZ22+AW22/O22)</f>
        <v>-0.0415880338295938</v>
      </c>
      <c r="BB22" s="32" t="n">
        <f aca="false">IF(OR(BA22="",N(AR22)=0),"",BA22-AR22)</f>
        <v>0</v>
      </c>
      <c r="BC22" s="35" t="n">
        <f aca="false">IF(OR(BA22="",N(U22)=0),"",BA22-U22)</f>
        <v>0.0559166841406304</v>
      </c>
      <c r="BD22" s="37"/>
    </row>
    <row r="23" customFormat="false" ht="15" hidden="false" customHeight="false" outlineLevel="0" collapsed="false">
      <c r="A23" s="2" t="s">
        <v>140</v>
      </c>
      <c r="B23" s="2" t="n">
        <v>42</v>
      </c>
      <c r="C23" s="2" t="s">
        <v>182</v>
      </c>
      <c r="D23" s="2" t="s">
        <v>170</v>
      </c>
      <c r="E23" s="2" t="s">
        <v>171</v>
      </c>
      <c r="F23" s="27" t="n">
        <v>30100</v>
      </c>
      <c r="G23" s="2" t="s">
        <v>51</v>
      </c>
      <c r="H23" s="2" t="s">
        <v>58</v>
      </c>
      <c r="I23" s="2" t="s">
        <v>151</v>
      </c>
      <c r="J23" s="2" t="s">
        <v>145</v>
      </c>
      <c r="K23" s="2" t="n">
        <v>4</v>
      </c>
      <c r="L23" s="28" t="n">
        <v>100</v>
      </c>
      <c r="M23" s="29" t="n">
        <v>0.037</v>
      </c>
      <c r="N23" s="28" t="n">
        <v>3.7</v>
      </c>
      <c r="O23" s="28" t="n">
        <v>60.5</v>
      </c>
      <c r="P23" s="2" t="s">
        <v>146</v>
      </c>
      <c r="Q23" s="29" t="n">
        <v>0.08</v>
      </c>
      <c r="R23" s="30" t="n">
        <v>0.076</v>
      </c>
      <c r="S23" s="31" t="n">
        <v>48.6842105263158</v>
      </c>
      <c r="T23" s="30" t="n">
        <v>-0.195302305350152</v>
      </c>
      <c r="U23" s="30" t="n">
        <v>-0.134145280556764</v>
      </c>
      <c r="V23" s="29" t="n">
        <v>0</v>
      </c>
      <c r="W23" s="29" t="n">
        <f aca="false">IF(N(Q23)=0,"",Q23+IF(I23="yes",Q23*Inputs!$B$10*Inputs!$B$9,0)+V23)</f>
        <v>0.076</v>
      </c>
      <c r="X23" s="28" t="n">
        <f aca="false">IF(OR(N(W23)&lt;=0,N(N23)=0,N(L23)=0),"",MIN(L23,N23/W23))</f>
        <v>48.6842105263158</v>
      </c>
      <c r="Y23" s="29" t="n">
        <f aca="false">IF(OR(X23="",N(O23)=0),"",X23/O23-1)</f>
        <v>-0.195302305350152</v>
      </c>
      <c r="Z23" s="29" t="n">
        <f aca="false">IF(OR(Y23="",N(O23)=0),"",Y23+N23/O23)</f>
        <v>-0.134145280556764</v>
      </c>
      <c r="AA23" s="32" t="n">
        <f aca="false">IF(OR(Z23="",N(U23)=0),"",Z23-U23)</f>
        <v>0</v>
      </c>
      <c r="AB23" s="29" t="n">
        <f aca="false">IF(N(Q23)=0,"",Q23+IF(I23="yes",Q23*Inputs!$B$10*Inputs!$B$9,0)+IFERROR(INDEX(Inputs!$B$13:$B$15,MATCH(G23,Inputs!$A$13:$A$15,0)),0)+IFERROR(INDEX(Inputs!$B$18:$B$24,MATCH(H23,Inputs!$A$18:$A$24,0)),0))</f>
        <v>0.076</v>
      </c>
      <c r="AC23" s="28" t="n">
        <f aca="false">IF(OR(N(AB23)&lt;=0,N(N23)=0,N(L23)=0),"",MIN(L23,N23/AB23))</f>
        <v>48.6842105263158</v>
      </c>
      <c r="AD23" s="29" t="n">
        <f aca="false">IF(OR(AC23="",N(O23)=0),"",AC23/O23-1)</f>
        <v>-0.195302305350152</v>
      </c>
      <c r="AE23" s="29" t="n">
        <f aca="false">IF(OR(AD23="",N(O23)=0),"",AD23+N23/O23)</f>
        <v>-0.134145280556764</v>
      </c>
      <c r="AF23" s="32" t="n">
        <f aca="false">IF(OR(AE23="",N(Z23)=0),"",AE23-Z23)</f>
        <v>0</v>
      </c>
      <c r="AG23" s="28" t="n">
        <f aca="false">IF(AND(N(M23)&gt;0,N(L23)&gt;0),M23*L23,N23)</f>
        <v>3.7</v>
      </c>
      <c r="AH23" s="28" t="n">
        <f aca="false">IF(OR(N(AB23)&lt;=0,N(AG23)=0,N(L23)=0),"",MIN(L23,AG23/AB23))</f>
        <v>48.6842105263158</v>
      </c>
      <c r="AI23" s="29" t="n">
        <f aca="false">IF(OR(AH23="",N(O23)=0),"",AH23/O23-1)</f>
        <v>-0.195302305350152</v>
      </c>
      <c r="AJ23" s="29" t="n">
        <f aca="false">IF(OR(AI23="",N(O23)=0),"",AI23+AG23/O23)</f>
        <v>-0.134145280556764</v>
      </c>
      <c r="AK23" s="32" t="n">
        <f aca="false">IF(OR(AJ23="",N(AE23)=0),"",AJ23-AE23)</f>
        <v>0</v>
      </c>
      <c r="AL23" s="33" t="n">
        <f aca="false">IF(N(F23)=0,"",INDEX(Inputs!$B$28:$B$32,IFERROR(MATCH(F23,Inputs!$A$28:$A$32,1),0)+1))</f>
        <v>0.075</v>
      </c>
      <c r="AM23" s="34"/>
      <c r="AN23" s="33" t="n">
        <f aca="false">IF(N(AM23)&gt;0,AM23,AL23)</f>
        <v>0.075</v>
      </c>
      <c r="AO23" s="29" t="n">
        <f aca="false">IF(N(AN23)=0,"",AN23+IF(I23="yes",AN23*Inputs!$B$10*Inputs!$B$9,0)+IFERROR(INDEX(Inputs!$B$13:$B$15,MATCH(G23,Inputs!$A$13:$A$15,0)),0)+IFERROR(INDEX(Inputs!$B$18:$B$24,MATCH(H23,Inputs!$A$18:$A$24,0)),0))</f>
        <v>0.07125</v>
      </c>
      <c r="AP23" s="28" t="n">
        <f aca="false">IF(OR(N(AO23)&lt;=0,N(AG23)=0,N(L23)=0),"",MIN(L23,AG23/AO23))</f>
        <v>51.9298245614035</v>
      </c>
      <c r="AQ23" s="29" t="n">
        <f aca="false">IF(OR(AP23="",N(O23)=0),"",AP23/O23-1)</f>
        <v>-0.141655792373495</v>
      </c>
      <c r="AR23" s="29" t="n">
        <f aca="false">IF(OR(AQ23="",N(O23)=0),"",AQ23+AG23/O23)</f>
        <v>-0.0804987675801069</v>
      </c>
      <c r="AS23" s="32" t="n">
        <f aca="false">IF(OR(AR23="",N(AJ23)=0),"",AR23-AJ23)</f>
        <v>0.0536465129766567</v>
      </c>
      <c r="AT23" s="28" t="n">
        <v>100</v>
      </c>
      <c r="AU23" s="28" t="n">
        <v>3.7</v>
      </c>
      <c r="AV23" s="28" t="n">
        <f aca="false">IF(N(AT23)&gt;0,AT23,L23)</f>
        <v>100</v>
      </c>
      <c r="AW23" s="28" t="n">
        <f aca="false">IF(AND(N(M23)&gt;0,N(AV23)&gt;0),M23*AV23,IF(N(AU23)&gt;0,AU23,N23))</f>
        <v>3.7</v>
      </c>
      <c r="AX23" s="29" t="n">
        <f aca="false">IF(N(AN23)=0,"",AN23+IF(I23="yes",AN23*Inputs!$B$10*Inputs!$B$9,0)+IFERROR(INDEX(Inputs!$B$13:$B$15,MATCH(G23,Inputs!$A$13:$A$15,0)),0)+IFERROR(INDEX(Inputs!$B$18:$B$24,MATCH(H23,Inputs!$A$18:$A$24,0)),0))</f>
        <v>0.07125</v>
      </c>
      <c r="AY23" s="28" t="n">
        <f aca="false">IF(OR(N(AX23)&lt;=0,N(AW23)=0,N(AV23)=0),"",MIN(AV23,AW23/AX23))</f>
        <v>51.9298245614035</v>
      </c>
      <c r="AZ23" s="29" t="n">
        <f aca="false">IF(OR(AY23="",N(O23)=0),"",AY23/O23-1)</f>
        <v>-0.141655792373495</v>
      </c>
      <c r="BA23" s="29" t="n">
        <f aca="false">IF(OR(AZ23="",N(O23)=0),"",AZ23+AW23/O23)</f>
        <v>-0.0804987675801069</v>
      </c>
      <c r="BB23" s="32" t="n">
        <f aca="false">IF(OR(BA23="",N(AR23)=0),"",BA23-AR23)</f>
        <v>0</v>
      </c>
      <c r="BC23" s="35" t="n">
        <f aca="false">IF(OR(BA23="",N(U23)=0),"",BA23-U23)</f>
        <v>0.0536465129766568</v>
      </c>
      <c r="BD23" s="37"/>
    </row>
    <row r="24" customFormat="false" ht="15" hidden="false" customHeight="false" outlineLevel="0" collapsed="false">
      <c r="A24" s="2" t="s">
        <v>140</v>
      </c>
      <c r="B24" s="2" t="n">
        <v>43</v>
      </c>
      <c r="C24" s="2" t="s">
        <v>183</v>
      </c>
      <c r="D24" s="2" t="s">
        <v>170</v>
      </c>
      <c r="E24" s="2" t="s">
        <v>171</v>
      </c>
      <c r="F24" s="27" t="n">
        <v>30100</v>
      </c>
      <c r="G24" s="2" t="s">
        <v>51</v>
      </c>
      <c r="H24" s="2" t="s">
        <v>58</v>
      </c>
      <c r="I24" s="2" t="s">
        <v>151</v>
      </c>
      <c r="J24" s="2" t="s">
        <v>145</v>
      </c>
      <c r="K24" s="2" t="n">
        <v>4</v>
      </c>
      <c r="L24" s="28" t="n">
        <v>100</v>
      </c>
      <c r="M24" s="29" t="n">
        <v>0.0475</v>
      </c>
      <c r="N24" s="28" t="n">
        <v>4.75</v>
      </c>
      <c r="O24" s="28" t="n">
        <v>76.3</v>
      </c>
      <c r="P24" s="2" t="s">
        <v>146</v>
      </c>
      <c r="Q24" s="29" t="n">
        <v>0.08</v>
      </c>
      <c r="R24" s="30" t="n">
        <v>0.076</v>
      </c>
      <c r="S24" s="31" t="n">
        <v>62.5</v>
      </c>
      <c r="T24" s="30" t="n">
        <v>-0.18086500655308</v>
      </c>
      <c r="U24" s="30" t="n">
        <v>-0.118610747051114</v>
      </c>
      <c r="V24" s="29" t="n">
        <v>0</v>
      </c>
      <c r="W24" s="29" t="n">
        <f aca="false">IF(N(Q24)=0,"",Q24+IF(I24="yes",Q24*Inputs!$B$10*Inputs!$B$9,0)+V24)</f>
        <v>0.076</v>
      </c>
      <c r="X24" s="28" t="n">
        <f aca="false">IF(OR(N(W24)&lt;=0,N(N24)=0,N(L24)=0),"",MIN(L24,N24/W24))</f>
        <v>62.5</v>
      </c>
      <c r="Y24" s="29" t="n">
        <f aca="false">IF(OR(X24="",N(O24)=0),"",X24/O24-1)</f>
        <v>-0.18086500655308</v>
      </c>
      <c r="Z24" s="29" t="n">
        <f aca="false">IF(OR(Y24="",N(O24)=0),"",Y24+N24/O24)</f>
        <v>-0.118610747051114</v>
      </c>
      <c r="AA24" s="32" t="n">
        <f aca="false">IF(OR(Z24="",N(U24)=0),"",Z24-U24)</f>
        <v>0</v>
      </c>
      <c r="AB24" s="29" t="n">
        <f aca="false">IF(N(Q24)=0,"",Q24+IF(I24="yes",Q24*Inputs!$B$10*Inputs!$B$9,0)+IFERROR(INDEX(Inputs!$B$13:$B$15,MATCH(G24,Inputs!$A$13:$A$15,0)),0)+IFERROR(INDEX(Inputs!$B$18:$B$24,MATCH(H24,Inputs!$A$18:$A$24,0)),0))</f>
        <v>0.076</v>
      </c>
      <c r="AC24" s="28" t="n">
        <f aca="false">IF(OR(N(AB24)&lt;=0,N(N24)=0,N(L24)=0),"",MIN(L24,N24/AB24))</f>
        <v>62.5</v>
      </c>
      <c r="AD24" s="29" t="n">
        <f aca="false">IF(OR(AC24="",N(O24)=0),"",AC24/O24-1)</f>
        <v>-0.18086500655308</v>
      </c>
      <c r="AE24" s="29" t="n">
        <f aca="false">IF(OR(AD24="",N(O24)=0),"",AD24+N24/O24)</f>
        <v>-0.118610747051114</v>
      </c>
      <c r="AF24" s="32" t="n">
        <f aca="false">IF(OR(AE24="",N(Z24)=0),"",AE24-Z24)</f>
        <v>0</v>
      </c>
      <c r="AG24" s="28" t="n">
        <f aca="false">IF(AND(N(M24)&gt;0,N(L24)&gt;0),M24*L24,N24)</f>
        <v>4.75</v>
      </c>
      <c r="AH24" s="28" t="n">
        <f aca="false">IF(OR(N(AB24)&lt;=0,N(AG24)=0,N(L24)=0),"",MIN(L24,AG24/AB24))</f>
        <v>62.5</v>
      </c>
      <c r="AI24" s="29" t="n">
        <f aca="false">IF(OR(AH24="",N(O24)=0),"",AH24/O24-1)</f>
        <v>-0.18086500655308</v>
      </c>
      <c r="AJ24" s="29" t="n">
        <f aca="false">IF(OR(AI24="",N(O24)=0),"",AI24+AG24/O24)</f>
        <v>-0.118610747051114</v>
      </c>
      <c r="AK24" s="32" t="n">
        <f aca="false">IF(OR(AJ24="",N(AE24)=0),"",AJ24-AE24)</f>
        <v>0</v>
      </c>
      <c r="AL24" s="33" t="n">
        <f aca="false">IF(N(F24)=0,"",INDEX(Inputs!$B$28:$B$32,IFERROR(MATCH(F24,Inputs!$A$28:$A$32,1),0)+1))</f>
        <v>0.075</v>
      </c>
      <c r="AM24" s="34"/>
      <c r="AN24" s="33" t="n">
        <f aca="false">IF(N(AM24)&gt;0,AM24,AL24)</f>
        <v>0.075</v>
      </c>
      <c r="AO24" s="29" t="n">
        <f aca="false">IF(N(AN24)=0,"",AN24+IF(I24="yes",AN24*Inputs!$B$10*Inputs!$B$9,0)+IFERROR(INDEX(Inputs!$B$13:$B$15,MATCH(G24,Inputs!$A$13:$A$15,0)),0)+IFERROR(INDEX(Inputs!$B$18:$B$24,MATCH(H24,Inputs!$A$18:$A$24,0)),0))</f>
        <v>0.07125</v>
      </c>
      <c r="AP24" s="28" t="n">
        <f aca="false">IF(OR(N(AO24)&lt;=0,N(AG24)=0,N(L24)=0),"",MIN(L24,AG24/AO24))</f>
        <v>66.6666666666667</v>
      </c>
      <c r="AQ24" s="29" t="n">
        <f aca="false">IF(OR(AP24="",N(O24)=0),"",AP24/O24-1)</f>
        <v>-0.126256006989952</v>
      </c>
      <c r="AR24" s="29" t="n">
        <f aca="false">IF(OR(AQ24="",N(O24)=0),"",AQ24+AG24/O24)</f>
        <v>-0.064001747487986</v>
      </c>
      <c r="AS24" s="32" t="n">
        <f aca="false">IF(OR(AR24="",N(AJ24)=0),"",AR24-AJ24)</f>
        <v>0.054608999563128</v>
      </c>
      <c r="AT24" s="28" t="n">
        <v>100</v>
      </c>
      <c r="AU24" s="28" t="n">
        <v>4.75</v>
      </c>
      <c r="AV24" s="28" t="n">
        <f aca="false">IF(N(AT24)&gt;0,AT24,L24)</f>
        <v>100</v>
      </c>
      <c r="AW24" s="28" t="n">
        <f aca="false">IF(AND(N(M24)&gt;0,N(AV24)&gt;0),M24*AV24,IF(N(AU24)&gt;0,AU24,N24))</f>
        <v>4.75</v>
      </c>
      <c r="AX24" s="29" t="n">
        <f aca="false">IF(N(AN24)=0,"",AN24+IF(I24="yes",AN24*Inputs!$B$10*Inputs!$B$9,0)+IFERROR(INDEX(Inputs!$B$13:$B$15,MATCH(G24,Inputs!$A$13:$A$15,0)),0)+IFERROR(INDEX(Inputs!$B$18:$B$24,MATCH(H24,Inputs!$A$18:$A$24,0)),0))</f>
        <v>0.07125</v>
      </c>
      <c r="AY24" s="28" t="n">
        <f aca="false">IF(OR(N(AX24)&lt;=0,N(AW24)=0,N(AV24)=0),"",MIN(AV24,AW24/AX24))</f>
        <v>66.6666666666667</v>
      </c>
      <c r="AZ24" s="29" t="n">
        <f aca="false">IF(OR(AY24="",N(O24)=0),"",AY24/O24-1)</f>
        <v>-0.126256006989952</v>
      </c>
      <c r="BA24" s="29" t="n">
        <f aca="false">IF(OR(AZ24="",N(O24)=0),"",AZ24+AW24/O24)</f>
        <v>-0.064001747487986</v>
      </c>
      <c r="BB24" s="32" t="n">
        <f aca="false">IF(OR(BA24="",N(AR24)=0),"",BA24-AR24)</f>
        <v>0</v>
      </c>
      <c r="BC24" s="35" t="n">
        <f aca="false">IF(OR(BA24="",N(U24)=0),"",BA24-U24)</f>
        <v>0.0546089995631281</v>
      </c>
      <c r="BD24" s="37"/>
    </row>
    <row r="25" customFormat="false" ht="15" hidden="false" customHeight="false" outlineLevel="0" collapsed="false">
      <c r="A25" s="2" t="s">
        <v>140</v>
      </c>
      <c r="B25" s="2" t="n">
        <v>44</v>
      </c>
      <c r="C25" s="2" t="s">
        <v>184</v>
      </c>
      <c r="D25" s="2" t="s">
        <v>170</v>
      </c>
      <c r="E25" s="2" t="s">
        <v>171</v>
      </c>
      <c r="F25" s="27" t="n">
        <v>30100</v>
      </c>
      <c r="G25" s="2" t="s">
        <v>51</v>
      </c>
      <c r="H25" s="2" t="s">
        <v>58</v>
      </c>
      <c r="I25" s="2" t="s">
        <v>151</v>
      </c>
      <c r="J25" s="2" t="s">
        <v>145</v>
      </c>
      <c r="K25" s="2" t="n">
        <v>4</v>
      </c>
      <c r="L25" s="28" t="n">
        <v>100</v>
      </c>
      <c r="M25" s="29" t="n">
        <v>0.055</v>
      </c>
      <c r="N25" s="28" t="n">
        <v>5.5</v>
      </c>
      <c r="O25" s="28" t="n">
        <v>90.3052</v>
      </c>
      <c r="P25" s="2" t="s">
        <v>146</v>
      </c>
      <c r="Q25" s="29" t="n">
        <v>0.08</v>
      </c>
      <c r="R25" s="30" t="n">
        <v>0.076</v>
      </c>
      <c r="S25" s="31" t="n">
        <v>72.3684210526316</v>
      </c>
      <c r="T25" s="30" t="n">
        <v>-0.198623987847526</v>
      </c>
      <c r="U25" s="30" t="n">
        <v>-0.137719410923938</v>
      </c>
      <c r="V25" s="29" t="n">
        <v>0</v>
      </c>
      <c r="W25" s="29" t="n">
        <f aca="false">IF(N(Q25)=0,"",Q25+IF(I25="yes",Q25*Inputs!$B$10*Inputs!$B$9,0)+V25)</f>
        <v>0.076</v>
      </c>
      <c r="X25" s="28" t="n">
        <f aca="false">IF(OR(N(W25)&lt;=0,N(N25)=0,N(L25)=0),"",MIN(L25,N25/W25))</f>
        <v>72.3684210526316</v>
      </c>
      <c r="Y25" s="29" t="n">
        <f aca="false">IF(OR(X25="",N(O25)=0),"",X25/O25-1)</f>
        <v>-0.198623987847526</v>
      </c>
      <c r="Z25" s="29" t="n">
        <f aca="false">IF(OR(Y25="",N(O25)=0),"",Y25+N25/O25)</f>
        <v>-0.137719410923938</v>
      </c>
      <c r="AA25" s="32" t="n">
        <f aca="false">IF(OR(Z25="",N(U25)=0),"",Z25-U25)</f>
        <v>0</v>
      </c>
      <c r="AB25" s="29" t="n">
        <f aca="false">IF(N(Q25)=0,"",Q25+IF(I25="yes",Q25*Inputs!$B$10*Inputs!$B$9,0)+IFERROR(INDEX(Inputs!$B$13:$B$15,MATCH(G25,Inputs!$A$13:$A$15,0)),0)+IFERROR(INDEX(Inputs!$B$18:$B$24,MATCH(H25,Inputs!$A$18:$A$24,0)),0))</f>
        <v>0.076</v>
      </c>
      <c r="AC25" s="28" t="n">
        <f aca="false">IF(OR(N(AB25)&lt;=0,N(N25)=0,N(L25)=0),"",MIN(L25,N25/AB25))</f>
        <v>72.3684210526316</v>
      </c>
      <c r="AD25" s="29" t="n">
        <f aca="false">IF(OR(AC25="",N(O25)=0),"",AC25/O25-1)</f>
        <v>-0.198623987847526</v>
      </c>
      <c r="AE25" s="29" t="n">
        <f aca="false">IF(OR(AD25="",N(O25)=0),"",AD25+N25/O25)</f>
        <v>-0.137719410923938</v>
      </c>
      <c r="AF25" s="32" t="n">
        <f aca="false">IF(OR(AE25="",N(Z25)=0),"",AE25-Z25)</f>
        <v>0</v>
      </c>
      <c r="AG25" s="28" t="n">
        <f aca="false">IF(AND(N(M25)&gt;0,N(L25)&gt;0),M25*L25,N25)</f>
        <v>5.5</v>
      </c>
      <c r="AH25" s="28" t="n">
        <f aca="false">IF(OR(N(AB25)&lt;=0,N(AG25)=0,N(L25)=0),"",MIN(L25,AG25/AB25))</f>
        <v>72.3684210526316</v>
      </c>
      <c r="AI25" s="29" t="n">
        <f aca="false">IF(OR(AH25="",N(O25)=0),"",AH25/O25-1)</f>
        <v>-0.198623987847526</v>
      </c>
      <c r="AJ25" s="29" t="n">
        <f aca="false">IF(OR(AI25="",N(O25)=0),"",AI25+AG25/O25)</f>
        <v>-0.137719410923938</v>
      </c>
      <c r="AK25" s="32" t="n">
        <f aca="false">IF(OR(AJ25="",N(AE25)=0),"",AJ25-AE25)</f>
        <v>0</v>
      </c>
      <c r="AL25" s="33" t="n">
        <f aca="false">IF(N(F25)=0,"",INDEX(Inputs!$B$28:$B$32,IFERROR(MATCH(F25,Inputs!$A$28:$A$32,1),0)+1))</f>
        <v>0.075</v>
      </c>
      <c r="AM25" s="34"/>
      <c r="AN25" s="33" t="n">
        <f aca="false">IF(N(AM25)&gt;0,AM25,AL25)</f>
        <v>0.075</v>
      </c>
      <c r="AO25" s="29" t="n">
        <f aca="false">IF(N(AN25)=0,"",AN25+IF(I25="yes",AN25*Inputs!$B$10*Inputs!$B$9,0)+IFERROR(INDEX(Inputs!$B$13:$B$15,MATCH(G25,Inputs!$A$13:$A$15,0)),0)+IFERROR(INDEX(Inputs!$B$18:$B$24,MATCH(H25,Inputs!$A$18:$A$24,0)),0))</f>
        <v>0.07125</v>
      </c>
      <c r="AP25" s="28" t="n">
        <f aca="false">IF(OR(N(AO25)&lt;=0,N(AG25)=0,N(L25)=0),"",MIN(L25,AG25/AO25))</f>
        <v>77.1929824561404</v>
      </c>
      <c r="AQ25" s="29" t="n">
        <f aca="false">IF(OR(AP25="",N(O25)=0),"",AP25/O25-1)</f>
        <v>-0.145198920370694</v>
      </c>
      <c r="AR25" s="29" t="n">
        <f aca="false">IF(OR(AQ25="",N(O25)=0),"",AQ25+AG25/O25)</f>
        <v>-0.0842943434471065</v>
      </c>
      <c r="AS25" s="32" t="n">
        <f aca="false">IF(OR(AR25="",N(AJ25)=0),"",AR25-AJ25)</f>
        <v>0.0534250674768317</v>
      </c>
      <c r="AT25" s="28" t="n">
        <v>100</v>
      </c>
      <c r="AU25" s="28" t="n">
        <v>5.5</v>
      </c>
      <c r="AV25" s="28" t="n">
        <f aca="false">IF(N(AT25)&gt;0,AT25,L25)</f>
        <v>100</v>
      </c>
      <c r="AW25" s="28" t="n">
        <f aca="false">IF(AND(N(M25)&gt;0,N(AV25)&gt;0),M25*AV25,IF(N(AU25)&gt;0,AU25,N25))</f>
        <v>5.5</v>
      </c>
      <c r="AX25" s="29" t="n">
        <f aca="false">IF(N(AN25)=0,"",AN25+IF(I25="yes",AN25*Inputs!$B$10*Inputs!$B$9,0)+IFERROR(INDEX(Inputs!$B$13:$B$15,MATCH(G25,Inputs!$A$13:$A$15,0)),0)+IFERROR(INDEX(Inputs!$B$18:$B$24,MATCH(H25,Inputs!$A$18:$A$24,0)),0))</f>
        <v>0.07125</v>
      </c>
      <c r="AY25" s="28" t="n">
        <f aca="false">IF(OR(N(AX25)&lt;=0,N(AW25)=0,N(AV25)=0),"",MIN(AV25,AW25/AX25))</f>
        <v>77.1929824561404</v>
      </c>
      <c r="AZ25" s="29" t="n">
        <f aca="false">IF(OR(AY25="",N(O25)=0),"",AY25/O25-1)</f>
        <v>-0.145198920370694</v>
      </c>
      <c r="BA25" s="29" t="n">
        <f aca="false">IF(OR(AZ25="",N(O25)=0),"",AZ25+AW25/O25)</f>
        <v>-0.0842943434471065</v>
      </c>
      <c r="BB25" s="32" t="n">
        <f aca="false">IF(OR(BA25="",N(AR25)=0),"",BA25-AR25)</f>
        <v>0</v>
      </c>
      <c r="BC25" s="35" t="n">
        <f aca="false">IF(OR(BA25="",N(U25)=0),"",BA25-U25)</f>
        <v>0.0534250674768317</v>
      </c>
      <c r="BD25" s="37"/>
    </row>
    <row r="26" customFormat="false" ht="15" hidden="false" customHeight="false" outlineLevel="0" collapsed="false">
      <c r="A26" s="2" t="s">
        <v>140</v>
      </c>
      <c r="B26" s="2" t="n">
        <v>45</v>
      </c>
      <c r="C26" s="2" t="s">
        <v>185</v>
      </c>
      <c r="D26" s="2" t="s">
        <v>170</v>
      </c>
      <c r="E26" s="2" t="s">
        <v>171</v>
      </c>
      <c r="F26" s="27" t="n">
        <v>30100</v>
      </c>
      <c r="G26" s="2" t="s">
        <v>51</v>
      </c>
      <c r="H26" s="2" t="s">
        <v>58</v>
      </c>
      <c r="I26" s="2" t="s">
        <v>151</v>
      </c>
      <c r="J26" s="2" t="s">
        <v>145</v>
      </c>
      <c r="K26" s="2" t="n">
        <v>4</v>
      </c>
      <c r="L26" s="28" t="n">
        <v>100</v>
      </c>
      <c r="M26" s="29" t="n">
        <v>0.043</v>
      </c>
      <c r="N26" s="28" t="n">
        <v>4.3</v>
      </c>
      <c r="O26" s="28" t="n">
        <v>68.775</v>
      </c>
      <c r="P26" s="2" t="s">
        <v>146</v>
      </c>
      <c r="Q26" s="29" t="n">
        <v>0.08</v>
      </c>
      <c r="R26" s="30" t="n">
        <v>0.076</v>
      </c>
      <c r="S26" s="31" t="n">
        <v>56.5789473684211</v>
      </c>
      <c r="T26" s="30" t="n">
        <v>-0.177332644588571</v>
      </c>
      <c r="U26" s="30" t="n">
        <v>-0.114809925577302</v>
      </c>
      <c r="V26" s="29" t="n">
        <v>0</v>
      </c>
      <c r="W26" s="29" t="n">
        <f aca="false">IF(N(Q26)=0,"",Q26+IF(I26="yes",Q26*Inputs!$B$10*Inputs!$B$9,0)+V26)</f>
        <v>0.076</v>
      </c>
      <c r="X26" s="28" t="n">
        <f aca="false">IF(OR(N(W26)&lt;=0,N(N26)=0,N(L26)=0),"",MIN(L26,N26/W26))</f>
        <v>56.5789473684211</v>
      </c>
      <c r="Y26" s="29" t="n">
        <f aca="false">IF(OR(X26="",N(O26)=0),"",X26/O26-1)</f>
        <v>-0.177332644588571</v>
      </c>
      <c r="Z26" s="29" t="n">
        <f aca="false">IF(OR(Y26="",N(O26)=0),"",Y26+N26/O26)</f>
        <v>-0.114809925577302</v>
      </c>
      <c r="AA26" s="32" t="n">
        <f aca="false">IF(OR(Z26="",N(U26)=0),"",Z26-U26)</f>
        <v>0</v>
      </c>
      <c r="AB26" s="29" t="n">
        <f aca="false">IF(N(Q26)=0,"",Q26+IF(I26="yes",Q26*Inputs!$B$10*Inputs!$B$9,0)+IFERROR(INDEX(Inputs!$B$13:$B$15,MATCH(G26,Inputs!$A$13:$A$15,0)),0)+IFERROR(INDEX(Inputs!$B$18:$B$24,MATCH(H26,Inputs!$A$18:$A$24,0)),0))</f>
        <v>0.076</v>
      </c>
      <c r="AC26" s="28" t="n">
        <f aca="false">IF(OR(N(AB26)&lt;=0,N(N26)=0,N(L26)=0),"",MIN(L26,N26/AB26))</f>
        <v>56.5789473684211</v>
      </c>
      <c r="AD26" s="29" t="n">
        <f aca="false">IF(OR(AC26="",N(O26)=0),"",AC26/O26-1)</f>
        <v>-0.177332644588571</v>
      </c>
      <c r="AE26" s="29" t="n">
        <f aca="false">IF(OR(AD26="",N(O26)=0),"",AD26+N26/O26)</f>
        <v>-0.114809925577302</v>
      </c>
      <c r="AF26" s="32" t="n">
        <f aca="false">IF(OR(AE26="",N(Z26)=0),"",AE26-Z26)</f>
        <v>0</v>
      </c>
      <c r="AG26" s="28" t="n">
        <f aca="false">IF(AND(N(M26)&gt;0,N(L26)&gt;0),M26*L26,N26)</f>
        <v>4.3</v>
      </c>
      <c r="AH26" s="28" t="n">
        <f aca="false">IF(OR(N(AB26)&lt;=0,N(AG26)=0,N(L26)=0),"",MIN(L26,AG26/AB26))</f>
        <v>56.5789473684211</v>
      </c>
      <c r="AI26" s="29" t="n">
        <f aca="false">IF(OR(AH26="",N(O26)=0),"",AH26/O26-1)</f>
        <v>-0.177332644588571</v>
      </c>
      <c r="AJ26" s="29" t="n">
        <f aca="false">IF(OR(AI26="",N(O26)=0),"",AI26+AG26/O26)</f>
        <v>-0.114809925577302</v>
      </c>
      <c r="AK26" s="32" t="n">
        <f aca="false">IF(OR(AJ26="",N(AE26)=0),"",AJ26-AE26)</f>
        <v>0</v>
      </c>
      <c r="AL26" s="33" t="n">
        <f aca="false">IF(N(F26)=0,"",INDEX(Inputs!$B$28:$B$32,IFERROR(MATCH(F26,Inputs!$A$28:$A$32,1),0)+1))</f>
        <v>0.075</v>
      </c>
      <c r="AM26" s="34"/>
      <c r="AN26" s="33" t="n">
        <f aca="false">IF(N(AM26)&gt;0,AM26,AL26)</f>
        <v>0.075</v>
      </c>
      <c r="AO26" s="29" t="n">
        <f aca="false">IF(N(AN26)=0,"",AN26+IF(I26="yes",AN26*Inputs!$B$10*Inputs!$B$9,0)+IFERROR(INDEX(Inputs!$B$13:$B$15,MATCH(G26,Inputs!$A$13:$A$15,0)),0)+IFERROR(INDEX(Inputs!$B$18:$B$24,MATCH(H26,Inputs!$A$18:$A$24,0)),0))</f>
        <v>0.07125</v>
      </c>
      <c r="AP26" s="28" t="n">
        <f aca="false">IF(OR(N(AO26)&lt;=0,N(AG26)=0,N(L26)=0),"",MIN(L26,AG26/AO26))</f>
        <v>60.3508771929825</v>
      </c>
      <c r="AQ26" s="29" t="n">
        <f aca="false">IF(OR(AP26="",N(O26)=0),"",AP26/O26-1)</f>
        <v>-0.122488154227809</v>
      </c>
      <c r="AR26" s="29" t="n">
        <f aca="false">IF(OR(AQ26="",N(O26)=0),"",AQ26+AG26/O26)</f>
        <v>-0.0599654352165402</v>
      </c>
      <c r="AS26" s="32" t="n">
        <f aca="false">IF(OR(AR26="",N(AJ26)=0),"",AR26-AJ26)</f>
        <v>0.0548444903607619</v>
      </c>
      <c r="AT26" s="28" t="n">
        <v>100</v>
      </c>
      <c r="AU26" s="28" t="n">
        <v>4.3</v>
      </c>
      <c r="AV26" s="28" t="n">
        <f aca="false">IF(N(AT26)&gt;0,AT26,L26)</f>
        <v>100</v>
      </c>
      <c r="AW26" s="28" t="n">
        <f aca="false">IF(AND(N(M26)&gt;0,N(AV26)&gt;0),M26*AV26,IF(N(AU26)&gt;0,AU26,N26))</f>
        <v>4.3</v>
      </c>
      <c r="AX26" s="29" t="n">
        <f aca="false">IF(N(AN26)=0,"",AN26+IF(I26="yes",AN26*Inputs!$B$10*Inputs!$B$9,0)+IFERROR(INDEX(Inputs!$B$13:$B$15,MATCH(G26,Inputs!$A$13:$A$15,0)),0)+IFERROR(INDEX(Inputs!$B$18:$B$24,MATCH(H26,Inputs!$A$18:$A$24,0)),0))</f>
        <v>0.07125</v>
      </c>
      <c r="AY26" s="28" t="n">
        <f aca="false">IF(OR(N(AX26)&lt;=0,N(AW26)=0,N(AV26)=0),"",MIN(AV26,AW26/AX26))</f>
        <v>60.3508771929825</v>
      </c>
      <c r="AZ26" s="29" t="n">
        <f aca="false">IF(OR(AY26="",N(O26)=0),"",AY26/O26-1)</f>
        <v>-0.122488154227809</v>
      </c>
      <c r="BA26" s="29" t="n">
        <f aca="false">IF(OR(AZ26="",N(O26)=0),"",AZ26+AW26/O26)</f>
        <v>-0.0599654352165402</v>
      </c>
      <c r="BB26" s="32" t="n">
        <f aca="false">IF(OR(BA26="",N(AR26)=0),"",BA26-AR26)</f>
        <v>0</v>
      </c>
      <c r="BC26" s="35" t="n">
        <f aca="false">IF(OR(BA26="",N(U26)=0),"",BA26-U26)</f>
        <v>0.0548444903607619</v>
      </c>
      <c r="BD26" s="37"/>
    </row>
    <row r="27" customFormat="false" ht="15" hidden="false" customHeight="false" outlineLevel="0" collapsed="false">
      <c r="A27" s="2" t="s">
        <v>140</v>
      </c>
      <c r="B27" s="2" t="n">
        <v>46</v>
      </c>
      <c r="C27" s="2" t="s">
        <v>186</v>
      </c>
      <c r="D27" s="2" t="s">
        <v>170</v>
      </c>
      <c r="E27" s="2" t="s">
        <v>171</v>
      </c>
      <c r="F27" s="27" t="n">
        <v>30100</v>
      </c>
      <c r="G27" s="2" t="s">
        <v>51</v>
      </c>
      <c r="H27" s="2" t="s">
        <v>58</v>
      </c>
      <c r="I27" s="2" t="s">
        <v>151</v>
      </c>
      <c r="J27" s="2" t="s">
        <v>145</v>
      </c>
      <c r="K27" s="2" t="n">
        <v>4</v>
      </c>
      <c r="L27" s="28" t="n">
        <v>100</v>
      </c>
      <c r="M27" s="29" t="n">
        <v>0.04</v>
      </c>
      <c r="N27" s="28" t="n">
        <v>4</v>
      </c>
      <c r="O27" s="28" t="n">
        <v>63.45</v>
      </c>
      <c r="P27" s="2" t="s">
        <v>146</v>
      </c>
      <c r="Q27" s="29" t="n">
        <v>0.08</v>
      </c>
      <c r="R27" s="30" t="n">
        <v>0.076</v>
      </c>
      <c r="S27" s="31" t="n">
        <v>52.6315789473684</v>
      </c>
      <c r="T27" s="30" t="n">
        <v>-0.17050308987599</v>
      </c>
      <c r="U27" s="30" t="n">
        <v>-0.107461324706565</v>
      </c>
      <c r="V27" s="29" t="n">
        <v>0</v>
      </c>
      <c r="W27" s="29" t="n">
        <f aca="false">IF(N(Q27)=0,"",Q27+IF(I27="yes",Q27*Inputs!$B$10*Inputs!$B$9,0)+V27)</f>
        <v>0.076</v>
      </c>
      <c r="X27" s="28" t="n">
        <f aca="false">IF(OR(N(W27)&lt;=0,N(N27)=0,N(L27)=0),"",MIN(L27,N27/W27))</f>
        <v>52.6315789473684</v>
      </c>
      <c r="Y27" s="29" t="n">
        <f aca="false">IF(OR(X27="",N(O27)=0),"",X27/O27-1)</f>
        <v>-0.17050308987599</v>
      </c>
      <c r="Z27" s="29" t="n">
        <f aca="false">IF(OR(Y27="",N(O27)=0),"",Y27+N27/O27)</f>
        <v>-0.107461324706565</v>
      </c>
      <c r="AA27" s="32" t="n">
        <f aca="false">IF(OR(Z27="",N(U27)=0),"",Z27-U27)</f>
        <v>0</v>
      </c>
      <c r="AB27" s="29" t="n">
        <f aca="false">IF(N(Q27)=0,"",Q27+IF(I27="yes",Q27*Inputs!$B$10*Inputs!$B$9,0)+IFERROR(INDEX(Inputs!$B$13:$B$15,MATCH(G27,Inputs!$A$13:$A$15,0)),0)+IFERROR(INDEX(Inputs!$B$18:$B$24,MATCH(H27,Inputs!$A$18:$A$24,0)),0))</f>
        <v>0.076</v>
      </c>
      <c r="AC27" s="28" t="n">
        <f aca="false">IF(OR(N(AB27)&lt;=0,N(N27)=0,N(L27)=0),"",MIN(L27,N27/AB27))</f>
        <v>52.6315789473684</v>
      </c>
      <c r="AD27" s="29" t="n">
        <f aca="false">IF(OR(AC27="",N(O27)=0),"",AC27/O27-1)</f>
        <v>-0.17050308987599</v>
      </c>
      <c r="AE27" s="29" t="n">
        <f aca="false">IF(OR(AD27="",N(O27)=0),"",AD27+N27/O27)</f>
        <v>-0.107461324706565</v>
      </c>
      <c r="AF27" s="32" t="n">
        <f aca="false">IF(OR(AE27="",N(Z27)=0),"",AE27-Z27)</f>
        <v>0</v>
      </c>
      <c r="AG27" s="28" t="n">
        <f aca="false">IF(AND(N(M27)&gt;0,N(L27)&gt;0),M27*L27,N27)</f>
        <v>4</v>
      </c>
      <c r="AH27" s="28" t="n">
        <f aca="false">IF(OR(N(AB27)&lt;=0,N(AG27)=0,N(L27)=0),"",MIN(L27,AG27/AB27))</f>
        <v>52.6315789473684</v>
      </c>
      <c r="AI27" s="29" t="n">
        <f aca="false">IF(OR(AH27="",N(O27)=0),"",AH27/O27-1)</f>
        <v>-0.17050308987599</v>
      </c>
      <c r="AJ27" s="29" t="n">
        <f aca="false">IF(OR(AI27="",N(O27)=0),"",AI27+AG27/O27)</f>
        <v>-0.107461324706565</v>
      </c>
      <c r="AK27" s="32" t="n">
        <f aca="false">IF(OR(AJ27="",N(AE27)=0),"",AJ27-AE27)</f>
        <v>0</v>
      </c>
      <c r="AL27" s="33" t="n">
        <f aca="false">IF(N(F27)=0,"",INDEX(Inputs!$B$28:$B$32,IFERROR(MATCH(F27,Inputs!$A$28:$A$32,1),0)+1))</f>
        <v>0.075</v>
      </c>
      <c r="AM27" s="34"/>
      <c r="AN27" s="33" t="n">
        <f aca="false">IF(N(AM27)&gt;0,AM27,AL27)</f>
        <v>0.075</v>
      </c>
      <c r="AO27" s="29" t="n">
        <f aca="false">IF(N(AN27)=0,"",AN27+IF(I27="yes",AN27*Inputs!$B$10*Inputs!$B$9,0)+IFERROR(INDEX(Inputs!$B$13:$B$15,MATCH(G27,Inputs!$A$13:$A$15,0)),0)+IFERROR(INDEX(Inputs!$B$18:$B$24,MATCH(H27,Inputs!$A$18:$A$24,0)),0))</f>
        <v>0.07125</v>
      </c>
      <c r="AP27" s="28" t="n">
        <f aca="false">IF(OR(N(AO27)&lt;=0,N(AG27)=0,N(L27)=0),"",MIN(L27,AG27/AO27))</f>
        <v>56.140350877193</v>
      </c>
      <c r="AQ27" s="29" t="n">
        <f aca="false">IF(OR(AP27="",N(O27)=0),"",AP27/O27-1)</f>
        <v>-0.115203295867723</v>
      </c>
      <c r="AR27" s="29" t="n">
        <f aca="false">IF(OR(AQ27="",N(O27)=0),"",AQ27+AG27/O27)</f>
        <v>-0.0521615306982981</v>
      </c>
      <c r="AS27" s="32" t="n">
        <f aca="false">IF(OR(AR27="",N(AJ27)=0),"",AR27-AJ27)</f>
        <v>0.0552997940082673</v>
      </c>
      <c r="AT27" s="28" t="n">
        <v>100</v>
      </c>
      <c r="AU27" s="28" t="n">
        <v>4</v>
      </c>
      <c r="AV27" s="28" t="n">
        <f aca="false">IF(N(AT27)&gt;0,AT27,L27)</f>
        <v>100</v>
      </c>
      <c r="AW27" s="28" t="n">
        <f aca="false">IF(AND(N(M27)&gt;0,N(AV27)&gt;0),M27*AV27,IF(N(AU27)&gt;0,AU27,N27))</f>
        <v>4</v>
      </c>
      <c r="AX27" s="29" t="n">
        <f aca="false">IF(N(AN27)=0,"",AN27+IF(I27="yes",AN27*Inputs!$B$10*Inputs!$B$9,0)+IFERROR(INDEX(Inputs!$B$13:$B$15,MATCH(G27,Inputs!$A$13:$A$15,0)),0)+IFERROR(INDEX(Inputs!$B$18:$B$24,MATCH(H27,Inputs!$A$18:$A$24,0)),0))</f>
        <v>0.07125</v>
      </c>
      <c r="AY27" s="28" t="n">
        <f aca="false">IF(OR(N(AX27)&lt;=0,N(AW27)=0,N(AV27)=0),"",MIN(AV27,AW27/AX27))</f>
        <v>56.140350877193</v>
      </c>
      <c r="AZ27" s="29" t="n">
        <f aca="false">IF(OR(AY27="",N(O27)=0),"",AY27/O27-1)</f>
        <v>-0.115203295867723</v>
      </c>
      <c r="BA27" s="29" t="n">
        <f aca="false">IF(OR(AZ27="",N(O27)=0),"",AZ27+AW27/O27)</f>
        <v>-0.0521615306982981</v>
      </c>
      <c r="BB27" s="32" t="n">
        <f aca="false">IF(OR(BA27="",N(AR27)=0),"",BA27-AR27)</f>
        <v>0</v>
      </c>
      <c r="BC27" s="35" t="n">
        <f aca="false">IF(OR(BA27="",N(U27)=0),"",BA27-U27)</f>
        <v>0.0552997940082673</v>
      </c>
      <c r="BD27" s="37"/>
    </row>
    <row r="28" customFormat="false" ht="15" hidden="false" customHeight="false" outlineLevel="0" collapsed="false">
      <c r="A28" s="2" t="s">
        <v>140</v>
      </c>
      <c r="B28" s="2" t="n">
        <v>47</v>
      </c>
      <c r="C28" s="2" t="s">
        <v>187</v>
      </c>
      <c r="D28" s="2" t="s">
        <v>170</v>
      </c>
      <c r="E28" s="2" t="s">
        <v>171</v>
      </c>
      <c r="F28" s="27" t="n">
        <v>30100</v>
      </c>
      <c r="G28" s="2" t="s">
        <v>51</v>
      </c>
      <c r="H28" s="2" t="s">
        <v>58</v>
      </c>
      <c r="I28" s="2" t="s">
        <v>151</v>
      </c>
      <c r="J28" s="2" t="s">
        <v>145</v>
      </c>
      <c r="K28" s="2" t="n">
        <v>4</v>
      </c>
      <c r="L28" s="28" t="n">
        <v>100</v>
      </c>
      <c r="M28" s="29" t="n">
        <v>0.035</v>
      </c>
      <c r="N28" s="28" t="n">
        <v>3.5</v>
      </c>
      <c r="O28" s="28" t="n">
        <v>61.97</v>
      </c>
      <c r="P28" s="2" t="s">
        <v>146</v>
      </c>
      <c r="Q28" s="29" t="n">
        <v>0.08</v>
      </c>
      <c r="R28" s="30" t="n">
        <v>0.076</v>
      </c>
      <c r="S28" s="31" t="n">
        <v>46.0526315789474</v>
      </c>
      <c r="T28" s="30" t="n">
        <v>-0.256856033904351</v>
      </c>
      <c r="U28" s="30" t="n">
        <v>-0.200377092481082</v>
      </c>
      <c r="V28" s="29" t="n">
        <v>0</v>
      </c>
      <c r="W28" s="29" t="n">
        <f aca="false">IF(N(Q28)=0,"",Q28+IF(I28="yes",Q28*Inputs!$B$10*Inputs!$B$9,0)+V28)</f>
        <v>0.076</v>
      </c>
      <c r="X28" s="28" t="n">
        <f aca="false">IF(OR(N(W28)&lt;=0,N(N28)=0,N(L28)=0),"",MIN(L28,N28/W28))</f>
        <v>46.0526315789474</v>
      </c>
      <c r="Y28" s="29" t="n">
        <f aca="false">IF(OR(X28="",N(O28)=0),"",X28/O28-1)</f>
        <v>-0.256856033904351</v>
      </c>
      <c r="Z28" s="29" t="n">
        <f aca="false">IF(OR(Y28="",N(O28)=0),"",Y28+N28/O28)</f>
        <v>-0.200377092481082</v>
      </c>
      <c r="AA28" s="32" t="n">
        <f aca="false">IF(OR(Z28="",N(U28)=0),"",Z28-U28)</f>
        <v>0</v>
      </c>
      <c r="AB28" s="29" t="n">
        <f aca="false">IF(N(Q28)=0,"",Q28+IF(I28="yes",Q28*Inputs!$B$10*Inputs!$B$9,0)+IFERROR(INDEX(Inputs!$B$13:$B$15,MATCH(G28,Inputs!$A$13:$A$15,0)),0)+IFERROR(INDEX(Inputs!$B$18:$B$24,MATCH(H28,Inputs!$A$18:$A$24,0)),0))</f>
        <v>0.076</v>
      </c>
      <c r="AC28" s="28" t="n">
        <f aca="false">IF(OR(N(AB28)&lt;=0,N(N28)=0,N(L28)=0),"",MIN(L28,N28/AB28))</f>
        <v>46.0526315789474</v>
      </c>
      <c r="AD28" s="29" t="n">
        <f aca="false">IF(OR(AC28="",N(O28)=0),"",AC28/O28-1)</f>
        <v>-0.256856033904351</v>
      </c>
      <c r="AE28" s="29" t="n">
        <f aca="false">IF(OR(AD28="",N(O28)=0),"",AD28+N28/O28)</f>
        <v>-0.200377092481082</v>
      </c>
      <c r="AF28" s="32" t="n">
        <f aca="false">IF(OR(AE28="",N(Z28)=0),"",AE28-Z28)</f>
        <v>0</v>
      </c>
      <c r="AG28" s="28" t="n">
        <f aca="false">IF(AND(N(M28)&gt;0,N(L28)&gt;0),M28*L28,N28)</f>
        <v>3.5</v>
      </c>
      <c r="AH28" s="28" t="n">
        <f aca="false">IF(OR(N(AB28)&lt;=0,N(AG28)=0,N(L28)=0),"",MIN(L28,AG28/AB28))</f>
        <v>46.0526315789474</v>
      </c>
      <c r="AI28" s="29" t="n">
        <f aca="false">IF(OR(AH28="",N(O28)=0),"",AH28/O28-1)</f>
        <v>-0.256856033904351</v>
      </c>
      <c r="AJ28" s="29" t="n">
        <f aca="false">IF(OR(AI28="",N(O28)=0),"",AI28+AG28/O28)</f>
        <v>-0.200377092481082</v>
      </c>
      <c r="AK28" s="32" t="n">
        <f aca="false">IF(OR(AJ28="",N(AE28)=0),"",AJ28-AE28)</f>
        <v>0</v>
      </c>
      <c r="AL28" s="33" t="n">
        <f aca="false">IF(N(F28)=0,"",INDEX(Inputs!$B$28:$B$32,IFERROR(MATCH(F28,Inputs!$A$28:$A$32,1),0)+1))</f>
        <v>0.075</v>
      </c>
      <c r="AM28" s="34"/>
      <c r="AN28" s="33" t="n">
        <f aca="false">IF(N(AM28)&gt;0,AM28,AL28)</f>
        <v>0.075</v>
      </c>
      <c r="AO28" s="29" t="n">
        <f aca="false">IF(N(AN28)=0,"",AN28+IF(I28="yes",AN28*Inputs!$B$10*Inputs!$B$9,0)+IFERROR(INDEX(Inputs!$B$13:$B$15,MATCH(G28,Inputs!$A$13:$A$15,0)),0)+IFERROR(INDEX(Inputs!$B$18:$B$24,MATCH(H28,Inputs!$A$18:$A$24,0)),0))</f>
        <v>0.07125</v>
      </c>
      <c r="AP28" s="28" t="n">
        <f aca="false">IF(OR(N(AO28)&lt;=0,N(AG28)=0,N(L28)=0),"",MIN(L28,AG28/AO28))</f>
        <v>49.1228070175439</v>
      </c>
      <c r="AQ28" s="29" t="n">
        <f aca="false">IF(OR(AP28="",N(O28)=0),"",AP28/O28-1)</f>
        <v>-0.207313102831308</v>
      </c>
      <c r="AR28" s="29" t="n">
        <f aca="false">IF(OR(AQ28="",N(O28)=0),"",AQ28+AG28/O28)</f>
        <v>-0.150834161408038</v>
      </c>
      <c r="AS28" s="32" t="n">
        <f aca="false">IF(OR(AR28="",N(AJ28)=0),"",AR28-AJ28)</f>
        <v>0.0495429310730432</v>
      </c>
      <c r="AT28" s="28" t="n">
        <v>100</v>
      </c>
      <c r="AU28" s="28" t="n">
        <v>3.5</v>
      </c>
      <c r="AV28" s="28" t="n">
        <f aca="false">IF(N(AT28)&gt;0,AT28,L28)</f>
        <v>100</v>
      </c>
      <c r="AW28" s="28" t="n">
        <f aca="false">IF(AND(N(M28)&gt;0,N(AV28)&gt;0),M28*AV28,IF(N(AU28)&gt;0,AU28,N28))</f>
        <v>3.5</v>
      </c>
      <c r="AX28" s="29" t="n">
        <f aca="false">IF(N(AN28)=0,"",AN28+IF(I28="yes",AN28*Inputs!$B$10*Inputs!$B$9,0)+IFERROR(INDEX(Inputs!$B$13:$B$15,MATCH(G28,Inputs!$A$13:$A$15,0)),0)+IFERROR(INDEX(Inputs!$B$18:$B$24,MATCH(H28,Inputs!$A$18:$A$24,0)),0))</f>
        <v>0.07125</v>
      </c>
      <c r="AY28" s="28" t="n">
        <f aca="false">IF(OR(N(AX28)&lt;=0,N(AW28)=0,N(AV28)=0),"",MIN(AV28,AW28/AX28))</f>
        <v>49.1228070175439</v>
      </c>
      <c r="AZ28" s="29" t="n">
        <f aca="false">IF(OR(AY28="",N(O28)=0),"",AY28/O28-1)</f>
        <v>-0.207313102831308</v>
      </c>
      <c r="BA28" s="29" t="n">
        <f aca="false">IF(OR(AZ28="",N(O28)=0),"",AZ28+AW28/O28)</f>
        <v>-0.150834161408038</v>
      </c>
      <c r="BB28" s="32" t="n">
        <f aca="false">IF(OR(BA28="",N(AR28)=0),"",BA28-AR28)</f>
        <v>0</v>
      </c>
      <c r="BC28" s="35" t="n">
        <f aca="false">IF(OR(BA28="",N(U28)=0),"",BA28-U28)</f>
        <v>0.0495429310730433</v>
      </c>
      <c r="BD28" s="37"/>
    </row>
    <row r="29" customFormat="false" ht="15" hidden="false" customHeight="false" outlineLevel="0" collapsed="false">
      <c r="A29" s="2" t="s">
        <v>140</v>
      </c>
      <c r="B29" s="2" t="n">
        <v>48</v>
      </c>
      <c r="C29" s="2" t="s">
        <v>188</v>
      </c>
      <c r="D29" s="2" t="s">
        <v>170</v>
      </c>
      <c r="E29" s="2" t="s">
        <v>171</v>
      </c>
      <c r="F29" s="27" t="n">
        <v>30100</v>
      </c>
      <c r="G29" s="2" t="s">
        <v>51</v>
      </c>
      <c r="H29" s="2" t="s">
        <v>58</v>
      </c>
      <c r="I29" s="2" t="s">
        <v>151</v>
      </c>
      <c r="J29" s="2" t="s">
        <v>145</v>
      </c>
      <c r="K29" s="2" t="n">
        <v>4</v>
      </c>
      <c r="L29" s="28" t="n">
        <v>100</v>
      </c>
      <c r="M29" s="29" t="n">
        <v>0.045</v>
      </c>
      <c r="N29" s="28" t="n">
        <v>4.5</v>
      </c>
      <c r="O29" s="28" t="n">
        <v>71.99</v>
      </c>
      <c r="P29" s="2" t="s">
        <v>146</v>
      </c>
      <c r="Q29" s="29" t="n">
        <v>0.08</v>
      </c>
      <c r="R29" s="30" t="n">
        <v>0.076</v>
      </c>
      <c r="S29" s="31" t="n">
        <v>59.2105263157895</v>
      </c>
      <c r="T29" s="30" t="n">
        <v>-0.177517345245319</v>
      </c>
      <c r="U29" s="30" t="n">
        <v>-0.115008663483964</v>
      </c>
      <c r="V29" s="29" t="n">
        <v>0</v>
      </c>
      <c r="W29" s="29" t="n">
        <f aca="false">IF(N(Q29)=0,"",Q29+IF(I29="yes",Q29*Inputs!$B$10*Inputs!$B$9,0)+V29)</f>
        <v>0.076</v>
      </c>
      <c r="X29" s="28" t="n">
        <f aca="false">IF(OR(N(W29)&lt;=0,N(N29)=0,N(L29)=0),"",MIN(L29,N29/W29))</f>
        <v>59.2105263157895</v>
      </c>
      <c r="Y29" s="29" t="n">
        <f aca="false">IF(OR(X29="",N(O29)=0),"",X29/O29-1)</f>
        <v>-0.177517345245319</v>
      </c>
      <c r="Z29" s="29" t="n">
        <f aca="false">IF(OR(Y29="",N(O29)=0),"",Y29+N29/O29)</f>
        <v>-0.115008663483964</v>
      </c>
      <c r="AA29" s="32" t="n">
        <f aca="false">IF(OR(Z29="",N(U29)=0),"",Z29-U29)</f>
        <v>0</v>
      </c>
      <c r="AB29" s="29" t="n">
        <f aca="false">IF(N(Q29)=0,"",Q29+IF(I29="yes",Q29*Inputs!$B$10*Inputs!$B$9,0)+IFERROR(INDEX(Inputs!$B$13:$B$15,MATCH(G29,Inputs!$A$13:$A$15,0)),0)+IFERROR(INDEX(Inputs!$B$18:$B$24,MATCH(H29,Inputs!$A$18:$A$24,0)),0))</f>
        <v>0.076</v>
      </c>
      <c r="AC29" s="28" t="n">
        <f aca="false">IF(OR(N(AB29)&lt;=0,N(N29)=0,N(L29)=0),"",MIN(L29,N29/AB29))</f>
        <v>59.2105263157895</v>
      </c>
      <c r="AD29" s="29" t="n">
        <f aca="false">IF(OR(AC29="",N(O29)=0),"",AC29/O29-1)</f>
        <v>-0.177517345245319</v>
      </c>
      <c r="AE29" s="29" t="n">
        <f aca="false">IF(OR(AD29="",N(O29)=0),"",AD29+N29/O29)</f>
        <v>-0.115008663483964</v>
      </c>
      <c r="AF29" s="32" t="n">
        <f aca="false">IF(OR(AE29="",N(Z29)=0),"",AE29-Z29)</f>
        <v>0</v>
      </c>
      <c r="AG29" s="28" t="n">
        <f aca="false">IF(AND(N(M29)&gt;0,N(L29)&gt;0),M29*L29,N29)</f>
        <v>4.5</v>
      </c>
      <c r="AH29" s="28" t="n">
        <f aca="false">IF(OR(N(AB29)&lt;=0,N(AG29)=0,N(L29)=0),"",MIN(L29,AG29/AB29))</f>
        <v>59.2105263157895</v>
      </c>
      <c r="AI29" s="29" t="n">
        <f aca="false">IF(OR(AH29="",N(O29)=0),"",AH29/O29-1)</f>
        <v>-0.177517345245319</v>
      </c>
      <c r="AJ29" s="29" t="n">
        <f aca="false">IF(OR(AI29="",N(O29)=0),"",AI29+AG29/O29)</f>
        <v>-0.115008663483964</v>
      </c>
      <c r="AK29" s="32" t="n">
        <f aca="false">IF(OR(AJ29="",N(AE29)=0),"",AJ29-AE29)</f>
        <v>0</v>
      </c>
      <c r="AL29" s="33" t="n">
        <f aca="false">IF(N(F29)=0,"",INDEX(Inputs!$B$28:$B$32,IFERROR(MATCH(F29,Inputs!$A$28:$A$32,1),0)+1))</f>
        <v>0.075</v>
      </c>
      <c r="AM29" s="34"/>
      <c r="AN29" s="33" t="n">
        <f aca="false">IF(N(AM29)&gt;0,AM29,AL29)</f>
        <v>0.075</v>
      </c>
      <c r="AO29" s="29" t="n">
        <f aca="false">IF(N(AN29)=0,"",AN29+IF(I29="yes",AN29*Inputs!$B$10*Inputs!$B$9,0)+IFERROR(INDEX(Inputs!$B$13:$B$15,MATCH(G29,Inputs!$A$13:$A$15,0)),0)+IFERROR(INDEX(Inputs!$B$18:$B$24,MATCH(H29,Inputs!$A$18:$A$24,0)),0))</f>
        <v>0.07125</v>
      </c>
      <c r="AP29" s="28" t="n">
        <f aca="false">IF(OR(N(AO29)&lt;=0,N(AG29)=0,N(L29)=0),"",MIN(L29,AG29/AO29))</f>
        <v>63.1578947368421</v>
      </c>
      <c r="AQ29" s="29" t="n">
        <f aca="false">IF(OR(AP29="",N(O29)=0),"",AP29/O29-1)</f>
        <v>-0.122685168261674</v>
      </c>
      <c r="AR29" s="29" t="n">
        <f aca="false">IF(OR(AQ29="",N(O29)=0),"",AQ29+AG29/O29)</f>
        <v>-0.0601764865003181</v>
      </c>
      <c r="AS29" s="32" t="n">
        <f aca="false">IF(OR(AR29="",N(AJ29)=0),"",AR29-AJ29)</f>
        <v>0.0548321769836454</v>
      </c>
      <c r="AT29" s="28" t="n">
        <v>100</v>
      </c>
      <c r="AU29" s="28" t="n">
        <v>4.5</v>
      </c>
      <c r="AV29" s="28" t="n">
        <f aca="false">IF(N(AT29)&gt;0,AT29,L29)</f>
        <v>100</v>
      </c>
      <c r="AW29" s="28" t="n">
        <f aca="false">IF(AND(N(M29)&gt;0,N(AV29)&gt;0),M29*AV29,IF(N(AU29)&gt;0,AU29,N29))</f>
        <v>4.5</v>
      </c>
      <c r="AX29" s="29" t="n">
        <f aca="false">IF(N(AN29)=0,"",AN29+IF(I29="yes",AN29*Inputs!$B$10*Inputs!$B$9,0)+IFERROR(INDEX(Inputs!$B$13:$B$15,MATCH(G29,Inputs!$A$13:$A$15,0)),0)+IFERROR(INDEX(Inputs!$B$18:$B$24,MATCH(H29,Inputs!$A$18:$A$24,0)),0))</f>
        <v>0.07125</v>
      </c>
      <c r="AY29" s="28" t="n">
        <f aca="false">IF(OR(N(AX29)&lt;=0,N(AW29)=0,N(AV29)=0),"",MIN(AV29,AW29/AX29))</f>
        <v>63.1578947368421</v>
      </c>
      <c r="AZ29" s="29" t="n">
        <f aca="false">IF(OR(AY29="",N(O29)=0),"",AY29/O29-1)</f>
        <v>-0.122685168261674</v>
      </c>
      <c r="BA29" s="29" t="n">
        <f aca="false">IF(OR(AZ29="",N(O29)=0),"",AZ29+AW29/O29)</f>
        <v>-0.0601764865003181</v>
      </c>
      <c r="BB29" s="32" t="n">
        <f aca="false">IF(OR(BA29="",N(AR29)=0),"",BA29-AR29)</f>
        <v>0</v>
      </c>
      <c r="BC29" s="35" t="n">
        <f aca="false">IF(OR(BA29="",N(U29)=0),"",BA29-U29)</f>
        <v>0.0548321769836454</v>
      </c>
      <c r="BD29" s="37"/>
    </row>
    <row r="30" customFormat="false" ht="15" hidden="false" customHeight="false" outlineLevel="0" collapsed="false">
      <c r="A30" s="2" t="s">
        <v>140</v>
      </c>
      <c r="B30" s="2" t="n">
        <v>49</v>
      </c>
      <c r="C30" s="2" t="s">
        <v>189</v>
      </c>
      <c r="D30" s="2" t="s">
        <v>170</v>
      </c>
      <c r="E30" s="2" t="s">
        <v>171</v>
      </c>
      <c r="F30" s="27" t="n">
        <v>30100</v>
      </c>
      <c r="G30" s="2" t="s">
        <v>51</v>
      </c>
      <c r="H30" s="2" t="s">
        <v>58</v>
      </c>
      <c r="I30" s="2" t="s">
        <v>151</v>
      </c>
      <c r="J30" s="2" t="s">
        <v>145</v>
      </c>
      <c r="K30" s="2" t="n">
        <v>4</v>
      </c>
      <c r="L30" s="28" t="n">
        <v>100</v>
      </c>
      <c r="M30" s="29" t="n">
        <v>0.0456</v>
      </c>
      <c r="N30" s="28" t="n">
        <v>4.56</v>
      </c>
      <c r="O30" s="28" t="n">
        <v>71.45</v>
      </c>
      <c r="P30" s="2" t="s">
        <v>146</v>
      </c>
      <c r="Q30" s="29" t="n">
        <v>0.08</v>
      </c>
      <c r="R30" s="30" t="n">
        <v>0.076</v>
      </c>
      <c r="S30" s="31" t="n">
        <v>60</v>
      </c>
      <c r="T30" s="30" t="n">
        <v>-0.160251924422673</v>
      </c>
      <c r="U30" s="30" t="n">
        <v>-0.0964310706787965</v>
      </c>
      <c r="V30" s="29" t="n">
        <v>0</v>
      </c>
      <c r="W30" s="29" t="n">
        <f aca="false">IF(N(Q30)=0,"",Q30+IF(I30="yes",Q30*Inputs!$B$10*Inputs!$B$9,0)+V30)</f>
        <v>0.076</v>
      </c>
      <c r="X30" s="28" t="n">
        <f aca="false">IF(OR(N(W30)&lt;=0,N(N30)=0,N(L30)=0),"",MIN(L30,N30/W30))</f>
        <v>60</v>
      </c>
      <c r="Y30" s="29" t="n">
        <f aca="false">IF(OR(X30="",N(O30)=0),"",X30/O30-1)</f>
        <v>-0.160251924422673</v>
      </c>
      <c r="Z30" s="29" t="n">
        <f aca="false">IF(OR(Y30="",N(O30)=0),"",Y30+N30/O30)</f>
        <v>-0.0964310706787965</v>
      </c>
      <c r="AA30" s="32" t="n">
        <f aca="false">IF(OR(Z30="",N(U30)=0),"",Z30-U30)</f>
        <v>0</v>
      </c>
      <c r="AB30" s="29" t="n">
        <f aca="false">IF(N(Q30)=0,"",Q30+IF(I30="yes",Q30*Inputs!$B$10*Inputs!$B$9,0)+IFERROR(INDEX(Inputs!$B$13:$B$15,MATCH(G30,Inputs!$A$13:$A$15,0)),0)+IFERROR(INDEX(Inputs!$B$18:$B$24,MATCH(H30,Inputs!$A$18:$A$24,0)),0))</f>
        <v>0.076</v>
      </c>
      <c r="AC30" s="28" t="n">
        <f aca="false">IF(OR(N(AB30)&lt;=0,N(N30)=0,N(L30)=0),"",MIN(L30,N30/AB30))</f>
        <v>60</v>
      </c>
      <c r="AD30" s="29" t="n">
        <f aca="false">IF(OR(AC30="",N(O30)=0),"",AC30/O30-1)</f>
        <v>-0.160251924422673</v>
      </c>
      <c r="AE30" s="29" t="n">
        <f aca="false">IF(OR(AD30="",N(O30)=0),"",AD30+N30/O30)</f>
        <v>-0.0964310706787965</v>
      </c>
      <c r="AF30" s="32" t="n">
        <f aca="false">IF(OR(AE30="",N(Z30)=0),"",AE30-Z30)</f>
        <v>0</v>
      </c>
      <c r="AG30" s="28" t="n">
        <f aca="false">IF(AND(N(M30)&gt;0,N(L30)&gt;0),M30*L30,N30)</f>
        <v>4.56</v>
      </c>
      <c r="AH30" s="28" t="n">
        <f aca="false">IF(OR(N(AB30)&lt;=0,N(AG30)=0,N(L30)=0),"",MIN(L30,AG30/AB30))</f>
        <v>60</v>
      </c>
      <c r="AI30" s="29" t="n">
        <f aca="false">IF(OR(AH30="",N(O30)=0),"",AH30/O30-1)</f>
        <v>-0.160251924422673</v>
      </c>
      <c r="AJ30" s="29" t="n">
        <f aca="false">IF(OR(AI30="",N(O30)=0),"",AI30+AG30/O30)</f>
        <v>-0.0964310706787966</v>
      </c>
      <c r="AK30" s="32" t="n">
        <f aca="false">IF(OR(AJ30="",N(AE30)=0),"",AJ30-AE30)</f>
        <v>0</v>
      </c>
      <c r="AL30" s="33" t="n">
        <f aca="false">IF(N(F30)=0,"",INDEX(Inputs!$B$28:$B$32,IFERROR(MATCH(F30,Inputs!$A$28:$A$32,1),0)+1))</f>
        <v>0.075</v>
      </c>
      <c r="AM30" s="34"/>
      <c r="AN30" s="33" t="n">
        <f aca="false">IF(N(AM30)&gt;0,AM30,AL30)</f>
        <v>0.075</v>
      </c>
      <c r="AO30" s="29" t="n">
        <f aca="false">IF(N(AN30)=0,"",AN30+IF(I30="yes",AN30*Inputs!$B$10*Inputs!$B$9,0)+IFERROR(INDEX(Inputs!$B$13:$B$15,MATCH(G30,Inputs!$A$13:$A$15,0)),0)+IFERROR(INDEX(Inputs!$B$18:$B$24,MATCH(H30,Inputs!$A$18:$A$24,0)),0))</f>
        <v>0.07125</v>
      </c>
      <c r="AP30" s="28" t="n">
        <f aca="false">IF(OR(N(AO30)&lt;=0,N(AG30)=0,N(L30)=0),"",MIN(L30,AG30/AO30))</f>
        <v>64</v>
      </c>
      <c r="AQ30" s="29" t="n">
        <f aca="false">IF(OR(AP30="",N(O30)=0),"",AP30/O30-1)</f>
        <v>-0.104268719384185</v>
      </c>
      <c r="AR30" s="29" t="n">
        <f aca="false">IF(OR(AQ30="",N(O30)=0),"",AQ30+AG30/O30)</f>
        <v>-0.0404478656403082</v>
      </c>
      <c r="AS30" s="32" t="n">
        <f aca="false">IF(OR(AR30="",N(AJ30)=0),"",AR30-AJ30)</f>
        <v>0.0559832050384884</v>
      </c>
      <c r="AT30" s="28" t="n">
        <v>100</v>
      </c>
      <c r="AU30" s="28" t="n">
        <v>4.56</v>
      </c>
      <c r="AV30" s="28" t="n">
        <f aca="false">IF(N(AT30)&gt;0,AT30,L30)</f>
        <v>100</v>
      </c>
      <c r="AW30" s="28" t="n">
        <f aca="false">IF(AND(N(M30)&gt;0,N(AV30)&gt;0),M30*AV30,IF(N(AU30)&gt;0,AU30,N30))</f>
        <v>4.56</v>
      </c>
      <c r="AX30" s="29" t="n">
        <f aca="false">IF(N(AN30)=0,"",AN30+IF(I30="yes",AN30*Inputs!$B$10*Inputs!$B$9,0)+IFERROR(INDEX(Inputs!$B$13:$B$15,MATCH(G30,Inputs!$A$13:$A$15,0)),0)+IFERROR(INDEX(Inputs!$B$18:$B$24,MATCH(H30,Inputs!$A$18:$A$24,0)),0))</f>
        <v>0.07125</v>
      </c>
      <c r="AY30" s="28" t="n">
        <f aca="false">IF(OR(N(AX30)&lt;=0,N(AW30)=0,N(AV30)=0),"",MIN(AV30,AW30/AX30))</f>
        <v>64</v>
      </c>
      <c r="AZ30" s="29" t="n">
        <f aca="false">IF(OR(AY30="",N(O30)=0),"",AY30/O30-1)</f>
        <v>-0.104268719384185</v>
      </c>
      <c r="BA30" s="29" t="n">
        <f aca="false">IF(OR(AZ30="",N(O30)=0),"",AZ30+AW30/O30)</f>
        <v>-0.0404478656403082</v>
      </c>
      <c r="BB30" s="32" t="n">
        <f aca="false">IF(OR(BA30="",N(AR30)=0),"",BA30-AR30)</f>
        <v>0</v>
      </c>
      <c r="BC30" s="35" t="n">
        <f aca="false">IF(OR(BA30="",N(U30)=0),"",BA30-U30)</f>
        <v>0.0559832050384883</v>
      </c>
      <c r="BD30" s="37"/>
    </row>
    <row r="31" customFormat="false" ht="15" hidden="false" customHeight="false" outlineLevel="0" collapsed="false">
      <c r="A31" s="2" t="s">
        <v>140</v>
      </c>
      <c r="B31" s="2" t="n">
        <v>52</v>
      </c>
      <c r="C31" s="2" t="s">
        <v>190</v>
      </c>
      <c r="D31" s="2" t="s">
        <v>191</v>
      </c>
      <c r="E31" s="2" t="s">
        <v>192</v>
      </c>
      <c r="F31" s="27" t="n">
        <v>14200</v>
      </c>
      <c r="G31" s="2" t="s">
        <v>52</v>
      </c>
      <c r="H31" s="2" t="s">
        <v>58</v>
      </c>
      <c r="I31" s="2" t="s">
        <v>144</v>
      </c>
      <c r="J31" s="2" t="s">
        <v>145</v>
      </c>
      <c r="K31" s="2" t="n">
        <v>4</v>
      </c>
      <c r="L31" s="28" t="n">
        <v>25</v>
      </c>
      <c r="M31" s="29" t="n">
        <v>0.051</v>
      </c>
      <c r="N31" s="28" t="n">
        <v>1.275</v>
      </c>
      <c r="O31" s="28" t="n">
        <v>18.12</v>
      </c>
      <c r="P31" s="2" t="s">
        <v>146</v>
      </c>
      <c r="Q31" s="29" t="n">
        <v>0.08</v>
      </c>
      <c r="R31" s="30" t="n">
        <v>0.075</v>
      </c>
      <c r="S31" s="31" t="n">
        <v>17</v>
      </c>
      <c r="T31" s="30" t="n">
        <v>-0.0618101545253864</v>
      </c>
      <c r="U31" s="30" t="n">
        <v>0.0085540838852096</v>
      </c>
      <c r="V31" s="29" t="n">
        <v>-0.005</v>
      </c>
      <c r="W31" s="29" t="n">
        <f aca="false">IF(N(Q31)=0,"",Q31+IF(I31="yes",Q31*Inputs!$B$10*Inputs!$B$9,0)+V31)</f>
        <v>0.075</v>
      </c>
      <c r="X31" s="28" t="n">
        <f aca="false">IF(OR(N(W31)&lt;=0,N(N31)=0,N(L31)=0),"",MIN(L31,N31/W31))</f>
        <v>17</v>
      </c>
      <c r="Y31" s="29" t="n">
        <f aca="false">IF(OR(X31="",N(O31)=0),"",X31/O31-1)</f>
        <v>-0.0618101545253864</v>
      </c>
      <c r="Z31" s="29" t="n">
        <f aca="false">IF(OR(Y31="",N(O31)=0),"",Y31+N31/O31)</f>
        <v>0.0085540838852096</v>
      </c>
      <c r="AA31" s="32" t="n">
        <f aca="false">IF(OR(Z31="",N(U31)=0),"",Z31-U31)</f>
        <v>0</v>
      </c>
      <c r="AB31" s="29" t="n">
        <f aca="false">IF(N(Q31)=0,"",Q31+IF(I31="yes",Q31*Inputs!$B$10*Inputs!$B$9,0)+IFERROR(INDEX(Inputs!$B$13:$B$15,MATCH(G31,Inputs!$A$13:$A$15,0)),0)+IFERROR(INDEX(Inputs!$B$18:$B$24,MATCH(H31,Inputs!$A$18:$A$24,0)),0))</f>
        <v>0.075</v>
      </c>
      <c r="AC31" s="28" t="n">
        <f aca="false">IF(OR(N(AB31)&lt;=0,N(N31)=0,N(L31)=0),"",MIN(L31,N31/AB31))</f>
        <v>17</v>
      </c>
      <c r="AD31" s="29" t="n">
        <f aca="false">IF(OR(AC31="",N(O31)=0),"",AC31/O31-1)</f>
        <v>-0.0618101545253864</v>
      </c>
      <c r="AE31" s="29" t="n">
        <f aca="false">IF(OR(AD31="",N(O31)=0),"",AD31+N31/O31)</f>
        <v>0.0085540838852096</v>
      </c>
      <c r="AF31" s="32" t="n">
        <f aca="false">IF(OR(AE31="",N(Z31)=0),"",AE31-Z31)</f>
        <v>0</v>
      </c>
      <c r="AG31" s="28" t="n">
        <f aca="false">IF(AND(N(M31)&gt;0,N(L31)&gt;0),M31*L31,N31)</f>
        <v>1.275</v>
      </c>
      <c r="AH31" s="28" t="n">
        <f aca="false">IF(OR(N(AB31)&lt;=0,N(AG31)=0,N(L31)=0),"",MIN(L31,AG31/AB31))</f>
        <v>17</v>
      </c>
      <c r="AI31" s="29" t="n">
        <f aca="false">IF(OR(AH31="",N(O31)=0),"",AH31/O31-1)</f>
        <v>-0.0618101545253864</v>
      </c>
      <c r="AJ31" s="29" t="n">
        <f aca="false">IF(OR(AI31="",N(O31)=0),"",AI31+AG31/O31)</f>
        <v>0.0085540838852096</v>
      </c>
      <c r="AK31" s="32" t="n">
        <f aca="false">IF(OR(AJ31="",N(AE31)=0),"",AJ31-AE31)</f>
        <v>0</v>
      </c>
      <c r="AL31" s="33" t="n">
        <f aca="false">IF(N(F31)=0,"",INDEX(Inputs!$B$28:$B$32,IFERROR(MATCH(F31,Inputs!$A$28:$A$32,1),0)+1))</f>
        <v>0.08</v>
      </c>
      <c r="AM31" s="34"/>
      <c r="AN31" s="33" t="n">
        <f aca="false">IF(N(AM31)&gt;0,AM31,AL31)</f>
        <v>0.08</v>
      </c>
      <c r="AO31" s="29" t="n">
        <f aca="false">IF(N(AN31)=0,"",AN31+IF(I31="yes",AN31*Inputs!$B$10*Inputs!$B$9,0)+IFERROR(INDEX(Inputs!$B$13:$B$15,MATCH(G31,Inputs!$A$13:$A$15,0)),0)+IFERROR(INDEX(Inputs!$B$18:$B$24,MATCH(H31,Inputs!$A$18:$A$24,0)),0))</f>
        <v>0.075</v>
      </c>
      <c r="AP31" s="28" t="n">
        <f aca="false">IF(OR(N(AO31)&lt;=0,N(AG31)=0,N(L31)=0),"",MIN(L31,AG31/AO31))</f>
        <v>17</v>
      </c>
      <c r="AQ31" s="29" t="n">
        <f aca="false">IF(OR(AP31="",N(O31)=0),"",AP31/O31-1)</f>
        <v>-0.0618101545253864</v>
      </c>
      <c r="AR31" s="29" t="n">
        <f aca="false">IF(OR(AQ31="",N(O31)=0),"",AQ31+AG31/O31)</f>
        <v>0.0085540838852096</v>
      </c>
      <c r="AS31" s="32" t="n">
        <f aca="false">IF(OR(AR31="",N(AJ31)=0),"",AR31-AJ31)</f>
        <v>0</v>
      </c>
      <c r="AT31" s="28" t="n">
        <v>25</v>
      </c>
      <c r="AU31" s="28" t="n">
        <v>1.28</v>
      </c>
      <c r="AV31" s="28" t="n">
        <f aca="false">IF(N(AT31)&gt;0,AT31,L31)</f>
        <v>25</v>
      </c>
      <c r="AW31" s="28" t="n">
        <f aca="false">IF(AND(N(M31)&gt;0,N(AV31)&gt;0),M31*AV31,IF(N(AU31)&gt;0,AU31,N31))</f>
        <v>1.275</v>
      </c>
      <c r="AX31" s="29" t="n">
        <f aca="false">IF(N(AN31)=0,"",AN31+IF(I31="yes",AN31*Inputs!$B$10*Inputs!$B$9,0)+IFERROR(INDEX(Inputs!$B$13:$B$15,MATCH(G31,Inputs!$A$13:$A$15,0)),0)+IFERROR(INDEX(Inputs!$B$18:$B$24,MATCH(H31,Inputs!$A$18:$A$24,0)),0))</f>
        <v>0.075</v>
      </c>
      <c r="AY31" s="28" t="n">
        <f aca="false">IF(OR(N(AX31)&lt;=0,N(AW31)=0,N(AV31)=0),"",MIN(AV31,AW31/AX31))</f>
        <v>17</v>
      </c>
      <c r="AZ31" s="29" t="n">
        <f aca="false">IF(OR(AY31="",N(O31)=0),"",AY31/O31-1)</f>
        <v>-0.0618101545253864</v>
      </c>
      <c r="BA31" s="29" t="n">
        <f aca="false">IF(OR(AZ31="",N(O31)=0),"",AZ31+AW31/O31)</f>
        <v>0.0085540838852096</v>
      </c>
      <c r="BB31" s="32" t="n">
        <f aca="false">IF(OR(BA31="",N(AR31)=0),"",BA31-AR31)</f>
        <v>0</v>
      </c>
      <c r="BC31" s="35" t="n">
        <f aca="false">IF(OR(BA31="",N(U31)=0),"",BA31-U31)</f>
        <v>0</v>
      </c>
      <c r="BD31" s="37"/>
    </row>
    <row r="32" customFormat="false" ht="15" hidden="false" customHeight="false" outlineLevel="0" collapsed="false">
      <c r="A32" s="2" t="s">
        <v>140</v>
      </c>
      <c r="B32" s="2" t="n">
        <v>56</v>
      </c>
      <c r="C32" s="2" t="s">
        <v>193</v>
      </c>
      <c r="D32" s="2" t="s">
        <v>194</v>
      </c>
      <c r="E32" s="2" t="s">
        <v>143</v>
      </c>
      <c r="F32" s="27"/>
      <c r="G32" s="2" t="s">
        <v>51</v>
      </c>
      <c r="H32" s="2" t="s">
        <v>59</v>
      </c>
      <c r="I32" s="2" t="s">
        <v>151</v>
      </c>
      <c r="J32" s="2" t="s">
        <v>145</v>
      </c>
      <c r="K32" s="2" t="n">
        <v>4</v>
      </c>
      <c r="L32" s="28" t="n">
        <v>25</v>
      </c>
      <c r="M32" s="29" t="n">
        <v>0.0595</v>
      </c>
      <c r="N32" s="28" t="n">
        <v>1.4875</v>
      </c>
      <c r="O32" s="28" t="n">
        <v>0</v>
      </c>
      <c r="P32" s="2" t="s">
        <v>146</v>
      </c>
      <c r="Q32" s="29" t="n">
        <v>0</v>
      </c>
      <c r="R32" s="30" t="n">
        <v>0</v>
      </c>
      <c r="S32" s="31"/>
      <c r="T32" s="30"/>
      <c r="U32" s="30"/>
      <c r="V32" s="29" t="n">
        <v>0</v>
      </c>
      <c r="W32" s="29" t="str">
        <f aca="false">IF(N(Q32)=0,"",Q32+IF(I32="yes",Q32*Inputs!$B$10*Inputs!$B$9,0)+V32)</f>
        <v/>
      </c>
      <c r="X32" s="28" t="str">
        <f aca="false">IF(OR(N(W32)&lt;=0,N(N32)=0,N(L32)=0),"",MIN(L32,N32/W32))</f>
        <v/>
      </c>
      <c r="Y32" s="29" t="str">
        <f aca="false">IF(OR(X32="",N(O32)=0),"",X32/O32-1)</f>
        <v/>
      </c>
      <c r="Z32" s="29" t="str">
        <f aca="false">IF(OR(Y32="",N(O32)=0),"",Y32+N32/O32)</f>
        <v/>
      </c>
      <c r="AA32" s="32" t="str">
        <f aca="false">IF(OR(Z32="",N(U32)=0),"",Z32-U32)</f>
        <v/>
      </c>
      <c r="AB32" s="29" t="str">
        <f aca="false">IF(N(Q32)=0,"",Q32+IF(I32="yes",Q32*Inputs!$B$10*Inputs!$B$9,0)+IFERROR(INDEX(Inputs!$B$13:$B$15,MATCH(G32,Inputs!$A$13:$A$15,0)),0)+IFERROR(INDEX(Inputs!$B$18:$B$24,MATCH(H32,Inputs!$A$18:$A$24,0)),0))</f>
        <v/>
      </c>
      <c r="AC32" s="28" t="str">
        <f aca="false">IF(OR(N(AB32)&lt;=0,N(N32)=0,N(L32)=0),"",MIN(L32,N32/AB32))</f>
        <v/>
      </c>
      <c r="AD32" s="29" t="str">
        <f aca="false">IF(OR(AC32="",N(O32)=0),"",AC32/O32-1)</f>
        <v/>
      </c>
      <c r="AE32" s="29" t="str">
        <f aca="false">IF(OR(AD32="",N(O32)=0),"",AD32+N32/O32)</f>
        <v/>
      </c>
      <c r="AF32" s="32" t="str">
        <f aca="false">IF(OR(AE32="",N(Z32)=0),"",AE32-Z32)</f>
        <v/>
      </c>
      <c r="AG32" s="28" t="n">
        <f aca="false">IF(AND(N(M32)&gt;0,N(L32)&gt;0),M32*L32,N32)</f>
        <v>1.4875</v>
      </c>
      <c r="AH32" s="28" t="str">
        <f aca="false">IF(OR(N(AB32)&lt;=0,N(AG32)=0,N(L32)=0),"",MIN(L32,AG32/AB32))</f>
        <v/>
      </c>
      <c r="AI32" s="29" t="str">
        <f aca="false">IF(OR(AH32="",N(O32)=0),"",AH32/O32-1)</f>
        <v/>
      </c>
      <c r="AJ32" s="29" t="str">
        <f aca="false">IF(OR(AI32="",N(O32)=0),"",AI32+AG32/O32)</f>
        <v/>
      </c>
      <c r="AK32" s="32" t="str">
        <f aca="false">IF(OR(AJ32="",N(AE32)=0),"",AJ32-AE32)</f>
        <v/>
      </c>
      <c r="AL32" s="33" t="str">
        <f aca="false">IF(N(F32)=0,"",INDEX(Inputs!$B$28:$B$32,IFERROR(MATCH(F32,Inputs!$A$28:$A$32,1),0)+1))</f>
        <v/>
      </c>
      <c r="AM32" s="34"/>
      <c r="AN32" s="33" t="str">
        <f aca="false">IF(N(AM32)&gt;0,AM32,AL32)</f>
        <v/>
      </c>
      <c r="AO32" s="29" t="str">
        <f aca="false">IF(N(AN32)=0,"",AN32+IF(I32="yes",AN32*Inputs!$B$10*Inputs!$B$9,0)+IFERROR(INDEX(Inputs!$B$13:$B$15,MATCH(G32,Inputs!$A$13:$A$15,0)),0)+IFERROR(INDEX(Inputs!$B$18:$B$24,MATCH(H32,Inputs!$A$18:$A$24,0)),0))</f>
        <v/>
      </c>
      <c r="AP32" s="28" t="str">
        <f aca="false">IF(OR(N(AO32)&lt;=0,N(AG32)=0,N(L32)=0),"",MIN(L32,AG32/AO32))</f>
        <v/>
      </c>
      <c r="AQ32" s="29" t="str">
        <f aca="false">IF(OR(AP32="",N(O32)=0),"",AP32/O32-1)</f>
        <v/>
      </c>
      <c r="AR32" s="29" t="str">
        <f aca="false">IF(OR(AQ32="",N(O32)=0),"",AQ32+AG32/O32)</f>
        <v/>
      </c>
      <c r="AS32" s="32" t="str">
        <f aca="false">IF(OR(AR32="",N(AJ32)=0),"",AR32-AJ32)</f>
        <v/>
      </c>
      <c r="AT32" s="28"/>
      <c r="AU32" s="28"/>
      <c r="AV32" s="28" t="n">
        <f aca="false">IF(N(AT32)&gt;0,AT32,L32)</f>
        <v>25</v>
      </c>
      <c r="AW32" s="28" t="n">
        <f aca="false">IF(AND(N(M32)&gt;0,N(AV32)&gt;0),M32*AV32,IF(N(AU32)&gt;0,AU32,N32))</f>
        <v>1.4875</v>
      </c>
      <c r="AX32" s="29" t="str">
        <f aca="false">IF(N(AN32)=0,"",AN32+IF(I32="yes",AN32*Inputs!$B$10*Inputs!$B$9,0)+IFERROR(INDEX(Inputs!$B$13:$B$15,MATCH(G32,Inputs!$A$13:$A$15,0)),0)+IFERROR(INDEX(Inputs!$B$18:$B$24,MATCH(H32,Inputs!$A$18:$A$24,0)),0))</f>
        <v/>
      </c>
      <c r="AY32" s="28" t="str">
        <f aca="false">IF(OR(N(AX32)&lt;=0,N(AW32)=0,N(AV32)=0),"",MIN(AV32,AW32/AX32))</f>
        <v/>
      </c>
      <c r="AZ32" s="29" t="str">
        <f aca="false">IF(OR(AY32="",N(O32)=0),"",AY32/O32-1)</f>
        <v/>
      </c>
      <c r="BA32" s="29" t="str">
        <f aca="false">IF(OR(AZ32="",N(O32)=0),"",AZ32+AW32/O32)</f>
        <v/>
      </c>
      <c r="BB32" s="32" t="str">
        <f aca="false">IF(OR(BA32="",N(AR32)=0),"",BA32-AR32)</f>
        <v/>
      </c>
      <c r="BC32" s="35" t="str">
        <f aca="false">IF(OR(BA32="",N(U32)=0),"",BA32-U32)</f>
        <v/>
      </c>
      <c r="BD32" s="36" t="s">
        <v>147</v>
      </c>
    </row>
    <row r="33" customFormat="false" ht="15" hidden="false" customHeight="false" outlineLevel="0" collapsed="false">
      <c r="A33" s="2" t="s">
        <v>140</v>
      </c>
      <c r="B33" s="2" t="n">
        <v>60</v>
      </c>
      <c r="C33" s="2" t="s">
        <v>195</v>
      </c>
      <c r="D33" s="2" t="s">
        <v>196</v>
      </c>
      <c r="E33" s="2" t="s">
        <v>197</v>
      </c>
      <c r="F33" s="27" t="n">
        <v>10500</v>
      </c>
      <c r="G33" s="2" t="s">
        <v>51</v>
      </c>
      <c r="H33" s="2" t="s">
        <v>64</v>
      </c>
      <c r="I33" s="2" t="s">
        <v>144</v>
      </c>
      <c r="J33" s="2" t="s">
        <v>145</v>
      </c>
      <c r="K33" s="2" t="n">
        <v>4</v>
      </c>
      <c r="L33" s="28" t="n">
        <v>100</v>
      </c>
      <c r="M33" s="29" t="n">
        <v>0.06875</v>
      </c>
      <c r="N33" s="28" t="n">
        <v>6.875</v>
      </c>
      <c r="O33" s="28" t="n">
        <v>0</v>
      </c>
      <c r="P33" s="2" t="s">
        <v>146</v>
      </c>
      <c r="Q33" s="29" t="n">
        <v>0.09</v>
      </c>
      <c r="R33" s="30" t="n">
        <v>0.09</v>
      </c>
      <c r="S33" s="31" t="n">
        <v>76.3888888888889</v>
      </c>
      <c r="T33" s="30"/>
      <c r="U33" s="30"/>
      <c r="V33" s="29" t="n">
        <v>0</v>
      </c>
      <c r="W33" s="29" t="n">
        <f aca="false">IF(N(Q33)=0,"",Q33+IF(I33="yes",Q33*Inputs!$B$10*Inputs!$B$9,0)+V33)</f>
        <v>0.09</v>
      </c>
      <c r="X33" s="28" t="n">
        <f aca="false">IF(OR(N(W33)&lt;=0,N(N33)=0,N(L33)=0),"",MIN(L33,N33/W33))</f>
        <v>76.3888888888889</v>
      </c>
      <c r="Y33" s="29" t="str">
        <f aca="false">IF(OR(X33="",N(O33)=0),"",X33/O33-1)</f>
        <v/>
      </c>
      <c r="Z33" s="29" t="str">
        <f aca="false">IF(OR(Y33="",N(O33)=0),"",Y33+N33/O33)</f>
        <v/>
      </c>
      <c r="AA33" s="32" t="str">
        <f aca="false">IF(OR(Z33="",N(U33)=0),"",Z33-U33)</f>
        <v/>
      </c>
      <c r="AB33" s="29" t="n">
        <f aca="false">IF(N(Q33)=0,"",Q33+IF(I33="yes",Q33*Inputs!$B$10*Inputs!$B$9,0)+IFERROR(INDEX(Inputs!$B$13:$B$15,MATCH(G33,Inputs!$A$13:$A$15,0)),0)+IFERROR(INDEX(Inputs!$B$18:$B$24,MATCH(H33,Inputs!$A$18:$A$24,0)),0))</f>
        <v>0.09</v>
      </c>
      <c r="AC33" s="28" t="n">
        <f aca="false">IF(OR(N(AB33)&lt;=0,N(N33)=0,N(L33)=0),"",MIN(L33,N33/AB33))</f>
        <v>76.3888888888889</v>
      </c>
      <c r="AD33" s="29" t="str">
        <f aca="false">IF(OR(AC33="",N(O33)=0),"",AC33/O33-1)</f>
        <v/>
      </c>
      <c r="AE33" s="29" t="str">
        <f aca="false">IF(OR(AD33="",N(O33)=0),"",AD33+N33/O33)</f>
        <v/>
      </c>
      <c r="AF33" s="32" t="str">
        <f aca="false">IF(OR(AE33="",N(Z33)=0),"",AE33-Z33)</f>
        <v/>
      </c>
      <c r="AG33" s="28" t="n">
        <f aca="false">IF(AND(N(M33)&gt;0,N(L33)&gt;0),M33*L33,N33)</f>
        <v>6.875</v>
      </c>
      <c r="AH33" s="28" t="n">
        <f aca="false">IF(OR(N(AB33)&lt;=0,N(AG33)=0,N(L33)=0),"",MIN(L33,AG33/AB33))</f>
        <v>76.3888888888889</v>
      </c>
      <c r="AI33" s="29" t="str">
        <f aca="false">IF(OR(AH33="",N(O33)=0),"",AH33/O33-1)</f>
        <v/>
      </c>
      <c r="AJ33" s="29" t="str">
        <f aca="false">IF(OR(AI33="",N(O33)=0),"",AI33+AG33/O33)</f>
        <v/>
      </c>
      <c r="AK33" s="32" t="str">
        <f aca="false">IF(OR(AJ33="",N(AE33)=0),"",AJ33-AE33)</f>
        <v/>
      </c>
      <c r="AL33" s="33" t="n">
        <f aca="false">IF(N(F33)=0,"",INDEX(Inputs!$B$28:$B$32,IFERROR(MATCH(F33,Inputs!$A$28:$A$32,1),0)+1))</f>
        <v>0.08</v>
      </c>
      <c r="AM33" s="34"/>
      <c r="AN33" s="33" t="n">
        <f aca="false">IF(N(AM33)&gt;0,AM33,AL33)</f>
        <v>0.08</v>
      </c>
      <c r="AO33" s="29" t="n">
        <f aca="false">IF(N(AN33)=0,"",AN33+IF(I33="yes",AN33*Inputs!$B$10*Inputs!$B$9,0)+IFERROR(INDEX(Inputs!$B$13:$B$15,MATCH(G33,Inputs!$A$13:$A$15,0)),0)+IFERROR(INDEX(Inputs!$B$18:$B$24,MATCH(H33,Inputs!$A$18:$A$24,0)),0))</f>
        <v>0.08</v>
      </c>
      <c r="AP33" s="28" t="n">
        <f aca="false">IF(OR(N(AO33)&lt;=0,N(AG33)=0,N(L33)=0),"",MIN(L33,AG33/AO33))</f>
        <v>85.9375</v>
      </c>
      <c r="AQ33" s="29" t="str">
        <f aca="false">IF(OR(AP33="",N(O33)=0),"",AP33/O33-1)</f>
        <v/>
      </c>
      <c r="AR33" s="29" t="str">
        <f aca="false">IF(OR(AQ33="",N(O33)=0),"",AQ33+AG33/O33)</f>
        <v/>
      </c>
      <c r="AS33" s="32" t="str">
        <f aca="false">IF(OR(AR33="",N(AJ33)=0),"",AR33-AJ33)</f>
        <v/>
      </c>
      <c r="AT33" s="28"/>
      <c r="AU33" s="28"/>
      <c r="AV33" s="28" t="n">
        <f aca="false">IF(N(AT33)&gt;0,AT33,L33)</f>
        <v>100</v>
      </c>
      <c r="AW33" s="28" t="n">
        <f aca="false">IF(AND(N(M33)&gt;0,N(AV33)&gt;0),M33*AV33,IF(N(AU33)&gt;0,AU33,N33))</f>
        <v>6.875</v>
      </c>
      <c r="AX33" s="29" t="n">
        <f aca="false">IF(N(AN33)=0,"",AN33+IF(I33="yes",AN33*Inputs!$B$10*Inputs!$B$9,0)+IFERROR(INDEX(Inputs!$B$13:$B$15,MATCH(G33,Inputs!$A$13:$A$15,0)),0)+IFERROR(INDEX(Inputs!$B$18:$B$24,MATCH(H33,Inputs!$A$18:$A$24,0)),0))</f>
        <v>0.08</v>
      </c>
      <c r="AY33" s="28" t="n">
        <f aca="false">IF(OR(N(AX33)&lt;=0,N(AW33)=0,N(AV33)=0),"",MIN(AV33,AW33/AX33))</f>
        <v>85.9375</v>
      </c>
      <c r="AZ33" s="29" t="str">
        <f aca="false">IF(OR(AY33="",N(O33)=0),"",AY33/O33-1)</f>
        <v/>
      </c>
      <c r="BA33" s="29" t="str">
        <f aca="false">IF(OR(AZ33="",N(O33)=0),"",AZ33+AW33/O33)</f>
        <v/>
      </c>
      <c r="BB33" s="32" t="str">
        <f aca="false">IF(OR(BA33="",N(AR33)=0),"",BA33-AR33)</f>
        <v/>
      </c>
      <c r="BC33" s="35" t="str">
        <f aca="false">IF(OR(BA33="",N(U33)=0),"",BA33-U33)</f>
        <v/>
      </c>
      <c r="BD33" s="36" t="s">
        <v>198</v>
      </c>
    </row>
    <row r="34" customFormat="false" ht="15" hidden="false" customHeight="false" outlineLevel="0" collapsed="false">
      <c r="A34" s="2" t="s">
        <v>140</v>
      </c>
      <c r="B34" s="2" t="n">
        <v>64</v>
      </c>
      <c r="C34" s="2" t="s">
        <v>199</v>
      </c>
      <c r="D34" s="2" t="s">
        <v>200</v>
      </c>
      <c r="E34" s="2" t="s">
        <v>201</v>
      </c>
      <c r="F34" s="27" t="n">
        <v>11900</v>
      </c>
      <c r="G34" s="2" t="s">
        <v>52</v>
      </c>
      <c r="H34" s="2" t="s">
        <v>58</v>
      </c>
      <c r="I34" s="2" t="s">
        <v>144</v>
      </c>
      <c r="J34" s="2" t="s">
        <v>145</v>
      </c>
      <c r="K34" s="2" t="n">
        <v>4</v>
      </c>
      <c r="L34" s="28" t="n">
        <v>25</v>
      </c>
      <c r="M34" s="29" t="n">
        <v>0.05875</v>
      </c>
      <c r="N34" s="28" t="n">
        <v>1.46875</v>
      </c>
      <c r="O34" s="28" t="n">
        <v>20.19</v>
      </c>
      <c r="P34" s="2" t="s">
        <v>146</v>
      </c>
      <c r="Q34" s="29" t="n">
        <v>0.08</v>
      </c>
      <c r="R34" s="30" t="n">
        <v>0.075</v>
      </c>
      <c r="S34" s="31" t="n">
        <v>19.5833333333333</v>
      </c>
      <c r="T34" s="30" t="n">
        <v>-0.0300478784877001</v>
      </c>
      <c r="U34" s="30" t="n">
        <v>0.0426985306257224</v>
      </c>
      <c r="V34" s="29" t="n">
        <v>-0.005</v>
      </c>
      <c r="W34" s="29" t="n">
        <f aca="false">IF(N(Q34)=0,"",Q34+IF(I34="yes",Q34*Inputs!$B$10*Inputs!$B$9,0)+V34)</f>
        <v>0.075</v>
      </c>
      <c r="X34" s="28" t="n">
        <f aca="false">IF(OR(N(W34)&lt;=0,N(N34)=0,N(L34)=0),"",MIN(L34,N34/W34))</f>
        <v>19.5833333333333</v>
      </c>
      <c r="Y34" s="29" t="n">
        <f aca="false">IF(OR(X34="",N(O34)=0),"",X34/O34-1)</f>
        <v>-0.0300478784877001</v>
      </c>
      <c r="Z34" s="29" t="n">
        <f aca="false">IF(OR(Y34="",N(O34)=0),"",Y34+N34/O34)</f>
        <v>0.0426985306257224</v>
      </c>
      <c r="AA34" s="32" t="n">
        <f aca="false">IF(OR(Z34="",N(U34)=0),"",Z34-U34)</f>
        <v>0</v>
      </c>
      <c r="AB34" s="29" t="n">
        <f aca="false">IF(N(Q34)=0,"",Q34+IF(I34="yes",Q34*Inputs!$B$10*Inputs!$B$9,0)+IFERROR(INDEX(Inputs!$B$13:$B$15,MATCH(G34,Inputs!$A$13:$A$15,0)),0)+IFERROR(INDEX(Inputs!$B$18:$B$24,MATCH(H34,Inputs!$A$18:$A$24,0)),0))</f>
        <v>0.075</v>
      </c>
      <c r="AC34" s="28" t="n">
        <f aca="false">IF(OR(N(AB34)&lt;=0,N(N34)=0,N(L34)=0),"",MIN(L34,N34/AB34))</f>
        <v>19.5833333333333</v>
      </c>
      <c r="AD34" s="29" t="n">
        <f aca="false">IF(OR(AC34="",N(O34)=0),"",AC34/O34-1)</f>
        <v>-0.0300478784877001</v>
      </c>
      <c r="AE34" s="29" t="n">
        <f aca="false">IF(OR(AD34="",N(O34)=0),"",AD34+N34/O34)</f>
        <v>0.0426985306257224</v>
      </c>
      <c r="AF34" s="32" t="n">
        <f aca="false">IF(OR(AE34="",N(Z34)=0),"",AE34-Z34)</f>
        <v>0</v>
      </c>
      <c r="AG34" s="28" t="n">
        <f aca="false">IF(AND(N(M34)&gt;0,N(L34)&gt;0),M34*L34,N34)</f>
        <v>1.46875</v>
      </c>
      <c r="AH34" s="28" t="n">
        <f aca="false">IF(OR(N(AB34)&lt;=0,N(AG34)=0,N(L34)=0),"",MIN(L34,AG34/AB34))</f>
        <v>19.5833333333333</v>
      </c>
      <c r="AI34" s="29" t="n">
        <f aca="false">IF(OR(AH34="",N(O34)=0),"",AH34/O34-1)</f>
        <v>-0.0300478784877001</v>
      </c>
      <c r="AJ34" s="29" t="n">
        <f aca="false">IF(OR(AI34="",N(O34)=0),"",AI34+AG34/O34)</f>
        <v>0.0426985306257224</v>
      </c>
      <c r="AK34" s="32" t="n">
        <f aca="false">IF(OR(AJ34="",N(AE34)=0),"",AJ34-AE34)</f>
        <v>0</v>
      </c>
      <c r="AL34" s="33" t="n">
        <f aca="false">IF(N(F34)=0,"",INDEX(Inputs!$B$28:$B$32,IFERROR(MATCH(F34,Inputs!$A$28:$A$32,1),0)+1))</f>
        <v>0.08</v>
      </c>
      <c r="AM34" s="34"/>
      <c r="AN34" s="33" t="n">
        <f aca="false">IF(N(AM34)&gt;0,AM34,AL34)</f>
        <v>0.08</v>
      </c>
      <c r="AO34" s="29" t="n">
        <f aca="false">IF(N(AN34)=0,"",AN34+IF(I34="yes",AN34*Inputs!$B$10*Inputs!$B$9,0)+IFERROR(INDEX(Inputs!$B$13:$B$15,MATCH(G34,Inputs!$A$13:$A$15,0)),0)+IFERROR(INDEX(Inputs!$B$18:$B$24,MATCH(H34,Inputs!$A$18:$A$24,0)),0))</f>
        <v>0.075</v>
      </c>
      <c r="AP34" s="28" t="n">
        <f aca="false">IF(OR(N(AO34)&lt;=0,N(AG34)=0,N(L34)=0),"",MIN(L34,AG34/AO34))</f>
        <v>19.5833333333333</v>
      </c>
      <c r="AQ34" s="29" t="n">
        <f aca="false">IF(OR(AP34="",N(O34)=0),"",AP34/O34-1)</f>
        <v>-0.0300478784877001</v>
      </c>
      <c r="AR34" s="29" t="n">
        <f aca="false">IF(OR(AQ34="",N(O34)=0),"",AQ34+AG34/O34)</f>
        <v>0.0426985306257224</v>
      </c>
      <c r="AS34" s="32" t="n">
        <f aca="false">IF(OR(AR34="",N(AJ34)=0),"",AR34-AJ34)</f>
        <v>0</v>
      </c>
      <c r="AT34" s="28" t="n">
        <v>25</v>
      </c>
      <c r="AU34" s="28" t="n">
        <v>1.47</v>
      </c>
      <c r="AV34" s="28" t="n">
        <f aca="false">IF(N(AT34)&gt;0,AT34,L34)</f>
        <v>25</v>
      </c>
      <c r="AW34" s="28" t="n">
        <f aca="false">IF(AND(N(M34)&gt;0,N(AV34)&gt;0),M34*AV34,IF(N(AU34)&gt;0,AU34,N34))</f>
        <v>1.46875</v>
      </c>
      <c r="AX34" s="29" t="n">
        <f aca="false">IF(N(AN34)=0,"",AN34+IF(I34="yes",AN34*Inputs!$B$10*Inputs!$B$9,0)+IFERROR(INDEX(Inputs!$B$13:$B$15,MATCH(G34,Inputs!$A$13:$A$15,0)),0)+IFERROR(INDEX(Inputs!$B$18:$B$24,MATCH(H34,Inputs!$A$18:$A$24,0)),0))</f>
        <v>0.075</v>
      </c>
      <c r="AY34" s="28" t="n">
        <f aca="false">IF(OR(N(AX34)&lt;=0,N(AW34)=0,N(AV34)=0),"",MIN(AV34,AW34/AX34))</f>
        <v>19.5833333333333</v>
      </c>
      <c r="AZ34" s="29" t="n">
        <f aca="false">IF(OR(AY34="",N(O34)=0),"",AY34/O34-1)</f>
        <v>-0.0300478784877001</v>
      </c>
      <c r="BA34" s="29" t="n">
        <f aca="false">IF(OR(AZ34="",N(O34)=0),"",AZ34+AW34/O34)</f>
        <v>0.0426985306257224</v>
      </c>
      <c r="BB34" s="32" t="n">
        <f aca="false">IF(OR(BA34="",N(AR34)=0),"",BA34-AR34)</f>
        <v>0</v>
      </c>
      <c r="BC34" s="35" t="n">
        <f aca="false">IF(OR(BA34="",N(U34)=0),"",BA34-U34)</f>
        <v>0</v>
      </c>
      <c r="BD34" s="37"/>
    </row>
    <row r="35" customFormat="false" ht="15" hidden="false" customHeight="false" outlineLevel="0" collapsed="false">
      <c r="A35" s="2" t="s">
        <v>140</v>
      </c>
      <c r="B35" s="2" t="n">
        <v>65</v>
      </c>
      <c r="C35" s="2" t="s">
        <v>202</v>
      </c>
      <c r="D35" s="2" t="s">
        <v>200</v>
      </c>
      <c r="E35" s="2" t="s">
        <v>201</v>
      </c>
      <c r="F35" s="27" t="n">
        <v>11900</v>
      </c>
      <c r="G35" s="2" t="s">
        <v>52</v>
      </c>
      <c r="H35" s="2" t="s">
        <v>58</v>
      </c>
      <c r="I35" s="2" t="s">
        <v>144</v>
      </c>
      <c r="J35" s="2" t="s">
        <v>145</v>
      </c>
      <c r="K35" s="2" t="n">
        <v>4</v>
      </c>
      <c r="L35" s="28" t="n">
        <v>25</v>
      </c>
      <c r="M35" s="29" t="n">
        <v>0.05125</v>
      </c>
      <c r="N35" s="28" t="n">
        <v>1.28125</v>
      </c>
      <c r="O35" s="28" t="n">
        <v>17.75</v>
      </c>
      <c r="P35" s="2" t="s">
        <v>146</v>
      </c>
      <c r="Q35" s="29" t="n">
        <v>0.08</v>
      </c>
      <c r="R35" s="30" t="n">
        <v>0.075</v>
      </c>
      <c r="S35" s="31" t="n">
        <v>17.0833333333333</v>
      </c>
      <c r="T35" s="30" t="n">
        <v>-0.0375586854460093</v>
      </c>
      <c r="U35" s="30" t="n">
        <v>0.03462441314554</v>
      </c>
      <c r="V35" s="29" t="n">
        <v>-0.005</v>
      </c>
      <c r="W35" s="29" t="n">
        <f aca="false">IF(N(Q35)=0,"",Q35+IF(I35="yes",Q35*Inputs!$B$10*Inputs!$B$9,0)+V35)</f>
        <v>0.075</v>
      </c>
      <c r="X35" s="28" t="n">
        <f aca="false">IF(OR(N(W35)&lt;=0,N(N35)=0,N(L35)=0),"",MIN(L35,N35/W35))</f>
        <v>17.0833333333333</v>
      </c>
      <c r="Y35" s="29" t="n">
        <f aca="false">IF(OR(X35="",N(O35)=0),"",X35/O35-1)</f>
        <v>-0.0375586854460093</v>
      </c>
      <c r="Z35" s="29" t="n">
        <f aca="false">IF(OR(Y35="",N(O35)=0),"",Y35+N35/O35)</f>
        <v>0.03462441314554</v>
      </c>
      <c r="AA35" s="32" t="n">
        <f aca="false">IF(OR(Z35="",N(U35)=0),"",Z35-U35)</f>
        <v>0</v>
      </c>
      <c r="AB35" s="29" t="n">
        <f aca="false">IF(N(Q35)=0,"",Q35+IF(I35="yes",Q35*Inputs!$B$10*Inputs!$B$9,0)+IFERROR(INDEX(Inputs!$B$13:$B$15,MATCH(G35,Inputs!$A$13:$A$15,0)),0)+IFERROR(INDEX(Inputs!$B$18:$B$24,MATCH(H35,Inputs!$A$18:$A$24,0)),0))</f>
        <v>0.075</v>
      </c>
      <c r="AC35" s="28" t="n">
        <f aca="false">IF(OR(N(AB35)&lt;=0,N(N35)=0,N(L35)=0),"",MIN(L35,N35/AB35))</f>
        <v>17.0833333333333</v>
      </c>
      <c r="AD35" s="29" t="n">
        <f aca="false">IF(OR(AC35="",N(O35)=0),"",AC35/O35-1)</f>
        <v>-0.0375586854460093</v>
      </c>
      <c r="AE35" s="29" t="n">
        <f aca="false">IF(OR(AD35="",N(O35)=0),"",AD35+N35/O35)</f>
        <v>0.03462441314554</v>
      </c>
      <c r="AF35" s="32" t="n">
        <f aca="false">IF(OR(AE35="",N(Z35)=0),"",AE35-Z35)</f>
        <v>0</v>
      </c>
      <c r="AG35" s="28" t="n">
        <f aca="false">IF(AND(N(M35)&gt;0,N(L35)&gt;0),M35*L35,N35)</f>
        <v>1.28125</v>
      </c>
      <c r="AH35" s="28" t="n">
        <f aca="false">IF(OR(N(AB35)&lt;=0,N(AG35)=0,N(L35)=0),"",MIN(L35,AG35/AB35))</f>
        <v>17.0833333333333</v>
      </c>
      <c r="AI35" s="29" t="n">
        <f aca="false">IF(OR(AH35="",N(O35)=0),"",AH35/O35-1)</f>
        <v>-0.0375586854460093</v>
      </c>
      <c r="AJ35" s="29" t="n">
        <f aca="false">IF(OR(AI35="",N(O35)=0),"",AI35+AG35/O35)</f>
        <v>0.03462441314554</v>
      </c>
      <c r="AK35" s="32" t="n">
        <f aca="false">IF(OR(AJ35="",N(AE35)=0),"",AJ35-AE35)</f>
        <v>0</v>
      </c>
      <c r="AL35" s="33" t="n">
        <f aca="false">IF(N(F35)=0,"",INDEX(Inputs!$B$28:$B$32,IFERROR(MATCH(F35,Inputs!$A$28:$A$32,1),0)+1))</f>
        <v>0.08</v>
      </c>
      <c r="AM35" s="34"/>
      <c r="AN35" s="33" t="n">
        <f aca="false">IF(N(AM35)&gt;0,AM35,AL35)</f>
        <v>0.08</v>
      </c>
      <c r="AO35" s="29" t="n">
        <f aca="false">IF(N(AN35)=0,"",AN35+IF(I35="yes",AN35*Inputs!$B$10*Inputs!$B$9,0)+IFERROR(INDEX(Inputs!$B$13:$B$15,MATCH(G35,Inputs!$A$13:$A$15,0)),0)+IFERROR(INDEX(Inputs!$B$18:$B$24,MATCH(H35,Inputs!$A$18:$A$24,0)),0))</f>
        <v>0.075</v>
      </c>
      <c r="AP35" s="28" t="n">
        <f aca="false">IF(OR(N(AO35)&lt;=0,N(AG35)=0,N(L35)=0),"",MIN(L35,AG35/AO35))</f>
        <v>17.0833333333333</v>
      </c>
      <c r="AQ35" s="29" t="n">
        <f aca="false">IF(OR(AP35="",N(O35)=0),"",AP35/O35-1)</f>
        <v>-0.0375586854460093</v>
      </c>
      <c r="AR35" s="29" t="n">
        <f aca="false">IF(OR(AQ35="",N(O35)=0),"",AQ35+AG35/O35)</f>
        <v>0.03462441314554</v>
      </c>
      <c r="AS35" s="32" t="n">
        <f aca="false">IF(OR(AR35="",N(AJ35)=0),"",AR35-AJ35)</f>
        <v>0</v>
      </c>
      <c r="AT35" s="28" t="n">
        <v>25</v>
      </c>
      <c r="AU35" s="28" t="n">
        <v>1.28</v>
      </c>
      <c r="AV35" s="28" t="n">
        <f aca="false">IF(N(AT35)&gt;0,AT35,L35)</f>
        <v>25</v>
      </c>
      <c r="AW35" s="28" t="n">
        <f aca="false">IF(AND(N(M35)&gt;0,N(AV35)&gt;0),M35*AV35,IF(N(AU35)&gt;0,AU35,N35))</f>
        <v>1.28125</v>
      </c>
      <c r="AX35" s="29" t="n">
        <f aca="false">IF(N(AN35)=0,"",AN35+IF(I35="yes",AN35*Inputs!$B$10*Inputs!$B$9,0)+IFERROR(INDEX(Inputs!$B$13:$B$15,MATCH(G35,Inputs!$A$13:$A$15,0)),0)+IFERROR(INDEX(Inputs!$B$18:$B$24,MATCH(H35,Inputs!$A$18:$A$24,0)),0))</f>
        <v>0.075</v>
      </c>
      <c r="AY35" s="28" t="n">
        <f aca="false">IF(OR(N(AX35)&lt;=0,N(AW35)=0,N(AV35)=0),"",MIN(AV35,AW35/AX35))</f>
        <v>17.0833333333333</v>
      </c>
      <c r="AZ35" s="29" t="n">
        <f aca="false">IF(OR(AY35="",N(O35)=0),"",AY35/O35-1)</f>
        <v>-0.0375586854460093</v>
      </c>
      <c r="BA35" s="29" t="n">
        <f aca="false">IF(OR(AZ35="",N(O35)=0),"",AZ35+AW35/O35)</f>
        <v>0.03462441314554</v>
      </c>
      <c r="BB35" s="32" t="n">
        <f aca="false">IF(OR(BA35="",N(AR35)=0),"",BA35-AR35)</f>
        <v>0</v>
      </c>
      <c r="BC35" s="35" t="n">
        <f aca="false">IF(OR(BA35="",N(U35)=0),"",BA35-U35)</f>
        <v>0</v>
      </c>
      <c r="BD35" s="37"/>
    </row>
    <row r="36" customFormat="false" ht="15" hidden="false" customHeight="false" outlineLevel="0" collapsed="false">
      <c r="A36" s="2" t="s">
        <v>140</v>
      </c>
      <c r="B36" s="2" t="n">
        <v>66</v>
      </c>
      <c r="C36" s="2" t="s">
        <v>203</v>
      </c>
      <c r="D36" s="2" t="s">
        <v>200</v>
      </c>
      <c r="E36" s="2" t="s">
        <v>201</v>
      </c>
      <c r="F36" s="27" t="n">
        <v>11900</v>
      </c>
      <c r="G36" s="2" t="s">
        <v>52</v>
      </c>
      <c r="H36" s="2" t="s">
        <v>58</v>
      </c>
      <c r="I36" s="2" t="s">
        <v>144</v>
      </c>
      <c r="J36" s="2" t="s">
        <v>145</v>
      </c>
      <c r="K36" s="2" t="n">
        <v>4</v>
      </c>
      <c r="L36" s="28" t="n">
        <v>25</v>
      </c>
      <c r="M36" s="29" t="n">
        <v>0.05625</v>
      </c>
      <c r="N36" s="28" t="n">
        <v>1.40625</v>
      </c>
      <c r="O36" s="28" t="n">
        <v>19.92</v>
      </c>
      <c r="P36" s="2" t="s">
        <v>146</v>
      </c>
      <c r="Q36" s="29" t="n">
        <v>0.08</v>
      </c>
      <c r="R36" s="30" t="n">
        <v>0.075</v>
      </c>
      <c r="S36" s="31" t="n">
        <v>18.75</v>
      </c>
      <c r="T36" s="30" t="n">
        <v>-0.0587349397590362</v>
      </c>
      <c r="U36" s="30" t="n">
        <v>0.0118599397590361</v>
      </c>
      <c r="V36" s="29" t="n">
        <v>-0.005</v>
      </c>
      <c r="W36" s="29" t="n">
        <f aca="false">IF(N(Q36)=0,"",Q36+IF(I36="yes",Q36*Inputs!$B$10*Inputs!$B$9,0)+V36)</f>
        <v>0.075</v>
      </c>
      <c r="X36" s="28" t="n">
        <f aca="false">IF(OR(N(W36)&lt;=0,N(N36)=0,N(L36)=0),"",MIN(L36,N36/W36))</f>
        <v>18.75</v>
      </c>
      <c r="Y36" s="29" t="n">
        <f aca="false">IF(OR(X36="",N(O36)=0),"",X36/O36-1)</f>
        <v>-0.0587349397590362</v>
      </c>
      <c r="Z36" s="29" t="n">
        <f aca="false">IF(OR(Y36="",N(O36)=0),"",Y36+N36/O36)</f>
        <v>0.0118599397590361</v>
      </c>
      <c r="AA36" s="32" t="n">
        <f aca="false">IF(OR(Z36="",N(U36)=0),"",Z36-U36)</f>
        <v>0</v>
      </c>
      <c r="AB36" s="29" t="n">
        <f aca="false">IF(N(Q36)=0,"",Q36+IF(I36="yes",Q36*Inputs!$B$10*Inputs!$B$9,0)+IFERROR(INDEX(Inputs!$B$13:$B$15,MATCH(G36,Inputs!$A$13:$A$15,0)),0)+IFERROR(INDEX(Inputs!$B$18:$B$24,MATCH(H36,Inputs!$A$18:$A$24,0)),0))</f>
        <v>0.075</v>
      </c>
      <c r="AC36" s="28" t="n">
        <f aca="false">IF(OR(N(AB36)&lt;=0,N(N36)=0,N(L36)=0),"",MIN(L36,N36/AB36))</f>
        <v>18.75</v>
      </c>
      <c r="AD36" s="29" t="n">
        <f aca="false">IF(OR(AC36="",N(O36)=0),"",AC36/O36-1)</f>
        <v>-0.0587349397590362</v>
      </c>
      <c r="AE36" s="29" t="n">
        <f aca="false">IF(OR(AD36="",N(O36)=0),"",AD36+N36/O36)</f>
        <v>0.0118599397590361</v>
      </c>
      <c r="AF36" s="32" t="n">
        <f aca="false">IF(OR(AE36="",N(Z36)=0),"",AE36-Z36)</f>
        <v>0</v>
      </c>
      <c r="AG36" s="28" t="n">
        <f aca="false">IF(AND(N(M36)&gt;0,N(L36)&gt;0),M36*L36,N36)</f>
        <v>1.40625</v>
      </c>
      <c r="AH36" s="28" t="n">
        <f aca="false">IF(OR(N(AB36)&lt;=0,N(AG36)=0,N(L36)=0),"",MIN(L36,AG36/AB36))</f>
        <v>18.75</v>
      </c>
      <c r="AI36" s="29" t="n">
        <f aca="false">IF(OR(AH36="",N(O36)=0),"",AH36/O36-1)</f>
        <v>-0.0587349397590362</v>
      </c>
      <c r="AJ36" s="29" t="n">
        <f aca="false">IF(OR(AI36="",N(O36)=0),"",AI36+AG36/O36)</f>
        <v>0.0118599397590361</v>
      </c>
      <c r="AK36" s="32" t="n">
        <f aca="false">IF(OR(AJ36="",N(AE36)=0),"",AJ36-AE36)</f>
        <v>0</v>
      </c>
      <c r="AL36" s="33" t="n">
        <f aca="false">IF(N(F36)=0,"",INDEX(Inputs!$B$28:$B$32,IFERROR(MATCH(F36,Inputs!$A$28:$A$32,1),0)+1))</f>
        <v>0.08</v>
      </c>
      <c r="AM36" s="34"/>
      <c r="AN36" s="33" t="n">
        <f aca="false">IF(N(AM36)&gt;0,AM36,AL36)</f>
        <v>0.08</v>
      </c>
      <c r="AO36" s="29" t="n">
        <f aca="false">IF(N(AN36)=0,"",AN36+IF(I36="yes",AN36*Inputs!$B$10*Inputs!$B$9,0)+IFERROR(INDEX(Inputs!$B$13:$B$15,MATCH(G36,Inputs!$A$13:$A$15,0)),0)+IFERROR(INDEX(Inputs!$B$18:$B$24,MATCH(H36,Inputs!$A$18:$A$24,0)),0))</f>
        <v>0.075</v>
      </c>
      <c r="AP36" s="28" t="n">
        <f aca="false">IF(OR(N(AO36)&lt;=0,N(AG36)=0,N(L36)=0),"",MIN(L36,AG36/AO36))</f>
        <v>18.75</v>
      </c>
      <c r="AQ36" s="29" t="n">
        <f aca="false">IF(OR(AP36="",N(O36)=0),"",AP36/O36-1)</f>
        <v>-0.0587349397590362</v>
      </c>
      <c r="AR36" s="29" t="n">
        <f aca="false">IF(OR(AQ36="",N(O36)=0),"",AQ36+AG36/O36)</f>
        <v>0.0118599397590361</v>
      </c>
      <c r="AS36" s="32" t="n">
        <f aca="false">IF(OR(AR36="",N(AJ36)=0),"",AR36-AJ36)</f>
        <v>0</v>
      </c>
      <c r="AT36" s="28" t="n">
        <v>25</v>
      </c>
      <c r="AU36" s="28" t="n">
        <v>1.40625</v>
      </c>
      <c r="AV36" s="28" t="n">
        <f aca="false">IF(N(AT36)&gt;0,AT36,L36)</f>
        <v>25</v>
      </c>
      <c r="AW36" s="28" t="n">
        <f aca="false">IF(AND(N(M36)&gt;0,N(AV36)&gt;0),M36*AV36,IF(N(AU36)&gt;0,AU36,N36))</f>
        <v>1.40625</v>
      </c>
      <c r="AX36" s="29" t="n">
        <f aca="false">IF(N(AN36)=0,"",AN36+IF(I36="yes",AN36*Inputs!$B$10*Inputs!$B$9,0)+IFERROR(INDEX(Inputs!$B$13:$B$15,MATCH(G36,Inputs!$A$13:$A$15,0)),0)+IFERROR(INDEX(Inputs!$B$18:$B$24,MATCH(H36,Inputs!$A$18:$A$24,0)),0))</f>
        <v>0.075</v>
      </c>
      <c r="AY36" s="28" t="n">
        <f aca="false">IF(OR(N(AX36)&lt;=0,N(AW36)=0,N(AV36)=0),"",MIN(AV36,AW36/AX36))</f>
        <v>18.75</v>
      </c>
      <c r="AZ36" s="29" t="n">
        <f aca="false">IF(OR(AY36="",N(O36)=0),"",AY36/O36-1)</f>
        <v>-0.0587349397590362</v>
      </c>
      <c r="BA36" s="29" t="n">
        <f aca="false">IF(OR(AZ36="",N(O36)=0),"",AZ36+AW36/O36)</f>
        <v>0.0118599397590361</v>
      </c>
      <c r="BB36" s="32" t="n">
        <f aca="false">IF(OR(BA36="",N(AR36)=0),"",BA36-AR36)</f>
        <v>0</v>
      </c>
      <c r="BC36" s="35" t="n">
        <f aca="false">IF(OR(BA36="",N(U36)=0),"",BA36-U36)</f>
        <v>0</v>
      </c>
      <c r="BD36" s="37"/>
    </row>
    <row r="37" customFormat="false" ht="15" hidden="false" customHeight="false" outlineLevel="0" collapsed="false">
      <c r="A37" s="2" t="s">
        <v>140</v>
      </c>
      <c r="B37" s="2" t="n">
        <v>67</v>
      </c>
      <c r="C37" s="2" t="s">
        <v>204</v>
      </c>
      <c r="D37" s="2" t="s">
        <v>200</v>
      </c>
      <c r="E37" s="2" t="s">
        <v>201</v>
      </c>
      <c r="F37" s="27" t="n">
        <v>11900</v>
      </c>
      <c r="G37" s="2" t="s">
        <v>52</v>
      </c>
      <c r="H37" s="2" t="s">
        <v>58</v>
      </c>
      <c r="I37" s="2" t="s">
        <v>144</v>
      </c>
      <c r="J37" s="2" t="s">
        <v>145</v>
      </c>
      <c r="K37" s="2" t="n">
        <v>4</v>
      </c>
      <c r="L37" s="28" t="n">
        <v>25</v>
      </c>
      <c r="M37" s="29" t="n">
        <v>0.045</v>
      </c>
      <c r="N37" s="28" t="n">
        <v>1.125</v>
      </c>
      <c r="O37" s="28" t="n">
        <v>16.11</v>
      </c>
      <c r="P37" s="2" t="s">
        <v>146</v>
      </c>
      <c r="Q37" s="29" t="n">
        <v>0.08</v>
      </c>
      <c r="R37" s="30" t="n">
        <v>0.075</v>
      </c>
      <c r="S37" s="31" t="n">
        <v>15</v>
      </c>
      <c r="T37" s="30" t="n">
        <v>-0.068901303538175</v>
      </c>
      <c r="U37" s="30" t="n">
        <v>0.000931098696461838</v>
      </c>
      <c r="V37" s="29" t="n">
        <v>-0.005</v>
      </c>
      <c r="W37" s="29" t="n">
        <f aca="false">IF(N(Q37)=0,"",Q37+IF(I37="yes",Q37*Inputs!$B$10*Inputs!$B$9,0)+V37)</f>
        <v>0.075</v>
      </c>
      <c r="X37" s="28" t="n">
        <f aca="false">IF(OR(N(W37)&lt;=0,N(N37)=0,N(L37)=0),"",MIN(L37,N37/W37))</f>
        <v>15</v>
      </c>
      <c r="Y37" s="29" t="n">
        <f aca="false">IF(OR(X37="",N(O37)=0),"",X37/O37-1)</f>
        <v>-0.068901303538175</v>
      </c>
      <c r="Z37" s="29" t="n">
        <f aca="false">IF(OR(Y37="",N(O37)=0),"",Y37+N37/O37)</f>
        <v>0.000931098696461838</v>
      </c>
      <c r="AA37" s="32" t="n">
        <f aca="false">IF(OR(Z37="",N(U37)=0),"",Z37-U37)</f>
        <v>0</v>
      </c>
      <c r="AB37" s="29" t="n">
        <f aca="false">IF(N(Q37)=0,"",Q37+IF(I37="yes",Q37*Inputs!$B$10*Inputs!$B$9,0)+IFERROR(INDEX(Inputs!$B$13:$B$15,MATCH(G37,Inputs!$A$13:$A$15,0)),0)+IFERROR(INDEX(Inputs!$B$18:$B$24,MATCH(H37,Inputs!$A$18:$A$24,0)),0))</f>
        <v>0.075</v>
      </c>
      <c r="AC37" s="28" t="n">
        <f aca="false">IF(OR(N(AB37)&lt;=0,N(N37)=0,N(L37)=0),"",MIN(L37,N37/AB37))</f>
        <v>15</v>
      </c>
      <c r="AD37" s="29" t="n">
        <f aca="false">IF(OR(AC37="",N(O37)=0),"",AC37/O37-1)</f>
        <v>-0.068901303538175</v>
      </c>
      <c r="AE37" s="29" t="n">
        <f aca="false">IF(OR(AD37="",N(O37)=0),"",AD37+N37/O37)</f>
        <v>0.000931098696461838</v>
      </c>
      <c r="AF37" s="32" t="n">
        <f aca="false">IF(OR(AE37="",N(Z37)=0),"",AE37-Z37)</f>
        <v>0</v>
      </c>
      <c r="AG37" s="28" t="n">
        <f aca="false">IF(AND(N(M37)&gt;0,N(L37)&gt;0),M37*L37,N37)</f>
        <v>1.125</v>
      </c>
      <c r="AH37" s="28" t="n">
        <f aca="false">IF(OR(N(AB37)&lt;=0,N(AG37)=0,N(L37)=0),"",MIN(L37,AG37/AB37))</f>
        <v>15</v>
      </c>
      <c r="AI37" s="29" t="n">
        <f aca="false">IF(OR(AH37="",N(O37)=0),"",AH37/O37-1)</f>
        <v>-0.068901303538175</v>
      </c>
      <c r="AJ37" s="29" t="n">
        <f aca="false">IF(OR(AI37="",N(O37)=0),"",AI37+AG37/O37)</f>
        <v>0.000931098696461838</v>
      </c>
      <c r="AK37" s="32" t="n">
        <f aca="false">IF(OR(AJ37="",N(AE37)=0),"",AJ37-AE37)</f>
        <v>0</v>
      </c>
      <c r="AL37" s="33" t="n">
        <f aca="false">IF(N(F37)=0,"",INDEX(Inputs!$B$28:$B$32,IFERROR(MATCH(F37,Inputs!$A$28:$A$32,1),0)+1))</f>
        <v>0.08</v>
      </c>
      <c r="AM37" s="34"/>
      <c r="AN37" s="33" t="n">
        <f aca="false">IF(N(AM37)&gt;0,AM37,AL37)</f>
        <v>0.08</v>
      </c>
      <c r="AO37" s="29" t="n">
        <f aca="false">IF(N(AN37)=0,"",AN37+IF(I37="yes",AN37*Inputs!$B$10*Inputs!$B$9,0)+IFERROR(INDEX(Inputs!$B$13:$B$15,MATCH(G37,Inputs!$A$13:$A$15,0)),0)+IFERROR(INDEX(Inputs!$B$18:$B$24,MATCH(H37,Inputs!$A$18:$A$24,0)),0))</f>
        <v>0.075</v>
      </c>
      <c r="AP37" s="28" t="n">
        <f aca="false">IF(OR(N(AO37)&lt;=0,N(AG37)=0,N(L37)=0),"",MIN(L37,AG37/AO37))</f>
        <v>15</v>
      </c>
      <c r="AQ37" s="29" t="n">
        <f aca="false">IF(OR(AP37="",N(O37)=0),"",AP37/O37-1)</f>
        <v>-0.068901303538175</v>
      </c>
      <c r="AR37" s="29" t="n">
        <f aca="false">IF(OR(AQ37="",N(O37)=0),"",AQ37+AG37/O37)</f>
        <v>0.000931098696461838</v>
      </c>
      <c r="AS37" s="32" t="n">
        <f aca="false">IF(OR(AR37="",N(AJ37)=0),"",AR37-AJ37)</f>
        <v>0</v>
      </c>
      <c r="AT37" s="28" t="n">
        <v>25</v>
      </c>
      <c r="AU37" s="28" t="n">
        <v>1.125</v>
      </c>
      <c r="AV37" s="28" t="n">
        <f aca="false">IF(N(AT37)&gt;0,AT37,L37)</f>
        <v>25</v>
      </c>
      <c r="AW37" s="28" t="n">
        <f aca="false">IF(AND(N(M37)&gt;0,N(AV37)&gt;0),M37*AV37,IF(N(AU37)&gt;0,AU37,N37))</f>
        <v>1.125</v>
      </c>
      <c r="AX37" s="29" t="n">
        <f aca="false">IF(N(AN37)=0,"",AN37+IF(I37="yes",AN37*Inputs!$B$10*Inputs!$B$9,0)+IFERROR(INDEX(Inputs!$B$13:$B$15,MATCH(G37,Inputs!$A$13:$A$15,0)),0)+IFERROR(INDEX(Inputs!$B$18:$B$24,MATCH(H37,Inputs!$A$18:$A$24,0)),0))</f>
        <v>0.075</v>
      </c>
      <c r="AY37" s="28" t="n">
        <f aca="false">IF(OR(N(AX37)&lt;=0,N(AW37)=0,N(AV37)=0),"",MIN(AV37,AW37/AX37))</f>
        <v>15</v>
      </c>
      <c r="AZ37" s="29" t="n">
        <f aca="false">IF(OR(AY37="",N(O37)=0),"",AY37/O37-1)</f>
        <v>-0.068901303538175</v>
      </c>
      <c r="BA37" s="29" t="n">
        <f aca="false">IF(OR(AZ37="",N(O37)=0),"",AZ37+AW37/O37)</f>
        <v>0.000931098696461838</v>
      </c>
      <c r="BB37" s="32" t="n">
        <f aca="false">IF(OR(BA37="",N(AR37)=0),"",BA37-AR37)</f>
        <v>0</v>
      </c>
      <c r="BC37" s="35" t="n">
        <f aca="false">IF(OR(BA37="",N(U37)=0),"",BA37-U37)</f>
        <v>0</v>
      </c>
      <c r="BD37" s="37"/>
    </row>
    <row r="38" customFormat="false" ht="15" hidden="false" customHeight="false" outlineLevel="0" collapsed="false">
      <c r="A38" s="2" t="s">
        <v>140</v>
      </c>
      <c r="B38" s="2" t="n">
        <v>70</v>
      </c>
      <c r="C38" s="2" t="s">
        <v>205</v>
      </c>
      <c r="D38" s="2" t="s">
        <v>200</v>
      </c>
      <c r="E38" s="2" t="s">
        <v>201</v>
      </c>
      <c r="F38" s="27" t="n">
        <v>11900</v>
      </c>
      <c r="G38" s="2" t="s">
        <v>51</v>
      </c>
      <c r="H38" s="2" t="s">
        <v>58</v>
      </c>
      <c r="I38" s="2" t="s">
        <v>151</v>
      </c>
      <c r="J38" s="2" t="s">
        <v>145</v>
      </c>
      <c r="K38" s="2" t="n">
        <v>4</v>
      </c>
      <c r="L38" s="28" t="n">
        <v>25</v>
      </c>
      <c r="M38" s="29" t="n">
        <v>0.0675</v>
      </c>
      <c r="N38" s="28" t="n">
        <v>1.6875</v>
      </c>
      <c r="O38" s="28" t="n">
        <v>13.25</v>
      </c>
      <c r="P38" s="2" t="s">
        <v>146</v>
      </c>
      <c r="Q38" s="29" t="n">
        <v>0.09</v>
      </c>
      <c r="R38" s="30" t="n">
        <v>0.0855</v>
      </c>
      <c r="S38" s="31" t="n">
        <v>19.7368421052632</v>
      </c>
      <c r="T38" s="30" t="n">
        <v>0.489572989076465</v>
      </c>
      <c r="U38" s="30" t="n">
        <v>0.616931479642502</v>
      </c>
      <c r="V38" s="29" t="n">
        <v>0</v>
      </c>
      <c r="W38" s="29" t="n">
        <f aca="false">IF(N(Q38)=0,"",Q38+IF(I38="yes",Q38*Inputs!$B$10*Inputs!$B$9,0)+V38)</f>
        <v>0.0855</v>
      </c>
      <c r="X38" s="28" t="n">
        <f aca="false">IF(OR(N(W38)&lt;=0,N(N38)=0,N(L38)=0),"",MIN(L38,N38/W38))</f>
        <v>19.7368421052632</v>
      </c>
      <c r="Y38" s="29" t="n">
        <f aca="false">IF(OR(X38="",N(O38)=0),"",X38/O38-1)</f>
        <v>0.489572989076465</v>
      </c>
      <c r="Z38" s="29" t="n">
        <f aca="false">IF(OR(Y38="",N(O38)=0),"",Y38+N38/O38)</f>
        <v>0.616931479642502</v>
      </c>
      <c r="AA38" s="32" t="n">
        <f aca="false">IF(OR(Z38="",N(U38)=0),"",Z38-U38)</f>
        <v>0</v>
      </c>
      <c r="AB38" s="29" t="n">
        <f aca="false">IF(N(Q38)=0,"",Q38+IF(I38="yes",Q38*Inputs!$B$10*Inputs!$B$9,0)+IFERROR(INDEX(Inputs!$B$13:$B$15,MATCH(G38,Inputs!$A$13:$A$15,0)),0)+IFERROR(INDEX(Inputs!$B$18:$B$24,MATCH(H38,Inputs!$A$18:$A$24,0)),0))</f>
        <v>0.0855</v>
      </c>
      <c r="AC38" s="28" t="n">
        <f aca="false">IF(OR(N(AB38)&lt;=0,N(N38)=0,N(L38)=0),"",MIN(L38,N38/AB38))</f>
        <v>19.7368421052632</v>
      </c>
      <c r="AD38" s="29" t="n">
        <f aca="false">IF(OR(AC38="",N(O38)=0),"",AC38/O38-1)</f>
        <v>0.489572989076465</v>
      </c>
      <c r="AE38" s="29" t="n">
        <f aca="false">IF(OR(AD38="",N(O38)=0),"",AD38+N38/O38)</f>
        <v>0.616931479642502</v>
      </c>
      <c r="AF38" s="32" t="n">
        <f aca="false">IF(OR(AE38="",N(Z38)=0),"",AE38-Z38)</f>
        <v>0</v>
      </c>
      <c r="AG38" s="28" t="n">
        <f aca="false">IF(AND(N(M38)&gt;0,N(L38)&gt;0),M38*L38,N38)</f>
        <v>1.6875</v>
      </c>
      <c r="AH38" s="28" t="n">
        <f aca="false">IF(OR(N(AB38)&lt;=0,N(AG38)=0,N(L38)=0),"",MIN(L38,AG38/AB38))</f>
        <v>19.7368421052632</v>
      </c>
      <c r="AI38" s="29" t="n">
        <f aca="false">IF(OR(AH38="",N(O38)=0),"",AH38/O38-1)</f>
        <v>0.489572989076465</v>
      </c>
      <c r="AJ38" s="29" t="n">
        <f aca="false">IF(OR(AI38="",N(O38)=0),"",AI38+AG38/O38)</f>
        <v>0.616931479642502</v>
      </c>
      <c r="AK38" s="32" t="n">
        <f aca="false">IF(OR(AJ38="",N(AE38)=0),"",AJ38-AE38)</f>
        <v>0</v>
      </c>
      <c r="AL38" s="33" t="n">
        <f aca="false">IF(N(F38)=0,"",INDEX(Inputs!$B$28:$B$32,IFERROR(MATCH(F38,Inputs!$A$28:$A$32,1),0)+1))</f>
        <v>0.08</v>
      </c>
      <c r="AM38" s="34"/>
      <c r="AN38" s="33" t="n">
        <f aca="false">IF(N(AM38)&gt;0,AM38,AL38)</f>
        <v>0.08</v>
      </c>
      <c r="AO38" s="29" t="n">
        <f aca="false">IF(N(AN38)=0,"",AN38+IF(I38="yes",AN38*Inputs!$B$10*Inputs!$B$9,0)+IFERROR(INDEX(Inputs!$B$13:$B$15,MATCH(G38,Inputs!$A$13:$A$15,0)),0)+IFERROR(INDEX(Inputs!$B$18:$B$24,MATCH(H38,Inputs!$A$18:$A$24,0)),0))</f>
        <v>0.076</v>
      </c>
      <c r="AP38" s="28" t="n">
        <f aca="false">IF(OR(N(AO38)&lt;=0,N(AG38)=0,N(L38)=0),"",MIN(L38,AG38/AO38))</f>
        <v>22.2039473684211</v>
      </c>
      <c r="AQ38" s="29" t="n">
        <f aca="false">IF(OR(AP38="",N(O38)=0),"",AP38/O38-1)</f>
        <v>0.675769612711023</v>
      </c>
      <c r="AR38" s="29" t="n">
        <f aca="false">IF(OR(AQ38="",N(O38)=0),"",AQ38+AG38/O38)</f>
        <v>0.803128103277061</v>
      </c>
      <c r="AS38" s="32" t="n">
        <f aca="false">IF(OR(AR38="",N(AJ38)=0),"",AR38-AJ38)</f>
        <v>0.186196623634558</v>
      </c>
      <c r="AT38" s="28" t="n">
        <v>25</v>
      </c>
      <c r="AU38" s="28" t="n">
        <v>1.69</v>
      </c>
      <c r="AV38" s="28" t="n">
        <f aca="false">IF(N(AT38)&gt;0,AT38,L38)</f>
        <v>25</v>
      </c>
      <c r="AW38" s="28" t="n">
        <f aca="false">IF(AND(N(M38)&gt;0,N(AV38)&gt;0),M38*AV38,IF(N(AU38)&gt;0,AU38,N38))</f>
        <v>1.6875</v>
      </c>
      <c r="AX38" s="29" t="n">
        <f aca="false">IF(N(AN38)=0,"",AN38+IF(I38="yes",AN38*Inputs!$B$10*Inputs!$B$9,0)+IFERROR(INDEX(Inputs!$B$13:$B$15,MATCH(G38,Inputs!$A$13:$A$15,0)),0)+IFERROR(INDEX(Inputs!$B$18:$B$24,MATCH(H38,Inputs!$A$18:$A$24,0)),0))</f>
        <v>0.076</v>
      </c>
      <c r="AY38" s="28" t="n">
        <f aca="false">IF(OR(N(AX38)&lt;=0,N(AW38)=0,N(AV38)=0),"",MIN(AV38,AW38/AX38))</f>
        <v>22.2039473684211</v>
      </c>
      <c r="AZ38" s="29" t="n">
        <f aca="false">IF(OR(AY38="",N(O38)=0),"",AY38/O38-1)</f>
        <v>0.675769612711023</v>
      </c>
      <c r="BA38" s="29" t="n">
        <f aca="false">IF(OR(AZ38="",N(O38)=0),"",AZ38+AW38/O38)</f>
        <v>0.803128103277061</v>
      </c>
      <c r="BB38" s="32" t="n">
        <f aca="false">IF(OR(BA38="",N(AR38)=0),"",BA38-AR38)</f>
        <v>0</v>
      </c>
      <c r="BC38" s="35" t="n">
        <f aca="false">IF(OR(BA38="",N(U38)=0),"",BA38-U38)</f>
        <v>0.186196623634558</v>
      </c>
      <c r="BD38" s="37"/>
    </row>
    <row r="39" customFormat="false" ht="15" hidden="false" customHeight="false" outlineLevel="0" collapsed="false">
      <c r="A39" s="2" t="s">
        <v>140</v>
      </c>
      <c r="B39" s="2" t="n">
        <v>71</v>
      </c>
      <c r="C39" s="2" t="s">
        <v>206</v>
      </c>
      <c r="D39" s="2" t="s">
        <v>200</v>
      </c>
      <c r="E39" s="2" t="s">
        <v>201</v>
      </c>
      <c r="F39" s="27" t="n">
        <v>11900</v>
      </c>
      <c r="G39" s="2" t="s">
        <v>51</v>
      </c>
      <c r="H39" s="2" t="s">
        <v>58</v>
      </c>
      <c r="I39" s="2" t="s">
        <v>151</v>
      </c>
      <c r="J39" s="2" t="s">
        <v>145</v>
      </c>
      <c r="K39" s="2" t="n">
        <v>4</v>
      </c>
      <c r="L39" s="28" t="n">
        <v>25</v>
      </c>
      <c r="M39" s="29" t="n">
        <v>0.0725</v>
      </c>
      <c r="N39" s="28" t="n">
        <v>1.8125</v>
      </c>
      <c r="O39" s="28" t="n">
        <v>14.6</v>
      </c>
      <c r="P39" s="2" t="s">
        <v>146</v>
      </c>
      <c r="Q39" s="29" t="n">
        <v>0.09</v>
      </c>
      <c r="R39" s="30" t="n">
        <v>0.0855</v>
      </c>
      <c r="S39" s="31" t="n">
        <v>21.1988304093567</v>
      </c>
      <c r="T39" s="30" t="n">
        <v>0.451974685572378</v>
      </c>
      <c r="U39" s="30" t="n">
        <v>0.576118521188817</v>
      </c>
      <c r="V39" s="29" t="n">
        <v>0</v>
      </c>
      <c r="W39" s="29" t="n">
        <f aca="false">IF(N(Q39)=0,"",Q39+IF(I39="yes",Q39*Inputs!$B$10*Inputs!$B$9,0)+V39)</f>
        <v>0.0855</v>
      </c>
      <c r="X39" s="28" t="n">
        <f aca="false">IF(OR(N(W39)&lt;=0,N(N39)=0,N(L39)=0),"",MIN(L39,N39/W39))</f>
        <v>21.1988304093567</v>
      </c>
      <c r="Y39" s="29" t="n">
        <f aca="false">IF(OR(X39="",N(O39)=0),"",X39/O39-1)</f>
        <v>0.451974685572378</v>
      </c>
      <c r="Z39" s="29" t="n">
        <f aca="false">IF(OR(Y39="",N(O39)=0),"",Y39+N39/O39)</f>
        <v>0.576118521188817</v>
      </c>
      <c r="AA39" s="32" t="n">
        <f aca="false">IF(OR(Z39="",N(U39)=0),"",Z39-U39)</f>
        <v>0</v>
      </c>
      <c r="AB39" s="29" t="n">
        <f aca="false">IF(N(Q39)=0,"",Q39+IF(I39="yes",Q39*Inputs!$B$10*Inputs!$B$9,0)+IFERROR(INDEX(Inputs!$B$13:$B$15,MATCH(G39,Inputs!$A$13:$A$15,0)),0)+IFERROR(INDEX(Inputs!$B$18:$B$24,MATCH(H39,Inputs!$A$18:$A$24,0)),0))</f>
        <v>0.0855</v>
      </c>
      <c r="AC39" s="28" t="n">
        <f aca="false">IF(OR(N(AB39)&lt;=0,N(N39)=0,N(L39)=0),"",MIN(L39,N39/AB39))</f>
        <v>21.1988304093567</v>
      </c>
      <c r="AD39" s="29" t="n">
        <f aca="false">IF(OR(AC39="",N(O39)=0),"",AC39/O39-1)</f>
        <v>0.451974685572378</v>
      </c>
      <c r="AE39" s="29" t="n">
        <f aca="false">IF(OR(AD39="",N(O39)=0),"",AD39+N39/O39)</f>
        <v>0.576118521188817</v>
      </c>
      <c r="AF39" s="32" t="n">
        <f aca="false">IF(OR(AE39="",N(Z39)=0),"",AE39-Z39)</f>
        <v>0</v>
      </c>
      <c r="AG39" s="28" t="n">
        <f aca="false">IF(AND(N(M39)&gt;0,N(L39)&gt;0),M39*L39,N39)</f>
        <v>1.8125</v>
      </c>
      <c r="AH39" s="28" t="n">
        <f aca="false">IF(OR(N(AB39)&lt;=0,N(AG39)=0,N(L39)=0),"",MIN(L39,AG39/AB39))</f>
        <v>21.1988304093567</v>
      </c>
      <c r="AI39" s="29" t="n">
        <f aca="false">IF(OR(AH39="",N(O39)=0),"",AH39/O39-1)</f>
        <v>0.451974685572378</v>
      </c>
      <c r="AJ39" s="29" t="n">
        <f aca="false">IF(OR(AI39="",N(O39)=0),"",AI39+AG39/O39)</f>
        <v>0.576118521188817</v>
      </c>
      <c r="AK39" s="32" t="n">
        <f aca="false">IF(OR(AJ39="",N(AE39)=0),"",AJ39-AE39)</f>
        <v>0</v>
      </c>
      <c r="AL39" s="33" t="n">
        <f aca="false">IF(N(F39)=0,"",INDEX(Inputs!$B$28:$B$32,IFERROR(MATCH(F39,Inputs!$A$28:$A$32,1),0)+1))</f>
        <v>0.08</v>
      </c>
      <c r="AM39" s="34"/>
      <c r="AN39" s="33" t="n">
        <f aca="false">IF(N(AM39)&gt;0,AM39,AL39)</f>
        <v>0.08</v>
      </c>
      <c r="AO39" s="29" t="n">
        <f aca="false">IF(N(AN39)=0,"",AN39+IF(I39="yes",AN39*Inputs!$B$10*Inputs!$B$9,0)+IFERROR(INDEX(Inputs!$B$13:$B$15,MATCH(G39,Inputs!$A$13:$A$15,0)),0)+IFERROR(INDEX(Inputs!$B$18:$B$24,MATCH(H39,Inputs!$A$18:$A$24,0)),0))</f>
        <v>0.076</v>
      </c>
      <c r="AP39" s="28" t="n">
        <f aca="false">IF(OR(N(AO39)&lt;=0,N(AG39)=0,N(L39)=0),"",MIN(L39,AG39/AO39))</f>
        <v>23.8486842105263</v>
      </c>
      <c r="AQ39" s="29" t="n">
        <f aca="false">IF(OR(AP39="",N(O39)=0),"",AP39/O39-1)</f>
        <v>0.633471521268926</v>
      </c>
      <c r="AR39" s="29" t="n">
        <f aca="false">IF(OR(AQ39="",N(O39)=0),"",AQ39+AG39/O39)</f>
        <v>0.757615356885364</v>
      </c>
      <c r="AS39" s="32" t="n">
        <f aca="false">IF(OR(AR39="",N(AJ39)=0),"",AR39-AJ39)</f>
        <v>0.181496835696548</v>
      </c>
      <c r="AT39" s="28" t="n">
        <v>25</v>
      </c>
      <c r="AU39" s="28" t="n">
        <v>1.81</v>
      </c>
      <c r="AV39" s="28" t="n">
        <f aca="false">IF(N(AT39)&gt;0,AT39,L39)</f>
        <v>25</v>
      </c>
      <c r="AW39" s="28" t="n">
        <f aca="false">IF(AND(N(M39)&gt;0,N(AV39)&gt;0),M39*AV39,IF(N(AU39)&gt;0,AU39,N39))</f>
        <v>1.8125</v>
      </c>
      <c r="AX39" s="29" t="n">
        <f aca="false">IF(N(AN39)=0,"",AN39+IF(I39="yes",AN39*Inputs!$B$10*Inputs!$B$9,0)+IFERROR(INDEX(Inputs!$B$13:$B$15,MATCH(G39,Inputs!$A$13:$A$15,0)),0)+IFERROR(INDEX(Inputs!$B$18:$B$24,MATCH(H39,Inputs!$A$18:$A$24,0)),0))</f>
        <v>0.076</v>
      </c>
      <c r="AY39" s="28" t="n">
        <f aca="false">IF(OR(N(AX39)&lt;=0,N(AW39)=0,N(AV39)=0),"",MIN(AV39,AW39/AX39))</f>
        <v>23.8486842105263</v>
      </c>
      <c r="AZ39" s="29" t="n">
        <f aca="false">IF(OR(AY39="",N(O39)=0),"",AY39/O39-1)</f>
        <v>0.633471521268926</v>
      </c>
      <c r="BA39" s="29" t="n">
        <f aca="false">IF(OR(AZ39="",N(O39)=0),"",AZ39+AW39/O39)</f>
        <v>0.757615356885364</v>
      </c>
      <c r="BB39" s="32" t="n">
        <f aca="false">IF(OR(BA39="",N(AR39)=0),"",BA39-AR39)</f>
        <v>0</v>
      </c>
      <c r="BC39" s="35" t="n">
        <f aca="false">IF(OR(BA39="",N(U39)=0),"",BA39-U39)</f>
        <v>0.181496835696547</v>
      </c>
      <c r="BD39" s="37"/>
    </row>
    <row r="40" customFormat="false" ht="15" hidden="false" customHeight="false" outlineLevel="0" collapsed="false">
      <c r="A40" s="2" t="s">
        <v>140</v>
      </c>
      <c r="B40" s="2" t="n">
        <v>72</v>
      </c>
      <c r="C40" s="2" t="s">
        <v>207</v>
      </c>
      <c r="D40" s="2" t="s">
        <v>200</v>
      </c>
      <c r="E40" s="2" t="s">
        <v>201</v>
      </c>
      <c r="F40" s="27" t="n">
        <v>11900</v>
      </c>
      <c r="G40" s="2" t="s">
        <v>51</v>
      </c>
      <c r="H40" s="2" t="s">
        <v>58</v>
      </c>
      <c r="I40" s="2" t="s">
        <v>151</v>
      </c>
      <c r="J40" s="2" t="s">
        <v>145</v>
      </c>
      <c r="K40" s="2" t="n">
        <v>4</v>
      </c>
      <c r="L40" s="28" t="n">
        <v>25</v>
      </c>
      <c r="M40" s="29" t="n">
        <v>0.07625</v>
      </c>
      <c r="N40" s="28" t="n">
        <v>1.90625</v>
      </c>
      <c r="O40" s="28" t="n">
        <v>14.9</v>
      </c>
      <c r="P40" s="2" t="s">
        <v>146</v>
      </c>
      <c r="Q40" s="29" t="n">
        <v>0.09</v>
      </c>
      <c r="R40" s="30" t="n">
        <v>0.0855</v>
      </c>
      <c r="S40" s="31" t="n">
        <v>22.2953216374269</v>
      </c>
      <c r="T40" s="30" t="n">
        <v>0.496330311236705</v>
      </c>
      <c r="U40" s="30" t="n">
        <v>0.624266552847443</v>
      </c>
      <c r="V40" s="29" t="n">
        <v>0</v>
      </c>
      <c r="W40" s="29" t="n">
        <f aca="false">IF(N(Q40)=0,"",Q40+IF(I40="yes",Q40*Inputs!$B$10*Inputs!$B$9,0)+V40)</f>
        <v>0.0855</v>
      </c>
      <c r="X40" s="28" t="n">
        <f aca="false">IF(OR(N(W40)&lt;=0,N(N40)=0,N(L40)=0),"",MIN(L40,N40/W40))</f>
        <v>22.2953216374269</v>
      </c>
      <c r="Y40" s="29" t="n">
        <f aca="false">IF(OR(X40="",N(O40)=0),"",X40/O40-1)</f>
        <v>0.496330311236705</v>
      </c>
      <c r="Z40" s="29" t="n">
        <f aca="false">IF(OR(Y40="",N(O40)=0),"",Y40+N40/O40)</f>
        <v>0.624266552847443</v>
      </c>
      <c r="AA40" s="32" t="n">
        <f aca="false">IF(OR(Z40="",N(U40)=0),"",Z40-U40)</f>
        <v>0</v>
      </c>
      <c r="AB40" s="29" t="n">
        <f aca="false">IF(N(Q40)=0,"",Q40+IF(I40="yes",Q40*Inputs!$B$10*Inputs!$B$9,0)+IFERROR(INDEX(Inputs!$B$13:$B$15,MATCH(G40,Inputs!$A$13:$A$15,0)),0)+IFERROR(INDEX(Inputs!$B$18:$B$24,MATCH(H40,Inputs!$A$18:$A$24,0)),0))</f>
        <v>0.0855</v>
      </c>
      <c r="AC40" s="28" t="n">
        <f aca="false">IF(OR(N(AB40)&lt;=0,N(N40)=0,N(L40)=0),"",MIN(L40,N40/AB40))</f>
        <v>22.2953216374269</v>
      </c>
      <c r="AD40" s="29" t="n">
        <f aca="false">IF(OR(AC40="",N(O40)=0),"",AC40/O40-1)</f>
        <v>0.496330311236705</v>
      </c>
      <c r="AE40" s="29" t="n">
        <f aca="false">IF(OR(AD40="",N(O40)=0),"",AD40+N40/O40)</f>
        <v>0.624266552847443</v>
      </c>
      <c r="AF40" s="32" t="n">
        <f aca="false">IF(OR(AE40="",N(Z40)=0),"",AE40-Z40)</f>
        <v>0</v>
      </c>
      <c r="AG40" s="28" t="n">
        <f aca="false">IF(AND(N(M40)&gt;0,N(L40)&gt;0),M40*L40,N40)</f>
        <v>1.90625</v>
      </c>
      <c r="AH40" s="28" t="n">
        <f aca="false">IF(OR(N(AB40)&lt;=0,N(AG40)=0,N(L40)=0),"",MIN(L40,AG40/AB40))</f>
        <v>22.2953216374269</v>
      </c>
      <c r="AI40" s="29" t="n">
        <f aca="false">IF(OR(AH40="",N(O40)=0),"",AH40/O40-1)</f>
        <v>0.496330311236705</v>
      </c>
      <c r="AJ40" s="29" t="n">
        <f aca="false">IF(OR(AI40="",N(O40)=0),"",AI40+AG40/O40)</f>
        <v>0.624266552847443</v>
      </c>
      <c r="AK40" s="32" t="n">
        <f aca="false">IF(OR(AJ40="",N(AE40)=0),"",AJ40-AE40)</f>
        <v>0</v>
      </c>
      <c r="AL40" s="33" t="n">
        <f aca="false">IF(N(F40)=0,"",INDEX(Inputs!$B$28:$B$32,IFERROR(MATCH(F40,Inputs!$A$28:$A$32,1),0)+1))</f>
        <v>0.08</v>
      </c>
      <c r="AM40" s="34"/>
      <c r="AN40" s="33" t="n">
        <f aca="false">IF(N(AM40)&gt;0,AM40,AL40)</f>
        <v>0.08</v>
      </c>
      <c r="AO40" s="29" t="n">
        <f aca="false">IF(N(AN40)=0,"",AN40+IF(I40="yes",AN40*Inputs!$B$10*Inputs!$B$9,0)+IFERROR(INDEX(Inputs!$B$13:$B$15,MATCH(G40,Inputs!$A$13:$A$15,0)),0)+IFERROR(INDEX(Inputs!$B$18:$B$24,MATCH(H40,Inputs!$A$18:$A$24,0)),0))</f>
        <v>0.076</v>
      </c>
      <c r="AP40" s="28" t="n">
        <f aca="false">IF(OR(N(AO40)&lt;=0,N(AG40)=0,N(L40)=0),"",MIN(L40,AG40/AO40))</f>
        <v>25</v>
      </c>
      <c r="AQ40" s="29" t="n">
        <f aca="false">IF(OR(AP40="",N(O40)=0),"",AP40/O40-1)</f>
        <v>0.677852348993289</v>
      </c>
      <c r="AR40" s="29" t="n">
        <f aca="false">IF(OR(AQ40="",N(O40)=0),"",AQ40+AG40/O40)</f>
        <v>0.805788590604027</v>
      </c>
      <c r="AS40" s="32" t="n">
        <f aca="false">IF(OR(AR40="",N(AJ40)=0),"",AR40-AJ40)</f>
        <v>0.181522037756584</v>
      </c>
      <c r="AT40" s="28" t="n">
        <v>25</v>
      </c>
      <c r="AU40" s="28" t="n">
        <v>1.91</v>
      </c>
      <c r="AV40" s="28" t="n">
        <f aca="false">IF(N(AT40)&gt;0,AT40,L40)</f>
        <v>25</v>
      </c>
      <c r="AW40" s="28" t="n">
        <f aca="false">IF(AND(N(M40)&gt;0,N(AV40)&gt;0),M40*AV40,IF(N(AU40)&gt;0,AU40,N40))</f>
        <v>1.90625</v>
      </c>
      <c r="AX40" s="29" t="n">
        <f aca="false">IF(N(AN40)=0,"",AN40+IF(I40="yes",AN40*Inputs!$B$10*Inputs!$B$9,0)+IFERROR(INDEX(Inputs!$B$13:$B$15,MATCH(G40,Inputs!$A$13:$A$15,0)),0)+IFERROR(INDEX(Inputs!$B$18:$B$24,MATCH(H40,Inputs!$A$18:$A$24,0)),0))</f>
        <v>0.076</v>
      </c>
      <c r="AY40" s="28" t="n">
        <f aca="false">IF(OR(N(AX40)&lt;=0,N(AW40)=0,N(AV40)=0),"",MIN(AV40,AW40/AX40))</f>
        <v>25</v>
      </c>
      <c r="AZ40" s="29" t="n">
        <f aca="false">IF(OR(AY40="",N(O40)=0),"",AY40/O40-1)</f>
        <v>0.677852348993289</v>
      </c>
      <c r="BA40" s="29" t="n">
        <f aca="false">IF(OR(AZ40="",N(O40)=0),"",AZ40+AW40/O40)</f>
        <v>0.805788590604027</v>
      </c>
      <c r="BB40" s="32" t="n">
        <f aca="false">IF(OR(BA40="",N(AR40)=0),"",BA40-AR40)</f>
        <v>0</v>
      </c>
      <c r="BC40" s="35" t="n">
        <f aca="false">IF(OR(BA40="",N(U40)=0),"",BA40-U40)</f>
        <v>0.181522037756584</v>
      </c>
      <c r="BD40" s="37"/>
    </row>
    <row r="41" customFormat="false" ht="15" hidden="false" customHeight="false" outlineLevel="0" collapsed="false">
      <c r="A41" s="2" t="s">
        <v>140</v>
      </c>
      <c r="B41" s="2" t="n">
        <v>73</v>
      </c>
      <c r="C41" s="2" t="s">
        <v>208</v>
      </c>
      <c r="D41" s="2" t="s">
        <v>200</v>
      </c>
      <c r="E41" s="2" t="s">
        <v>201</v>
      </c>
      <c r="F41" s="27" t="n">
        <v>11900</v>
      </c>
      <c r="G41" s="2" t="s">
        <v>51</v>
      </c>
      <c r="H41" s="2" t="s">
        <v>58</v>
      </c>
      <c r="I41" s="2" t="s">
        <v>151</v>
      </c>
      <c r="J41" s="2" t="s">
        <v>145</v>
      </c>
      <c r="K41" s="2" t="n">
        <v>4</v>
      </c>
      <c r="L41" s="28" t="n">
        <v>25</v>
      </c>
      <c r="M41" s="29" t="n">
        <v>0.075</v>
      </c>
      <c r="N41" s="28" t="n">
        <v>1.875</v>
      </c>
      <c r="O41" s="28" t="n">
        <v>14.78</v>
      </c>
      <c r="P41" s="2" t="s">
        <v>146</v>
      </c>
      <c r="Q41" s="29" t="n">
        <v>0.09</v>
      </c>
      <c r="R41" s="30" t="n">
        <v>0.0855</v>
      </c>
      <c r="S41" s="31" t="n">
        <v>21.9298245614035</v>
      </c>
      <c r="T41" s="30" t="n">
        <v>0.483749970325</v>
      </c>
      <c r="U41" s="30" t="n">
        <v>0.610610592787788</v>
      </c>
      <c r="V41" s="29" t="n">
        <v>0</v>
      </c>
      <c r="W41" s="29" t="n">
        <f aca="false">IF(N(Q41)=0,"",Q41+IF(I41="yes",Q41*Inputs!$B$10*Inputs!$B$9,0)+V41)</f>
        <v>0.0855</v>
      </c>
      <c r="X41" s="28" t="n">
        <f aca="false">IF(OR(N(W41)&lt;=0,N(N41)=0,N(L41)=0),"",MIN(L41,N41/W41))</f>
        <v>21.9298245614035</v>
      </c>
      <c r="Y41" s="29" t="n">
        <f aca="false">IF(OR(X41="",N(O41)=0),"",X41/O41-1)</f>
        <v>0.483749970325001</v>
      </c>
      <c r="Z41" s="29" t="n">
        <f aca="false">IF(OR(Y41="",N(O41)=0),"",Y41+N41/O41)</f>
        <v>0.610610592787788</v>
      </c>
      <c r="AA41" s="32" t="n">
        <f aca="false">IF(OR(Z41="",N(U41)=0),"",Z41-U41)</f>
        <v>0</v>
      </c>
      <c r="AB41" s="29" t="n">
        <f aca="false">IF(N(Q41)=0,"",Q41+IF(I41="yes",Q41*Inputs!$B$10*Inputs!$B$9,0)+IFERROR(INDEX(Inputs!$B$13:$B$15,MATCH(G41,Inputs!$A$13:$A$15,0)),0)+IFERROR(INDEX(Inputs!$B$18:$B$24,MATCH(H41,Inputs!$A$18:$A$24,0)),0))</f>
        <v>0.0855</v>
      </c>
      <c r="AC41" s="28" t="n">
        <f aca="false">IF(OR(N(AB41)&lt;=0,N(N41)=0,N(L41)=0),"",MIN(L41,N41/AB41))</f>
        <v>21.9298245614035</v>
      </c>
      <c r="AD41" s="29" t="n">
        <f aca="false">IF(OR(AC41="",N(O41)=0),"",AC41/O41-1)</f>
        <v>0.483749970325001</v>
      </c>
      <c r="AE41" s="29" t="n">
        <f aca="false">IF(OR(AD41="",N(O41)=0),"",AD41+N41/O41)</f>
        <v>0.610610592787788</v>
      </c>
      <c r="AF41" s="32" t="n">
        <f aca="false">IF(OR(AE41="",N(Z41)=0),"",AE41-Z41)</f>
        <v>0</v>
      </c>
      <c r="AG41" s="28" t="n">
        <f aca="false">IF(AND(N(M41)&gt;0,N(L41)&gt;0),M41*L41,N41)</f>
        <v>1.875</v>
      </c>
      <c r="AH41" s="28" t="n">
        <f aca="false">IF(OR(N(AB41)&lt;=0,N(AG41)=0,N(L41)=0),"",MIN(L41,AG41/AB41))</f>
        <v>21.9298245614035</v>
      </c>
      <c r="AI41" s="29" t="n">
        <f aca="false">IF(OR(AH41="",N(O41)=0),"",AH41/O41-1)</f>
        <v>0.483749970325001</v>
      </c>
      <c r="AJ41" s="29" t="n">
        <f aca="false">IF(OR(AI41="",N(O41)=0),"",AI41+AG41/O41)</f>
        <v>0.610610592787788</v>
      </c>
      <c r="AK41" s="32" t="n">
        <f aca="false">IF(OR(AJ41="",N(AE41)=0),"",AJ41-AE41)</f>
        <v>0</v>
      </c>
      <c r="AL41" s="33" t="n">
        <f aca="false">IF(N(F41)=0,"",INDEX(Inputs!$B$28:$B$32,IFERROR(MATCH(F41,Inputs!$A$28:$A$32,1),0)+1))</f>
        <v>0.08</v>
      </c>
      <c r="AM41" s="34"/>
      <c r="AN41" s="33" t="n">
        <f aca="false">IF(N(AM41)&gt;0,AM41,AL41)</f>
        <v>0.08</v>
      </c>
      <c r="AO41" s="29" t="n">
        <f aca="false">IF(N(AN41)=0,"",AN41+IF(I41="yes",AN41*Inputs!$B$10*Inputs!$B$9,0)+IFERROR(INDEX(Inputs!$B$13:$B$15,MATCH(G41,Inputs!$A$13:$A$15,0)),0)+IFERROR(INDEX(Inputs!$B$18:$B$24,MATCH(H41,Inputs!$A$18:$A$24,0)),0))</f>
        <v>0.076</v>
      </c>
      <c r="AP41" s="28" t="n">
        <f aca="false">IF(OR(N(AO41)&lt;=0,N(AG41)=0,N(L41)=0),"",MIN(L41,AG41/AO41))</f>
        <v>24.671052631579</v>
      </c>
      <c r="AQ41" s="29" t="n">
        <f aca="false">IF(OR(AP41="",N(O41)=0),"",AP41/O41-1)</f>
        <v>0.669218716615626</v>
      </c>
      <c r="AR41" s="29" t="n">
        <f aca="false">IF(OR(AQ41="",N(O41)=0),"",AQ41+AG41/O41)</f>
        <v>0.796079339078413</v>
      </c>
      <c r="AS41" s="32" t="n">
        <f aca="false">IF(OR(AR41="",N(AJ41)=0),"",AR41-AJ41)</f>
        <v>0.185468746290625</v>
      </c>
      <c r="AT41" s="28" t="n">
        <v>25</v>
      </c>
      <c r="AU41" s="28" t="n">
        <v>1.88</v>
      </c>
      <c r="AV41" s="28" t="n">
        <f aca="false">IF(N(AT41)&gt;0,AT41,L41)</f>
        <v>25</v>
      </c>
      <c r="AW41" s="28" t="n">
        <f aca="false">IF(AND(N(M41)&gt;0,N(AV41)&gt;0),M41*AV41,IF(N(AU41)&gt;0,AU41,N41))</f>
        <v>1.875</v>
      </c>
      <c r="AX41" s="29" t="n">
        <f aca="false">IF(N(AN41)=0,"",AN41+IF(I41="yes",AN41*Inputs!$B$10*Inputs!$B$9,0)+IFERROR(INDEX(Inputs!$B$13:$B$15,MATCH(G41,Inputs!$A$13:$A$15,0)),0)+IFERROR(INDEX(Inputs!$B$18:$B$24,MATCH(H41,Inputs!$A$18:$A$24,0)),0))</f>
        <v>0.076</v>
      </c>
      <c r="AY41" s="28" t="n">
        <f aca="false">IF(OR(N(AX41)&lt;=0,N(AW41)=0,N(AV41)=0),"",MIN(AV41,AW41/AX41))</f>
        <v>24.671052631579</v>
      </c>
      <c r="AZ41" s="29" t="n">
        <f aca="false">IF(OR(AY41="",N(O41)=0),"",AY41/O41-1)</f>
        <v>0.669218716615626</v>
      </c>
      <c r="BA41" s="29" t="n">
        <f aca="false">IF(OR(AZ41="",N(O41)=0),"",AZ41+AW41/O41)</f>
        <v>0.796079339078413</v>
      </c>
      <c r="BB41" s="32" t="n">
        <f aca="false">IF(OR(BA41="",N(AR41)=0),"",BA41-AR41)</f>
        <v>0</v>
      </c>
      <c r="BC41" s="35" t="n">
        <f aca="false">IF(OR(BA41="",N(U41)=0),"",BA41-U41)</f>
        <v>0.185468746290625</v>
      </c>
      <c r="BD41" s="37"/>
    </row>
    <row r="42" customFormat="false" ht="15" hidden="false" customHeight="false" outlineLevel="0" collapsed="false">
      <c r="A42" s="2" t="s">
        <v>140</v>
      </c>
      <c r="B42" s="2" t="n">
        <v>74</v>
      </c>
      <c r="C42" s="2" t="s">
        <v>209</v>
      </c>
      <c r="D42" s="2" t="s">
        <v>200</v>
      </c>
      <c r="E42" s="2" t="s">
        <v>201</v>
      </c>
      <c r="F42" s="27" t="n">
        <v>11900</v>
      </c>
      <c r="G42" s="2" t="s">
        <v>51</v>
      </c>
      <c r="H42" s="2" t="s">
        <v>58</v>
      </c>
      <c r="I42" s="2" t="s">
        <v>151</v>
      </c>
      <c r="J42" s="2" t="s">
        <v>145</v>
      </c>
      <c r="K42" s="2" t="n">
        <v>4</v>
      </c>
      <c r="L42" s="28" t="n">
        <v>25</v>
      </c>
      <c r="M42" s="29" t="n">
        <v>0.0775</v>
      </c>
      <c r="N42" s="28" t="n">
        <v>1.9375</v>
      </c>
      <c r="O42" s="28" t="n">
        <v>15.01</v>
      </c>
      <c r="P42" s="2" t="s">
        <v>146</v>
      </c>
      <c r="Q42" s="29" t="n">
        <v>0.09</v>
      </c>
      <c r="R42" s="30" t="n">
        <v>0.0855</v>
      </c>
      <c r="S42" s="31" t="n">
        <v>22.6608187134503</v>
      </c>
      <c r="T42" s="30" t="n">
        <v>0.50971477104932</v>
      </c>
      <c r="U42" s="30" t="n">
        <v>0.638795383974037</v>
      </c>
      <c r="V42" s="29" t="n">
        <v>0</v>
      </c>
      <c r="W42" s="29" t="n">
        <f aca="false">IF(N(Q42)=0,"",Q42+IF(I42="yes",Q42*Inputs!$B$10*Inputs!$B$9,0)+V42)</f>
        <v>0.0855</v>
      </c>
      <c r="X42" s="28" t="n">
        <f aca="false">IF(OR(N(W42)&lt;=0,N(N42)=0,N(L42)=0),"",MIN(L42,N42/W42))</f>
        <v>22.6608187134503</v>
      </c>
      <c r="Y42" s="29" t="n">
        <f aca="false">IF(OR(X42="",N(O42)=0),"",X42/O42-1)</f>
        <v>0.50971477104932</v>
      </c>
      <c r="Z42" s="29" t="n">
        <f aca="false">IF(OR(Y42="",N(O42)=0),"",Y42+N42/O42)</f>
        <v>0.638795383974037</v>
      </c>
      <c r="AA42" s="32" t="n">
        <f aca="false">IF(OR(Z42="",N(U42)=0),"",Z42-U42)</f>
        <v>0</v>
      </c>
      <c r="AB42" s="29" t="n">
        <f aca="false">IF(N(Q42)=0,"",Q42+IF(I42="yes",Q42*Inputs!$B$10*Inputs!$B$9,0)+IFERROR(INDEX(Inputs!$B$13:$B$15,MATCH(G42,Inputs!$A$13:$A$15,0)),0)+IFERROR(INDEX(Inputs!$B$18:$B$24,MATCH(H42,Inputs!$A$18:$A$24,0)),0))</f>
        <v>0.0855</v>
      </c>
      <c r="AC42" s="28" t="n">
        <f aca="false">IF(OR(N(AB42)&lt;=0,N(N42)=0,N(L42)=0),"",MIN(L42,N42/AB42))</f>
        <v>22.6608187134503</v>
      </c>
      <c r="AD42" s="29" t="n">
        <f aca="false">IF(OR(AC42="",N(O42)=0),"",AC42/O42-1)</f>
        <v>0.50971477104932</v>
      </c>
      <c r="AE42" s="29" t="n">
        <f aca="false">IF(OR(AD42="",N(O42)=0),"",AD42+N42/O42)</f>
        <v>0.638795383974037</v>
      </c>
      <c r="AF42" s="32" t="n">
        <f aca="false">IF(OR(AE42="",N(Z42)=0),"",AE42-Z42)</f>
        <v>0</v>
      </c>
      <c r="AG42" s="28" t="n">
        <f aca="false">IF(AND(N(M42)&gt;0,N(L42)&gt;0),M42*L42,N42)</f>
        <v>1.9375</v>
      </c>
      <c r="AH42" s="28" t="n">
        <f aca="false">IF(OR(N(AB42)&lt;=0,N(AG42)=0,N(L42)=0),"",MIN(L42,AG42/AB42))</f>
        <v>22.6608187134503</v>
      </c>
      <c r="AI42" s="29" t="n">
        <f aca="false">IF(OR(AH42="",N(O42)=0),"",AH42/O42-1)</f>
        <v>0.50971477104932</v>
      </c>
      <c r="AJ42" s="29" t="n">
        <f aca="false">IF(OR(AI42="",N(O42)=0),"",AI42+AG42/O42)</f>
        <v>0.638795383974037</v>
      </c>
      <c r="AK42" s="32" t="n">
        <f aca="false">IF(OR(AJ42="",N(AE42)=0),"",AJ42-AE42)</f>
        <v>0</v>
      </c>
      <c r="AL42" s="33" t="n">
        <f aca="false">IF(N(F42)=0,"",INDEX(Inputs!$B$28:$B$32,IFERROR(MATCH(F42,Inputs!$A$28:$A$32,1),0)+1))</f>
        <v>0.08</v>
      </c>
      <c r="AM42" s="34"/>
      <c r="AN42" s="33" t="n">
        <f aca="false">IF(N(AM42)&gt;0,AM42,AL42)</f>
        <v>0.08</v>
      </c>
      <c r="AO42" s="29" t="n">
        <f aca="false">IF(N(AN42)=0,"",AN42+IF(I42="yes",AN42*Inputs!$B$10*Inputs!$B$9,0)+IFERROR(INDEX(Inputs!$B$13:$B$15,MATCH(G42,Inputs!$A$13:$A$15,0)),0)+IFERROR(INDEX(Inputs!$B$18:$B$24,MATCH(H42,Inputs!$A$18:$A$24,0)),0))</f>
        <v>0.076</v>
      </c>
      <c r="AP42" s="28" t="n">
        <f aca="false">IF(OR(N(AO42)&lt;=0,N(AG42)=0,N(L42)=0),"",MIN(L42,AG42/AO42))</f>
        <v>25</v>
      </c>
      <c r="AQ42" s="29" t="n">
        <f aca="false">IF(OR(AP42="",N(O42)=0),"",AP42/O42-1)</f>
        <v>0.665556295802798</v>
      </c>
      <c r="AR42" s="29" t="n">
        <f aca="false">IF(OR(AQ42="",N(O42)=0),"",AQ42+AG42/O42)</f>
        <v>0.794636908727515</v>
      </c>
      <c r="AS42" s="32" t="n">
        <f aca="false">IF(OR(AR42="",N(AJ42)=0),"",AR42-AJ42)</f>
        <v>0.155841524753478</v>
      </c>
      <c r="AT42" s="28" t="n">
        <v>25</v>
      </c>
      <c r="AU42" s="28" t="n">
        <v>1.94</v>
      </c>
      <c r="AV42" s="28" t="n">
        <f aca="false">IF(N(AT42)&gt;0,AT42,L42)</f>
        <v>25</v>
      </c>
      <c r="AW42" s="28" t="n">
        <f aca="false">IF(AND(N(M42)&gt;0,N(AV42)&gt;0),M42*AV42,IF(N(AU42)&gt;0,AU42,N42))</f>
        <v>1.9375</v>
      </c>
      <c r="AX42" s="29" t="n">
        <f aca="false">IF(N(AN42)=0,"",AN42+IF(I42="yes",AN42*Inputs!$B$10*Inputs!$B$9,0)+IFERROR(INDEX(Inputs!$B$13:$B$15,MATCH(G42,Inputs!$A$13:$A$15,0)),0)+IFERROR(INDEX(Inputs!$B$18:$B$24,MATCH(H42,Inputs!$A$18:$A$24,0)),0))</f>
        <v>0.076</v>
      </c>
      <c r="AY42" s="28" t="n">
        <f aca="false">IF(OR(N(AX42)&lt;=0,N(AW42)=0,N(AV42)=0),"",MIN(AV42,AW42/AX42))</f>
        <v>25</v>
      </c>
      <c r="AZ42" s="29" t="n">
        <f aca="false">IF(OR(AY42="",N(O42)=0),"",AY42/O42-1)</f>
        <v>0.665556295802798</v>
      </c>
      <c r="BA42" s="29" t="n">
        <f aca="false">IF(OR(AZ42="",N(O42)=0),"",AZ42+AW42/O42)</f>
        <v>0.794636908727515</v>
      </c>
      <c r="BB42" s="32" t="n">
        <f aca="false">IF(OR(BA42="",N(AR42)=0),"",BA42-AR42)</f>
        <v>0</v>
      </c>
      <c r="BC42" s="35" t="n">
        <f aca="false">IF(OR(BA42="",N(U42)=0),"",BA42-U42)</f>
        <v>0.155841524753478</v>
      </c>
      <c r="BD42" s="37"/>
    </row>
    <row r="43" customFormat="false" ht="15" hidden="false" customHeight="false" outlineLevel="0" collapsed="false">
      <c r="A43" s="2" t="s">
        <v>140</v>
      </c>
      <c r="B43" s="2" t="n">
        <v>75</v>
      </c>
      <c r="C43" s="2" t="s">
        <v>210</v>
      </c>
      <c r="D43" s="2" t="s">
        <v>200</v>
      </c>
      <c r="E43" s="2" t="s">
        <v>201</v>
      </c>
      <c r="F43" s="27" t="n">
        <v>11900</v>
      </c>
      <c r="G43" s="2" t="s">
        <v>51</v>
      </c>
      <c r="H43" s="2" t="s">
        <v>58</v>
      </c>
      <c r="I43" s="2" t="s">
        <v>151</v>
      </c>
      <c r="J43" s="2" t="s">
        <v>145</v>
      </c>
      <c r="K43" s="2" t="n">
        <v>4</v>
      </c>
      <c r="L43" s="28" t="n">
        <v>25</v>
      </c>
      <c r="M43" s="29" t="n">
        <v>0.0695</v>
      </c>
      <c r="N43" s="28" t="n">
        <v>1.7375</v>
      </c>
      <c r="O43" s="28" t="n">
        <v>13.57</v>
      </c>
      <c r="P43" s="2" t="s">
        <v>146</v>
      </c>
      <c r="Q43" s="29" t="n">
        <v>0.09</v>
      </c>
      <c r="R43" s="30" t="n">
        <v>0.0855</v>
      </c>
      <c r="S43" s="31" t="n">
        <v>20.3216374269006</v>
      </c>
      <c r="T43" s="30" t="n">
        <v>0.497541446344921</v>
      </c>
      <c r="U43" s="30" t="n">
        <v>0.625581240007412</v>
      </c>
      <c r="V43" s="29" t="n">
        <v>0</v>
      </c>
      <c r="W43" s="29" t="n">
        <f aca="false">IF(N(Q43)=0,"",Q43+IF(I43="yes",Q43*Inputs!$B$10*Inputs!$B$9,0)+V43)</f>
        <v>0.0855</v>
      </c>
      <c r="X43" s="28" t="n">
        <f aca="false">IF(OR(N(W43)&lt;=0,N(N43)=0,N(L43)=0),"",MIN(L43,N43/W43))</f>
        <v>20.3216374269006</v>
      </c>
      <c r="Y43" s="29" t="n">
        <f aca="false">IF(OR(X43="",N(O43)=0),"",X43/O43-1)</f>
        <v>0.497541446344921</v>
      </c>
      <c r="Z43" s="29" t="n">
        <f aca="false">IF(OR(Y43="",N(O43)=0),"",Y43+N43/O43)</f>
        <v>0.625581240007412</v>
      </c>
      <c r="AA43" s="32" t="n">
        <f aca="false">IF(OR(Z43="",N(U43)=0),"",Z43-U43)</f>
        <v>0</v>
      </c>
      <c r="AB43" s="29" t="n">
        <f aca="false">IF(N(Q43)=0,"",Q43+IF(I43="yes",Q43*Inputs!$B$10*Inputs!$B$9,0)+IFERROR(INDEX(Inputs!$B$13:$B$15,MATCH(G43,Inputs!$A$13:$A$15,0)),0)+IFERROR(INDEX(Inputs!$B$18:$B$24,MATCH(H43,Inputs!$A$18:$A$24,0)),0))</f>
        <v>0.0855</v>
      </c>
      <c r="AC43" s="28" t="n">
        <f aca="false">IF(OR(N(AB43)&lt;=0,N(N43)=0,N(L43)=0),"",MIN(L43,N43/AB43))</f>
        <v>20.3216374269006</v>
      </c>
      <c r="AD43" s="29" t="n">
        <f aca="false">IF(OR(AC43="",N(O43)=0),"",AC43/O43-1)</f>
        <v>0.497541446344921</v>
      </c>
      <c r="AE43" s="29" t="n">
        <f aca="false">IF(OR(AD43="",N(O43)=0),"",AD43+N43/O43)</f>
        <v>0.625581240007412</v>
      </c>
      <c r="AF43" s="32" t="n">
        <f aca="false">IF(OR(AE43="",N(Z43)=0),"",AE43-Z43)</f>
        <v>0</v>
      </c>
      <c r="AG43" s="28" t="n">
        <f aca="false">IF(AND(N(M43)&gt;0,N(L43)&gt;0),M43*L43,N43)</f>
        <v>1.7375</v>
      </c>
      <c r="AH43" s="28" t="n">
        <f aca="false">IF(OR(N(AB43)&lt;=0,N(AG43)=0,N(L43)=0),"",MIN(L43,AG43/AB43))</f>
        <v>20.3216374269006</v>
      </c>
      <c r="AI43" s="29" t="n">
        <f aca="false">IF(OR(AH43="",N(O43)=0),"",AH43/O43-1)</f>
        <v>0.497541446344922</v>
      </c>
      <c r="AJ43" s="29" t="n">
        <f aca="false">IF(OR(AI43="",N(O43)=0),"",AI43+AG43/O43)</f>
        <v>0.625581240007413</v>
      </c>
      <c r="AK43" s="32" t="n">
        <f aca="false">IF(OR(AJ43="",N(AE43)=0),"",AJ43-AE43)</f>
        <v>0</v>
      </c>
      <c r="AL43" s="33" t="n">
        <f aca="false">IF(N(F43)=0,"",INDEX(Inputs!$B$28:$B$32,IFERROR(MATCH(F43,Inputs!$A$28:$A$32,1),0)+1))</f>
        <v>0.08</v>
      </c>
      <c r="AM43" s="34"/>
      <c r="AN43" s="33" t="n">
        <f aca="false">IF(N(AM43)&gt;0,AM43,AL43)</f>
        <v>0.08</v>
      </c>
      <c r="AO43" s="29" t="n">
        <f aca="false">IF(N(AN43)=0,"",AN43+IF(I43="yes",AN43*Inputs!$B$10*Inputs!$B$9,0)+IFERROR(INDEX(Inputs!$B$13:$B$15,MATCH(G43,Inputs!$A$13:$A$15,0)),0)+IFERROR(INDEX(Inputs!$B$18:$B$24,MATCH(H43,Inputs!$A$18:$A$24,0)),0))</f>
        <v>0.076</v>
      </c>
      <c r="AP43" s="28" t="n">
        <f aca="false">IF(OR(N(AO43)&lt;=0,N(AG43)=0,N(L43)=0),"",MIN(L43,AG43/AO43))</f>
        <v>22.8618421052632</v>
      </c>
      <c r="AQ43" s="29" t="n">
        <f aca="false">IF(OR(AP43="",N(O43)=0),"",AP43/O43-1)</f>
        <v>0.684734127138037</v>
      </c>
      <c r="AR43" s="29" t="n">
        <f aca="false">IF(OR(AQ43="",N(O43)=0),"",AQ43+AG43/O43)</f>
        <v>0.812773920800528</v>
      </c>
      <c r="AS43" s="32" t="n">
        <f aca="false">IF(OR(AR43="",N(AJ43)=0),"",AR43-AJ43)</f>
        <v>0.187192680793115</v>
      </c>
      <c r="AT43" s="28" t="n">
        <v>25</v>
      </c>
      <c r="AU43" s="28" t="n">
        <v>1.74</v>
      </c>
      <c r="AV43" s="28" t="n">
        <f aca="false">IF(N(AT43)&gt;0,AT43,L43)</f>
        <v>25</v>
      </c>
      <c r="AW43" s="28" t="n">
        <f aca="false">IF(AND(N(M43)&gt;0,N(AV43)&gt;0),M43*AV43,IF(N(AU43)&gt;0,AU43,N43))</f>
        <v>1.7375</v>
      </c>
      <c r="AX43" s="29" t="n">
        <f aca="false">IF(N(AN43)=0,"",AN43+IF(I43="yes",AN43*Inputs!$B$10*Inputs!$B$9,0)+IFERROR(INDEX(Inputs!$B$13:$B$15,MATCH(G43,Inputs!$A$13:$A$15,0)),0)+IFERROR(INDEX(Inputs!$B$18:$B$24,MATCH(H43,Inputs!$A$18:$A$24,0)),0))</f>
        <v>0.076</v>
      </c>
      <c r="AY43" s="28" t="n">
        <f aca="false">IF(OR(N(AX43)&lt;=0,N(AW43)=0,N(AV43)=0),"",MIN(AV43,AW43/AX43))</f>
        <v>22.8618421052632</v>
      </c>
      <c r="AZ43" s="29" t="n">
        <f aca="false">IF(OR(AY43="",N(O43)=0),"",AY43/O43-1)</f>
        <v>0.684734127138037</v>
      </c>
      <c r="BA43" s="29" t="n">
        <f aca="false">IF(OR(AZ43="",N(O43)=0),"",AZ43+AW43/O43)</f>
        <v>0.812773920800528</v>
      </c>
      <c r="BB43" s="32" t="n">
        <f aca="false">IF(OR(BA43="",N(AR43)=0),"",BA43-AR43)</f>
        <v>0</v>
      </c>
      <c r="BC43" s="35" t="n">
        <f aca="false">IF(OR(BA43="",N(U43)=0),"",BA43-U43)</f>
        <v>0.187192680793116</v>
      </c>
      <c r="BD43" s="37"/>
    </row>
    <row r="44" customFormat="false" ht="15" hidden="false" customHeight="false" outlineLevel="0" collapsed="false">
      <c r="A44" s="2" t="s">
        <v>140</v>
      </c>
      <c r="B44" s="2" t="n">
        <v>76</v>
      </c>
      <c r="C44" s="2" t="s">
        <v>211</v>
      </c>
      <c r="D44" s="2" t="s">
        <v>200</v>
      </c>
      <c r="E44" s="2" t="s">
        <v>201</v>
      </c>
      <c r="F44" s="27" t="n">
        <v>11900</v>
      </c>
      <c r="G44" s="2" t="s">
        <v>52</v>
      </c>
      <c r="H44" s="2" t="s">
        <v>58</v>
      </c>
      <c r="I44" s="2" t="s">
        <v>144</v>
      </c>
      <c r="J44" s="2" t="s">
        <v>145</v>
      </c>
      <c r="K44" s="2" t="n">
        <v>4</v>
      </c>
      <c r="L44" s="28" t="n">
        <v>25</v>
      </c>
      <c r="M44" s="29" t="n">
        <v>0.0725</v>
      </c>
      <c r="N44" s="28" t="n">
        <v>1.8125</v>
      </c>
      <c r="O44" s="28" t="n">
        <v>15.3</v>
      </c>
      <c r="P44" s="2" t="s">
        <v>146</v>
      </c>
      <c r="Q44" s="29" t="n">
        <v>0.09</v>
      </c>
      <c r="R44" s="30" t="n">
        <v>0.0825</v>
      </c>
      <c r="S44" s="31" t="n">
        <v>21.969696969697</v>
      </c>
      <c r="T44" s="30" t="n">
        <v>0.435927906516141</v>
      </c>
      <c r="U44" s="30" t="n">
        <v>0.554391958803723</v>
      </c>
      <c r="V44" s="29" t="n">
        <v>-0.0075</v>
      </c>
      <c r="W44" s="29" t="n">
        <f aca="false">IF(N(Q44)=0,"",Q44+IF(I44="yes",Q44*Inputs!$B$10*Inputs!$B$9,0)+V44)</f>
        <v>0.0825</v>
      </c>
      <c r="X44" s="28" t="n">
        <f aca="false">IF(OR(N(W44)&lt;=0,N(N44)=0,N(L44)=0),"",MIN(L44,N44/W44))</f>
        <v>21.969696969697</v>
      </c>
      <c r="Y44" s="29" t="n">
        <f aca="false">IF(OR(X44="",N(O44)=0),"",X44/O44-1)</f>
        <v>0.435927906516141</v>
      </c>
      <c r="Z44" s="29" t="n">
        <f aca="false">IF(OR(Y44="",N(O44)=0),"",Y44+N44/O44)</f>
        <v>0.554391958803723</v>
      </c>
      <c r="AA44" s="32" t="n">
        <f aca="false">IF(OR(Z44="",N(U44)=0),"",Z44-U44)</f>
        <v>0</v>
      </c>
      <c r="AB44" s="29" t="n">
        <f aca="false">IF(N(Q44)=0,"",Q44+IF(I44="yes",Q44*Inputs!$B$10*Inputs!$B$9,0)+IFERROR(INDEX(Inputs!$B$13:$B$15,MATCH(G44,Inputs!$A$13:$A$15,0)),0)+IFERROR(INDEX(Inputs!$B$18:$B$24,MATCH(H44,Inputs!$A$18:$A$24,0)),0))</f>
        <v>0.085</v>
      </c>
      <c r="AC44" s="28" t="n">
        <f aca="false">IF(OR(N(AB44)&lt;=0,N(N44)=0,N(L44)=0),"",MIN(L44,N44/AB44))</f>
        <v>21.3235294117647</v>
      </c>
      <c r="AD44" s="29" t="n">
        <f aca="false">IF(OR(AC44="",N(O44)=0),"",AC44/O44-1)</f>
        <v>0.393694732795079</v>
      </c>
      <c r="AE44" s="29" t="n">
        <f aca="false">IF(OR(AD44="",N(O44)=0),"",AD44+N44/O44)</f>
        <v>0.51215878508266</v>
      </c>
      <c r="AF44" s="32" t="n">
        <f aca="false">IF(OR(AE44="",N(Z44)=0),"",AE44-Z44)</f>
        <v>-0.0422331737210628</v>
      </c>
      <c r="AG44" s="28" t="n">
        <f aca="false">IF(AND(N(M44)&gt;0,N(L44)&gt;0),M44*L44,N44)</f>
        <v>1.8125</v>
      </c>
      <c r="AH44" s="28" t="n">
        <f aca="false">IF(OR(N(AB44)&lt;=0,N(AG44)=0,N(L44)=0),"",MIN(L44,AG44/AB44))</f>
        <v>21.3235294117647</v>
      </c>
      <c r="AI44" s="29" t="n">
        <f aca="false">IF(OR(AH44="",N(O44)=0),"",AH44/O44-1)</f>
        <v>0.393694732795079</v>
      </c>
      <c r="AJ44" s="29" t="n">
        <f aca="false">IF(OR(AI44="",N(O44)=0),"",AI44+AG44/O44)</f>
        <v>0.51215878508266</v>
      </c>
      <c r="AK44" s="32" t="n">
        <f aca="false">IF(OR(AJ44="",N(AE44)=0),"",AJ44-AE44)</f>
        <v>0</v>
      </c>
      <c r="AL44" s="33" t="n">
        <f aca="false">IF(N(F44)=0,"",INDEX(Inputs!$B$28:$B$32,IFERROR(MATCH(F44,Inputs!$A$28:$A$32,1),0)+1))</f>
        <v>0.08</v>
      </c>
      <c r="AM44" s="34"/>
      <c r="AN44" s="33" t="n">
        <f aca="false">IF(N(AM44)&gt;0,AM44,AL44)</f>
        <v>0.08</v>
      </c>
      <c r="AO44" s="29" t="n">
        <f aca="false">IF(N(AN44)=0,"",AN44+IF(I44="yes",AN44*Inputs!$B$10*Inputs!$B$9,0)+IFERROR(INDEX(Inputs!$B$13:$B$15,MATCH(G44,Inputs!$A$13:$A$15,0)),0)+IFERROR(INDEX(Inputs!$B$18:$B$24,MATCH(H44,Inputs!$A$18:$A$24,0)),0))</f>
        <v>0.075</v>
      </c>
      <c r="AP44" s="28" t="n">
        <f aca="false">IF(OR(N(AO44)&lt;=0,N(AG44)=0,N(L44)=0),"",MIN(L44,AG44/AO44))</f>
        <v>24.1666666666667</v>
      </c>
      <c r="AQ44" s="29" t="n">
        <f aca="false">IF(OR(AP44="",N(O44)=0),"",AP44/O44-1)</f>
        <v>0.579520697167756</v>
      </c>
      <c r="AR44" s="29" t="n">
        <f aca="false">IF(OR(AQ44="",N(O44)=0),"",AQ44+AG44/O44)</f>
        <v>0.697984749455338</v>
      </c>
      <c r="AS44" s="32" t="n">
        <f aca="false">IF(OR(AR44="",N(AJ44)=0),"",AR44-AJ44)</f>
        <v>0.185825964372677</v>
      </c>
      <c r="AT44" s="28" t="n">
        <v>25</v>
      </c>
      <c r="AU44" s="28" t="n">
        <v>1.81</v>
      </c>
      <c r="AV44" s="28" t="n">
        <f aca="false">IF(N(AT44)&gt;0,AT44,L44)</f>
        <v>25</v>
      </c>
      <c r="AW44" s="28" t="n">
        <f aca="false">IF(AND(N(M44)&gt;0,N(AV44)&gt;0),M44*AV44,IF(N(AU44)&gt;0,AU44,N44))</f>
        <v>1.8125</v>
      </c>
      <c r="AX44" s="29" t="n">
        <f aca="false">IF(N(AN44)=0,"",AN44+IF(I44="yes",AN44*Inputs!$B$10*Inputs!$B$9,0)+IFERROR(INDEX(Inputs!$B$13:$B$15,MATCH(G44,Inputs!$A$13:$A$15,0)),0)+IFERROR(INDEX(Inputs!$B$18:$B$24,MATCH(H44,Inputs!$A$18:$A$24,0)),0))</f>
        <v>0.075</v>
      </c>
      <c r="AY44" s="28" t="n">
        <f aca="false">IF(OR(N(AX44)&lt;=0,N(AW44)=0,N(AV44)=0),"",MIN(AV44,AW44/AX44))</f>
        <v>24.1666666666667</v>
      </c>
      <c r="AZ44" s="29" t="n">
        <f aca="false">IF(OR(AY44="",N(O44)=0),"",AY44/O44-1)</f>
        <v>0.579520697167756</v>
      </c>
      <c r="BA44" s="29" t="n">
        <f aca="false">IF(OR(AZ44="",N(O44)=0),"",AZ44+AW44/O44)</f>
        <v>0.697984749455338</v>
      </c>
      <c r="BB44" s="32" t="n">
        <f aca="false">IF(OR(BA44="",N(AR44)=0),"",BA44-AR44)</f>
        <v>0</v>
      </c>
      <c r="BC44" s="35" t="n">
        <f aca="false">IF(OR(BA44="",N(U44)=0),"",BA44-U44)</f>
        <v>0.143592790651614</v>
      </c>
      <c r="BD44" s="37"/>
    </row>
    <row r="45" customFormat="false" ht="15" hidden="false" customHeight="false" outlineLevel="0" collapsed="false">
      <c r="A45" s="2" t="s">
        <v>140</v>
      </c>
      <c r="B45" s="2" t="n">
        <v>77</v>
      </c>
      <c r="C45" s="2" t="s">
        <v>212</v>
      </c>
      <c r="D45" s="2" t="s">
        <v>200</v>
      </c>
      <c r="E45" s="2" t="s">
        <v>201</v>
      </c>
      <c r="F45" s="27" t="n">
        <v>11900</v>
      </c>
      <c r="G45" s="2" t="s">
        <v>52</v>
      </c>
      <c r="H45" s="2" t="s">
        <v>58</v>
      </c>
      <c r="I45" s="2" t="s">
        <v>144</v>
      </c>
      <c r="J45" s="2" t="s">
        <v>145</v>
      </c>
      <c r="K45" s="2" t="n">
        <v>4</v>
      </c>
      <c r="L45" s="28" t="n">
        <v>25</v>
      </c>
      <c r="M45" s="29" t="n">
        <v>0.075</v>
      </c>
      <c r="N45" s="28" t="n">
        <v>1.875</v>
      </c>
      <c r="O45" s="28" t="n">
        <v>15.68</v>
      </c>
      <c r="P45" s="2" t="s">
        <v>146</v>
      </c>
      <c r="Q45" s="29" t="n">
        <v>0.09</v>
      </c>
      <c r="R45" s="30" t="n">
        <v>0.0825</v>
      </c>
      <c r="S45" s="31" t="n">
        <v>22.7272727272727</v>
      </c>
      <c r="T45" s="30" t="n">
        <v>0.449443413729128</v>
      </c>
      <c r="U45" s="30" t="n">
        <v>0.569022495361781</v>
      </c>
      <c r="V45" s="29" t="n">
        <v>-0.0075</v>
      </c>
      <c r="W45" s="29" t="n">
        <f aca="false">IF(N(Q45)=0,"",Q45+IF(I45="yes",Q45*Inputs!$B$10*Inputs!$B$9,0)+V45)</f>
        <v>0.0825</v>
      </c>
      <c r="X45" s="28" t="n">
        <f aca="false">IF(OR(N(W45)&lt;=0,N(N45)=0,N(L45)=0),"",MIN(L45,N45/W45))</f>
        <v>22.7272727272727</v>
      </c>
      <c r="Y45" s="29" t="n">
        <f aca="false">IF(OR(X45="",N(O45)=0),"",X45/O45-1)</f>
        <v>0.449443413729128</v>
      </c>
      <c r="Z45" s="29" t="n">
        <f aca="false">IF(OR(Y45="",N(O45)=0),"",Y45+N45/O45)</f>
        <v>0.569022495361781</v>
      </c>
      <c r="AA45" s="32" t="n">
        <f aca="false">IF(OR(Z45="",N(U45)=0),"",Z45-U45)</f>
        <v>0</v>
      </c>
      <c r="AB45" s="29" t="n">
        <f aca="false">IF(N(Q45)=0,"",Q45+IF(I45="yes",Q45*Inputs!$B$10*Inputs!$B$9,0)+IFERROR(INDEX(Inputs!$B$13:$B$15,MATCH(G45,Inputs!$A$13:$A$15,0)),0)+IFERROR(INDEX(Inputs!$B$18:$B$24,MATCH(H45,Inputs!$A$18:$A$24,0)),0))</f>
        <v>0.085</v>
      </c>
      <c r="AC45" s="28" t="n">
        <f aca="false">IF(OR(N(AB45)&lt;=0,N(N45)=0,N(L45)=0),"",MIN(L45,N45/AB45))</f>
        <v>22.0588235294118</v>
      </c>
      <c r="AD45" s="29" t="n">
        <f aca="false">IF(OR(AC45="",N(O45)=0),"",AC45/O45-1)</f>
        <v>0.406812725090036</v>
      </c>
      <c r="AE45" s="29" t="n">
        <f aca="false">IF(OR(AD45="",N(O45)=0),"",AD45+N45/O45)</f>
        <v>0.526391806722689</v>
      </c>
      <c r="AF45" s="32" t="n">
        <f aca="false">IF(OR(AE45="",N(Z45)=0),"",AE45-Z45)</f>
        <v>-0.0426306886390919</v>
      </c>
      <c r="AG45" s="28" t="n">
        <f aca="false">IF(AND(N(M45)&gt;0,N(L45)&gt;0),M45*L45,N45)</f>
        <v>1.875</v>
      </c>
      <c r="AH45" s="28" t="n">
        <f aca="false">IF(OR(N(AB45)&lt;=0,N(AG45)=0,N(L45)=0),"",MIN(L45,AG45/AB45))</f>
        <v>22.0588235294118</v>
      </c>
      <c r="AI45" s="29" t="n">
        <f aca="false">IF(OR(AH45="",N(O45)=0),"",AH45/O45-1)</f>
        <v>0.406812725090036</v>
      </c>
      <c r="AJ45" s="29" t="n">
        <f aca="false">IF(OR(AI45="",N(O45)=0),"",AI45+AG45/O45)</f>
        <v>0.526391806722689</v>
      </c>
      <c r="AK45" s="32" t="n">
        <f aca="false">IF(OR(AJ45="",N(AE45)=0),"",AJ45-AE45)</f>
        <v>0</v>
      </c>
      <c r="AL45" s="33" t="n">
        <f aca="false">IF(N(F45)=0,"",INDEX(Inputs!$B$28:$B$32,IFERROR(MATCH(F45,Inputs!$A$28:$A$32,1),0)+1))</f>
        <v>0.08</v>
      </c>
      <c r="AM45" s="34"/>
      <c r="AN45" s="33" t="n">
        <f aca="false">IF(N(AM45)&gt;0,AM45,AL45)</f>
        <v>0.08</v>
      </c>
      <c r="AO45" s="29" t="n">
        <f aca="false">IF(N(AN45)=0,"",AN45+IF(I45="yes",AN45*Inputs!$B$10*Inputs!$B$9,0)+IFERROR(INDEX(Inputs!$B$13:$B$15,MATCH(G45,Inputs!$A$13:$A$15,0)),0)+IFERROR(INDEX(Inputs!$B$18:$B$24,MATCH(H45,Inputs!$A$18:$A$24,0)),0))</f>
        <v>0.075</v>
      </c>
      <c r="AP45" s="28" t="n">
        <f aca="false">IF(OR(N(AO45)&lt;=0,N(AG45)=0,N(L45)=0),"",MIN(L45,AG45/AO45))</f>
        <v>25</v>
      </c>
      <c r="AQ45" s="29" t="n">
        <f aca="false">IF(OR(AP45="",N(O45)=0),"",AP45/O45-1)</f>
        <v>0.594387755102041</v>
      </c>
      <c r="AR45" s="29" t="n">
        <f aca="false">IF(OR(AQ45="",N(O45)=0),"",AQ45+AG45/O45)</f>
        <v>0.713966836734694</v>
      </c>
      <c r="AS45" s="32" t="n">
        <f aca="false">IF(OR(AR45="",N(AJ45)=0),"",AR45-AJ45)</f>
        <v>0.187575030012005</v>
      </c>
      <c r="AT45" s="28" t="n">
        <v>25</v>
      </c>
      <c r="AU45" s="28" t="n">
        <v>1.88</v>
      </c>
      <c r="AV45" s="28" t="n">
        <f aca="false">IF(N(AT45)&gt;0,AT45,L45)</f>
        <v>25</v>
      </c>
      <c r="AW45" s="28" t="n">
        <f aca="false">IF(AND(N(M45)&gt;0,N(AV45)&gt;0),M45*AV45,IF(N(AU45)&gt;0,AU45,N45))</f>
        <v>1.875</v>
      </c>
      <c r="AX45" s="29" t="n">
        <f aca="false">IF(N(AN45)=0,"",AN45+IF(I45="yes",AN45*Inputs!$B$10*Inputs!$B$9,0)+IFERROR(INDEX(Inputs!$B$13:$B$15,MATCH(G45,Inputs!$A$13:$A$15,0)),0)+IFERROR(INDEX(Inputs!$B$18:$B$24,MATCH(H45,Inputs!$A$18:$A$24,0)),0))</f>
        <v>0.075</v>
      </c>
      <c r="AY45" s="28" t="n">
        <f aca="false">IF(OR(N(AX45)&lt;=0,N(AW45)=0,N(AV45)=0),"",MIN(AV45,AW45/AX45))</f>
        <v>25</v>
      </c>
      <c r="AZ45" s="29" t="n">
        <f aca="false">IF(OR(AY45="",N(O45)=0),"",AY45/O45-1)</f>
        <v>0.594387755102041</v>
      </c>
      <c r="BA45" s="29" t="n">
        <f aca="false">IF(OR(AZ45="",N(O45)=0),"",AZ45+AW45/O45)</f>
        <v>0.713966836734694</v>
      </c>
      <c r="BB45" s="32" t="n">
        <f aca="false">IF(OR(BA45="",N(AR45)=0),"",BA45-AR45)</f>
        <v>0</v>
      </c>
      <c r="BC45" s="35" t="n">
        <f aca="false">IF(OR(BA45="",N(U45)=0),"",BA45-U45)</f>
        <v>0.144944341372913</v>
      </c>
      <c r="BD45" s="37"/>
    </row>
    <row r="46" customFormat="false" ht="15" hidden="false" customHeight="false" outlineLevel="0" collapsed="false">
      <c r="A46" s="2" t="s">
        <v>140</v>
      </c>
      <c r="B46" s="2" t="n">
        <v>80</v>
      </c>
      <c r="C46" s="2" t="s">
        <v>213</v>
      </c>
      <c r="D46" s="2" t="s">
        <v>214</v>
      </c>
      <c r="E46" s="2" t="s">
        <v>215</v>
      </c>
      <c r="F46" s="27" t="n">
        <v>2100</v>
      </c>
      <c r="G46" s="2" t="s">
        <v>51</v>
      </c>
      <c r="H46" s="2" t="s">
        <v>58</v>
      </c>
      <c r="I46" s="2" t="s">
        <v>151</v>
      </c>
      <c r="J46" s="2" t="s">
        <v>145</v>
      </c>
      <c r="K46" s="2" t="n">
        <v>4</v>
      </c>
      <c r="L46" s="28" t="n">
        <v>25</v>
      </c>
      <c r="M46" s="29" t="n">
        <v>0.06</v>
      </c>
      <c r="N46" s="28" t="n">
        <v>1.5</v>
      </c>
      <c r="O46" s="28" t="n">
        <v>0</v>
      </c>
      <c r="P46" s="2" t="s">
        <v>146</v>
      </c>
      <c r="Q46" s="29" t="n">
        <v>0.08</v>
      </c>
      <c r="R46" s="30" t="n">
        <v>0.076</v>
      </c>
      <c r="S46" s="31" t="n">
        <v>19.7368421052632</v>
      </c>
      <c r="T46" s="30"/>
      <c r="U46" s="30"/>
      <c r="V46" s="29" t="n">
        <v>0</v>
      </c>
      <c r="W46" s="29" t="n">
        <f aca="false">IF(N(Q46)=0,"",Q46+IF(I46="yes",Q46*Inputs!$B$10*Inputs!$B$9,0)+V46)</f>
        <v>0.076</v>
      </c>
      <c r="X46" s="28" t="n">
        <f aca="false">IF(OR(N(W46)&lt;=0,N(N46)=0,N(L46)=0),"",MIN(L46,N46/W46))</f>
        <v>19.7368421052632</v>
      </c>
      <c r="Y46" s="29" t="str">
        <f aca="false">IF(OR(X46="",N(O46)=0),"",X46/O46-1)</f>
        <v/>
      </c>
      <c r="Z46" s="29" t="str">
        <f aca="false">IF(OR(Y46="",N(O46)=0),"",Y46+N46/O46)</f>
        <v/>
      </c>
      <c r="AA46" s="32" t="str">
        <f aca="false">IF(OR(Z46="",N(U46)=0),"",Z46-U46)</f>
        <v/>
      </c>
      <c r="AB46" s="29" t="n">
        <f aca="false">IF(N(Q46)=0,"",Q46+IF(I46="yes",Q46*Inputs!$B$10*Inputs!$B$9,0)+IFERROR(INDEX(Inputs!$B$13:$B$15,MATCH(G46,Inputs!$A$13:$A$15,0)),0)+IFERROR(INDEX(Inputs!$B$18:$B$24,MATCH(H46,Inputs!$A$18:$A$24,0)),0))</f>
        <v>0.076</v>
      </c>
      <c r="AC46" s="28" t="n">
        <f aca="false">IF(OR(N(AB46)&lt;=0,N(N46)=0,N(L46)=0),"",MIN(L46,N46/AB46))</f>
        <v>19.7368421052632</v>
      </c>
      <c r="AD46" s="29" t="str">
        <f aca="false">IF(OR(AC46="",N(O46)=0),"",AC46/O46-1)</f>
        <v/>
      </c>
      <c r="AE46" s="29" t="str">
        <f aca="false">IF(OR(AD46="",N(O46)=0),"",AD46+N46/O46)</f>
        <v/>
      </c>
      <c r="AF46" s="32" t="str">
        <f aca="false">IF(OR(AE46="",N(Z46)=0),"",AE46-Z46)</f>
        <v/>
      </c>
      <c r="AG46" s="28" t="n">
        <f aca="false">IF(AND(N(M46)&gt;0,N(L46)&gt;0),M46*L46,N46)</f>
        <v>1.5</v>
      </c>
      <c r="AH46" s="28" t="n">
        <f aca="false">IF(OR(N(AB46)&lt;=0,N(AG46)=0,N(L46)=0),"",MIN(L46,AG46/AB46))</f>
        <v>19.7368421052632</v>
      </c>
      <c r="AI46" s="29" t="str">
        <f aca="false">IF(OR(AH46="",N(O46)=0),"",AH46/O46-1)</f>
        <v/>
      </c>
      <c r="AJ46" s="29" t="str">
        <f aca="false">IF(OR(AI46="",N(O46)=0),"",AI46+AG46/O46)</f>
        <v/>
      </c>
      <c r="AK46" s="32" t="str">
        <f aca="false">IF(OR(AJ46="",N(AE46)=0),"",AJ46-AE46)</f>
        <v/>
      </c>
      <c r="AL46" s="33" t="n">
        <f aca="false">IF(N(F46)=0,"",INDEX(Inputs!$B$28:$B$32,IFERROR(MATCH(F46,Inputs!$A$28:$A$32,1),0)+1))</f>
        <v>0.085</v>
      </c>
      <c r="AM46" s="34"/>
      <c r="AN46" s="33" t="n">
        <f aca="false">IF(N(AM46)&gt;0,AM46,AL46)</f>
        <v>0.085</v>
      </c>
      <c r="AO46" s="29" t="n">
        <f aca="false">IF(N(AN46)=0,"",AN46+IF(I46="yes",AN46*Inputs!$B$10*Inputs!$B$9,0)+IFERROR(INDEX(Inputs!$B$13:$B$15,MATCH(G46,Inputs!$A$13:$A$15,0)),0)+IFERROR(INDEX(Inputs!$B$18:$B$24,MATCH(H46,Inputs!$A$18:$A$24,0)),0))</f>
        <v>0.08075</v>
      </c>
      <c r="AP46" s="28" t="n">
        <f aca="false">IF(OR(N(AO46)&lt;=0,N(AG46)=0,N(L46)=0),"",MIN(L46,AG46/AO46))</f>
        <v>18.5758513931889</v>
      </c>
      <c r="AQ46" s="29" t="str">
        <f aca="false">IF(OR(AP46="",N(O46)=0),"",AP46/O46-1)</f>
        <v/>
      </c>
      <c r="AR46" s="29" t="str">
        <f aca="false">IF(OR(AQ46="",N(O46)=0),"",AQ46+AG46/O46)</f>
        <v/>
      </c>
      <c r="AS46" s="32" t="str">
        <f aca="false">IF(OR(AR46="",N(AJ46)=0),"",AR46-AJ46)</f>
        <v/>
      </c>
      <c r="AT46" s="28"/>
      <c r="AU46" s="28"/>
      <c r="AV46" s="28" t="n">
        <f aca="false">IF(N(AT46)&gt;0,AT46,L46)</f>
        <v>25</v>
      </c>
      <c r="AW46" s="28" t="n">
        <f aca="false">IF(AND(N(M46)&gt;0,N(AV46)&gt;0),M46*AV46,IF(N(AU46)&gt;0,AU46,N46))</f>
        <v>1.5</v>
      </c>
      <c r="AX46" s="29" t="n">
        <f aca="false">IF(N(AN46)=0,"",AN46+IF(I46="yes",AN46*Inputs!$B$10*Inputs!$B$9,0)+IFERROR(INDEX(Inputs!$B$13:$B$15,MATCH(G46,Inputs!$A$13:$A$15,0)),0)+IFERROR(INDEX(Inputs!$B$18:$B$24,MATCH(H46,Inputs!$A$18:$A$24,0)),0))</f>
        <v>0.08075</v>
      </c>
      <c r="AY46" s="28" t="n">
        <f aca="false">IF(OR(N(AX46)&lt;=0,N(AW46)=0,N(AV46)=0),"",MIN(AV46,AW46/AX46))</f>
        <v>18.5758513931889</v>
      </c>
      <c r="AZ46" s="29" t="str">
        <f aca="false">IF(OR(AY46="",N(O46)=0),"",AY46/O46-1)</f>
        <v/>
      </c>
      <c r="BA46" s="29" t="str">
        <f aca="false">IF(OR(AZ46="",N(O46)=0),"",AZ46+AW46/O46)</f>
        <v/>
      </c>
      <c r="BB46" s="32" t="str">
        <f aca="false">IF(OR(BA46="",N(AR46)=0),"",BA46-AR46)</f>
        <v/>
      </c>
      <c r="BC46" s="35" t="str">
        <f aca="false">IF(OR(BA46="",N(U46)=0),"",BA46-U46)</f>
        <v/>
      </c>
      <c r="BD46" s="36" t="s">
        <v>198</v>
      </c>
    </row>
    <row r="47" customFormat="false" ht="15" hidden="false" customHeight="false" outlineLevel="0" collapsed="false">
      <c r="A47" s="2" t="s">
        <v>140</v>
      </c>
      <c r="B47" s="2" t="n">
        <v>81</v>
      </c>
      <c r="C47" s="2" t="s">
        <v>216</v>
      </c>
      <c r="D47" s="2" t="s">
        <v>214</v>
      </c>
      <c r="E47" s="2" t="s">
        <v>215</v>
      </c>
      <c r="F47" s="27" t="n">
        <v>2100</v>
      </c>
      <c r="G47" s="2" t="s">
        <v>51</v>
      </c>
      <c r="H47" s="2" t="s">
        <v>58</v>
      </c>
      <c r="I47" s="2" t="s">
        <v>151</v>
      </c>
      <c r="J47" s="2" t="s">
        <v>145</v>
      </c>
      <c r="K47" s="2" t="n">
        <v>4</v>
      </c>
      <c r="L47" s="28" t="n">
        <v>25</v>
      </c>
      <c r="M47" s="29" t="n">
        <v>0.057</v>
      </c>
      <c r="N47" s="28" t="n">
        <v>1.425</v>
      </c>
      <c r="O47" s="28" t="n">
        <v>21.29</v>
      </c>
      <c r="P47" s="2" t="s">
        <v>146</v>
      </c>
      <c r="Q47" s="29" t="n">
        <v>0.08</v>
      </c>
      <c r="R47" s="30" t="n">
        <v>0.076</v>
      </c>
      <c r="S47" s="31" t="n">
        <v>18.75</v>
      </c>
      <c r="T47" s="30" t="n">
        <v>-0.11930483795209</v>
      </c>
      <c r="U47" s="30" t="n">
        <v>-0.052372005636449</v>
      </c>
      <c r="V47" s="29" t="n">
        <v>0</v>
      </c>
      <c r="W47" s="29" t="n">
        <f aca="false">IF(N(Q47)=0,"",Q47+IF(I47="yes",Q47*Inputs!$B$10*Inputs!$B$9,0)+V47)</f>
        <v>0.076</v>
      </c>
      <c r="X47" s="28" t="n">
        <f aca="false">IF(OR(N(W47)&lt;=0,N(N47)=0,N(L47)=0),"",MIN(L47,N47/W47))</f>
        <v>18.75</v>
      </c>
      <c r="Y47" s="29" t="n">
        <f aca="false">IF(OR(X47="",N(O47)=0),"",X47/O47-1)</f>
        <v>-0.11930483795209</v>
      </c>
      <c r="Z47" s="29" t="n">
        <f aca="false">IF(OR(Y47="",N(O47)=0),"",Y47+N47/O47)</f>
        <v>-0.052372005636449</v>
      </c>
      <c r="AA47" s="32" t="n">
        <f aca="false">IF(OR(Z47="",N(U47)=0),"",Z47-U47)</f>
        <v>0</v>
      </c>
      <c r="AB47" s="29" t="n">
        <f aca="false">IF(N(Q47)=0,"",Q47+IF(I47="yes",Q47*Inputs!$B$10*Inputs!$B$9,0)+IFERROR(INDEX(Inputs!$B$13:$B$15,MATCH(G47,Inputs!$A$13:$A$15,0)),0)+IFERROR(INDEX(Inputs!$B$18:$B$24,MATCH(H47,Inputs!$A$18:$A$24,0)),0))</f>
        <v>0.076</v>
      </c>
      <c r="AC47" s="28" t="n">
        <f aca="false">IF(OR(N(AB47)&lt;=0,N(N47)=0,N(L47)=0),"",MIN(L47,N47/AB47))</f>
        <v>18.75</v>
      </c>
      <c r="AD47" s="29" t="n">
        <f aca="false">IF(OR(AC47="",N(O47)=0),"",AC47/O47-1)</f>
        <v>-0.11930483795209</v>
      </c>
      <c r="AE47" s="29" t="n">
        <f aca="false">IF(OR(AD47="",N(O47)=0),"",AD47+N47/O47)</f>
        <v>-0.052372005636449</v>
      </c>
      <c r="AF47" s="32" t="n">
        <f aca="false">IF(OR(AE47="",N(Z47)=0),"",AE47-Z47)</f>
        <v>0</v>
      </c>
      <c r="AG47" s="28" t="n">
        <f aca="false">IF(AND(N(M47)&gt;0,N(L47)&gt;0),M47*L47,N47)</f>
        <v>1.425</v>
      </c>
      <c r="AH47" s="28" t="n">
        <f aca="false">IF(OR(N(AB47)&lt;=0,N(AG47)=0,N(L47)=0),"",MIN(L47,AG47/AB47))</f>
        <v>18.75</v>
      </c>
      <c r="AI47" s="29" t="n">
        <f aca="false">IF(OR(AH47="",N(O47)=0),"",AH47/O47-1)</f>
        <v>-0.11930483795209</v>
      </c>
      <c r="AJ47" s="29" t="n">
        <f aca="false">IF(OR(AI47="",N(O47)=0),"",AI47+AG47/O47)</f>
        <v>-0.052372005636449</v>
      </c>
      <c r="AK47" s="32" t="n">
        <f aca="false">IF(OR(AJ47="",N(AE47)=0),"",AJ47-AE47)</f>
        <v>0</v>
      </c>
      <c r="AL47" s="33" t="n">
        <f aca="false">IF(N(F47)=0,"",INDEX(Inputs!$B$28:$B$32,IFERROR(MATCH(F47,Inputs!$A$28:$A$32,1),0)+1))</f>
        <v>0.085</v>
      </c>
      <c r="AM47" s="34"/>
      <c r="AN47" s="33" t="n">
        <f aca="false">IF(N(AM47)&gt;0,AM47,AL47)</f>
        <v>0.085</v>
      </c>
      <c r="AO47" s="29" t="n">
        <f aca="false">IF(N(AN47)=0,"",AN47+IF(I47="yes",AN47*Inputs!$B$10*Inputs!$B$9,0)+IFERROR(INDEX(Inputs!$B$13:$B$15,MATCH(G47,Inputs!$A$13:$A$15,0)),0)+IFERROR(INDEX(Inputs!$B$18:$B$24,MATCH(H47,Inputs!$A$18:$A$24,0)),0))</f>
        <v>0.08075</v>
      </c>
      <c r="AP47" s="28" t="n">
        <f aca="false">IF(OR(N(AO47)&lt;=0,N(AG47)=0,N(L47)=0),"",MIN(L47,AG47/AO47))</f>
        <v>17.6470588235294</v>
      </c>
      <c r="AQ47" s="29" t="n">
        <f aca="false">IF(OR(AP47="",N(O47)=0),"",AP47/O47-1)</f>
        <v>-0.171110435719614</v>
      </c>
      <c r="AR47" s="29" t="n">
        <f aca="false">IF(OR(AQ47="",N(O47)=0),"",AQ47+AG47/O47)</f>
        <v>-0.104177603403973</v>
      </c>
      <c r="AS47" s="32" t="n">
        <f aca="false">IF(OR(AR47="",N(AJ47)=0),"",AR47-AJ47)</f>
        <v>-0.051805597767524</v>
      </c>
      <c r="AT47" s="28" t="n">
        <v>25</v>
      </c>
      <c r="AU47" s="28" t="n">
        <v>1.43</v>
      </c>
      <c r="AV47" s="28" t="n">
        <f aca="false">IF(N(AT47)&gt;0,AT47,L47)</f>
        <v>25</v>
      </c>
      <c r="AW47" s="28" t="n">
        <f aca="false">IF(AND(N(M47)&gt;0,N(AV47)&gt;0),M47*AV47,IF(N(AU47)&gt;0,AU47,N47))</f>
        <v>1.425</v>
      </c>
      <c r="AX47" s="29" t="n">
        <f aca="false">IF(N(AN47)=0,"",AN47+IF(I47="yes",AN47*Inputs!$B$10*Inputs!$B$9,0)+IFERROR(INDEX(Inputs!$B$13:$B$15,MATCH(G47,Inputs!$A$13:$A$15,0)),0)+IFERROR(INDEX(Inputs!$B$18:$B$24,MATCH(H47,Inputs!$A$18:$A$24,0)),0))</f>
        <v>0.08075</v>
      </c>
      <c r="AY47" s="28" t="n">
        <f aca="false">IF(OR(N(AX47)&lt;=0,N(AW47)=0,N(AV47)=0),"",MIN(AV47,AW47/AX47))</f>
        <v>17.6470588235294</v>
      </c>
      <c r="AZ47" s="29" t="n">
        <f aca="false">IF(OR(AY47="",N(O47)=0),"",AY47/O47-1)</f>
        <v>-0.171110435719614</v>
      </c>
      <c r="BA47" s="29" t="n">
        <f aca="false">IF(OR(AZ47="",N(O47)=0),"",AZ47+AW47/O47)</f>
        <v>-0.104177603403973</v>
      </c>
      <c r="BB47" s="32" t="n">
        <f aca="false">IF(OR(BA47="",N(AR47)=0),"",BA47-AR47)</f>
        <v>0</v>
      </c>
      <c r="BC47" s="35" t="n">
        <f aca="false">IF(OR(BA47="",N(U47)=0),"",BA47-U47)</f>
        <v>-0.051805597767524</v>
      </c>
      <c r="BD47" s="37"/>
    </row>
    <row r="48" customFormat="false" ht="15" hidden="false" customHeight="false" outlineLevel="0" collapsed="false">
      <c r="A48" s="2" t="s">
        <v>140</v>
      </c>
      <c r="B48" s="2" t="n">
        <v>82</v>
      </c>
      <c r="C48" s="2" t="s">
        <v>217</v>
      </c>
      <c r="D48" s="2" t="s">
        <v>214</v>
      </c>
      <c r="E48" s="2" t="s">
        <v>215</v>
      </c>
      <c r="F48" s="27" t="n">
        <v>2100</v>
      </c>
      <c r="G48" s="2" t="s">
        <v>51</v>
      </c>
      <c r="H48" s="2" t="s">
        <v>58</v>
      </c>
      <c r="I48" s="2" t="s">
        <v>151</v>
      </c>
      <c r="J48" s="2" t="s">
        <v>145</v>
      </c>
      <c r="K48" s="2" t="n">
        <v>4</v>
      </c>
      <c r="L48" s="28" t="n">
        <v>25</v>
      </c>
      <c r="M48" s="29" t="n">
        <v>0.0575</v>
      </c>
      <c r="N48" s="28" t="n">
        <v>1.4375</v>
      </c>
      <c r="O48" s="28" t="n">
        <v>20.82</v>
      </c>
      <c r="P48" s="2" t="s">
        <v>146</v>
      </c>
      <c r="Q48" s="29" t="n">
        <v>0.08</v>
      </c>
      <c r="R48" s="30" t="n">
        <v>0.076</v>
      </c>
      <c r="S48" s="31" t="n">
        <v>18.9144736842105</v>
      </c>
      <c r="T48" s="30" t="n">
        <v>-0.09152383841448</v>
      </c>
      <c r="U48" s="30" t="n">
        <v>-0.0224796501339805</v>
      </c>
      <c r="V48" s="29" t="n">
        <v>0</v>
      </c>
      <c r="W48" s="29" t="n">
        <f aca="false">IF(N(Q48)=0,"",Q48+IF(I48="yes",Q48*Inputs!$B$10*Inputs!$B$9,0)+V48)</f>
        <v>0.076</v>
      </c>
      <c r="X48" s="28" t="n">
        <f aca="false">IF(OR(N(W48)&lt;=0,N(N48)=0,N(L48)=0),"",MIN(L48,N48/W48))</f>
        <v>18.9144736842105</v>
      </c>
      <c r="Y48" s="29" t="n">
        <f aca="false">IF(OR(X48="",N(O48)=0),"",X48/O48-1)</f>
        <v>-0.09152383841448</v>
      </c>
      <c r="Z48" s="29" t="n">
        <f aca="false">IF(OR(Y48="",N(O48)=0),"",Y48+N48/O48)</f>
        <v>-0.0224796501339805</v>
      </c>
      <c r="AA48" s="32" t="n">
        <f aca="false">IF(OR(Z48="",N(U48)=0),"",Z48-U48)</f>
        <v>0</v>
      </c>
      <c r="AB48" s="29" t="n">
        <f aca="false">IF(N(Q48)=0,"",Q48+IF(I48="yes",Q48*Inputs!$B$10*Inputs!$B$9,0)+IFERROR(INDEX(Inputs!$B$13:$B$15,MATCH(G48,Inputs!$A$13:$A$15,0)),0)+IFERROR(INDEX(Inputs!$B$18:$B$24,MATCH(H48,Inputs!$A$18:$A$24,0)),0))</f>
        <v>0.076</v>
      </c>
      <c r="AC48" s="28" t="n">
        <f aca="false">IF(OR(N(AB48)&lt;=0,N(N48)=0,N(L48)=0),"",MIN(L48,N48/AB48))</f>
        <v>18.9144736842105</v>
      </c>
      <c r="AD48" s="29" t="n">
        <f aca="false">IF(OR(AC48="",N(O48)=0),"",AC48/O48-1)</f>
        <v>-0.09152383841448</v>
      </c>
      <c r="AE48" s="29" t="n">
        <f aca="false">IF(OR(AD48="",N(O48)=0),"",AD48+N48/O48)</f>
        <v>-0.0224796501339805</v>
      </c>
      <c r="AF48" s="32" t="n">
        <f aca="false">IF(OR(AE48="",N(Z48)=0),"",AE48-Z48)</f>
        <v>0</v>
      </c>
      <c r="AG48" s="28" t="n">
        <f aca="false">IF(AND(N(M48)&gt;0,N(L48)&gt;0),M48*L48,N48)</f>
        <v>1.4375</v>
      </c>
      <c r="AH48" s="28" t="n">
        <f aca="false">IF(OR(N(AB48)&lt;=0,N(AG48)=0,N(L48)=0),"",MIN(L48,AG48/AB48))</f>
        <v>18.9144736842105</v>
      </c>
      <c r="AI48" s="29" t="n">
        <f aca="false">IF(OR(AH48="",N(O48)=0),"",AH48/O48-1)</f>
        <v>-0.09152383841448</v>
      </c>
      <c r="AJ48" s="29" t="n">
        <f aca="false">IF(OR(AI48="",N(O48)=0),"",AI48+AG48/O48)</f>
        <v>-0.0224796501339805</v>
      </c>
      <c r="AK48" s="32" t="n">
        <f aca="false">IF(OR(AJ48="",N(AE48)=0),"",AJ48-AE48)</f>
        <v>0</v>
      </c>
      <c r="AL48" s="33" t="n">
        <f aca="false">IF(N(F48)=0,"",INDEX(Inputs!$B$28:$B$32,IFERROR(MATCH(F48,Inputs!$A$28:$A$32,1),0)+1))</f>
        <v>0.085</v>
      </c>
      <c r="AM48" s="34"/>
      <c r="AN48" s="33" t="n">
        <f aca="false">IF(N(AM48)&gt;0,AM48,AL48)</f>
        <v>0.085</v>
      </c>
      <c r="AO48" s="29" t="n">
        <f aca="false">IF(N(AN48)=0,"",AN48+IF(I48="yes",AN48*Inputs!$B$10*Inputs!$B$9,0)+IFERROR(INDEX(Inputs!$B$13:$B$15,MATCH(G48,Inputs!$A$13:$A$15,0)),0)+IFERROR(INDEX(Inputs!$B$18:$B$24,MATCH(H48,Inputs!$A$18:$A$24,0)),0))</f>
        <v>0.08075</v>
      </c>
      <c r="AP48" s="28" t="n">
        <f aca="false">IF(OR(N(AO48)&lt;=0,N(AG48)=0,N(L48)=0),"",MIN(L48,AG48/AO48))</f>
        <v>17.8018575851393</v>
      </c>
      <c r="AQ48" s="29" t="n">
        <f aca="false">IF(OR(AP48="",N(O48)=0),"",AP48/O48-1)</f>
        <v>-0.144963612625393</v>
      </c>
      <c r="AR48" s="29" t="n">
        <f aca="false">IF(OR(AQ48="",N(O48)=0),"",AQ48+AG48/O48)</f>
        <v>-0.0759194243448935</v>
      </c>
      <c r="AS48" s="32" t="n">
        <f aca="false">IF(OR(AR48="",N(AJ48)=0),"",AR48-AJ48)</f>
        <v>-0.0534397742109131</v>
      </c>
      <c r="AT48" s="28" t="n">
        <v>25</v>
      </c>
      <c r="AU48" s="28" t="n">
        <v>1.4375</v>
      </c>
      <c r="AV48" s="28" t="n">
        <f aca="false">IF(N(AT48)&gt;0,AT48,L48)</f>
        <v>25</v>
      </c>
      <c r="AW48" s="28" t="n">
        <f aca="false">IF(AND(N(M48)&gt;0,N(AV48)&gt;0),M48*AV48,IF(N(AU48)&gt;0,AU48,N48))</f>
        <v>1.4375</v>
      </c>
      <c r="AX48" s="29" t="n">
        <f aca="false">IF(N(AN48)=0,"",AN48+IF(I48="yes",AN48*Inputs!$B$10*Inputs!$B$9,0)+IFERROR(INDEX(Inputs!$B$13:$B$15,MATCH(G48,Inputs!$A$13:$A$15,0)),0)+IFERROR(INDEX(Inputs!$B$18:$B$24,MATCH(H48,Inputs!$A$18:$A$24,0)),0))</f>
        <v>0.08075</v>
      </c>
      <c r="AY48" s="28" t="n">
        <f aca="false">IF(OR(N(AX48)&lt;=0,N(AW48)=0,N(AV48)=0),"",MIN(AV48,AW48/AX48))</f>
        <v>17.8018575851393</v>
      </c>
      <c r="AZ48" s="29" t="n">
        <f aca="false">IF(OR(AY48="",N(O48)=0),"",AY48/O48-1)</f>
        <v>-0.144963612625393</v>
      </c>
      <c r="BA48" s="29" t="n">
        <f aca="false">IF(OR(AZ48="",N(O48)=0),"",AZ48+AW48/O48)</f>
        <v>-0.0759194243448935</v>
      </c>
      <c r="BB48" s="32" t="n">
        <f aca="false">IF(OR(BA48="",N(AR48)=0),"",BA48-AR48)</f>
        <v>0</v>
      </c>
      <c r="BC48" s="35" t="n">
        <f aca="false">IF(OR(BA48="",N(U48)=0),"",BA48-U48)</f>
        <v>-0.0534397742109131</v>
      </c>
      <c r="BD48" s="37"/>
    </row>
    <row r="49" customFormat="false" ht="15" hidden="false" customHeight="false" outlineLevel="0" collapsed="false">
      <c r="A49" s="2" t="s">
        <v>140</v>
      </c>
      <c r="B49" s="2" t="n">
        <v>83</v>
      </c>
      <c r="C49" s="2" t="s">
        <v>218</v>
      </c>
      <c r="D49" s="2" t="s">
        <v>214</v>
      </c>
      <c r="E49" s="2" t="s">
        <v>215</v>
      </c>
      <c r="F49" s="27" t="n">
        <v>2100</v>
      </c>
      <c r="G49" s="2" t="s">
        <v>51</v>
      </c>
      <c r="H49" s="2" t="s">
        <v>58</v>
      </c>
      <c r="I49" s="2" t="s">
        <v>151</v>
      </c>
      <c r="J49" s="2" t="s">
        <v>145</v>
      </c>
      <c r="K49" s="2" t="n">
        <v>4</v>
      </c>
      <c r="L49" s="28" t="n">
        <v>25</v>
      </c>
      <c r="M49" s="29" t="n">
        <v>0.0525</v>
      </c>
      <c r="N49" s="28" t="n">
        <v>1.3125</v>
      </c>
      <c r="O49" s="28" t="n">
        <v>18.8</v>
      </c>
      <c r="P49" s="2" t="s">
        <v>146</v>
      </c>
      <c r="Q49" s="29" t="n">
        <v>0.08</v>
      </c>
      <c r="R49" s="30" t="n">
        <v>0.076</v>
      </c>
      <c r="S49" s="31" t="n">
        <v>17.2697368421053</v>
      </c>
      <c r="T49" s="30" t="n">
        <v>-0.0813969764837627</v>
      </c>
      <c r="U49" s="30" t="n">
        <v>-0.0115831466965286</v>
      </c>
      <c r="V49" s="29" t="n">
        <v>0</v>
      </c>
      <c r="W49" s="29" t="n">
        <f aca="false">IF(N(Q49)=0,"",Q49+IF(I49="yes",Q49*Inputs!$B$10*Inputs!$B$9,0)+V49)</f>
        <v>0.076</v>
      </c>
      <c r="X49" s="28" t="n">
        <f aca="false">IF(OR(N(W49)&lt;=0,N(N49)=0,N(L49)=0),"",MIN(L49,N49/W49))</f>
        <v>17.2697368421053</v>
      </c>
      <c r="Y49" s="29" t="n">
        <f aca="false">IF(OR(X49="",N(O49)=0),"",X49/O49-1)</f>
        <v>-0.0813969764837627</v>
      </c>
      <c r="Z49" s="29" t="n">
        <f aca="false">IF(OR(Y49="",N(O49)=0),"",Y49+N49/O49)</f>
        <v>-0.0115831466965286</v>
      </c>
      <c r="AA49" s="32" t="n">
        <f aca="false">IF(OR(Z49="",N(U49)=0),"",Z49-U49)</f>
        <v>0</v>
      </c>
      <c r="AB49" s="29" t="n">
        <f aca="false">IF(N(Q49)=0,"",Q49+IF(I49="yes",Q49*Inputs!$B$10*Inputs!$B$9,0)+IFERROR(INDEX(Inputs!$B$13:$B$15,MATCH(G49,Inputs!$A$13:$A$15,0)),0)+IFERROR(INDEX(Inputs!$B$18:$B$24,MATCH(H49,Inputs!$A$18:$A$24,0)),0))</f>
        <v>0.076</v>
      </c>
      <c r="AC49" s="28" t="n">
        <f aca="false">IF(OR(N(AB49)&lt;=0,N(N49)=0,N(L49)=0),"",MIN(L49,N49/AB49))</f>
        <v>17.2697368421053</v>
      </c>
      <c r="AD49" s="29" t="n">
        <f aca="false">IF(OR(AC49="",N(O49)=0),"",AC49/O49-1)</f>
        <v>-0.0813969764837627</v>
      </c>
      <c r="AE49" s="29" t="n">
        <f aca="false">IF(OR(AD49="",N(O49)=0),"",AD49+N49/O49)</f>
        <v>-0.0115831466965286</v>
      </c>
      <c r="AF49" s="32" t="n">
        <f aca="false">IF(OR(AE49="",N(Z49)=0),"",AE49-Z49)</f>
        <v>0</v>
      </c>
      <c r="AG49" s="28" t="n">
        <f aca="false">IF(AND(N(M49)&gt;0,N(L49)&gt;0),M49*L49,N49)</f>
        <v>1.3125</v>
      </c>
      <c r="AH49" s="28" t="n">
        <f aca="false">IF(OR(N(AB49)&lt;=0,N(AG49)=0,N(L49)=0),"",MIN(L49,AG49/AB49))</f>
        <v>17.2697368421053</v>
      </c>
      <c r="AI49" s="29" t="n">
        <f aca="false">IF(OR(AH49="",N(O49)=0),"",AH49/O49-1)</f>
        <v>-0.0813969764837627</v>
      </c>
      <c r="AJ49" s="29" t="n">
        <f aca="false">IF(OR(AI49="",N(O49)=0),"",AI49+AG49/O49)</f>
        <v>-0.0115831466965286</v>
      </c>
      <c r="AK49" s="32" t="n">
        <f aca="false">IF(OR(AJ49="",N(AE49)=0),"",AJ49-AE49)</f>
        <v>0</v>
      </c>
      <c r="AL49" s="33" t="n">
        <f aca="false">IF(N(F49)=0,"",INDEX(Inputs!$B$28:$B$32,IFERROR(MATCH(F49,Inputs!$A$28:$A$32,1),0)+1))</f>
        <v>0.085</v>
      </c>
      <c r="AM49" s="34"/>
      <c r="AN49" s="33" t="n">
        <f aca="false">IF(N(AM49)&gt;0,AM49,AL49)</f>
        <v>0.085</v>
      </c>
      <c r="AO49" s="29" t="n">
        <f aca="false">IF(N(AN49)=0,"",AN49+IF(I49="yes",AN49*Inputs!$B$10*Inputs!$B$9,0)+IFERROR(INDEX(Inputs!$B$13:$B$15,MATCH(G49,Inputs!$A$13:$A$15,0)),0)+IFERROR(INDEX(Inputs!$B$18:$B$24,MATCH(H49,Inputs!$A$18:$A$24,0)),0))</f>
        <v>0.08075</v>
      </c>
      <c r="AP49" s="28" t="n">
        <f aca="false">IF(OR(N(AO49)&lt;=0,N(AG49)=0,N(L49)=0),"",MIN(L49,AG49/AO49))</f>
        <v>16.2538699690403</v>
      </c>
      <c r="AQ49" s="29" t="n">
        <f aca="false">IF(OR(AP49="",N(O49)=0),"",AP49/O49-1)</f>
        <v>-0.135432448455306</v>
      </c>
      <c r="AR49" s="29" t="n">
        <f aca="false">IF(OR(AQ49="",N(O49)=0),"",AQ49+AG49/O49)</f>
        <v>-0.065618618668072</v>
      </c>
      <c r="AS49" s="32" t="n">
        <f aca="false">IF(OR(AR49="",N(AJ49)=0),"",AR49-AJ49)</f>
        <v>-0.0540354719715434</v>
      </c>
      <c r="AT49" s="28" t="n">
        <v>25</v>
      </c>
      <c r="AU49" s="28" t="n">
        <v>1.3125</v>
      </c>
      <c r="AV49" s="28" t="n">
        <f aca="false">IF(N(AT49)&gt;0,AT49,L49)</f>
        <v>25</v>
      </c>
      <c r="AW49" s="28" t="n">
        <f aca="false">IF(AND(N(M49)&gt;0,N(AV49)&gt;0),M49*AV49,IF(N(AU49)&gt;0,AU49,N49))</f>
        <v>1.3125</v>
      </c>
      <c r="AX49" s="29" t="n">
        <f aca="false">IF(N(AN49)=0,"",AN49+IF(I49="yes",AN49*Inputs!$B$10*Inputs!$B$9,0)+IFERROR(INDEX(Inputs!$B$13:$B$15,MATCH(G49,Inputs!$A$13:$A$15,0)),0)+IFERROR(INDEX(Inputs!$B$18:$B$24,MATCH(H49,Inputs!$A$18:$A$24,0)),0))</f>
        <v>0.08075</v>
      </c>
      <c r="AY49" s="28" t="n">
        <f aca="false">IF(OR(N(AX49)&lt;=0,N(AW49)=0,N(AV49)=0),"",MIN(AV49,AW49/AX49))</f>
        <v>16.2538699690403</v>
      </c>
      <c r="AZ49" s="29" t="n">
        <f aca="false">IF(OR(AY49="",N(O49)=0),"",AY49/O49-1)</f>
        <v>-0.135432448455306</v>
      </c>
      <c r="BA49" s="29" t="n">
        <f aca="false">IF(OR(AZ49="",N(O49)=0),"",AZ49+AW49/O49)</f>
        <v>-0.065618618668072</v>
      </c>
      <c r="BB49" s="32" t="n">
        <f aca="false">IF(OR(BA49="",N(AR49)=0),"",BA49-AR49)</f>
        <v>0</v>
      </c>
      <c r="BC49" s="35" t="n">
        <f aca="false">IF(OR(BA49="",N(U49)=0),"",BA49-U49)</f>
        <v>-0.0540354719715433</v>
      </c>
      <c r="BD49" s="37"/>
    </row>
    <row r="50" customFormat="false" ht="15" hidden="false" customHeight="false" outlineLevel="0" collapsed="false">
      <c r="A50" s="2" t="s">
        <v>140</v>
      </c>
      <c r="B50" s="2" t="n">
        <v>84</v>
      </c>
      <c r="C50" s="2" t="s">
        <v>219</v>
      </c>
      <c r="D50" s="2" t="s">
        <v>214</v>
      </c>
      <c r="E50" s="2" t="s">
        <v>215</v>
      </c>
      <c r="F50" s="27" t="n">
        <v>2100</v>
      </c>
      <c r="G50" s="2" t="s">
        <v>51</v>
      </c>
      <c r="H50" s="2" t="s">
        <v>58</v>
      </c>
      <c r="I50" s="2" t="s">
        <v>151</v>
      </c>
      <c r="J50" s="2" t="s">
        <v>145</v>
      </c>
      <c r="K50" s="2" t="n">
        <v>4</v>
      </c>
      <c r="L50" s="28" t="n">
        <v>25</v>
      </c>
      <c r="M50" s="29" t="n">
        <v>0.04875</v>
      </c>
      <c r="N50" s="28" t="n">
        <v>1.21875</v>
      </c>
      <c r="O50" s="28" t="n">
        <v>17.35</v>
      </c>
      <c r="P50" s="2" t="s">
        <v>146</v>
      </c>
      <c r="Q50" s="29" t="n">
        <v>0.08</v>
      </c>
      <c r="R50" s="30" t="n">
        <v>0.076</v>
      </c>
      <c r="S50" s="31" t="n">
        <v>16.0361842105263</v>
      </c>
      <c r="T50" s="30" t="n">
        <v>-0.0757242529956015</v>
      </c>
      <c r="U50" s="30" t="n">
        <v>-0.00547929622326719</v>
      </c>
      <c r="V50" s="29" t="n">
        <v>0</v>
      </c>
      <c r="W50" s="29" t="n">
        <f aca="false">IF(N(Q50)=0,"",Q50+IF(I50="yes",Q50*Inputs!$B$10*Inputs!$B$9,0)+V50)</f>
        <v>0.076</v>
      </c>
      <c r="X50" s="28" t="n">
        <f aca="false">IF(OR(N(W50)&lt;=0,N(N50)=0,N(L50)=0),"",MIN(L50,N50/W50))</f>
        <v>16.0361842105263</v>
      </c>
      <c r="Y50" s="29" t="n">
        <f aca="false">IF(OR(X50="",N(O50)=0),"",X50/O50-1)</f>
        <v>-0.0757242529956015</v>
      </c>
      <c r="Z50" s="29" t="n">
        <f aca="false">IF(OR(Y50="",N(O50)=0),"",Y50+N50/O50)</f>
        <v>-0.00547929622326719</v>
      </c>
      <c r="AA50" s="32" t="n">
        <f aca="false">IF(OR(Z50="",N(U50)=0),"",Z50-U50)</f>
        <v>0</v>
      </c>
      <c r="AB50" s="29" t="n">
        <f aca="false">IF(N(Q50)=0,"",Q50+IF(I50="yes",Q50*Inputs!$B$10*Inputs!$B$9,0)+IFERROR(INDEX(Inputs!$B$13:$B$15,MATCH(G50,Inputs!$A$13:$A$15,0)),0)+IFERROR(INDEX(Inputs!$B$18:$B$24,MATCH(H50,Inputs!$A$18:$A$24,0)),0))</f>
        <v>0.076</v>
      </c>
      <c r="AC50" s="28" t="n">
        <f aca="false">IF(OR(N(AB50)&lt;=0,N(N50)=0,N(L50)=0),"",MIN(L50,N50/AB50))</f>
        <v>16.0361842105263</v>
      </c>
      <c r="AD50" s="29" t="n">
        <f aca="false">IF(OR(AC50="",N(O50)=0),"",AC50/O50-1)</f>
        <v>-0.0757242529956015</v>
      </c>
      <c r="AE50" s="29" t="n">
        <f aca="false">IF(OR(AD50="",N(O50)=0),"",AD50+N50/O50)</f>
        <v>-0.00547929622326719</v>
      </c>
      <c r="AF50" s="32" t="n">
        <f aca="false">IF(OR(AE50="",N(Z50)=0),"",AE50-Z50)</f>
        <v>0</v>
      </c>
      <c r="AG50" s="28" t="n">
        <f aca="false">IF(AND(N(M50)&gt;0,N(L50)&gt;0),M50*L50,N50)</f>
        <v>1.21875</v>
      </c>
      <c r="AH50" s="28" t="n">
        <f aca="false">IF(OR(N(AB50)&lt;=0,N(AG50)=0,N(L50)=0),"",MIN(L50,AG50/AB50))</f>
        <v>16.0361842105263</v>
      </c>
      <c r="AI50" s="29" t="n">
        <f aca="false">IF(OR(AH50="",N(O50)=0),"",AH50/O50-1)</f>
        <v>-0.0757242529956015</v>
      </c>
      <c r="AJ50" s="29" t="n">
        <f aca="false">IF(OR(AI50="",N(O50)=0),"",AI50+AG50/O50)</f>
        <v>-0.00547929622326719</v>
      </c>
      <c r="AK50" s="32" t="n">
        <f aca="false">IF(OR(AJ50="",N(AE50)=0),"",AJ50-AE50)</f>
        <v>0</v>
      </c>
      <c r="AL50" s="33" t="n">
        <f aca="false">IF(N(F50)=0,"",INDEX(Inputs!$B$28:$B$32,IFERROR(MATCH(F50,Inputs!$A$28:$A$32,1),0)+1))</f>
        <v>0.085</v>
      </c>
      <c r="AM50" s="34"/>
      <c r="AN50" s="33" t="n">
        <f aca="false">IF(N(AM50)&gt;0,AM50,AL50)</f>
        <v>0.085</v>
      </c>
      <c r="AO50" s="29" t="n">
        <f aca="false">IF(N(AN50)=0,"",AN50+IF(I50="yes",AN50*Inputs!$B$10*Inputs!$B$9,0)+IFERROR(INDEX(Inputs!$B$13:$B$15,MATCH(G50,Inputs!$A$13:$A$15,0)),0)+IFERROR(INDEX(Inputs!$B$18:$B$24,MATCH(H50,Inputs!$A$18:$A$24,0)),0))</f>
        <v>0.08075</v>
      </c>
      <c r="AP50" s="28" t="n">
        <f aca="false">IF(OR(N(AO50)&lt;=0,N(AG50)=0,N(L50)=0),"",MIN(L50,AG50/AO50))</f>
        <v>15.0928792569659</v>
      </c>
      <c r="AQ50" s="29" t="n">
        <f aca="false">IF(OR(AP50="",N(O50)=0),"",AP50/O50-1)</f>
        <v>-0.130093414584096</v>
      </c>
      <c r="AR50" s="29" t="n">
        <f aca="false">IF(OR(AQ50="",N(O50)=0),"",AQ50+AG50/O50)</f>
        <v>-0.0598484578117612</v>
      </c>
      <c r="AS50" s="32" t="n">
        <f aca="false">IF(OR(AR50="",N(AJ50)=0),"",AR50-AJ50)</f>
        <v>-0.054369161588494</v>
      </c>
      <c r="AT50" s="28" t="n">
        <v>25</v>
      </c>
      <c r="AU50" s="28" t="n">
        <v>1.21875</v>
      </c>
      <c r="AV50" s="28" t="n">
        <f aca="false">IF(N(AT50)&gt;0,AT50,L50)</f>
        <v>25</v>
      </c>
      <c r="AW50" s="28" t="n">
        <f aca="false">IF(AND(N(M50)&gt;0,N(AV50)&gt;0),M50*AV50,IF(N(AU50)&gt;0,AU50,N50))</f>
        <v>1.21875</v>
      </c>
      <c r="AX50" s="29" t="n">
        <f aca="false">IF(N(AN50)=0,"",AN50+IF(I50="yes",AN50*Inputs!$B$10*Inputs!$B$9,0)+IFERROR(INDEX(Inputs!$B$13:$B$15,MATCH(G50,Inputs!$A$13:$A$15,0)),0)+IFERROR(INDEX(Inputs!$B$18:$B$24,MATCH(H50,Inputs!$A$18:$A$24,0)),0))</f>
        <v>0.08075</v>
      </c>
      <c r="AY50" s="28" t="n">
        <f aca="false">IF(OR(N(AX50)&lt;=0,N(AW50)=0,N(AV50)=0),"",MIN(AV50,AW50/AX50))</f>
        <v>15.0928792569659</v>
      </c>
      <c r="AZ50" s="29" t="n">
        <f aca="false">IF(OR(AY50="",N(O50)=0),"",AY50/O50-1)</f>
        <v>-0.130093414584096</v>
      </c>
      <c r="BA50" s="29" t="n">
        <f aca="false">IF(OR(AZ50="",N(O50)=0),"",AZ50+AW50/O50)</f>
        <v>-0.0598484578117612</v>
      </c>
      <c r="BB50" s="32" t="n">
        <f aca="false">IF(OR(BA50="",N(AR50)=0),"",BA50-AR50)</f>
        <v>0</v>
      </c>
      <c r="BC50" s="35" t="n">
        <f aca="false">IF(OR(BA50="",N(U50)=0),"",BA50-U50)</f>
        <v>-0.054369161588494</v>
      </c>
      <c r="BD50" s="37"/>
    </row>
    <row r="51" customFormat="false" ht="15" hidden="false" customHeight="false" outlineLevel="0" collapsed="false">
      <c r="A51" s="2" t="s">
        <v>140</v>
      </c>
      <c r="B51" s="2" t="n">
        <v>87</v>
      </c>
      <c r="C51" s="2" t="s">
        <v>220</v>
      </c>
      <c r="D51" s="2" t="s">
        <v>221</v>
      </c>
      <c r="E51" s="2" t="s">
        <v>222</v>
      </c>
      <c r="F51" s="27" t="n">
        <v>12900</v>
      </c>
      <c r="G51" s="2" t="s">
        <v>51</v>
      </c>
      <c r="H51" s="2" t="s">
        <v>59</v>
      </c>
      <c r="I51" s="2" t="s">
        <v>144</v>
      </c>
      <c r="J51" s="2" t="s">
        <v>145</v>
      </c>
      <c r="K51" s="2" t="n">
        <v>4</v>
      </c>
      <c r="L51" s="28" t="n">
        <v>25</v>
      </c>
      <c r="M51" s="29" t="n">
        <v>0.0775</v>
      </c>
      <c r="N51" s="28" t="n">
        <v>1.9375</v>
      </c>
      <c r="O51" s="28" t="n">
        <v>25.11</v>
      </c>
      <c r="P51" s="2" t="s">
        <v>223</v>
      </c>
      <c r="Q51" s="29" t="n">
        <v>0.09</v>
      </c>
      <c r="R51" s="30" t="n">
        <v>0.09</v>
      </c>
      <c r="S51" s="31" t="n">
        <v>21.5277777777778</v>
      </c>
      <c r="T51" s="30" t="n">
        <v>-0.142661179698217</v>
      </c>
      <c r="U51" s="30" t="n">
        <v>-0.0655006858710563</v>
      </c>
      <c r="V51" s="29" t="n">
        <v>0</v>
      </c>
      <c r="W51" s="29" t="n">
        <f aca="false">IF(N(Q51)=0,"",Q51+IF(I51="yes",Q51*Inputs!$B$10*Inputs!$B$9,0)+V51)</f>
        <v>0.09</v>
      </c>
      <c r="X51" s="28" t="n">
        <f aca="false">IF(OR(N(W51)&lt;=0,N(N51)=0,N(L51)=0),"",MIN(L51,N51/W51))</f>
        <v>21.5277777777778</v>
      </c>
      <c r="Y51" s="29" t="n">
        <f aca="false">IF(OR(X51="",N(O51)=0),"",X51/O51-1)</f>
        <v>-0.142661179698217</v>
      </c>
      <c r="Z51" s="29" t="n">
        <f aca="false">IF(OR(Y51="",N(O51)=0),"",Y51+N51/O51)</f>
        <v>-0.0655006858710563</v>
      </c>
      <c r="AA51" s="32" t="n">
        <f aca="false">IF(OR(Z51="",N(U51)=0),"",Z51-U51)</f>
        <v>0</v>
      </c>
      <c r="AB51" s="29" t="n">
        <f aca="false">IF(N(Q51)=0,"",Q51+IF(I51="yes",Q51*Inputs!$B$10*Inputs!$B$9,0)+IFERROR(INDEX(Inputs!$B$13:$B$15,MATCH(G51,Inputs!$A$13:$A$15,0)),0)+IFERROR(INDEX(Inputs!$B$18:$B$24,MATCH(H51,Inputs!$A$18:$A$24,0)),0))</f>
        <v>0.09</v>
      </c>
      <c r="AC51" s="28" t="n">
        <f aca="false">IF(OR(N(AB51)&lt;=0,N(N51)=0,N(L51)=0),"",MIN(L51,N51/AB51))</f>
        <v>21.5277777777778</v>
      </c>
      <c r="AD51" s="29" t="n">
        <f aca="false">IF(OR(AC51="",N(O51)=0),"",AC51/O51-1)</f>
        <v>-0.142661179698217</v>
      </c>
      <c r="AE51" s="29" t="n">
        <f aca="false">IF(OR(AD51="",N(O51)=0),"",AD51+N51/O51)</f>
        <v>-0.0655006858710563</v>
      </c>
      <c r="AF51" s="32" t="n">
        <f aca="false">IF(OR(AE51="",N(Z51)=0),"",AE51-Z51)</f>
        <v>0</v>
      </c>
      <c r="AG51" s="28" t="n">
        <f aca="false">IF(AND(N(M51)&gt;0,N(L51)&gt;0),M51*L51,N51)</f>
        <v>1.9375</v>
      </c>
      <c r="AH51" s="28" t="n">
        <f aca="false">IF(OR(N(AB51)&lt;=0,N(AG51)=0,N(L51)=0),"",MIN(L51,AG51/AB51))</f>
        <v>21.5277777777778</v>
      </c>
      <c r="AI51" s="29" t="n">
        <f aca="false">IF(OR(AH51="",N(O51)=0),"",AH51/O51-1)</f>
        <v>-0.142661179698217</v>
      </c>
      <c r="AJ51" s="29" t="n">
        <f aca="false">IF(OR(AI51="",N(O51)=0),"",AI51+AG51/O51)</f>
        <v>-0.0655006858710563</v>
      </c>
      <c r="AK51" s="32" t="n">
        <f aca="false">IF(OR(AJ51="",N(AE51)=0),"",AJ51-AE51)</f>
        <v>0</v>
      </c>
      <c r="AL51" s="33" t="n">
        <f aca="false">IF(N(F51)=0,"",INDEX(Inputs!$B$28:$B$32,IFERROR(MATCH(F51,Inputs!$A$28:$A$32,1),0)+1))</f>
        <v>0.08</v>
      </c>
      <c r="AM51" s="34"/>
      <c r="AN51" s="33" t="n">
        <f aca="false">IF(N(AM51)&gt;0,AM51,AL51)</f>
        <v>0.08</v>
      </c>
      <c r="AO51" s="29" t="n">
        <f aca="false">IF(N(AN51)=0,"",AN51+IF(I51="yes",AN51*Inputs!$B$10*Inputs!$B$9,0)+IFERROR(INDEX(Inputs!$B$13:$B$15,MATCH(G51,Inputs!$A$13:$A$15,0)),0)+IFERROR(INDEX(Inputs!$B$18:$B$24,MATCH(H51,Inputs!$A$18:$A$24,0)),0))</f>
        <v>0.08</v>
      </c>
      <c r="AP51" s="28" t="n">
        <f aca="false">IF(OR(N(AO51)&lt;=0,N(AG51)=0,N(L51)=0),"",MIN(L51,AG51/AO51))</f>
        <v>24.21875</v>
      </c>
      <c r="AQ51" s="29" t="n">
        <f aca="false">IF(OR(AP51="",N(O51)=0),"",AP51/O51-1)</f>
        <v>-0.0354938271604938</v>
      </c>
      <c r="AR51" s="29" t="n">
        <f aca="false">IF(OR(AQ51="",N(O51)=0),"",AQ51+AG51/O51)</f>
        <v>0.0416666666666667</v>
      </c>
      <c r="AS51" s="32" t="n">
        <f aca="false">IF(OR(AR51="",N(AJ51)=0),"",AR51-AJ51)</f>
        <v>0.107167352537723</v>
      </c>
      <c r="AT51" s="28" t="n">
        <v>25</v>
      </c>
      <c r="AU51" s="28" t="n">
        <v>1.9375</v>
      </c>
      <c r="AV51" s="28" t="n">
        <f aca="false">IF(N(AT51)&gt;0,AT51,L51)</f>
        <v>25</v>
      </c>
      <c r="AW51" s="28" t="n">
        <f aca="false">IF(AND(N(M51)&gt;0,N(AV51)&gt;0),M51*AV51,IF(N(AU51)&gt;0,AU51,N51))</f>
        <v>1.9375</v>
      </c>
      <c r="AX51" s="29" t="n">
        <f aca="false">IF(N(AN51)=0,"",AN51+IF(I51="yes",AN51*Inputs!$B$10*Inputs!$B$9,0)+IFERROR(INDEX(Inputs!$B$13:$B$15,MATCH(G51,Inputs!$A$13:$A$15,0)),0)+IFERROR(INDEX(Inputs!$B$18:$B$24,MATCH(H51,Inputs!$A$18:$A$24,0)),0))</f>
        <v>0.08</v>
      </c>
      <c r="AY51" s="28" t="n">
        <f aca="false">IF(OR(N(AX51)&lt;=0,N(AW51)=0,N(AV51)=0),"",MIN(AV51,AW51/AX51))</f>
        <v>24.21875</v>
      </c>
      <c r="AZ51" s="29" t="n">
        <f aca="false">IF(OR(AY51="",N(O51)=0),"",AY51/O51-1)</f>
        <v>-0.0354938271604938</v>
      </c>
      <c r="BA51" s="29" t="n">
        <f aca="false">IF(OR(AZ51="",N(O51)=0),"",AZ51+AW51/O51)</f>
        <v>0.0416666666666667</v>
      </c>
      <c r="BB51" s="32" t="n">
        <f aca="false">IF(OR(BA51="",N(AR51)=0),"",BA51-AR51)</f>
        <v>0</v>
      </c>
      <c r="BC51" s="35" t="n">
        <f aca="false">IF(OR(BA51="",N(U51)=0),"",BA51-U51)</f>
        <v>0.107167352537723</v>
      </c>
      <c r="BD51" s="36" t="s">
        <v>224</v>
      </c>
    </row>
    <row r="52" customFormat="false" ht="15" hidden="false" customHeight="false" outlineLevel="0" collapsed="false">
      <c r="A52" s="2" t="s">
        <v>140</v>
      </c>
      <c r="B52" s="2" t="n">
        <v>88</v>
      </c>
      <c r="C52" s="2" t="s">
        <v>225</v>
      </c>
      <c r="D52" s="2" t="s">
        <v>221</v>
      </c>
      <c r="E52" s="2" t="s">
        <v>222</v>
      </c>
      <c r="F52" s="27" t="n">
        <v>12900</v>
      </c>
      <c r="G52" s="2" t="s">
        <v>51</v>
      </c>
      <c r="H52" s="2" t="s">
        <v>59</v>
      </c>
      <c r="I52" s="2" t="s">
        <v>144</v>
      </c>
      <c r="J52" s="2" t="s">
        <v>145</v>
      </c>
      <c r="K52" s="2" t="n">
        <v>4</v>
      </c>
      <c r="L52" s="28" t="n">
        <v>25</v>
      </c>
      <c r="M52" s="29" t="n">
        <v>0.06875</v>
      </c>
      <c r="N52" s="28" t="n">
        <v>1.71875</v>
      </c>
      <c r="O52" s="28" t="n">
        <v>25.16</v>
      </c>
      <c r="P52" s="2" t="s">
        <v>146</v>
      </c>
      <c r="Q52" s="29" t="n">
        <v>0.09</v>
      </c>
      <c r="R52" s="30" t="n">
        <v>0.09</v>
      </c>
      <c r="S52" s="31" t="n">
        <v>19.0972222222222</v>
      </c>
      <c r="T52" s="30" t="n">
        <v>-0.240968910086557</v>
      </c>
      <c r="U52" s="30" t="n">
        <v>-0.172656111994347</v>
      </c>
      <c r="V52" s="29" t="n">
        <v>0</v>
      </c>
      <c r="W52" s="29" t="n">
        <f aca="false">IF(N(Q52)=0,"",Q52+IF(I52="yes",Q52*Inputs!$B$10*Inputs!$B$9,0)+V52)</f>
        <v>0.09</v>
      </c>
      <c r="X52" s="28" t="n">
        <f aca="false">IF(OR(N(W52)&lt;=0,N(N52)=0,N(L52)=0),"",MIN(L52,N52/W52))</f>
        <v>19.0972222222222</v>
      </c>
      <c r="Y52" s="29" t="n">
        <f aca="false">IF(OR(X52="",N(O52)=0),"",X52/O52-1)</f>
        <v>-0.240968910086557</v>
      </c>
      <c r="Z52" s="29" t="n">
        <f aca="false">IF(OR(Y52="",N(O52)=0),"",Y52+N52/O52)</f>
        <v>-0.172656111994347</v>
      </c>
      <c r="AA52" s="32" t="n">
        <f aca="false">IF(OR(Z52="",N(U52)=0),"",Z52-U52)</f>
        <v>0</v>
      </c>
      <c r="AB52" s="29" t="n">
        <f aca="false">IF(N(Q52)=0,"",Q52+IF(I52="yes",Q52*Inputs!$B$10*Inputs!$B$9,0)+IFERROR(INDEX(Inputs!$B$13:$B$15,MATCH(G52,Inputs!$A$13:$A$15,0)),0)+IFERROR(INDEX(Inputs!$B$18:$B$24,MATCH(H52,Inputs!$A$18:$A$24,0)),0))</f>
        <v>0.09</v>
      </c>
      <c r="AC52" s="28" t="n">
        <f aca="false">IF(OR(N(AB52)&lt;=0,N(N52)=0,N(L52)=0),"",MIN(L52,N52/AB52))</f>
        <v>19.0972222222222</v>
      </c>
      <c r="AD52" s="29" t="n">
        <f aca="false">IF(OR(AC52="",N(O52)=0),"",AC52/O52-1)</f>
        <v>-0.240968910086557</v>
      </c>
      <c r="AE52" s="29" t="n">
        <f aca="false">IF(OR(AD52="",N(O52)=0),"",AD52+N52/O52)</f>
        <v>-0.172656111994347</v>
      </c>
      <c r="AF52" s="32" t="n">
        <f aca="false">IF(OR(AE52="",N(Z52)=0),"",AE52-Z52)</f>
        <v>0</v>
      </c>
      <c r="AG52" s="28" t="n">
        <f aca="false">IF(AND(N(M52)&gt;0,N(L52)&gt;0),M52*L52,N52)</f>
        <v>1.71875</v>
      </c>
      <c r="AH52" s="28" t="n">
        <f aca="false">IF(OR(N(AB52)&lt;=0,N(AG52)=0,N(L52)=0),"",MIN(L52,AG52/AB52))</f>
        <v>19.0972222222222</v>
      </c>
      <c r="AI52" s="29" t="n">
        <f aca="false">IF(OR(AH52="",N(O52)=0),"",AH52/O52-1)</f>
        <v>-0.240968910086557</v>
      </c>
      <c r="AJ52" s="29" t="n">
        <f aca="false">IF(OR(AI52="",N(O52)=0),"",AI52+AG52/O52)</f>
        <v>-0.172656111994347</v>
      </c>
      <c r="AK52" s="32" t="n">
        <f aca="false">IF(OR(AJ52="",N(AE52)=0),"",AJ52-AE52)</f>
        <v>0</v>
      </c>
      <c r="AL52" s="33" t="n">
        <f aca="false">IF(N(F52)=0,"",INDEX(Inputs!$B$28:$B$32,IFERROR(MATCH(F52,Inputs!$A$28:$A$32,1),0)+1))</f>
        <v>0.08</v>
      </c>
      <c r="AM52" s="34"/>
      <c r="AN52" s="33" t="n">
        <f aca="false">IF(N(AM52)&gt;0,AM52,AL52)</f>
        <v>0.08</v>
      </c>
      <c r="AO52" s="29" t="n">
        <f aca="false">IF(N(AN52)=0,"",AN52+IF(I52="yes",AN52*Inputs!$B$10*Inputs!$B$9,0)+IFERROR(INDEX(Inputs!$B$13:$B$15,MATCH(G52,Inputs!$A$13:$A$15,0)),0)+IFERROR(INDEX(Inputs!$B$18:$B$24,MATCH(H52,Inputs!$A$18:$A$24,0)),0))</f>
        <v>0.08</v>
      </c>
      <c r="AP52" s="28" t="n">
        <f aca="false">IF(OR(N(AO52)&lt;=0,N(AG52)=0,N(L52)=0),"",MIN(L52,AG52/AO52))</f>
        <v>21.484375</v>
      </c>
      <c r="AQ52" s="29" t="n">
        <f aca="false">IF(OR(AP52="",N(O52)=0),"",AP52/O52-1)</f>
        <v>-0.146090023847377</v>
      </c>
      <c r="AR52" s="29" t="n">
        <f aca="false">IF(OR(AQ52="",N(O52)=0),"",AQ52+AG52/O52)</f>
        <v>-0.0777772257551668</v>
      </c>
      <c r="AS52" s="32" t="n">
        <f aca="false">IF(OR(AR52="",N(AJ52)=0),"",AR52-AJ52)</f>
        <v>0.0948788862391805</v>
      </c>
      <c r="AT52" s="28" t="n">
        <v>25</v>
      </c>
      <c r="AU52" s="28"/>
      <c r="AV52" s="28" t="n">
        <f aca="false">IF(N(AT52)&gt;0,AT52,L52)</f>
        <v>25</v>
      </c>
      <c r="AW52" s="28" t="n">
        <f aca="false">IF(AND(N(M52)&gt;0,N(AV52)&gt;0),M52*AV52,IF(N(AU52)&gt;0,AU52,N52))</f>
        <v>1.71875</v>
      </c>
      <c r="AX52" s="29" t="n">
        <f aca="false">IF(N(AN52)=0,"",AN52+IF(I52="yes",AN52*Inputs!$B$10*Inputs!$B$9,0)+IFERROR(INDEX(Inputs!$B$13:$B$15,MATCH(G52,Inputs!$A$13:$A$15,0)),0)+IFERROR(INDEX(Inputs!$B$18:$B$24,MATCH(H52,Inputs!$A$18:$A$24,0)),0))</f>
        <v>0.08</v>
      </c>
      <c r="AY52" s="28" t="n">
        <f aca="false">IF(OR(N(AX52)&lt;=0,N(AW52)=0,N(AV52)=0),"",MIN(AV52,AW52/AX52))</f>
        <v>21.484375</v>
      </c>
      <c r="AZ52" s="29" t="n">
        <f aca="false">IF(OR(AY52="",N(O52)=0),"",AY52/O52-1)</f>
        <v>-0.146090023847377</v>
      </c>
      <c r="BA52" s="29" t="n">
        <f aca="false">IF(OR(AZ52="",N(O52)=0),"",AZ52+AW52/O52)</f>
        <v>-0.0777772257551668</v>
      </c>
      <c r="BB52" s="32" t="n">
        <f aca="false">IF(OR(BA52="",N(AR52)=0),"",BA52-AR52)</f>
        <v>0</v>
      </c>
      <c r="BC52" s="35" t="n">
        <f aca="false">IF(OR(BA52="",N(U52)=0),"",BA52-U52)</f>
        <v>0.0948788862391805</v>
      </c>
      <c r="BD52" s="37"/>
    </row>
    <row r="53" customFormat="false" ht="15" hidden="false" customHeight="false" outlineLevel="0" collapsed="false">
      <c r="A53" s="2" t="s">
        <v>140</v>
      </c>
      <c r="B53" s="2" t="n">
        <v>89</v>
      </c>
      <c r="C53" s="2" t="s">
        <v>226</v>
      </c>
      <c r="D53" s="2" t="s">
        <v>221</v>
      </c>
      <c r="E53" s="2" t="s">
        <v>222</v>
      </c>
      <c r="F53" s="27" t="n">
        <v>12900</v>
      </c>
      <c r="G53" s="2" t="s">
        <v>51</v>
      </c>
      <c r="H53" s="2" t="s">
        <v>58</v>
      </c>
      <c r="I53" s="2" t="s">
        <v>144</v>
      </c>
      <c r="J53" s="2" t="s">
        <v>145</v>
      </c>
      <c r="K53" s="2" t="n">
        <v>4</v>
      </c>
      <c r="L53" s="28" t="n">
        <v>25</v>
      </c>
      <c r="M53" s="29" t="n">
        <v>0.07</v>
      </c>
      <c r="N53" s="28" t="n">
        <v>1.75</v>
      </c>
      <c r="O53" s="28" t="n">
        <v>25.86</v>
      </c>
      <c r="P53" s="2" t="s">
        <v>146</v>
      </c>
      <c r="Q53" s="29" t="n">
        <v>0.09</v>
      </c>
      <c r="R53" s="30" t="n">
        <v>0.09</v>
      </c>
      <c r="S53" s="31" t="n">
        <v>19.4444444444444</v>
      </c>
      <c r="T53" s="30" t="n">
        <v>-0.248087995187763</v>
      </c>
      <c r="U53" s="30" t="n">
        <v>-0.180415914754662</v>
      </c>
      <c r="V53" s="29" t="n">
        <v>0</v>
      </c>
      <c r="W53" s="29" t="n">
        <f aca="false">IF(N(Q53)=0,"",Q53+IF(I53="yes",Q53*Inputs!$B$10*Inputs!$B$9,0)+V53)</f>
        <v>0.09</v>
      </c>
      <c r="X53" s="28" t="n">
        <f aca="false">IF(OR(N(W53)&lt;=0,N(N53)=0,N(L53)=0),"",MIN(L53,N53/W53))</f>
        <v>19.4444444444444</v>
      </c>
      <c r="Y53" s="29" t="n">
        <f aca="false">IF(OR(X53="",N(O53)=0),"",X53/O53-1)</f>
        <v>-0.248087995187763</v>
      </c>
      <c r="Z53" s="29" t="n">
        <f aca="false">IF(OR(Y53="",N(O53)=0),"",Y53+N53/O53)</f>
        <v>-0.180415914754662</v>
      </c>
      <c r="AA53" s="32" t="n">
        <f aca="false">IF(OR(Z53="",N(U53)=0),"",Z53-U53)</f>
        <v>0</v>
      </c>
      <c r="AB53" s="29" t="n">
        <f aca="false">IF(N(Q53)=0,"",Q53+IF(I53="yes",Q53*Inputs!$B$10*Inputs!$B$9,0)+IFERROR(INDEX(Inputs!$B$13:$B$15,MATCH(G53,Inputs!$A$13:$A$15,0)),0)+IFERROR(INDEX(Inputs!$B$18:$B$24,MATCH(H53,Inputs!$A$18:$A$24,0)),0))</f>
        <v>0.09</v>
      </c>
      <c r="AC53" s="28" t="n">
        <f aca="false">IF(OR(N(AB53)&lt;=0,N(N53)=0,N(L53)=0),"",MIN(L53,N53/AB53))</f>
        <v>19.4444444444444</v>
      </c>
      <c r="AD53" s="29" t="n">
        <f aca="false">IF(OR(AC53="",N(O53)=0),"",AC53/O53-1)</f>
        <v>-0.248087995187763</v>
      </c>
      <c r="AE53" s="29" t="n">
        <f aca="false">IF(OR(AD53="",N(O53)=0),"",AD53+N53/O53)</f>
        <v>-0.180415914754662</v>
      </c>
      <c r="AF53" s="32" t="n">
        <f aca="false">IF(OR(AE53="",N(Z53)=0),"",AE53-Z53)</f>
        <v>0</v>
      </c>
      <c r="AG53" s="28" t="n">
        <f aca="false">IF(AND(N(M53)&gt;0,N(L53)&gt;0),M53*L53,N53)</f>
        <v>1.75</v>
      </c>
      <c r="AH53" s="28" t="n">
        <f aca="false">IF(OR(N(AB53)&lt;=0,N(AG53)=0,N(L53)=0),"",MIN(L53,AG53/AB53))</f>
        <v>19.4444444444444</v>
      </c>
      <c r="AI53" s="29" t="n">
        <f aca="false">IF(OR(AH53="",N(O53)=0),"",AH53/O53-1)</f>
        <v>-0.248087995187763</v>
      </c>
      <c r="AJ53" s="29" t="n">
        <f aca="false">IF(OR(AI53="",N(O53)=0),"",AI53+AG53/O53)</f>
        <v>-0.180415914754662</v>
      </c>
      <c r="AK53" s="32" t="n">
        <f aca="false">IF(OR(AJ53="",N(AE53)=0),"",AJ53-AE53)</f>
        <v>0</v>
      </c>
      <c r="AL53" s="33" t="n">
        <f aca="false">IF(N(F53)=0,"",INDEX(Inputs!$B$28:$B$32,IFERROR(MATCH(F53,Inputs!$A$28:$A$32,1),0)+1))</f>
        <v>0.08</v>
      </c>
      <c r="AM53" s="34"/>
      <c r="AN53" s="33" t="n">
        <f aca="false">IF(N(AM53)&gt;0,AM53,AL53)</f>
        <v>0.08</v>
      </c>
      <c r="AO53" s="29" t="n">
        <f aca="false">IF(N(AN53)=0,"",AN53+IF(I53="yes",AN53*Inputs!$B$10*Inputs!$B$9,0)+IFERROR(INDEX(Inputs!$B$13:$B$15,MATCH(G53,Inputs!$A$13:$A$15,0)),0)+IFERROR(INDEX(Inputs!$B$18:$B$24,MATCH(H53,Inputs!$A$18:$A$24,0)),0))</f>
        <v>0.08</v>
      </c>
      <c r="AP53" s="28" t="n">
        <f aca="false">IF(OR(N(AO53)&lt;=0,N(AG53)=0,N(L53)=0),"",MIN(L53,AG53/AO53))</f>
        <v>21.875</v>
      </c>
      <c r="AQ53" s="29" t="n">
        <f aca="false">IF(OR(AP53="",N(O53)=0),"",AP53/O53-1)</f>
        <v>-0.154098994586233</v>
      </c>
      <c r="AR53" s="29" t="n">
        <f aca="false">IF(OR(AQ53="",N(O53)=0),"",AQ53+AG53/O53)</f>
        <v>-0.0864269141531321</v>
      </c>
      <c r="AS53" s="32" t="n">
        <f aca="false">IF(OR(AR53="",N(AJ53)=0),"",AR53-AJ53)</f>
        <v>0.0939890006015298</v>
      </c>
      <c r="AT53" s="28" t="n">
        <v>25</v>
      </c>
      <c r="AU53" s="28" t="n">
        <v>1.75</v>
      </c>
      <c r="AV53" s="28" t="n">
        <f aca="false">IF(N(AT53)&gt;0,AT53,L53)</f>
        <v>25</v>
      </c>
      <c r="AW53" s="28" t="n">
        <f aca="false">IF(AND(N(M53)&gt;0,N(AV53)&gt;0),M53*AV53,IF(N(AU53)&gt;0,AU53,N53))</f>
        <v>1.75</v>
      </c>
      <c r="AX53" s="29" t="n">
        <f aca="false">IF(N(AN53)=0,"",AN53+IF(I53="yes",AN53*Inputs!$B$10*Inputs!$B$9,0)+IFERROR(INDEX(Inputs!$B$13:$B$15,MATCH(G53,Inputs!$A$13:$A$15,0)),0)+IFERROR(INDEX(Inputs!$B$18:$B$24,MATCH(H53,Inputs!$A$18:$A$24,0)),0))</f>
        <v>0.08</v>
      </c>
      <c r="AY53" s="28" t="n">
        <f aca="false">IF(OR(N(AX53)&lt;=0,N(AW53)=0,N(AV53)=0),"",MIN(AV53,AW53/AX53))</f>
        <v>21.875</v>
      </c>
      <c r="AZ53" s="29" t="n">
        <f aca="false">IF(OR(AY53="",N(O53)=0),"",AY53/O53-1)</f>
        <v>-0.154098994586233</v>
      </c>
      <c r="BA53" s="29" t="n">
        <f aca="false">IF(OR(AZ53="",N(O53)=0),"",AZ53+AW53/O53)</f>
        <v>-0.0864269141531321</v>
      </c>
      <c r="BB53" s="32" t="n">
        <f aca="false">IF(OR(BA53="",N(AR53)=0),"",BA53-AR53)</f>
        <v>0</v>
      </c>
      <c r="BC53" s="35" t="n">
        <f aca="false">IF(OR(BA53="",N(U53)=0),"",BA53-U53)</f>
        <v>0.0939890006015299</v>
      </c>
      <c r="BD53" s="37"/>
    </row>
    <row r="54" customFormat="false" ht="15" hidden="false" customHeight="false" outlineLevel="0" collapsed="false">
      <c r="A54" s="2" t="s">
        <v>140</v>
      </c>
      <c r="B54" s="2" t="n">
        <v>90</v>
      </c>
      <c r="C54" s="2" t="s">
        <v>227</v>
      </c>
      <c r="D54" s="2" t="s">
        <v>221</v>
      </c>
      <c r="E54" s="2" t="s">
        <v>222</v>
      </c>
      <c r="F54" s="27" t="n">
        <v>12900</v>
      </c>
      <c r="G54" s="2" t="s">
        <v>51</v>
      </c>
      <c r="H54" s="2" t="s">
        <v>59</v>
      </c>
      <c r="I54" s="2" t="s">
        <v>144</v>
      </c>
      <c r="J54" s="2" t="s">
        <v>145</v>
      </c>
      <c r="K54" s="2" t="n">
        <v>4</v>
      </c>
      <c r="L54" s="28" t="n">
        <v>25</v>
      </c>
      <c r="M54" s="29" t="n">
        <v>0.0652</v>
      </c>
      <c r="N54" s="28" t="n">
        <v>1.63</v>
      </c>
      <c r="O54" s="28" t="n">
        <v>25.65</v>
      </c>
      <c r="P54" s="2" t="s">
        <v>146</v>
      </c>
      <c r="Q54" s="29" t="n">
        <v>0.09</v>
      </c>
      <c r="R54" s="30" t="n">
        <v>0.09</v>
      </c>
      <c r="S54" s="31" t="n">
        <v>18.1111111111111</v>
      </c>
      <c r="T54" s="30" t="n">
        <v>-0.293913796837774</v>
      </c>
      <c r="U54" s="30" t="n">
        <v>-0.230366038553173</v>
      </c>
      <c r="V54" s="29" t="n">
        <v>0</v>
      </c>
      <c r="W54" s="29" t="n">
        <f aca="false">IF(N(Q54)=0,"",Q54+IF(I54="yes",Q54*Inputs!$B$10*Inputs!$B$9,0)+V54)</f>
        <v>0.09</v>
      </c>
      <c r="X54" s="28" t="n">
        <f aca="false">IF(OR(N(W54)&lt;=0,N(N54)=0,N(L54)=0),"",MIN(L54,N54/W54))</f>
        <v>18.1111111111111</v>
      </c>
      <c r="Y54" s="29" t="n">
        <f aca="false">IF(OR(X54="",N(O54)=0),"",X54/O54-1)</f>
        <v>-0.293913796837774</v>
      </c>
      <c r="Z54" s="29" t="n">
        <f aca="false">IF(OR(Y54="",N(O54)=0),"",Y54+N54/O54)</f>
        <v>-0.230366038553173</v>
      </c>
      <c r="AA54" s="32" t="n">
        <f aca="false">IF(OR(Z54="",N(U54)=0),"",Z54-U54)</f>
        <v>0</v>
      </c>
      <c r="AB54" s="29" t="n">
        <f aca="false">IF(N(Q54)=0,"",Q54+IF(I54="yes",Q54*Inputs!$B$10*Inputs!$B$9,0)+IFERROR(INDEX(Inputs!$B$13:$B$15,MATCH(G54,Inputs!$A$13:$A$15,0)),0)+IFERROR(INDEX(Inputs!$B$18:$B$24,MATCH(H54,Inputs!$A$18:$A$24,0)),0))</f>
        <v>0.09</v>
      </c>
      <c r="AC54" s="28" t="n">
        <f aca="false">IF(OR(N(AB54)&lt;=0,N(N54)=0,N(L54)=0),"",MIN(L54,N54/AB54))</f>
        <v>18.1111111111111</v>
      </c>
      <c r="AD54" s="29" t="n">
        <f aca="false">IF(OR(AC54="",N(O54)=0),"",AC54/O54-1)</f>
        <v>-0.293913796837774</v>
      </c>
      <c r="AE54" s="29" t="n">
        <f aca="false">IF(OR(AD54="",N(O54)=0),"",AD54+N54/O54)</f>
        <v>-0.230366038553173</v>
      </c>
      <c r="AF54" s="32" t="n">
        <f aca="false">IF(OR(AE54="",N(Z54)=0),"",AE54-Z54)</f>
        <v>0</v>
      </c>
      <c r="AG54" s="28" t="n">
        <f aca="false">IF(AND(N(M54)&gt;0,N(L54)&gt;0),M54*L54,N54)</f>
        <v>1.63</v>
      </c>
      <c r="AH54" s="28" t="n">
        <f aca="false">IF(OR(N(AB54)&lt;=0,N(AG54)=0,N(L54)=0),"",MIN(L54,AG54/AB54))</f>
        <v>18.1111111111111</v>
      </c>
      <c r="AI54" s="29" t="n">
        <f aca="false">IF(OR(AH54="",N(O54)=0),"",AH54/O54-1)</f>
        <v>-0.293913796837774</v>
      </c>
      <c r="AJ54" s="29" t="n">
        <f aca="false">IF(OR(AI54="",N(O54)=0),"",AI54+AG54/O54)</f>
        <v>-0.230366038553173</v>
      </c>
      <c r="AK54" s="32" t="n">
        <f aca="false">IF(OR(AJ54="",N(AE54)=0),"",AJ54-AE54)</f>
        <v>0</v>
      </c>
      <c r="AL54" s="33" t="n">
        <f aca="false">IF(N(F54)=0,"",INDEX(Inputs!$B$28:$B$32,IFERROR(MATCH(F54,Inputs!$A$28:$A$32,1),0)+1))</f>
        <v>0.08</v>
      </c>
      <c r="AM54" s="34"/>
      <c r="AN54" s="33" t="n">
        <f aca="false">IF(N(AM54)&gt;0,AM54,AL54)</f>
        <v>0.08</v>
      </c>
      <c r="AO54" s="29" t="n">
        <f aca="false">IF(N(AN54)=0,"",AN54+IF(I54="yes",AN54*Inputs!$B$10*Inputs!$B$9,0)+IFERROR(INDEX(Inputs!$B$13:$B$15,MATCH(G54,Inputs!$A$13:$A$15,0)),0)+IFERROR(INDEX(Inputs!$B$18:$B$24,MATCH(H54,Inputs!$A$18:$A$24,0)),0))</f>
        <v>0.08</v>
      </c>
      <c r="AP54" s="28" t="n">
        <f aca="false">IF(OR(N(AO54)&lt;=0,N(AG54)=0,N(L54)=0),"",MIN(L54,AG54/AO54))</f>
        <v>20.375</v>
      </c>
      <c r="AQ54" s="29" t="n">
        <f aca="false">IF(OR(AP54="",N(O54)=0),"",AP54/O54-1)</f>
        <v>-0.205653021442495</v>
      </c>
      <c r="AR54" s="29" t="n">
        <f aca="false">IF(OR(AQ54="",N(O54)=0),"",AQ54+AG54/O54)</f>
        <v>-0.142105263157895</v>
      </c>
      <c r="AS54" s="32" t="n">
        <f aca="false">IF(OR(AR54="",N(AJ54)=0),"",AR54-AJ54)</f>
        <v>0.0882607753952784</v>
      </c>
      <c r="AT54" s="28" t="n">
        <v>25</v>
      </c>
      <c r="AU54" s="28" t="n">
        <v>1.63</v>
      </c>
      <c r="AV54" s="28" t="n">
        <f aca="false">IF(N(AT54)&gt;0,AT54,L54)</f>
        <v>25</v>
      </c>
      <c r="AW54" s="28" t="n">
        <f aca="false">IF(AND(N(M54)&gt;0,N(AV54)&gt;0),M54*AV54,IF(N(AU54)&gt;0,AU54,N54))</f>
        <v>1.63</v>
      </c>
      <c r="AX54" s="29" t="n">
        <f aca="false">IF(N(AN54)=0,"",AN54+IF(I54="yes",AN54*Inputs!$B$10*Inputs!$B$9,0)+IFERROR(INDEX(Inputs!$B$13:$B$15,MATCH(G54,Inputs!$A$13:$A$15,0)),0)+IFERROR(INDEX(Inputs!$B$18:$B$24,MATCH(H54,Inputs!$A$18:$A$24,0)),0))</f>
        <v>0.08</v>
      </c>
      <c r="AY54" s="28" t="n">
        <f aca="false">IF(OR(N(AX54)&lt;=0,N(AW54)=0,N(AV54)=0),"",MIN(AV54,AW54/AX54))</f>
        <v>20.375</v>
      </c>
      <c r="AZ54" s="29" t="n">
        <f aca="false">IF(OR(AY54="",N(O54)=0),"",AY54/O54-1)</f>
        <v>-0.205653021442495</v>
      </c>
      <c r="BA54" s="29" t="n">
        <f aca="false">IF(OR(AZ54="",N(O54)=0),"",AZ54+AW54/O54)</f>
        <v>-0.142105263157895</v>
      </c>
      <c r="BB54" s="32" t="n">
        <f aca="false">IF(OR(BA54="",N(AR54)=0),"",BA54-AR54)</f>
        <v>0</v>
      </c>
      <c r="BC54" s="35" t="n">
        <f aca="false">IF(OR(BA54="",N(U54)=0),"",BA54-U54)</f>
        <v>0.0882607753952786</v>
      </c>
      <c r="BD54" s="37"/>
    </row>
    <row r="55" customFormat="false" ht="15" hidden="false" customHeight="false" outlineLevel="0" collapsed="false">
      <c r="A55" s="2" t="s">
        <v>140</v>
      </c>
      <c r="B55" s="2" t="n">
        <v>91</v>
      </c>
      <c r="C55" s="2" t="s">
        <v>228</v>
      </c>
      <c r="D55" s="2" t="s">
        <v>221</v>
      </c>
      <c r="E55" s="2" t="s">
        <v>222</v>
      </c>
      <c r="F55" s="27" t="n">
        <v>12900</v>
      </c>
      <c r="G55" s="2" t="s">
        <v>51</v>
      </c>
      <c r="H55" s="2" t="s">
        <v>59</v>
      </c>
      <c r="I55" s="2" t="s">
        <v>144</v>
      </c>
      <c r="J55" s="2" t="s">
        <v>145</v>
      </c>
      <c r="K55" s="2" t="n">
        <v>4</v>
      </c>
      <c r="L55" s="28" t="n">
        <v>25</v>
      </c>
      <c r="M55" s="29" t="n">
        <v>0.06125</v>
      </c>
      <c r="N55" s="28" t="n">
        <v>1.53125</v>
      </c>
      <c r="O55" s="28" t="n">
        <v>25.38</v>
      </c>
      <c r="P55" s="2" t="s">
        <v>146</v>
      </c>
      <c r="Q55" s="29" t="n">
        <v>0.09</v>
      </c>
      <c r="R55" s="30" t="n">
        <v>0.09</v>
      </c>
      <c r="S55" s="31" t="n">
        <v>17.0138888888889</v>
      </c>
      <c r="T55" s="30" t="n">
        <v>-0.329634007529989</v>
      </c>
      <c r="U55" s="30" t="n">
        <v>-0.269301068207688</v>
      </c>
      <c r="V55" s="29" t="n">
        <v>0</v>
      </c>
      <c r="W55" s="29" t="n">
        <f aca="false">IF(N(Q55)=0,"",Q55+IF(I55="yes",Q55*Inputs!$B$10*Inputs!$B$9,0)+V55)</f>
        <v>0.09</v>
      </c>
      <c r="X55" s="28" t="n">
        <f aca="false">IF(OR(N(W55)&lt;=0,N(N55)=0,N(L55)=0),"",MIN(L55,N55/W55))</f>
        <v>17.0138888888889</v>
      </c>
      <c r="Y55" s="29" t="n">
        <f aca="false">IF(OR(X55="",N(O55)=0),"",X55/O55-1)</f>
        <v>-0.329634007529989</v>
      </c>
      <c r="Z55" s="29" t="n">
        <f aca="false">IF(OR(Y55="",N(O55)=0),"",Y55+N55/O55)</f>
        <v>-0.269301068207688</v>
      </c>
      <c r="AA55" s="32" t="n">
        <f aca="false">IF(OR(Z55="",N(U55)=0),"",Z55-U55)</f>
        <v>0</v>
      </c>
      <c r="AB55" s="29" t="n">
        <f aca="false">IF(N(Q55)=0,"",Q55+IF(I55="yes",Q55*Inputs!$B$10*Inputs!$B$9,0)+IFERROR(INDEX(Inputs!$B$13:$B$15,MATCH(G55,Inputs!$A$13:$A$15,0)),0)+IFERROR(INDEX(Inputs!$B$18:$B$24,MATCH(H55,Inputs!$A$18:$A$24,0)),0))</f>
        <v>0.09</v>
      </c>
      <c r="AC55" s="28" t="n">
        <f aca="false">IF(OR(N(AB55)&lt;=0,N(N55)=0,N(L55)=0),"",MIN(L55,N55/AB55))</f>
        <v>17.0138888888889</v>
      </c>
      <c r="AD55" s="29" t="n">
        <f aca="false">IF(OR(AC55="",N(O55)=0),"",AC55/O55-1)</f>
        <v>-0.329634007529989</v>
      </c>
      <c r="AE55" s="29" t="n">
        <f aca="false">IF(OR(AD55="",N(O55)=0),"",AD55+N55/O55)</f>
        <v>-0.269301068207688</v>
      </c>
      <c r="AF55" s="32" t="n">
        <f aca="false">IF(OR(AE55="",N(Z55)=0),"",AE55-Z55)</f>
        <v>0</v>
      </c>
      <c r="AG55" s="28" t="n">
        <f aca="false">IF(AND(N(M55)&gt;0,N(L55)&gt;0),M55*L55,N55)</f>
        <v>1.53125</v>
      </c>
      <c r="AH55" s="28" t="n">
        <f aca="false">IF(OR(N(AB55)&lt;=0,N(AG55)=0,N(L55)=0),"",MIN(L55,AG55/AB55))</f>
        <v>17.0138888888889</v>
      </c>
      <c r="AI55" s="29" t="n">
        <f aca="false">IF(OR(AH55="",N(O55)=0),"",AH55/O55-1)</f>
        <v>-0.329634007529989</v>
      </c>
      <c r="AJ55" s="29" t="n">
        <f aca="false">IF(OR(AI55="",N(O55)=0),"",AI55+AG55/O55)</f>
        <v>-0.269301068207688</v>
      </c>
      <c r="AK55" s="32" t="n">
        <f aca="false">IF(OR(AJ55="",N(AE55)=0),"",AJ55-AE55)</f>
        <v>0</v>
      </c>
      <c r="AL55" s="33" t="n">
        <f aca="false">IF(N(F55)=0,"",INDEX(Inputs!$B$28:$B$32,IFERROR(MATCH(F55,Inputs!$A$28:$A$32,1),0)+1))</f>
        <v>0.08</v>
      </c>
      <c r="AM55" s="34"/>
      <c r="AN55" s="33" t="n">
        <f aca="false">IF(N(AM55)&gt;0,AM55,AL55)</f>
        <v>0.08</v>
      </c>
      <c r="AO55" s="29" t="n">
        <f aca="false">IF(N(AN55)=0,"",AN55+IF(I55="yes",AN55*Inputs!$B$10*Inputs!$B$9,0)+IFERROR(INDEX(Inputs!$B$13:$B$15,MATCH(G55,Inputs!$A$13:$A$15,0)),0)+IFERROR(INDEX(Inputs!$B$18:$B$24,MATCH(H55,Inputs!$A$18:$A$24,0)),0))</f>
        <v>0.08</v>
      </c>
      <c r="AP55" s="28" t="n">
        <f aca="false">IF(OR(N(AO55)&lt;=0,N(AG55)=0,N(L55)=0),"",MIN(L55,AG55/AO55))</f>
        <v>19.140625</v>
      </c>
      <c r="AQ55" s="29" t="n">
        <f aca="false">IF(OR(AP55="",N(O55)=0),"",AP55/O55-1)</f>
        <v>-0.245838258471237</v>
      </c>
      <c r="AR55" s="29" t="n">
        <f aca="false">IF(OR(AQ55="",N(O55)=0),"",AQ55+AG55/O55)</f>
        <v>-0.185505319148936</v>
      </c>
      <c r="AS55" s="32" t="n">
        <f aca="false">IF(OR(AR55="",N(AJ55)=0),"",AR55-AJ55)</f>
        <v>0.0837957490587515</v>
      </c>
      <c r="AT55" s="28" t="n">
        <v>25</v>
      </c>
      <c r="AU55" s="28" t="n">
        <v>1.53125</v>
      </c>
      <c r="AV55" s="28" t="n">
        <f aca="false">IF(N(AT55)&gt;0,AT55,L55)</f>
        <v>25</v>
      </c>
      <c r="AW55" s="28" t="n">
        <f aca="false">IF(AND(N(M55)&gt;0,N(AV55)&gt;0),M55*AV55,IF(N(AU55)&gt;0,AU55,N55))</f>
        <v>1.53125</v>
      </c>
      <c r="AX55" s="29" t="n">
        <f aca="false">IF(N(AN55)=0,"",AN55+IF(I55="yes",AN55*Inputs!$B$10*Inputs!$B$9,0)+IFERROR(INDEX(Inputs!$B$13:$B$15,MATCH(G55,Inputs!$A$13:$A$15,0)),0)+IFERROR(INDEX(Inputs!$B$18:$B$24,MATCH(H55,Inputs!$A$18:$A$24,0)),0))</f>
        <v>0.08</v>
      </c>
      <c r="AY55" s="28" t="n">
        <f aca="false">IF(OR(N(AX55)&lt;=0,N(AW55)=0,N(AV55)=0),"",MIN(AV55,AW55/AX55))</f>
        <v>19.140625</v>
      </c>
      <c r="AZ55" s="29" t="n">
        <f aca="false">IF(OR(AY55="",N(O55)=0),"",AY55/O55-1)</f>
        <v>-0.245838258471237</v>
      </c>
      <c r="BA55" s="29" t="n">
        <f aca="false">IF(OR(AZ55="",N(O55)=0),"",AZ55+AW55/O55)</f>
        <v>-0.185505319148936</v>
      </c>
      <c r="BB55" s="32" t="n">
        <f aca="false">IF(OR(BA55="",N(AR55)=0),"",BA55-AR55)</f>
        <v>0</v>
      </c>
      <c r="BC55" s="35" t="n">
        <f aca="false">IF(OR(BA55="",N(U55)=0),"",BA55-U55)</f>
        <v>0.0837957490587515</v>
      </c>
      <c r="BD55" s="37"/>
    </row>
    <row r="56" customFormat="false" ht="15" hidden="false" customHeight="false" outlineLevel="0" collapsed="false">
      <c r="A56" s="2" t="s">
        <v>140</v>
      </c>
      <c r="B56" s="2" t="n">
        <v>94</v>
      </c>
      <c r="C56" s="2" t="s">
        <v>229</v>
      </c>
      <c r="D56" s="2" t="s">
        <v>230</v>
      </c>
      <c r="E56" s="2" t="s">
        <v>143</v>
      </c>
      <c r="F56" s="27"/>
      <c r="G56" s="2" t="s">
        <v>51</v>
      </c>
      <c r="H56" s="2" t="s">
        <v>58</v>
      </c>
      <c r="I56" s="2" t="s">
        <v>151</v>
      </c>
      <c r="J56" s="2" t="s">
        <v>145</v>
      </c>
      <c r="K56" s="2" t="n">
        <v>4</v>
      </c>
      <c r="L56" s="28" t="n">
        <v>3.125</v>
      </c>
      <c r="M56" s="29" t="n">
        <v>0.08</v>
      </c>
      <c r="N56" s="28" t="n">
        <v>0.25</v>
      </c>
      <c r="O56" s="28" t="n">
        <v>2.93</v>
      </c>
      <c r="P56" s="2" t="s">
        <v>146</v>
      </c>
      <c r="Q56" s="29" t="n">
        <v>0</v>
      </c>
      <c r="R56" s="30" t="n">
        <v>0</v>
      </c>
      <c r="S56" s="31"/>
      <c r="T56" s="30"/>
      <c r="U56" s="30"/>
      <c r="V56" s="29" t="n">
        <v>0</v>
      </c>
      <c r="W56" s="29" t="str">
        <f aca="false">IF(N(Q56)=0,"",Q56+IF(I56="yes",Q56*Inputs!$B$10*Inputs!$B$9,0)+V56)</f>
        <v/>
      </c>
      <c r="X56" s="28" t="str">
        <f aca="false">IF(OR(N(W56)&lt;=0,N(N56)=0,N(L56)=0),"",MIN(L56,N56/W56))</f>
        <v/>
      </c>
      <c r="Y56" s="29" t="str">
        <f aca="false">IF(OR(X56="",N(O56)=0),"",X56/O56-1)</f>
        <v/>
      </c>
      <c r="Z56" s="29" t="str">
        <f aca="false">IF(OR(Y56="",N(O56)=0),"",Y56+N56/O56)</f>
        <v/>
      </c>
      <c r="AA56" s="32" t="str">
        <f aca="false">IF(OR(Z56="",N(U56)=0),"",Z56-U56)</f>
        <v/>
      </c>
      <c r="AB56" s="29" t="str">
        <f aca="false">IF(N(Q56)=0,"",Q56+IF(I56="yes",Q56*Inputs!$B$10*Inputs!$B$9,0)+IFERROR(INDEX(Inputs!$B$13:$B$15,MATCH(G56,Inputs!$A$13:$A$15,0)),0)+IFERROR(INDEX(Inputs!$B$18:$B$24,MATCH(H56,Inputs!$A$18:$A$24,0)),0))</f>
        <v/>
      </c>
      <c r="AC56" s="28" t="str">
        <f aca="false">IF(OR(N(AB56)&lt;=0,N(N56)=0,N(L56)=0),"",MIN(L56,N56/AB56))</f>
        <v/>
      </c>
      <c r="AD56" s="29" t="str">
        <f aca="false">IF(OR(AC56="",N(O56)=0),"",AC56/O56-1)</f>
        <v/>
      </c>
      <c r="AE56" s="29" t="str">
        <f aca="false">IF(OR(AD56="",N(O56)=0),"",AD56+N56/O56)</f>
        <v/>
      </c>
      <c r="AF56" s="32" t="str">
        <f aca="false">IF(OR(AE56="",N(Z56)=0),"",AE56-Z56)</f>
        <v/>
      </c>
      <c r="AG56" s="28" t="n">
        <f aca="false">IF(AND(N(M56)&gt;0,N(L56)&gt;0),M56*L56,N56)</f>
        <v>0.25</v>
      </c>
      <c r="AH56" s="28" t="str">
        <f aca="false">IF(OR(N(AB56)&lt;=0,N(AG56)=0,N(L56)=0),"",MIN(L56,AG56/AB56))</f>
        <v/>
      </c>
      <c r="AI56" s="29" t="str">
        <f aca="false">IF(OR(AH56="",N(O56)=0),"",AH56/O56-1)</f>
        <v/>
      </c>
      <c r="AJ56" s="29" t="str">
        <f aca="false">IF(OR(AI56="",N(O56)=0),"",AI56+AG56/O56)</f>
        <v/>
      </c>
      <c r="AK56" s="32" t="str">
        <f aca="false">IF(OR(AJ56="",N(AE56)=0),"",AJ56-AE56)</f>
        <v/>
      </c>
      <c r="AL56" s="33" t="str">
        <f aca="false">IF(N(F56)=0,"",INDEX(Inputs!$B$28:$B$32,IFERROR(MATCH(F56,Inputs!$A$28:$A$32,1),0)+1))</f>
        <v/>
      </c>
      <c r="AM56" s="34"/>
      <c r="AN56" s="33" t="str">
        <f aca="false">IF(N(AM56)&gt;0,AM56,AL56)</f>
        <v/>
      </c>
      <c r="AO56" s="29" t="str">
        <f aca="false">IF(N(AN56)=0,"",AN56+IF(I56="yes",AN56*Inputs!$B$10*Inputs!$B$9,0)+IFERROR(INDEX(Inputs!$B$13:$B$15,MATCH(G56,Inputs!$A$13:$A$15,0)),0)+IFERROR(INDEX(Inputs!$B$18:$B$24,MATCH(H56,Inputs!$A$18:$A$24,0)),0))</f>
        <v/>
      </c>
      <c r="AP56" s="28" t="str">
        <f aca="false">IF(OR(N(AO56)&lt;=0,N(AG56)=0,N(L56)=0),"",MIN(L56,AG56/AO56))</f>
        <v/>
      </c>
      <c r="AQ56" s="29" t="str">
        <f aca="false">IF(OR(AP56="",N(O56)=0),"",AP56/O56-1)</f>
        <v/>
      </c>
      <c r="AR56" s="29" t="str">
        <f aca="false">IF(OR(AQ56="",N(O56)=0),"",AQ56+AG56/O56)</f>
        <v/>
      </c>
      <c r="AS56" s="32" t="str">
        <f aca="false">IF(OR(AR56="",N(AJ56)=0),"",AR56-AJ56)</f>
        <v/>
      </c>
      <c r="AT56" s="28" t="n">
        <v>3.13</v>
      </c>
      <c r="AU56" s="28" t="n">
        <v>0.25</v>
      </c>
      <c r="AV56" s="28" t="n">
        <f aca="false">IF(N(AT56)&gt;0,AT56,L56)</f>
        <v>3.13</v>
      </c>
      <c r="AW56" s="28" t="n">
        <f aca="false">IF(AND(N(M56)&gt;0,N(AV56)&gt;0),M56*AV56,IF(N(AU56)&gt;0,AU56,N56))</f>
        <v>0.2504</v>
      </c>
      <c r="AX56" s="29" t="str">
        <f aca="false">IF(N(AN56)=0,"",AN56+IF(I56="yes",AN56*Inputs!$B$10*Inputs!$B$9,0)+IFERROR(INDEX(Inputs!$B$13:$B$15,MATCH(G56,Inputs!$A$13:$A$15,0)),0)+IFERROR(INDEX(Inputs!$B$18:$B$24,MATCH(H56,Inputs!$A$18:$A$24,0)),0))</f>
        <v/>
      </c>
      <c r="AY56" s="28" t="str">
        <f aca="false">IF(OR(N(AX56)&lt;=0,N(AW56)=0,N(AV56)=0),"",MIN(AV56,AW56/AX56))</f>
        <v/>
      </c>
      <c r="AZ56" s="29" t="str">
        <f aca="false">IF(OR(AY56="",N(O56)=0),"",AY56/O56-1)</f>
        <v/>
      </c>
      <c r="BA56" s="29" t="str">
        <f aca="false">IF(OR(AZ56="",N(O56)=0),"",AZ56+AW56/O56)</f>
        <v/>
      </c>
      <c r="BB56" s="32" t="str">
        <f aca="false">IF(OR(BA56="",N(AR56)=0),"",BA56-AR56)</f>
        <v/>
      </c>
      <c r="BC56" s="35" t="str">
        <f aca="false">IF(OR(BA56="",N(U56)=0),"",BA56-U56)</f>
        <v/>
      </c>
      <c r="BD56" s="36" t="s">
        <v>231</v>
      </c>
    </row>
    <row r="57" customFormat="false" ht="15" hidden="false" customHeight="false" outlineLevel="0" collapsed="false">
      <c r="A57" s="2" t="s">
        <v>140</v>
      </c>
      <c r="B57" s="2" t="n">
        <v>98</v>
      </c>
      <c r="C57" s="2" t="s">
        <v>232</v>
      </c>
      <c r="D57" s="2" t="s">
        <v>233</v>
      </c>
      <c r="E57" s="2" t="s">
        <v>143</v>
      </c>
      <c r="F57" s="27"/>
      <c r="G57" s="2" t="s">
        <v>51</v>
      </c>
      <c r="H57" s="2" t="s">
        <v>58</v>
      </c>
      <c r="I57" s="2" t="s">
        <v>144</v>
      </c>
      <c r="J57" s="2" t="s">
        <v>145</v>
      </c>
      <c r="K57" s="2" t="n">
        <v>4</v>
      </c>
      <c r="L57" s="28" t="n">
        <v>25</v>
      </c>
      <c r="M57" s="29" t="n">
        <v>0.0675</v>
      </c>
      <c r="N57" s="28" t="n">
        <v>1.6875</v>
      </c>
      <c r="O57" s="28" t="n">
        <v>0</v>
      </c>
      <c r="P57" s="2" t="s">
        <v>146</v>
      </c>
      <c r="Q57" s="29" t="n">
        <v>0</v>
      </c>
      <c r="R57" s="30" t="n">
        <v>0</v>
      </c>
      <c r="S57" s="31"/>
      <c r="T57" s="30"/>
      <c r="U57" s="30"/>
      <c r="V57" s="29" t="n">
        <v>0</v>
      </c>
      <c r="W57" s="29" t="str">
        <f aca="false">IF(N(Q57)=0,"",Q57+IF(I57="yes",Q57*Inputs!$B$10*Inputs!$B$9,0)+V57)</f>
        <v/>
      </c>
      <c r="X57" s="28" t="str">
        <f aca="false">IF(OR(N(W57)&lt;=0,N(N57)=0,N(L57)=0),"",MIN(L57,N57/W57))</f>
        <v/>
      </c>
      <c r="Y57" s="29" t="str">
        <f aca="false">IF(OR(X57="",N(O57)=0),"",X57/O57-1)</f>
        <v/>
      </c>
      <c r="Z57" s="29" t="str">
        <f aca="false">IF(OR(Y57="",N(O57)=0),"",Y57+N57/O57)</f>
        <v/>
      </c>
      <c r="AA57" s="32" t="str">
        <f aca="false">IF(OR(Z57="",N(U57)=0),"",Z57-U57)</f>
        <v/>
      </c>
      <c r="AB57" s="29" t="str">
        <f aca="false">IF(N(Q57)=0,"",Q57+IF(I57="yes",Q57*Inputs!$B$10*Inputs!$B$9,0)+IFERROR(INDEX(Inputs!$B$13:$B$15,MATCH(G57,Inputs!$A$13:$A$15,0)),0)+IFERROR(INDEX(Inputs!$B$18:$B$24,MATCH(H57,Inputs!$A$18:$A$24,0)),0))</f>
        <v/>
      </c>
      <c r="AC57" s="28" t="str">
        <f aca="false">IF(OR(N(AB57)&lt;=0,N(N57)=0,N(L57)=0),"",MIN(L57,N57/AB57))</f>
        <v/>
      </c>
      <c r="AD57" s="29" t="str">
        <f aca="false">IF(OR(AC57="",N(O57)=0),"",AC57/O57-1)</f>
        <v/>
      </c>
      <c r="AE57" s="29" t="str">
        <f aca="false">IF(OR(AD57="",N(O57)=0),"",AD57+N57/O57)</f>
        <v/>
      </c>
      <c r="AF57" s="32" t="str">
        <f aca="false">IF(OR(AE57="",N(Z57)=0),"",AE57-Z57)</f>
        <v/>
      </c>
      <c r="AG57" s="28" t="n">
        <f aca="false">IF(AND(N(M57)&gt;0,N(L57)&gt;0),M57*L57,N57)</f>
        <v>1.6875</v>
      </c>
      <c r="AH57" s="28" t="str">
        <f aca="false">IF(OR(N(AB57)&lt;=0,N(AG57)=0,N(L57)=0),"",MIN(L57,AG57/AB57))</f>
        <v/>
      </c>
      <c r="AI57" s="29" t="str">
        <f aca="false">IF(OR(AH57="",N(O57)=0),"",AH57/O57-1)</f>
        <v/>
      </c>
      <c r="AJ57" s="29" t="str">
        <f aca="false">IF(OR(AI57="",N(O57)=0),"",AI57+AG57/O57)</f>
        <v/>
      </c>
      <c r="AK57" s="32" t="str">
        <f aca="false">IF(OR(AJ57="",N(AE57)=0),"",AJ57-AE57)</f>
        <v/>
      </c>
      <c r="AL57" s="33" t="str">
        <f aca="false">IF(N(F57)=0,"",INDEX(Inputs!$B$28:$B$32,IFERROR(MATCH(F57,Inputs!$A$28:$A$32,1),0)+1))</f>
        <v/>
      </c>
      <c r="AM57" s="34"/>
      <c r="AN57" s="33" t="str">
        <f aca="false">IF(N(AM57)&gt;0,AM57,AL57)</f>
        <v/>
      </c>
      <c r="AO57" s="29" t="str">
        <f aca="false">IF(N(AN57)=0,"",AN57+IF(I57="yes",AN57*Inputs!$B$10*Inputs!$B$9,0)+IFERROR(INDEX(Inputs!$B$13:$B$15,MATCH(G57,Inputs!$A$13:$A$15,0)),0)+IFERROR(INDEX(Inputs!$B$18:$B$24,MATCH(H57,Inputs!$A$18:$A$24,0)),0))</f>
        <v/>
      </c>
      <c r="AP57" s="28" t="str">
        <f aca="false">IF(OR(N(AO57)&lt;=0,N(AG57)=0,N(L57)=0),"",MIN(L57,AG57/AO57))</f>
        <v/>
      </c>
      <c r="AQ57" s="29" t="str">
        <f aca="false">IF(OR(AP57="",N(O57)=0),"",AP57/O57-1)</f>
        <v/>
      </c>
      <c r="AR57" s="29" t="str">
        <f aca="false">IF(OR(AQ57="",N(O57)=0),"",AQ57+AG57/O57)</f>
        <v/>
      </c>
      <c r="AS57" s="32" t="str">
        <f aca="false">IF(OR(AR57="",N(AJ57)=0),"",AR57-AJ57)</f>
        <v/>
      </c>
      <c r="AT57" s="28"/>
      <c r="AU57" s="28"/>
      <c r="AV57" s="28" t="n">
        <f aca="false">IF(N(AT57)&gt;0,AT57,L57)</f>
        <v>25</v>
      </c>
      <c r="AW57" s="28" t="n">
        <f aca="false">IF(AND(N(M57)&gt;0,N(AV57)&gt;0),M57*AV57,IF(N(AU57)&gt;0,AU57,N57))</f>
        <v>1.6875</v>
      </c>
      <c r="AX57" s="29" t="str">
        <f aca="false">IF(N(AN57)=0,"",AN57+IF(I57="yes",AN57*Inputs!$B$10*Inputs!$B$9,0)+IFERROR(INDEX(Inputs!$B$13:$B$15,MATCH(G57,Inputs!$A$13:$A$15,0)),0)+IFERROR(INDEX(Inputs!$B$18:$B$24,MATCH(H57,Inputs!$A$18:$A$24,0)),0))</f>
        <v/>
      </c>
      <c r="AY57" s="28" t="str">
        <f aca="false">IF(OR(N(AX57)&lt;=0,N(AW57)=0,N(AV57)=0),"",MIN(AV57,AW57/AX57))</f>
        <v/>
      </c>
      <c r="AZ57" s="29" t="str">
        <f aca="false">IF(OR(AY57="",N(O57)=0),"",AY57/O57-1)</f>
        <v/>
      </c>
      <c r="BA57" s="29" t="str">
        <f aca="false">IF(OR(AZ57="",N(O57)=0),"",AZ57+AW57/O57)</f>
        <v/>
      </c>
      <c r="BB57" s="32" t="str">
        <f aca="false">IF(OR(BA57="",N(AR57)=0),"",BA57-AR57)</f>
        <v/>
      </c>
      <c r="BC57" s="35" t="str">
        <f aca="false">IF(OR(BA57="",N(U57)=0),"",BA57-U57)</f>
        <v/>
      </c>
      <c r="BD57" s="36" t="s">
        <v>147</v>
      </c>
    </row>
    <row r="58" customFormat="false" ht="15" hidden="false" customHeight="false" outlineLevel="0" collapsed="false">
      <c r="A58" s="2" t="s">
        <v>140</v>
      </c>
      <c r="B58" s="2" t="n">
        <v>102</v>
      </c>
      <c r="C58" s="2" t="s">
        <v>234</v>
      </c>
      <c r="D58" s="2" t="s">
        <v>235</v>
      </c>
      <c r="E58" s="2" t="s">
        <v>236</v>
      </c>
      <c r="F58" s="27" t="n">
        <v>21</v>
      </c>
      <c r="G58" s="2" t="s">
        <v>51</v>
      </c>
      <c r="H58" s="2" t="s">
        <v>58</v>
      </c>
      <c r="I58" s="2" t="s">
        <v>144</v>
      </c>
      <c r="J58" s="2" t="s">
        <v>145</v>
      </c>
      <c r="K58" s="2" t="n">
        <v>4</v>
      </c>
      <c r="L58" s="28" t="n">
        <v>25</v>
      </c>
      <c r="M58" s="29" t="n">
        <v>0.0845</v>
      </c>
      <c r="N58" s="28" t="n">
        <v>2.1125</v>
      </c>
      <c r="O58" s="28" t="n">
        <v>7.61</v>
      </c>
      <c r="P58" s="2" t="s">
        <v>237</v>
      </c>
      <c r="Q58" s="29" t="n">
        <v>0.1</v>
      </c>
      <c r="R58" s="30" t="n">
        <v>0.085</v>
      </c>
      <c r="S58" s="31" t="n">
        <v>24.8529411764706</v>
      </c>
      <c r="T58" s="30" t="n">
        <v>2.26582669861637</v>
      </c>
      <c r="U58" s="30" t="n">
        <v>2.54342196799876</v>
      </c>
      <c r="V58" s="29" t="n">
        <v>0</v>
      </c>
      <c r="W58" s="29" t="n">
        <f aca="false">IF(N(Q58)=0,"",Q58+IF(I58="yes",Q58*Inputs!$B$10*Inputs!$B$9,0)+V58)</f>
        <v>0.1</v>
      </c>
      <c r="X58" s="28" t="n">
        <f aca="false">IF(OR(N(W58)&lt;=0,N(N58)=0,N(L58)=0),"",MIN(L58,N58/W58))</f>
        <v>21.125</v>
      </c>
      <c r="Y58" s="29" t="n">
        <f aca="false">IF(OR(X58="",N(O58)=0),"",X58/O58-1)</f>
        <v>1.77595269382392</v>
      </c>
      <c r="Z58" s="29" t="n">
        <f aca="false">IF(OR(Y58="",N(O58)=0),"",Y58+N58/O58)</f>
        <v>2.05354796320631</v>
      </c>
      <c r="AA58" s="32" t="n">
        <f aca="false">IF(OR(Z58="",N(U58)=0),"",Z58-U58)</f>
        <v>-0.489874004792455</v>
      </c>
      <c r="AB58" s="29" t="n">
        <f aca="false">IF(N(Q58)=0,"",Q58+IF(I58="yes",Q58*Inputs!$B$10*Inputs!$B$9,0)+IFERROR(INDEX(Inputs!$B$13:$B$15,MATCH(G58,Inputs!$A$13:$A$15,0)),0)+IFERROR(INDEX(Inputs!$B$18:$B$24,MATCH(H58,Inputs!$A$18:$A$24,0)),0))</f>
        <v>0.1</v>
      </c>
      <c r="AC58" s="28" t="n">
        <f aca="false">IF(OR(N(AB58)&lt;=0,N(N58)=0,N(L58)=0),"",MIN(L58,N58/AB58))</f>
        <v>21.125</v>
      </c>
      <c r="AD58" s="29" t="n">
        <f aca="false">IF(OR(AC58="",N(O58)=0),"",AC58/O58-1)</f>
        <v>1.77595269382392</v>
      </c>
      <c r="AE58" s="29" t="n">
        <f aca="false">IF(OR(AD58="",N(O58)=0),"",AD58+N58/O58)</f>
        <v>2.05354796320631</v>
      </c>
      <c r="AF58" s="32" t="n">
        <f aca="false">IF(OR(AE58="",N(Z58)=0),"",AE58-Z58)</f>
        <v>0</v>
      </c>
      <c r="AG58" s="28" t="n">
        <f aca="false">IF(AND(N(M58)&gt;0,N(L58)&gt;0),M58*L58,N58)</f>
        <v>2.1125</v>
      </c>
      <c r="AH58" s="28" t="n">
        <f aca="false">IF(OR(N(AB58)&lt;=0,N(AG58)=0,N(L58)=0),"",MIN(L58,AG58/AB58))</f>
        <v>21.125</v>
      </c>
      <c r="AI58" s="29" t="n">
        <f aca="false">IF(OR(AH58="",N(O58)=0),"",AH58/O58-1)</f>
        <v>1.77595269382392</v>
      </c>
      <c r="AJ58" s="29" t="n">
        <f aca="false">IF(OR(AI58="",N(O58)=0),"",AI58+AG58/O58)</f>
        <v>2.05354796320631</v>
      </c>
      <c r="AK58" s="32" t="n">
        <f aca="false">IF(OR(AJ58="",N(AE58)=0),"",AJ58-AE58)</f>
        <v>0</v>
      </c>
      <c r="AL58" s="33" t="n">
        <f aca="false">IF(N(F58)=0,"",INDEX(Inputs!$B$28:$B$32,IFERROR(MATCH(F58,Inputs!$A$28:$A$32,1),0)+1))</f>
        <v>0.1</v>
      </c>
      <c r="AM58" s="34" t="n">
        <v>0.085</v>
      </c>
      <c r="AN58" s="33" t="n">
        <f aca="false">IF(N(AM58)&gt;0,AM58,AL58)</f>
        <v>0.085</v>
      </c>
      <c r="AO58" s="29" t="n">
        <f aca="false">IF(N(AN58)=0,"",AN58+IF(I58="yes",AN58*Inputs!$B$10*Inputs!$B$9,0)+IFERROR(INDEX(Inputs!$B$13:$B$15,MATCH(G58,Inputs!$A$13:$A$15,0)),0)+IFERROR(INDEX(Inputs!$B$18:$B$24,MATCH(H58,Inputs!$A$18:$A$24,0)),0))</f>
        <v>0.085</v>
      </c>
      <c r="AP58" s="28" t="n">
        <f aca="false">IF(OR(N(AO58)&lt;=0,N(AG58)=0,N(L58)=0),"",MIN(L58,AG58/AO58))</f>
        <v>24.8529411764706</v>
      </c>
      <c r="AQ58" s="29" t="n">
        <f aca="false">IF(OR(AP58="",N(O58)=0),"",AP58/O58-1)</f>
        <v>2.26582669861637</v>
      </c>
      <c r="AR58" s="29" t="n">
        <f aca="false">IF(OR(AQ58="",N(O58)=0),"",AQ58+AG58/O58)</f>
        <v>2.54342196799876</v>
      </c>
      <c r="AS58" s="32" t="n">
        <f aca="false">IF(OR(AR58="",N(AJ58)=0),"",AR58-AJ58)</f>
        <v>0.489874004792456</v>
      </c>
      <c r="AT58" s="28" t="n">
        <v>25</v>
      </c>
      <c r="AU58" s="28" t="n">
        <v>2.11</v>
      </c>
      <c r="AV58" s="28" t="n">
        <f aca="false">IF(N(AT58)&gt;0,AT58,L58)</f>
        <v>25</v>
      </c>
      <c r="AW58" s="28" t="n">
        <f aca="false">IF(AND(N(M58)&gt;0,N(AV58)&gt;0),M58*AV58,IF(N(AU58)&gt;0,AU58,N58))</f>
        <v>2.1125</v>
      </c>
      <c r="AX58" s="29" t="n">
        <f aca="false">IF(N(AN58)=0,"",AN58+IF(I58="yes",AN58*Inputs!$B$10*Inputs!$B$9,0)+IFERROR(INDEX(Inputs!$B$13:$B$15,MATCH(G58,Inputs!$A$13:$A$15,0)),0)+IFERROR(INDEX(Inputs!$B$18:$B$24,MATCH(H58,Inputs!$A$18:$A$24,0)),0))</f>
        <v>0.085</v>
      </c>
      <c r="AY58" s="28" t="n">
        <f aca="false">IF(OR(N(AX58)&lt;=0,N(AW58)=0,N(AV58)=0),"",MIN(AV58,AW58/AX58))</f>
        <v>24.8529411764706</v>
      </c>
      <c r="AZ58" s="29" t="n">
        <f aca="false">IF(OR(AY58="",N(O58)=0),"",AY58/O58-1)</f>
        <v>2.26582669861637</v>
      </c>
      <c r="BA58" s="29" t="n">
        <f aca="false">IF(OR(AZ58="",N(O58)=0),"",AZ58+AW58/O58)</f>
        <v>2.54342196799876</v>
      </c>
      <c r="BB58" s="32" t="n">
        <f aca="false">IF(OR(BA58="",N(AR58)=0),"",BA58-AR58)</f>
        <v>0</v>
      </c>
      <c r="BC58" s="35" t="n">
        <f aca="false">IF(OR(BA58="",N(U58)=0),"",BA58-U58)</f>
        <v>0</v>
      </c>
      <c r="BD58" s="36" t="s">
        <v>238</v>
      </c>
    </row>
    <row r="59" customFormat="false" ht="15" hidden="false" customHeight="false" outlineLevel="0" collapsed="false">
      <c r="A59" s="2" t="s">
        <v>140</v>
      </c>
      <c r="B59" s="2" t="n">
        <v>103</v>
      </c>
      <c r="C59" s="2" t="s">
        <v>239</v>
      </c>
      <c r="D59" s="2" t="s">
        <v>235</v>
      </c>
      <c r="E59" s="2" t="s">
        <v>236</v>
      </c>
      <c r="F59" s="27" t="n">
        <v>21</v>
      </c>
      <c r="G59" s="2" t="s">
        <v>51</v>
      </c>
      <c r="H59" s="2" t="s">
        <v>58</v>
      </c>
      <c r="I59" s="2" t="s">
        <v>144</v>
      </c>
      <c r="J59" s="2" t="s">
        <v>145</v>
      </c>
      <c r="K59" s="2" t="n">
        <v>4</v>
      </c>
      <c r="L59" s="28" t="n">
        <v>25</v>
      </c>
      <c r="M59" s="29" t="n">
        <v>0.07375</v>
      </c>
      <c r="N59" s="28" t="n">
        <v>1.84375</v>
      </c>
      <c r="O59" s="28" t="n">
        <v>6.44</v>
      </c>
      <c r="P59" s="2" t="s">
        <v>237</v>
      </c>
      <c r="Q59" s="29" t="n">
        <v>0.1</v>
      </c>
      <c r="R59" s="30" t="n">
        <v>0.085</v>
      </c>
      <c r="S59" s="31" t="n">
        <v>21.6911764705882</v>
      </c>
      <c r="T59" s="30" t="n">
        <v>2.36819510412861</v>
      </c>
      <c r="U59" s="30" t="n">
        <v>2.65449168797954</v>
      </c>
      <c r="V59" s="29" t="n">
        <v>0</v>
      </c>
      <c r="W59" s="29" t="n">
        <f aca="false">IF(N(Q59)=0,"",Q59+IF(I59="yes",Q59*Inputs!$B$10*Inputs!$B$9,0)+V59)</f>
        <v>0.1</v>
      </c>
      <c r="X59" s="28" t="n">
        <f aca="false">IF(OR(N(W59)&lt;=0,N(N59)=0,N(L59)=0),"",MIN(L59,N59/W59))</f>
        <v>18.4375</v>
      </c>
      <c r="Y59" s="29" t="n">
        <f aca="false">IF(OR(X59="",N(O59)=0),"",X59/O59-1)</f>
        <v>1.86296583850932</v>
      </c>
      <c r="Z59" s="29" t="n">
        <f aca="false">IF(OR(Y59="",N(O59)=0),"",Y59+N59/O59)</f>
        <v>2.14926242236025</v>
      </c>
      <c r="AA59" s="32" t="n">
        <f aca="false">IF(OR(Z59="",N(U59)=0),"",Z59-U59)</f>
        <v>-0.505229265619292</v>
      </c>
      <c r="AB59" s="29" t="n">
        <f aca="false">IF(N(Q59)=0,"",Q59+IF(I59="yes",Q59*Inputs!$B$10*Inputs!$B$9,0)+IFERROR(INDEX(Inputs!$B$13:$B$15,MATCH(G59,Inputs!$A$13:$A$15,0)),0)+IFERROR(INDEX(Inputs!$B$18:$B$24,MATCH(H59,Inputs!$A$18:$A$24,0)),0))</f>
        <v>0.1</v>
      </c>
      <c r="AC59" s="28" t="n">
        <f aca="false">IF(OR(N(AB59)&lt;=0,N(N59)=0,N(L59)=0),"",MIN(L59,N59/AB59))</f>
        <v>18.4375</v>
      </c>
      <c r="AD59" s="29" t="n">
        <f aca="false">IF(OR(AC59="",N(O59)=0),"",AC59/O59-1)</f>
        <v>1.86296583850932</v>
      </c>
      <c r="AE59" s="29" t="n">
        <f aca="false">IF(OR(AD59="",N(O59)=0),"",AD59+N59/O59)</f>
        <v>2.14926242236025</v>
      </c>
      <c r="AF59" s="32" t="n">
        <f aca="false">IF(OR(AE59="",N(Z59)=0),"",AE59-Z59)</f>
        <v>0</v>
      </c>
      <c r="AG59" s="28" t="n">
        <f aca="false">IF(AND(N(M59)&gt;0,N(L59)&gt;0),M59*L59,N59)</f>
        <v>1.84375</v>
      </c>
      <c r="AH59" s="28" t="n">
        <f aca="false">IF(OR(N(AB59)&lt;=0,N(AG59)=0,N(L59)=0),"",MIN(L59,AG59/AB59))</f>
        <v>18.4375</v>
      </c>
      <c r="AI59" s="29" t="n">
        <f aca="false">IF(OR(AH59="",N(O59)=0),"",AH59/O59-1)</f>
        <v>1.86296583850932</v>
      </c>
      <c r="AJ59" s="29" t="n">
        <f aca="false">IF(OR(AI59="",N(O59)=0),"",AI59+AG59/O59)</f>
        <v>2.14926242236025</v>
      </c>
      <c r="AK59" s="32" t="n">
        <f aca="false">IF(OR(AJ59="",N(AE59)=0),"",AJ59-AE59)</f>
        <v>0</v>
      </c>
      <c r="AL59" s="33" t="n">
        <f aca="false">IF(N(F59)=0,"",INDEX(Inputs!$B$28:$B$32,IFERROR(MATCH(F59,Inputs!$A$28:$A$32,1),0)+1))</f>
        <v>0.1</v>
      </c>
      <c r="AM59" s="34" t="n">
        <v>0.085</v>
      </c>
      <c r="AN59" s="33" t="n">
        <f aca="false">IF(N(AM59)&gt;0,AM59,AL59)</f>
        <v>0.085</v>
      </c>
      <c r="AO59" s="29" t="n">
        <f aca="false">IF(N(AN59)=0,"",AN59+IF(I59="yes",AN59*Inputs!$B$10*Inputs!$B$9,0)+IFERROR(INDEX(Inputs!$B$13:$B$15,MATCH(G59,Inputs!$A$13:$A$15,0)),0)+IFERROR(INDEX(Inputs!$B$18:$B$24,MATCH(H59,Inputs!$A$18:$A$24,0)),0))</f>
        <v>0.085</v>
      </c>
      <c r="AP59" s="28" t="n">
        <f aca="false">IF(OR(N(AO59)&lt;=0,N(AG59)=0,N(L59)=0),"",MIN(L59,AG59/AO59))</f>
        <v>21.6911764705882</v>
      </c>
      <c r="AQ59" s="29" t="n">
        <f aca="false">IF(OR(AP59="",N(O59)=0),"",AP59/O59-1)</f>
        <v>2.36819510412861</v>
      </c>
      <c r="AR59" s="29" t="n">
        <f aca="false">IF(OR(AQ59="",N(O59)=0),"",AQ59+AG59/O59)</f>
        <v>2.65449168797954</v>
      </c>
      <c r="AS59" s="32" t="n">
        <f aca="false">IF(OR(AR59="",N(AJ59)=0),"",AR59-AJ59)</f>
        <v>0.505229265619291</v>
      </c>
      <c r="AT59" s="28" t="n">
        <v>25</v>
      </c>
      <c r="AU59" s="28" t="n">
        <v>1.84</v>
      </c>
      <c r="AV59" s="28" t="n">
        <f aca="false">IF(N(AT59)&gt;0,AT59,L59)</f>
        <v>25</v>
      </c>
      <c r="AW59" s="28" t="n">
        <f aca="false">IF(AND(N(M59)&gt;0,N(AV59)&gt;0),M59*AV59,IF(N(AU59)&gt;0,AU59,N59))</f>
        <v>1.84375</v>
      </c>
      <c r="AX59" s="29" t="n">
        <f aca="false">IF(N(AN59)=0,"",AN59+IF(I59="yes",AN59*Inputs!$B$10*Inputs!$B$9,0)+IFERROR(INDEX(Inputs!$B$13:$B$15,MATCH(G59,Inputs!$A$13:$A$15,0)),0)+IFERROR(INDEX(Inputs!$B$18:$B$24,MATCH(H59,Inputs!$A$18:$A$24,0)),0))</f>
        <v>0.085</v>
      </c>
      <c r="AY59" s="28" t="n">
        <f aca="false">IF(OR(N(AX59)&lt;=0,N(AW59)=0,N(AV59)=0),"",MIN(AV59,AW59/AX59))</f>
        <v>21.6911764705882</v>
      </c>
      <c r="AZ59" s="29" t="n">
        <f aca="false">IF(OR(AY59="",N(O59)=0),"",AY59/O59-1)</f>
        <v>2.36819510412861</v>
      </c>
      <c r="BA59" s="29" t="n">
        <f aca="false">IF(OR(AZ59="",N(O59)=0),"",AZ59+AW59/O59)</f>
        <v>2.65449168797954</v>
      </c>
      <c r="BB59" s="32" t="n">
        <f aca="false">IF(OR(BA59="",N(AR59)=0),"",BA59-AR59)</f>
        <v>0</v>
      </c>
      <c r="BC59" s="35" t="n">
        <f aca="false">IF(OR(BA59="",N(U59)=0),"",BA59-U59)</f>
        <v>0</v>
      </c>
      <c r="BD59" s="36" t="s">
        <v>238</v>
      </c>
    </row>
    <row r="60" customFormat="false" ht="15" hidden="false" customHeight="false" outlineLevel="0" collapsed="false">
      <c r="A60" s="2" t="s">
        <v>140</v>
      </c>
      <c r="B60" s="2" t="n">
        <v>104</v>
      </c>
      <c r="C60" s="2" t="s">
        <v>240</v>
      </c>
      <c r="D60" s="2" t="s">
        <v>235</v>
      </c>
      <c r="E60" s="2" t="s">
        <v>236</v>
      </c>
      <c r="F60" s="27" t="n">
        <v>21</v>
      </c>
      <c r="G60" s="2" t="s">
        <v>51</v>
      </c>
      <c r="H60" s="2" t="s">
        <v>58</v>
      </c>
      <c r="I60" s="2" t="s">
        <v>144</v>
      </c>
      <c r="J60" s="2" t="s">
        <v>145</v>
      </c>
      <c r="K60" s="2" t="n">
        <v>4</v>
      </c>
      <c r="L60" s="28" t="n">
        <v>25</v>
      </c>
      <c r="M60" s="29" t="n">
        <v>0.07375</v>
      </c>
      <c r="N60" s="28" t="n">
        <v>1.84375</v>
      </c>
      <c r="O60" s="28" t="n">
        <v>6.45</v>
      </c>
      <c r="P60" s="2" t="s">
        <v>237</v>
      </c>
      <c r="Q60" s="29" t="n">
        <v>0.1</v>
      </c>
      <c r="R60" s="30" t="n">
        <v>0.085</v>
      </c>
      <c r="S60" s="31" t="n">
        <v>21.6911764705882</v>
      </c>
      <c r="T60" s="30" t="n">
        <v>2.36297309621523</v>
      </c>
      <c r="U60" s="30" t="n">
        <v>2.64882580939353</v>
      </c>
      <c r="V60" s="29" t="n">
        <v>0</v>
      </c>
      <c r="W60" s="29" t="n">
        <f aca="false">IF(N(Q60)=0,"",Q60+IF(I60="yes",Q60*Inputs!$B$10*Inputs!$B$9,0)+V60)</f>
        <v>0.1</v>
      </c>
      <c r="X60" s="28" t="n">
        <f aca="false">IF(OR(N(W60)&lt;=0,N(N60)=0,N(L60)=0),"",MIN(L60,N60/W60))</f>
        <v>18.4375</v>
      </c>
      <c r="Y60" s="29" t="n">
        <f aca="false">IF(OR(X60="",N(O60)=0),"",X60/O60-1)</f>
        <v>1.85852713178295</v>
      </c>
      <c r="Z60" s="29" t="n">
        <f aca="false">IF(OR(Y60="",N(O60)=0),"",Y60+N60/O60)</f>
        <v>2.14437984496124</v>
      </c>
      <c r="AA60" s="32" t="n">
        <f aca="false">IF(OR(Z60="",N(U60)=0),"",Z60-U60)</f>
        <v>-0.504445964432285</v>
      </c>
      <c r="AB60" s="29" t="n">
        <f aca="false">IF(N(Q60)=0,"",Q60+IF(I60="yes",Q60*Inputs!$B$10*Inputs!$B$9,0)+IFERROR(INDEX(Inputs!$B$13:$B$15,MATCH(G60,Inputs!$A$13:$A$15,0)),0)+IFERROR(INDEX(Inputs!$B$18:$B$24,MATCH(H60,Inputs!$A$18:$A$24,0)),0))</f>
        <v>0.1</v>
      </c>
      <c r="AC60" s="28" t="n">
        <f aca="false">IF(OR(N(AB60)&lt;=0,N(N60)=0,N(L60)=0),"",MIN(L60,N60/AB60))</f>
        <v>18.4375</v>
      </c>
      <c r="AD60" s="29" t="n">
        <f aca="false">IF(OR(AC60="",N(O60)=0),"",AC60/O60-1)</f>
        <v>1.85852713178295</v>
      </c>
      <c r="AE60" s="29" t="n">
        <f aca="false">IF(OR(AD60="",N(O60)=0),"",AD60+N60/O60)</f>
        <v>2.14437984496124</v>
      </c>
      <c r="AF60" s="32" t="n">
        <f aca="false">IF(OR(AE60="",N(Z60)=0),"",AE60-Z60)</f>
        <v>0</v>
      </c>
      <c r="AG60" s="28" t="n">
        <f aca="false">IF(AND(N(M60)&gt;0,N(L60)&gt;0),M60*L60,N60)</f>
        <v>1.84375</v>
      </c>
      <c r="AH60" s="28" t="n">
        <f aca="false">IF(OR(N(AB60)&lt;=0,N(AG60)=0,N(L60)=0),"",MIN(L60,AG60/AB60))</f>
        <v>18.4375</v>
      </c>
      <c r="AI60" s="29" t="n">
        <f aca="false">IF(OR(AH60="",N(O60)=0),"",AH60/O60-1)</f>
        <v>1.85852713178295</v>
      </c>
      <c r="AJ60" s="29" t="n">
        <f aca="false">IF(OR(AI60="",N(O60)=0),"",AI60+AG60/O60)</f>
        <v>2.14437984496124</v>
      </c>
      <c r="AK60" s="32" t="n">
        <f aca="false">IF(OR(AJ60="",N(AE60)=0),"",AJ60-AE60)</f>
        <v>0</v>
      </c>
      <c r="AL60" s="33" t="n">
        <f aca="false">IF(N(F60)=0,"",INDEX(Inputs!$B$28:$B$32,IFERROR(MATCH(F60,Inputs!$A$28:$A$32,1),0)+1))</f>
        <v>0.1</v>
      </c>
      <c r="AM60" s="34" t="n">
        <v>0.085</v>
      </c>
      <c r="AN60" s="33" t="n">
        <f aca="false">IF(N(AM60)&gt;0,AM60,AL60)</f>
        <v>0.085</v>
      </c>
      <c r="AO60" s="29" t="n">
        <f aca="false">IF(N(AN60)=0,"",AN60+IF(I60="yes",AN60*Inputs!$B$10*Inputs!$B$9,0)+IFERROR(INDEX(Inputs!$B$13:$B$15,MATCH(G60,Inputs!$A$13:$A$15,0)),0)+IFERROR(INDEX(Inputs!$B$18:$B$24,MATCH(H60,Inputs!$A$18:$A$24,0)),0))</f>
        <v>0.085</v>
      </c>
      <c r="AP60" s="28" t="n">
        <f aca="false">IF(OR(N(AO60)&lt;=0,N(AG60)=0,N(L60)=0),"",MIN(L60,AG60/AO60))</f>
        <v>21.6911764705882</v>
      </c>
      <c r="AQ60" s="29" t="n">
        <f aca="false">IF(OR(AP60="",N(O60)=0),"",AP60/O60-1)</f>
        <v>2.36297309621523</v>
      </c>
      <c r="AR60" s="29" t="n">
        <f aca="false">IF(OR(AQ60="",N(O60)=0),"",AQ60+AG60/O60)</f>
        <v>2.64882580939352</v>
      </c>
      <c r="AS60" s="32" t="n">
        <f aca="false">IF(OR(AR60="",N(AJ60)=0),"",AR60-AJ60)</f>
        <v>0.504445964432285</v>
      </c>
      <c r="AT60" s="28" t="n">
        <v>25</v>
      </c>
      <c r="AU60" s="28" t="n">
        <v>1.84</v>
      </c>
      <c r="AV60" s="28" t="n">
        <f aca="false">IF(N(AT60)&gt;0,AT60,L60)</f>
        <v>25</v>
      </c>
      <c r="AW60" s="28" t="n">
        <f aca="false">IF(AND(N(M60)&gt;0,N(AV60)&gt;0),M60*AV60,IF(N(AU60)&gt;0,AU60,N60))</f>
        <v>1.84375</v>
      </c>
      <c r="AX60" s="29" t="n">
        <f aca="false">IF(N(AN60)=0,"",AN60+IF(I60="yes",AN60*Inputs!$B$10*Inputs!$B$9,0)+IFERROR(INDEX(Inputs!$B$13:$B$15,MATCH(G60,Inputs!$A$13:$A$15,0)),0)+IFERROR(INDEX(Inputs!$B$18:$B$24,MATCH(H60,Inputs!$A$18:$A$24,0)),0))</f>
        <v>0.085</v>
      </c>
      <c r="AY60" s="28" t="n">
        <f aca="false">IF(OR(N(AX60)&lt;=0,N(AW60)=0,N(AV60)=0),"",MIN(AV60,AW60/AX60))</f>
        <v>21.6911764705882</v>
      </c>
      <c r="AZ60" s="29" t="n">
        <f aca="false">IF(OR(AY60="",N(O60)=0),"",AY60/O60-1)</f>
        <v>2.36297309621523</v>
      </c>
      <c r="BA60" s="29" t="n">
        <f aca="false">IF(OR(AZ60="",N(O60)=0),"",AZ60+AW60/O60)</f>
        <v>2.64882580939352</v>
      </c>
      <c r="BB60" s="32" t="n">
        <f aca="false">IF(OR(BA60="",N(AR60)=0),"",BA60-AR60)</f>
        <v>0</v>
      </c>
      <c r="BC60" s="35" t="n">
        <f aca="false">IF(OR(BA60="",N(U60)=0),"",BA60-U60)</f>
        <v>0</v>
      </c>
      <c r="BD60" s="36" t="s">
        <v>238</v>
      </c>
    </row>
    <row r="61" customFormat="false" ht="15" hidden="false" customHeight="false" outlineLevel="0" collapsed="false">
      <c r="A61" s="2" t="s">
        <v>140</v>
      </c>
      <c r="B61" s="2" t="n">
        <v>105</v>
      </c>
      <c r="C61" s="2" t="s">
        <v>241</v>
      </c>
      <c r="D61" s="2" t="s">
        <v>235</v>
      </c>
      <c r="E61" s="2" t="s">
        <v>236</v>
      </c>
      <c r="F61" s="27" t="n">
        <v>21</v>
      </c>
      <c r="G61" s="2" t="s">
        <v>51</v>
      </c>
      <c r="H61" s="2" t="s">
        <v>58</v>
      </c>
      <c r="I61" s="2" t="s">
        <v>144</v>
      </c>
      <c r="J61" s="2" t="s">
        <v>145</v>
      </c>
      <c r="K61" s="2" t="n">
        <v>4</v>
      </c>
      <c r="L61" s="28" t="n">
        <v>25</v>
      </c>
      <c r="M61" s="29" t="n">
        <v>0.075</v>
      </c>
      <c r="N61" s="28" t="n">
        <v>1.875</v>
      </c>
      <c r="O61" s="28" t="n">
        <v>6.4</v>
      </c>
      <c r="P61" s="2" t="s">
        <v>237</v>
      </c>
      <c r="Q61" s="29" t="n">
        <v>0.1</v>
      </c>
      <c r="R61" s="30" t="n">
        <v>0.085</v>
      </c>
      <c r="S61" s="31" t="n">
        <v>22.0588235294118</v>
      </c>
      <c r="T61" s="30" t="n">
        <v>2.44669117647059</v>
      </c>
      <c r="U61" s="30" t="n">
        <v>2.73965992647059</v>
      </c>
      <c r="V61" s="29" t="n">
        <v>0</v>
      </c>
      <c r="W61" s="29" t="n">
        <f aca="false">IF(N(Q61)=0,"",Q61+IF(I61="yes",Q61*Inputs!$B$10*Inputs!$B$9,0)+V61)</f>
        <v>0.1</v>
      </c>
      <c r="X61" s="28" t="n">
        <f aca="false">IF(OR(N(W61)&lt;=0,N(N61)=0,N(L61)=0),"",MIN(L61,N61/W61))</f>
        <v>18.75</v>
      </c>
      <c r="Y61" s="29" t="n">
        <f aca="false">IF(OR(X61="",N(O61)=0),"",X61/O61-1)</f>
        <v>1.9296875</v>
      </c>
      <c r="Z61" s="29" t="n">
        <f aca="false">IF(OR(Y61="",N(O61)=0),"",Y61+N61/O61)</f>
        <v>2.22265625</v>
      </c>
      <c r="AA61" s="32" t="n">
        <f aca="false">IF(OR(Z61="",N(U61)=0),"",Z61-U61)</f>
        <v>-0.517003676470588</v>
      </c>
      <c r="AB61" s="29" t="n">
        <f aca="false">IF(N(Q61)=0,"",Q61+IF(I61="yes",Q61*Inputs!$B$10*Inputs!$B$9,0)+IFERROR(INDEX(Inputs!$B$13:$B$15,MATCH(G61,Inputs!$A$13:$A$15,0)),0)+IFERROR(INDEX(Inputs!$B$18:$B$24,MATCH(H61,Inputs!$A$18:$A$24,0)),0))</f>
        <v>0.1</v>
      </c>
      <c r="AC61" s="28" t="n">
        <f aca="false">IF(OR(N(AB61)&lt;=0,N(N61)=0,N(L61)=0),"",MIN(L61,N61/AB61))</f>
        <v>18.75</v>
      </c>
      <c r="AD61" s="29" t="n">
        <f aca="false">IF(OR(AC61="",N(O61)=0),"",AC61/O61-1)</f>
        <v>1.9296875</v>
      </c>
      <c r="AE61" s="29" t="n">
        <f aca="false">IF(OR(AD61="",N(O61)=0),"",AD61+N61/O61)</f>
        <v>2.22265625</v>
      </c>
      <c r="AF61" s="32" t="n">
        <f aca="false">IF(OR(AE61="",N(Z61)=0),"",AE61-Z61)</f>
        <v>0</v>
      </c>
      <c r="AG61" s="28" t="n">
        <f aca="false">IF(AND(N(M61)&gt;0,N(L61)&gt;0),M61*L61,N61)</f>
        <v>1.875</v>
      </c>
      <c r="AH61" s="28" t="n">
        <f aca="false">IF(OR(N(AB61)&lt;=0,N(AG61)=0,N(L61)=0),"",MIN(L61,AG61/AB61))</f>
        <v>18.75</v>
      </c>
      <c r="AI61" s="29" t="n">
        <f aca="false">IF(OR(AH61="",N(O61)=0),"",AH61/O61-1)</f>
        <v>1.9296875</v>
      </c>
      <c r="AJ61" s="29" t="n">
        <f aca="false">IF(OR(AI61="",N(O61)=0),"",AI61+AG61/O61)</f>
        <v>2.22265625</v>
      </c>
      <c r="AK61" s="32" t="n">
        <f aca="false">IF(OR(AJ61="",N(AE61)=0),"",AJ61-AE61)</f>
        <v>0</v>
      </c>
      <c r="AL61" s="33" t="n">
        <f aca="false">IF(N(F61)=0,"",INDEX(Inputs!$B$28:$B$32,IFERROR(MATCH(F61,Inputs!$A$28:$A$32,1),0)+1))</f>
        <v>0.1</v>
      </c>
      <c r="AM61" s="34" t="n">
        <v>0.085</v>
      </c>
      <c r="AN61" s="33" t="n">
        <f aca="false">IF(N(AM61)&gt;0,AM61,AL61)</f>
        <v>0.085</v>
      </c>
      <c r="AO61" s="29" t="n">
        <f aca="false">IF(N(AN61)=0,"",AN61+IF(I61="yes",AN61*Inputs!$B$10*Inputs!$B$9,0)+IFERROR(INDEX(Inputs!$B$13:$B$15,MATCH(G61,Inputs!$A$13:$A$15,0)),0)+IFERROR(INDEX(Inputs!$B$18:$B$24,MATCH(H61,Inputs!$A$18:$A$24,0)),0))</f>
        <v>0.085</v>
      </c>
      <c r="AP61" s="28" t="n">
        <f aca="false">IF(OR(N(AO61)&lt;=0,N(AG61)=0,N(L61)=0),"",MIN(L61,AG61/AO61))</f>
        <v>22.0588235294118</v>
      </c>
      <c r="AQ61" s="29" t="n">
        <f aca="false">IF(OR(AP61="",N(O61)=0),"",AP61/O61-1)</f>
        <v>2.44669117647059</v>
      </c>
      <c r="AR61" s="29" t="n">
        <f aca="false">IF(OR(AQ61="",N(O61)=0),"",AQ61+AG61/O61)</f>
        <v>2.73965992647059</v>
      </c>
      <c r="AS61" s="32" t="n">
        <f aca="false">IF(OR(AR61="",N(AJ61)=0),"",AR61-AJ61)</f>
        <v>0.517003676470588</v>
      </c>
      <c r="AT61" s="28" t="n">
        <v>25</v>
      </c>
      <c r="AU61" s="28" t="n">
        <v>1.88</v>
      </c>
      <c r="AV61" s="28" t="n">
        <f aca="false">IF(N(AT61)&gt;0,AT61,L61)</f>
        <v>25</v>
      </c>
      <c r="AW61" s="28" t="n">
        <f aca="false">IF(AND(N(M61)&gt;0,N(AV61)&gt;0),M61*AV61,IF(N(AU61)&gt;0,AU61,N61))</f>
        <v>1.875</v>
      </c>
      <c r="AX61" s="29" t="n">
        <f aca="false">IF(N(AN61)=0,"",AN61+IF(I61="yes",AN61*Inputs!$B$10*Inputs!$B$9,0)+IFERROR(INDEX(Inputs!$B$13:$B$15,MATCH(G61,Inputs!$A$13:$A$15,0)),0)+IFERROR(INDEX(Inputs!$B$18:$B$24,MATCH(H61,Inputs!$A$18:$A$24,0)),0))</f>
        <v>0.085</v>
      </c>
      <c r="AY61" s="28" t="n">
        <f aca="false">IF(OR(N(AX61)&lt;=0,N(AW61)=0,N(AV61)=0),"",MIN(AV61,AW61/AX61))</f>
        <v>22.0588235294118</v>
      </c>
      <c r="AZ61" s="29" t="n">
        <f aca="false">IF(OR(AY61="",N(O61)=0),"",AY61/O61-1)</f>
        <v>2.44669117647059</v>
      </c>
      <c r="BA61" s="29" t="n">
        <f aca="false">IF(OR(AZ61="",N(O61)=0),"",AZ61+AW61/O61)</f>
        <v>2.73965992647059</v>
      </c>
      <c r="BB61" s="32" t="n">
        <f aca="false">IF(OR(BA61="",N(AR61)=0),"",BA61-AR61)</f>
        <v>0</v>
      </c>
      <c r="BC61" s="35" t="n">
        <f aca="false">IF(OR(BA61="",N(U61)=0),"",BA61-U61)</f>
        <v>0</v>
      </c>
      <c r="BD61" s="36" t="s">
        <v>238</v>
      </c>
    </row>
    <row r="62" customFormat="false" ht="15" hidden="false" customHeight="false" outlineLevel="0" collapsed="false">
      <c r="A62" s="2" t="s">
        <v>140</v>
      </c>
      <c r="B62" s="2" t="n">
        <v>106</v>
      </c>
      <c r="C62" s="2" t="s">
        <v>242</v>
      </c>
      <c r="D62" s="2" t="s">
        <v>235</v>
      </c>
      <c r="E62" s="2" t="s">
        <v>236</v>
      </c>
      <c r="F62" s="27" t="n">
        <v>21</v>
      </c>
      <c r="G62" s="2" t="s">
        <v>51</v>
      </c>
      <c r="H62" s="2" t="s">
        <v>58</v>
      </c>
      <c r="I62" s="2" t="s">
        <v>144</v>
      </c>
      <c r="J62" s="2" t="s">
        <v>145</v>
      </c>
      <c r="K62" s="2" t="n">
        <v>4</v>
      </c>
      <c r="L62" s="28" t="n">
        <v>25</v>
      </c>
      <c r="M62" s="29" t="n">
        <v>0.075</v>
      </c>
      <c r="N62" s="28" t="n">
        <v>1.875</v>
      </c>
      <c r="O62" s="28" t="n">
        <v>6.7</v>
      </c>
      <c r="P62" s="2" t="s">
        <v>237</v>
      </c>
      <c r="Q62" s="29" t="n">
        <v>0.1</v>
      </c>
      <c r="R62" s="30" t="n">
        <v>0.085</v>
      </c>
      <c r="S62" s="31" t="n">
        <v>22.0588235294118</v>
      </c>
      <c r="T62" s="30" t="n">
        <v>2.29236172080773</v>
      </c>
      <c r="U62" s="30" t="n">
        <v>2.57221246707638</v>
      </c>
      <c r="V62" s="29" t="n">
        <v>0</v>
      </c>
      <c r="W62" s="29" t="n">
        <f aca="false">IF(N(Q62)=0,"",Q62+IF(I62="yes",Q62*Inputs!$B$10*Inputs!$B$9,0)+V62)</f>
        <v>0.1</v>
      </c>
      <c r="X62" s="28" t="n">
        <f aca="false">IF(OR(N(W62)&lt;=0,N(N62)=0,N(L62)=0),"",MIN(L62,N62/W62))</f>
        <v>18.75</v>
      </c>
      <c r="Y62" s="29" t="n">
        <f aca="false">IF(OR(X62="",N(O62)=0),"",X62/O62-1)</f>
        <v>1.79850746268657</v>
      </c>
      <c r="Z62" s="29" t="n">
        <f aca="false">IF(OR(Y62="",N(O62)=0),"",Y62+N62/O62)</f>
        <v>2.07835820895522</v>
      </c>
      <c r="AA62" s="32" t="n">
        <f aca="false">IF(OR(Z62="",N(U62)=0),"",Z62-U62)</f>
        <v>-0.493854258121159</v>
      </c>
      <c r="AB62" s="29" t="n">
        <f aca="false">IF(N(Q62)=0,"",Q62+IF(I62="yes",Q62*Inputs!$B$10*Inputs!$B$9,0)+IFERROR(INDEX(Inputs!$B$13:$B$15,MATCH(G62,Inputs!$A$13:$A$15,0)),0)+IFERROR(INDEX(Inputs!$B$18:$B$24,MATCH(H62,Inputs!$A$18:$A$24,0)),0))</f>
        <v>0.1</v>
      </c>
      <c r="AC62" s="28" t="n">
        <f aca="false">IF(OR(N(AB62)&lt;=0,N(N62)=0,N(L62)=0),"",MIN(L62,N62/AB62))</f>
        <v>18.75</v>
      </c>
      <c r="AD62" s="29" t="n">
        <f aca="false">IF(OR(AC62="",N(O62)=0),"",AC62/O62-1)</f>
        <v>1.79850746268657</v>
      </c>
      <c r="AE62" s="29" t="n">
        <f aca="false">IF(OR(AD62="",N(O62)=0),"",AD62+N62/O62)</f>
        <v>2.07835820895522</v>
      </c>
      <c r="AF62" s="32" t="n">
        <f aca="false">IF(OR(AE62="",N(Z62)=0),"",AE62-Z62)</f>
        <v>0</v>
      </c>
      <c r="AG62" s="28" t="n">
        <f aca="false">IF(AND(N(M62)&gt;0,N(L62)&gt;0),M62*L62,N62)</f>
        <v>1.875</v>
      </c>
      <c r="AH62" s="28" t="n">
        <f aca="false">IF(OR(N(AB62)&lt;=0,N(AG62)=0,N(L62)=0),"",MIN(L62,AG62/AB62))</f>
        <v>18.75</v>
      </c>
      <c r="AI62" s="29" t="n">
        <f aca="false">IF(OR(AH62="",N(O62)=0),"",AH62/O62-1)</f>
        <v>1.79850746268657</v>
      </c>
      <c r="AJ62" s="29" t="n">
        <f aca="false">IF(OR(AI62="",N(O62)=0),"",AI62+AG62/O62)</f>
        <v>2.07835820895522</v>
      </c>
      <c r="AK62" s="32" t="n">
        <f aca="false">IF(OR(AJ62="",N(AE62)=0),"",AJ62-AE62)</f>
        <v>0</v>
      </c>
      <c r="AL62" s="33" t="n">
        <f aca="false">IF(N(F62)=0,"",INDEX(Inputs!$B$28:$B$32,IFERROR(MATCH(F62,Inputs!$A$28:$A$32,1),0)+1))</f>
        <v>0.1</v>
      </c>
      <c r="AM62" s="34" t="n">
        <v>0.085</v>
      </c>
      <c r="AN62" s="33" t="n">
        <f aca="false">IF(N(AM62)&gt;0,AM62,AL62)</f>
        <v>0.085</v>
      </c>
      <c r="AO62" s="29" t="n">
        <f aca="false">IF(N(AN62)=0,"",AN62+IF(I62="yes",AN62*Inputs!$B$10*Inputs!$B$9,0)+IFERROR(INDEX(Inputs!$B$13:$B$15,MATCH(G62,Inputs!$A$13:$A$15,0)),0)+IFERROR(INDEX(Inputs!$B$18:$B$24,MATCH(H62,Inputs!$A$18:$A$24,0)),0))</f>
        <v>0.085</v>
      </c>
      <c r="AP62" s="28" t="n">
        <f aca="false">IF(OR(N(AO62)&lt;=0,N(AG62)=0,N(L62)=0),"",MIN(L62,AG62/AO62))</f>
        <v>22.0588235294118</v>
      </c>
      <c r="AQ62" s="29" t="n">
        <f aca="false">IF(OR(AP62="",N(O62)=0),"",AP62/O62-1)</f>
        <v>2.29236172080773</v>
      </c>
      <c r="AR62" s="29" t="n">
        <f aca="false">IF(OR(AQ62="",N(O62)=0),"",AQ62+AG62/O62)</f>
        <v>2.57221246707638</v>
      </c>
      <c r="AS62" s="32" t="n">
        <f aca="false">IF(OR(AR62="",N(AJ62)=0),"",AR62-AJ62)</f>
        <v>0.493854258121159</v>
      </c>
      <c r="AT62" s="28" t="n">
        <v>25</v>
      </c>
      <c r="AU62" s="28" t="n">
        <v>1.88</v>
      </c>
      <c r="AV62" s="28" t="n">
        <f aca="false">IF(N(AT62)&gt;0,AT62,L62)</f>
        <v>25</v>
      </c>
      <c r="AW62" s="28" t="n">
        <f aca="false">IF(AND(N(M62)&gt;0,N(AV62)&gt;0),M62*AV62,IF(N(AU62)&gt;0,AU62,N62))</f>
        <v>1.875</v>
      </c>
      <c r="AX62" s="29" t="n">
        <f aca="false">IF(N(AN62)=0,"",AN62+IF(I62="yes",AN62*Inputs!$B$10*Inputs!$B$9,0)+IFERROR(INDEX(Inputs!$B$13:$B$15,MATCH(G62,Inputs!$A$13:$A$15,0)),0)+IFERROR(INDEX(Inputs!$B$18:$B$24,MATCH(H62,Inputs!$A$18:$A$24,0)),0))</f>
        <v>0.085</v>
      </c>
      <c r="AY62" s="28" t="n">
        <f aca="false">IF(OR(N(AX62)&lt;=0,N(AW62)=0,N(AV62)=0),"",MIN(AV62,AW62/AX62))</f>
        <v>22.0588235294118</v>
      </c>
      <c r="AZ62" s="29" t="n">
        <f aca="false">IF(OR(AY62="",N(O62)=0),"",AY62/O62-1)</f>
        <v>2.29236172080773</v>
      </c>
      <c r="BA62" s="29" t="n">
        <f aca="false">IF(OR(AZ62="",N(O62)=0),"",AZ62+AW62/O62)</f>
        <v>2.57221246707638</v>
      </c>
      <c r="BB62" s="32" t="n">
        <f aca="false">IF(OR(BA62="",N(AR62)=0),"",BA62-AR62)</f>
        <v>0</v>
      </c>
      <c r="BC62" s="35" t="n">
        <f aca="false">IF(OR(BA62="",N(U62)=0),"",BA62-U62)</f>
        <v>0</v>
      </c>
      <c r="BD62" s="36" t="s">
        <v>238</v>
      </c>
    </row>
    <row r="63" customFormat="false" ht="15" hidden="false" customHeight="false" outlineLevel="0" collapsed="false">
      <c r="A63" s="2" t="s">
        <v>140</v>
      </c>
      <c r="B63" s="2" t="n">
        <v>109</v>
      </c>
      <c r="C63" s="2" t="s">
        <v>243</v>
      </c>
      <c r="D63" s="2" t="s">
        <v>244</v>
      </c>
      <c r="E63" s="2" t="s">
        <v>245</v>
      </c>
      <c r="F63" s="27" t="n">
        <v>39600</v>
      </c>
      <c r="G63" s="2" t="s">
        <v>51</v>
      </c>
      <c r="H63" s="2" t="s">
        <v>58</v>
      </c>
      <c r="I63" s="2" t="s">
        <v>151</v>
      </c>
      <c r="J63" s="2" t="s">
        <v>145</v>
      </c>
      <c r="K63" s="2" t="n">
        <v>4</v>
      </c>
      <c r="L63" s="28" t="n">
        <v>25</v>
      </c>
      <c r="M63" s="29" t="n">
        <v>0.0585</v>
      </c>
      <c r="N63" s="28" t="n">
        <v>1.4625</v>
      </c>
      <c r="O63" s="28" t="n">
        <v>0</v>
      </c>
      <c r="P63" s="2" t="s">
        <v>146</v>
      </c>
      <c r="Q63" s="29" t="n">
        <v>0.08</v>
      </c>
      <c r="R63" s="30" t="n">
        <v>0.076</v>
      </c>
      <c r="S63" s="31" t="n">
        <v>19.2434210526316</v>
      </c>
      <c r="T63" s="30"/>
      <c r="U63" s="30"/>
      <c r="V63" s="29" t="n">
        <v>0</v>
      </c>
      <c r="W63" s="29" t="n">
        <f aca="false">IF(N(Q63)=0,"",Q63+IF(I63="yes",Q63*Inputs!$B$10*Inputs!$B$9,0)+V63)</f>
        <v>0.076</v>
      </c>
      <c r="X63" s="28" t="n">
        <f aca="false">IF(OR(N(W63)&lt;=0,N(N63)=0,N(L63)=0),"",MIN(L63,N63/W63))</f>
        <v>19.2434210526316</v>
      </c>
      <c r="Y63" s="29" t="str">
        <f aca="false">IF(OR(X63="",N(O63)=0),"",X63/O63-1)</f>
        <v/>
      </c>
      <c r="Z63" s="29" t="str">
        <f aca="false">IF(OR(Y63="",N(O63)=0),"",Y63+N63/O63)</f>
        <v/>
      </c>
      <c r="AA63" s="32" t="str">
        <f aca="false">IF(OR(Z63="",N(U63)=0),"",Z63-U63)</f>
        <v/>
      </c>
      <c r="AB63" s="29" t="n">
        <f aca="false">IF(N(Q63)=0,"",Q63+IF(I63="yes",Q63*Inputs!$B$10*Inputs!$B$9,0)+IFERROR(INDEX(Inputs!$B$13:$B$15,MATCH(G63,Inputs!$A$13:$A$15,0)),0)+IFERROR(INDEX(Inputs!$B$18:$B$24,MATCH(H63,Inputs!$A$18:$A$24,0)),0))</f>
        <v>0.076</v>
      </c>
      <c r="AC63" s="28" t="n">
        <f aca="false">IF(OR(N(AB63)&lt;=0,N(N63)=0,N(L63)=0),"",MIN(L63,N63/AB63))</f>
        <v>19.2434210526316</v>
      </c>
      <c r="AD63" s="29" t="str">
        <f aca="false">IF(OR(AC63="",N(O63)=0),"",AC63/O63-1)</f>
        <v/>
      </c>
      <c r="AE63" s="29" t="str">
        <f aca="false">IF(OR(AD63="",N(O63)=0),"",AD63+N63/O63)</f>
        <v/>
      </c>
      <c r="AF63" s="32" t="str">
        <f aca="false">IF(OR(AE63="",N(Z63)=0),"",AE63-Z63)</f>
        <v/>
      </c>
      <c r="AG63" s="28" t="n">
        <f aca="false">IF(AND(N(M63)&gt;0,N(L63)&gt;0),M63*L63,N63)</f>
        <v>1.4625</v>
      </c>
      <c r="AH63" s="28" t="n">
        <f aca="false">IF(OR(N(AB63)&lt;=0,N(AG63)=0,N(L63)=0),"",MIN(L63,AG63/AB63))</f>
        <v>19.2434210526316</v>
      </c>
      <c r="AI63" s="29" t="str">
        <f aca="false">IF(OR(AH63="",N(O63)=0),"",AH63/O63-1)</f>
        <v/>
      </c>
      <c r="AJ63" s="29" t="str">
        <f aca="false">IF(OR(AI63="",N(O63)=0),"",AI63+AG63/O63)</f>
        <v/>
      </c>
      <c r="AK63" s="32" t="str">
        <f aca="false">IF(OR(AJ63="",N(AE63)=0),"",AJ63-AE63)</f>
        <v/>
      </c>
      <c r="AL63" s="33" t="n">
        <f aca="false">IF(N(F63)=0,"",INDEX(Inputs!$B$28:$B$32,IFERROR(MATCH(F63,Inputs!$A$28:$A$32,1),0)+1))</f>
        <v>0.075</v>
      </c>
      <c r="AM63" s="34"/>
      <c r="AN63" s="33" t="n">
        <f aca="false">IF(N(AM63)&gt;0,AM63,AL63)</f>
        <v>0.075</v>
      </c>
      <c r="AO63" s="29" t="n">
        <f aca="false">IF(N(AN63)=0,"",AN63+IF(I63="yes",AN63*Inputs!$B$10*Inputs!$B$9,0)+IFERROR(INDEX(Inputs!$B$13:$B$15,MATCH(G63,Inputs!$A$13:$A$15,0)),0)+IFERROR(INDEX(Inputs!$B$18:$B$24,MATCH(H63,Inputs!$A$18:$A$24,0)),0))</f>
        <v>0.07125</v>
      </c>
      <c r="AP63" s="28" t="n">
        <f aca="false">IF(OR(N(AO63)&lt;=0,N(AG63)=0,N(L63)=0),"",MIN(L63,AG63/AO63))</f>
        <v>20.5263157894737</v>
      </c>
      <c r="AQ63" s="29" t="str">
        <f aca="false">IF(OR(AP63="",N(O63)=0),"",AP63/O63-1)</f>
        <v/>
      </c>
      <c r="AR63" s="29" t="str">
        <f aca="false">IF(OR(AQ63="",N(O63)=0),"",AQ63+AG63/O63)</f>
        <v/>
      </c>
      <c r="AS63" s="32" t="str">
        <f aca="false">IF(OR(AR63="",N(AJ63)=0),"",AR63-AJ63)</f>
        <v/>
      </c>
      <c r="AT63" s="28"/>
      <c r="AU63" s="28"/>
      <c r="AV63" s="28" t="n">
        <f aca="false">IF(N(AT63)&gt;0,AT63,L63)</f>
        <v>25</v>
      </c>
      <c r="AW63" s="28" t="n">
        <f aca="false">IF(AND(N(M63)&gt;0,N(AV63)&gt;0),M63*AV63,IF(N(AU63)&gt;0,AU63,N63))</f>
        <v>1.4625</v>
      </c>
      <c r="AX63" s="29" t="n">
        <f aca="false">IF(N(AN63)=0,"",AN63+IF(I63="yes",AN63*Inputs!$B$10*Inputs!$B$9,0)+IFERROR(INDEX(Inputs!$B$13:$B$15,MATCH(G63,Inputs!$A$13:$A$15,0)),0)+IFERROR(INDEX(Inputs!$B$18:$B$24,MATCH(H63,Inputs!$A$18:$A$24,0)),0))</f>
        <v>0.07125</v>
      </c>
      <c r="AY63" s="28" t="n">
        <f aca="false">IF(OR(N(AX63)&lt;=0,N(AW63)=0,N(AV63)=0),"",MIN(AV63,AW63/AX63))</f>
        <v>20.5263157894737</v>
      </c>
      <c r="AZ63" s="29" t="str">
        <f aca="false">IF(OR(AY63="",N(O63)=0),"",AY63/O63-1)</f>
        <v/>
      </c>
      <c r="BA63" s="29" t="str">
        <f aca="false">IF(OR(AZ63="",N(O63)=0),"",AZ63+AW63/O63)</f>
        <v/>
      </c>
      <c r="BB63" s="32" t="str">
        <f aca="false">IF(OR(BA63="",N(AR63)=0),"",BA63-AR63)</f>
        <v/>
      </c>
      <c r="BC63" s="35" t="str">
        <f aca="false">IF(OR(BA63="",N(U63)=0),"",BA63-U63)</f>
        <v/>
      </c>
      <c r="BD63" s="36" t="s">
        <v>198</v>
      </c>
    </row>
    <row r="64" customFormat="false" ht="15" hidden="false" customHeight="false" outlineLevel="0" collapsed="false">
      <c r="A64" s="2" t="s">
        <v>140</v>
      </c>
      <c r="B64" s="2" t="n">
        <v>113</v>
      </c>
      <c r="C64" s="2" t="s">
        <v>246</v>
      </c>
      <c r="D64" s="2" t="s">
        <v>247</v>
      </c>
      <c r="E64" s="2" t="s">
        <v>248</v>
      </c>
      <c r="F64" s="27" t="n">
        <v>78</v>
      </c>
      <c r="G64" s="2" t="s">
        <v>54</v>
      </c>
      <c r="H64" s="2" t="s">
        <v>58</v>
      </c>
      <c r="I64" s="2" t="s">
        <v>144</v>
      </c>
      <c r="J64" s="2" t="s">
        <v>145</v>
      </c>
      <c r="K64" s="2" t="n">
        <v>4</v>
      </c>
      <c r="L64" s="28" t="n">
        <v>2.5</v>
      </c>
      <c r="M64" s="29" t="n">
        <v>0.08</v>
      </c>
      <c r="N64" s="28" t="n">
        <v>0.2</v>
      </c>
      <c r="O64" s="28" t="n">
        <v>18.81</v>
      </c>
      <c r="P64" s="2" t="s">
        <v>146</v>
      </c>
      <c r="Q64" s="29" t="n">
        <v>0.08</v>
      </c>
      <c r="R64" s="30" t="n">
        <v>0.08</v>
      </c>
      <c r="S64" s="31" t="n">
        <v>2.5</v>
      </c>
      <c r="T64" s="30" t="n">
        <v>-0.86709197235513</v>
      </c>
      <c r="U64" s="30" t="n">
        <v>-0.856459330143541</v>
      </c>
      <c r="V64" s="29" t="n">
        <v>-0.005</v>
      </c>
      <c r="W64" s="29" t="n">
        <f aca="false">IF(N(Q64)=0,"",Q64+IF(I64="yes",Q64*Inputs!$B$10*Inputs!$B$9,0)+V64)</f>
        <v>0.075</v>
      </c>
      <c r="X64" s="28" t="n">
        <f aca="false">IF(OR(N(W64)&lt;=0,N(N64)=0,N(L64)=0),"",MIN(L64,N64/W64))</f>
        <v>2.5</v>
      </c>
      <c r="Y64" s="29" t="n">
        <f aca="false">IF(OR(X64="",N(O64)=0),"",X64/O64-1)</f>
        <v>-0.86709197235513</v>
      </c>
      <c r="Z64" s="29" t="n">
        <f aca="false">IF(OR(Y64="",N(O64)=0),"",Y64+N64/O64)</f>
        <v>-0.856459330143541</v>
      </c>
      <c r="AA64" s="32" t="n">
        <f aca="false">IF(OR(Z64="",N(U64)=0),"",Z64-U64)</f>
        <v>0</v>
      </c>
      <c r="AB64" s="29" t="n">
        <f aca="false">IF(N(Q64)=0,"",Q64+IF(I64="yes",Q64*Inputs!$B$10*Inputs!$B$9,0)+IFERROR(INDEX(Inputs!$B$13:$B$15,MATCH(G64,Inputs!$A$13:$A$15,0)),0)+IFERROR(INDEX(Inputs!$B$18:$B$24,MATCH(H64,Inputs!$A$18:$A$24,0)),0))</f>
        <v>0.075</v>
      </c>
      <c r="AC64" s="28" t="n">
        <f aca="false">IF(OR(N(AB64)&lt;=0,N(N64)=0,N(L64)=0),"",MIN(L64,N64/AB64))</f>
        <v>2.5</v>
      </c>
      <c r="AD64" s="29" t="n">
        <f aca="false">IF(OR(AC64="",N(O64)=0),"",AC64/O64-1)</f>
        <v>-0.86709197235513</v>
      </c>
      <c r="AE64" s="29" t="n">
        <f aca="false">IF(OR(AD64="",N(O64)=0),"",AD64+N64/O64)</f>
        <v>-0.856459330143541</v>
      </c>
      <c r="AF64" s="32" t="n">
        <f aca="false">IF(OR(AE64="",N(Z64)=0),"",AE64-Z64)</f>
        <v>0</v>
      </c>
      <c r="AG64" s="28" t="n">
        <f aca="false">IF(AND(N(M64)&gt;0,N(L64)&gt;0),M64*L64,N64)</f>
        <v>0.2</v>
      </c>
      <c r="AH64" s="28" t="n">
        <f aca="false">IF(OR(N(AB64)&lt;=0,N(AG64)=0,N(L64)=0),"",MIN(L64,AG64/AB64))</f>
        <v>2.5</v>
      </c>
      <c r="AI64" s="29" t="n">
        <f aca="false">IF(OR(AH64="",N(O64)=0),"",AH64/O64-1)</f>
        <v>-0.86709197235513</v>
      </c>
      <c r="AJ64" s="29" t="n">
        <f aca="false">IF(OR(AI64="",N(O64)=0),"",AI64+AG64/O64)</f>
        <v>-0.856459330143541</v>
      </c>
      <c r="AK64" s="32" t="n">
        <f aca="false">IF(OR(AJ64="",N(AE64)=0),"",AJ64-AE64)</f>
        <v>0</v>
      </c>
      <c r="AL64" s="33" t="n">
        <f aca="false">IF(N(F64)=0,"",INDEX(Inputs!$B$28:$B$32,IFERROR(MATCH(F64,Inputs!$A$28:$A$32,1),0)+1))</f>
        <v>0.1</v>
      </c>
      <c r="AM64" s="34"/>
      <c r="AN64" s="33" t="n">
        <f aca="false">IF(N(AM64)&gt;0,AM64,AL64)</f>
        <v>0.1</v>
      </c>
      <c r="AO64" s="29" t="n">
        <f aca="false">IF(N(AN64)=0,"",AN64+IF(I64="yes",AN64*Inputs!$B$10*Inputs!$B$9,0)+IFERROR(INDEX(Inputs!$B$13:$B$15,MATCH(G64,Inputs!$A$13:$A$15,0)),0)+IFERROR(INDEX(Inputs!$B$18:$B$24,MATCH(H64,Inputs!$A$18:$A$24,0)),0))</f>
        <v>0.095</v>
      </c>
      <c r="AP64" s="28" t="n">
        <f aca="false">IF(OR(N(AO64)&lt;=0,N(AG64)=0,N(L64)=0),"",MIN(L64,AG64/AO64))</f>
        <v>2.10526315789474</v>
      </c>
      <c r="AQ64" s="29" t="n">
        <f aca="false">IF(OR(AP64="",N(O64)=0),"",AP64/O64-1)</f>
        <v>-0.88807745040432</v>
      </c>
      <c r="AR64" s="29" t="n">
        <f aca="false">IF(OR(AQ64="",N(O64)=0),"",AQ64+AG64/O64)</f>
        <v>-0.877444808192731</v>
      </c>
      <c r="AS64" s="32" t="n">
        <f aca="false">IF(OR(AR64="",N(AJ64)=0),"",AR64-AJ64)</f>
        <v>-0.0209854780491899</v>
      </c>
      <c r="AT64" s="28" t="n">
        <v>25</v>
      </c>
      <c r="AU64" s="28" t="n">
        <v>2</v>
      </c>
      <c r="AV64" s="28" t="n">
        <f aca="false">IF(N(AT64)&gt;0,AT64,L64)</f>
        <v>25</v>
      </c>
      <c r="AW64" s="28" t="n">
        <f aca="false">IF(AND(N(M64)&gt;0,N(AV64)&gt;0),M64*AV64,IF(N(AU64)&gt;0,AU64,N64))</f>
        <v>2</v>
      </c>
      <c r="AX64" s="29" t="n">
        <f aca="false">IF(N(AN64)=0,"",AN64+IF(I64="yes",AN64*Inputs!$B$10*Inputs!$B$9,0)+IFERROR(INDEX(Inputs!$B$13:$B$15,MATCH(G64,Inputs!$A$13:$A$15,0)),0)+IFERROR(INDEX(Inputs!$B$18:$B$24,MATCH(H64,Inputs!$A$18:$A$24,0)),0))</f>
        <v>0.095</v>
      </c>
      <c r="AY64" s="28" t="n">
        <f aca="false">IF(OR(N(AX64)&lt;=0,N(AW64)=0,N(AV64)=0),"",MIN(AV64,AW64/AX64))</f>
        <v>21.0526315789474</v>
      </c>
      <c r="AZ64" s="29" t="n">
        <f aca="false">IF(OR(AY64="",N(O64)=0),"",AY64/O64-1)</f>
        <v>0.119225495956798</v>
      </c>
      <c r="BA64" s="29" t="n">
        <f aca="false">IF(OR(AZ64="",N(O64)=0),"",AZ64+AW64/O64)</f>
        <v>0.225551918072694</v>
      </c>
      <c r="BB64" s="32" t="n">
        <f aca="false">IF(OR(BA64="",N(AR64)=0),"",BA64-AR64)</f>
        <v>1.10299672626542</v>
      </c>
      <c r="BC64" s="35" t="n">
        <f aca="false">IF(OR(BA64="",N(U64)=0),"",BA64-U64)</f>
        <v>1.08201124821623</v>
      </c>
      <c r="BD64" s="36" t="s">
        <v>172</v>
      </c>
    </row>
    <row r="65" customFormat="false" ht="15" hidden="false" customHeight="false" outlineLevel="0" collapsed="false">
      <c r="A65" s="2" t="s">
        <v>140</v>
      </c>
      <c r="B65" s="2" t="n">
        <v>117</v>
      </c>
      <c r="C65" s="2" t="s">
        <v>249</v>
      </c>
      <c r="D65" s="2" t="s">
        <v>250</v>
      </c>
      <c r="E65" s="2" t="s">
        <v>251</v>
      </c>
      <c r="F65" s="27" t="n">
        <v>13900</v>
      </c>
      <c r="G65" s="2" t="s">
        <v>52</v>
      </c>
      <c r="H65" s="2" t="s">
        <v>58</v>
      </c>
      <c r="I65" s="2" t="s">
        <v>144</v>
      </c>
      <c r="J65" s="2" t="s">
        <v>145</v>
      </c>
      <c r="K65" s="2" t="n">
        <v>4</v>
      </c>
      <c r="L65" s="28" t="n">
        <v>25</v>
      </c>
      <c r="M65" s="29" t="n">
        <v>0.0525</v>
      </c>
      <c r="N65" s="28" t="n">
        <v>1.3125</v>
      </c>
      <c r="O65" s="28" t="n">
        <v>18.39</v>
      </c>
      <c r="P65" s="2" t="s">
        <v>146</v>
      </c>
      <c r="Q65" s="29" t="n">
        <v>0.08</v>
      </c>
      <c r="R65" s="30" t="n">
        <v>0.075</v>
      </c>
      <c r="S65" s="31" t="n">
        <v>17.5</v>
      </c>
      <c r="T65" s="30" t="n">
        <v>-0.0483958673191952</v>
      </c>
      <c r="U65" s="30" t="n">
        <v>0.0229744426318652</v>
      </c>
      <c r="V65" s="29" t="n">
        <v>-0.005</v>
      </c>
      <c r="W65" s="29" t="n">
        <f aca="false">IF(N(Q65)=0,"",Q65+IF(I65="yes",Q65*Inputs!$B$10*Inputs!$B$9,0)+V65)</f>
        <v>0.075</v>
      </c>
      <c r="X65" s="28" t="n">
        <f aca="false">IF(OR(N(W65)&lt;=0,N(N65)=0,N(L65)=0),"",MIN(L65,N65/W65))</f>
        <v>17.5</v>
      </c>
      <c r="Y65" s="29" t="n">
        <f aca="false">IF(OR(X65="",N(O65)=0),"",X65/O65-1)</f>
        <v>-0.0483958673191952</v>
      </c>
      <c r="Z65" s="29" t="n">
        <f aca="false">IF(OR(Y65="",N(O65)=0),"",Y65+N65/O65)</f>
        <v>0.0229744426318652</v>
      </c>
      <c r="AA65" s="32" t="n">
        <f aca="false">IF(OR(Z65="",N(U65)=0),"",Z65-U65)</f>
        <v>0</v>
      </c>
      <c r="AB65" s="29" t="n">
        <f aca="false">IF(N(Q65)=0,"",Q65+IF(I65="yes",Q65*Inputs!$B$10*Inputs!$B$9,0)+IFERROR(INDEX(Inputs!$B$13:$B$15,MATCH(G65,Inputs!$A$13:$A$15,0)),0)+IFERROR(INDEX(Inputs!$B$18:$B$24,MATCH(H65,Inputs!$A$18:$A$24,0)),0))</f>
        <v>0.075</v>
      </c>
      <c r="AC65" s="28" t="n">
        <f aca="false">IF(OR(N(AB65)&lt;=0,N(N65)=0,N(L65)=0),"",MIN(L65,N65/AB65))</f>
        <v>17.5</v>
      </c>
      <c r="AD65" s="29" t="n">
        <f aca="false">IF(OR(AC65="",N(O65)=0),"",AC65/O65-1)</f>
        <v>-0.0483958673191952</v>
      </c>
      <c r="AE65" s="29" t="n">
        <f aca="false">IF(OR(AD65="",N(O65)=0),"",AD65+N65/O65)</f>
        <v>0.0229744426318652</v>
      </c>
      <c r="AF65" s="32" t="n">
        <f aca="false">IF(OR(AE65="",N(Z65)=0),"",AE65-Z65)</f>
        <v>0</v>
      </c>
      <c r="AG65" s="28" t="n">
        <f aca="false">IF(AND(N(M65)&gt;0,N(L65)&gt;0),M65*L65,N65)</f>
        <v>1.3125</v>
      </c>
      <c r="AH65" s="28" t="n">
        <f aca="false">IF(OR(N(AB65)&lt;=0,N(AG65)=0,N(L65)=0),"",MIN(L65,AG65/AB65))</f>
        <v>17.5</v>
      </c>
      <c r="AI65" s="29" t="n">
        <f aca="false">IF(OR(AH65="",N(O65)=0),"",AH65/O65-1)</f>
        <v>-0.0483958673191952</v>
      </c>
      <c r="AJ65" s="29" t="n">
        <f aca="false">IF(OR(AI65="",N(O65)=0),"",AI65+AG65/O65)</f>
        <v>0.0229744426318652</v>
      </c>
      <c r="AK65" s="32" t="n">
        <f aca="false">IF(OR(AJ65="",N(AE65)=0),"",AJ65-AE65)</f>
        <v>0</v>
      </c>
      <c r="AL65" s="33" t="n">
        <f aca="false">IF(N(F65)=0,"",INDEX(Inputs!$B$28:$B$32,IFERROR(MATCH(F65,Inputs!$A$28:$A$32,1),0)+1))</f>
        <v>0.08</v>
      </c>
      <c r="AM65" s="34"/>
      <c r="AN65" s="33" t="n">
        <f aca="false">IF(N(AM65)&gt;0,AM65,AL65)</f>
        <v>0.08</v>
      </c>
      <c r="AO65" s="29" t="n">
        <f aca="false">IF(N(AN65)=0,"",AN65+IF(I65="yes",AN65*Inputs!$B$10*Inputs!$B$9,0)+IFERROR(INDEX(Inputs!$B$13:$B$15,MATCH(G65,Inputs!$A$13:$A$15,0)),0)+IFERROR(INDEX(Inputs!$B$18:$B$24,MATCH(H65,Inputs!$A$18:$A$24,0)),0))</f>
        <v>0.075</v>
      </c>
      <c r="AP65" s="28" t="n">
        <f aca="false">IF(OR(N(AO65)&lt;=0,N(AG65)=0,N(L65)=0),"",MIN(L65,AG65/AO65))</f>
        <v>17.5</v>
      </c>
      <c r="AQ65" s="29" t="n">
        <f aca="false">IF(OR(AP65="",N(O65)=0),"",AP65/O65-1)</f>
        <v>-0.0483958673191952</v>
      </c>
      <c r="AR65" s="29" t="n">
        <f aca="false">IF(OR(AQ65="",N(O65)=0),"",AQ65+AG65/O65)</f>
        <v>0.0229744426318652</v>
      </c>
      <c r="AS65" s="32" t="n">
        <f aca="false">IF(OR(AR65="",N(AJ65)=0),"",AR65-AJ65)</f>
        <v>0</v>
      </c>
      <c r="AT65" s="28" t="n">
        <v>25</v>
      </c>
      <c r="AU65" s="28" t="n">
        <v>1.3125</v>
      </c>
      <c r="AV65" s="28" t="n">
        <f aca="false">IF(N(AT65)&gt;0,AT65,L65)</f>
        <v>25</v>
      </c>
      <c r="AW65" s="28" t="n">
        <f aca="false">IF(AND(N(M65)&gt;0,N(AV65)&gt;0),M65*AV65,IF(N(AU65)&gt;0,AU65,N65))</f>
        <v>1.3125</v>
      </c>
      <c r="AX65" s="29" t="n">
        <f aca="false">IF(N(AN65)=0,"",AN65+IF(I65="yes",AN65*Inputs!$B$10*Inputs!$B$9,0)+IFERROR(INDEX(Inputs!$B$13:$B$15,MATCH(G65,Inputs!$A$13:$A$15,0)),0)+IFERROR(INDEX(Inputs!$B$18:$B$24,MATCH(H65,Inputs!$A$18:$A$24,0)),0))</f>
        <v>0.075</v>
      </c>
      <c r="AY65" s="28" t="n">
        <f aca="false">IF(OR(N(AX65)&lt;=0,N(AW65)=0,N(AV65)=0),"",MIN(AV65,AW65/AX65))</f>
        <v>17.5</v>
      </c>
      <c r="AZ65" s="29" t="n">
        <f aca="false">IF(OR(AY65="",N(O65)=0),"",AY65/O65-1)</f>
        <v>-0.0483958673191952</v>
      </c>
      <c r="BA65" s="29" t="n">
        <f aca="false">IF(OR(AZ65="",N(O65)=0),"",AZ65+AW65/O65)</f>
        <v>0.0229744426318652</v>
      </c>
      <c r="BB65" s="32" t="n">
        <f aca="false">IF(OR(BA65="",N(AR65)=0),"",BA65-AR65)</f>
        <v>0</v>
      </c>
      <c r="BC65" s="35" t="n">
        <f aca="false">IF(OR(BA65="",N(U65)=0),"",BA65-U65)</f>
        <v>0</v>
      </c>
      <c r="BD65" s="37"/>
    </row>
    <row r="66" customFormat="false" ht="15" hidden="false" customHeight="false" outlineLevel="0" collapsed="false">
      <c r="A66" s="2" t="s">
        <v>140</v>
      </c>
      <c r="B66" s="2" t="n">
        <v>121</v>
      </c>
      <c r="C66" s="2" t="s">
        <v>252</v>
      </c>
      <c r="D66" s="2" t="s">
        <v>253</v>
      </c>
      <c r="E66" s="2" t="s">
        <v>143</v>
      </c>
      <c r="F66" s="27"/>
      <c r="G66" s="2" t="s">
        <v>52</v>
      </c>
      <c r="H66" s="2" t="s">
        <v>58</v>
      </c>
      <c r="I66" s="2" t="s">
        <v>144</v>
      </c>
      <c r="J66" s="2" t="s">
        <v>145</v>
      </c>
      <c r="K66" s="2" t="n">
        <v>4</v>
      </c>
      <c r="L66" s="28" t="n">
        <v>25</v>
      </c>
      <c r="M66" s="29" t="n">
        <v>0.0725</v>
      </c>
      <c r="N66" s="28" t="n">
        <v>1.8125</v>
      </c>
      <c r="O66" s="28" t="n">
        <v>0</v>
      </c>
      <c r="P66" s="2" t="s">
        <v>146</v>
      </c>
      <c r="Q66" s="29" t="n">
        <v>0</v>
      </c>
      <c r="R66" s="30" t="n">
        <v>-0.0075</v>
      </c>
      <c r="S66" s="31" t="n">
        <v>-241.666666666667</v>
      </c>
      <c r="T66" s="30"/>
      <c r="U66" s="30"/>
      <c r="V66" s="29" t="n">
        <v>-0.0075</v>
      </c>
      <c r="W66" s="29" t="str">
        <f aca="false">IF(N(Q66)=0,"",Q66+IF(I66="yes",Q66*Inputs!$B$10*Inputs!$B$9,0)+V66)</f>
        <v/>
      </c>
      <c r="X66" s="28" t="str">
        <f aca="false">IF(OR(N(W66)&lt;=0,N(N66)=0,N(L66)=0),"",MIN(L66,N66/W66))</f>
        <v/>
      </c>
      <c r="Y66" s="29" t="str">
        <f aca="false">IF(OR(X66="",N(O66)=0),"",X66/O66-1)</f>
        <v/>
      </c>
      <c r="Z66" s="29" t="str">
        <f aca="false">IF(OR(Y66="",N(O66)=0),"",Y66+N66/O66)</f>
        <v/>
      </c>
      <c r="AA66" s="32" t="str">
        <f aca="false">IF(OR(Z66="",N(U66)=0),"",Z66-U66)</f>
        <v/>
      </c>
      <c r="AB66" s="29" t="str">
        <f aca="false">IF(N(Q66)=0,"",Q66+IF(I66="yes",Q66*Inputs!$B$10*Inputs!$B$9,0)+IFERROR(INDEX(Inputs!$B$13:$B$15,MATCH(G66,Inputs!$A$13:$A$15,0)),0)+IFERROR(INDEX(Inputs!$B$18:$B$24,MATCH(H66,Inputs!$A$18:$A$24,0)),0))</f>
        <v/>
      </c>
      <c r="AC66" s="28" t="str">
        <f aca="false">IF(OR(N(AB66)&lt;=0,N(N66)=0,N(L66)=0),"",MIN(L66,N66/AB66))</f>
        <v/>
      </c>
      <c r="AD66" s="29" t="str">
        <f aca="false">IF(OR(AC66="",N(O66)=0),"",AC66/O66-1)</f>
        <v/>
      </c>
      <c r="AE66" s="29" t="str">
        <f aca="false">IF(OR(AD66="",N(O66)=0),"",AD66+N66/O66)</f>
        <v/>
      </c>
      <c r="AF66" s="32" t="str">
        <f aca="false">IF(OR(AE66="",N(Z66)=0),"",AE66-Z66)</f>
        <v/>
      </c>
      <c r="AG66" s="28" t="n">
        <f aca="false">IF(AND(N(M66)&gt;0,N(L66)&gt;0),M66*L66,N66)</f>
        <v>1.8125</v>
      </c>
      <c r="AH66" s="28" t="str">
        <f aca="false">IF(OR(N(AB66)&lt;=0,N(AG66)=0,N(L66)=0),"",MIN(L66,AG66/AB66))</f>
        <v/>
      </c>
      <c r="AI66" s="29" t="str">
        <f aca="false">IF(OR(AH66="",N(O66)=0),"",AH66/O66-1)</f>
        <v/>
      </c>
      <c r="AJ66" s="29" t="str">
        <f aca="false">IF(OR(AI66="",N(O66)=0),"",AI66+AG66/O66)</f>
        <v/>
      </c>
      <c r="AK66" s="32" t="str">
        <f aca="false">IF(OR(AJ66="",N(AE66)=0),"",AJ66-AE66)</f>
        <v/>
      </c>
      <c r="AL66" s="33" t="str">
        <f aca="false">IF(N(F66)=0,"",INDEX(Inputs!$B$28:$B$32,IFERROR(MATCH(F66,Inputs!$A$28:$A$32,1),0)+1))</f>
        <v/>
      </c>
      <c r="AM66" s="34"/>
      <c r="AN66" s="33" t="str">
        <f aca="false">IF(N(AM66)&gt;0,AM66,AL66)</f>
        <v/>
      </c>
      <c r="AO66" s="29" t="str">
        <f aca="false">IF(N(AN66)=0,"",AN66+IF(I66="yes",AN66*Inputs!$B$10*Inputs!$B$9,0)+IFERROR(INDEX(Inputs!$B$13:$B$15,MATCH(G66,Inputs!$A$13:$A$15,0)),0)+IFERROR(INDEX(Inputs!$B$18:$B$24,MATCH(H66,Inputs!$A$18:$A$24,0)),0))</f>
        <v/>
      </c>
      <c r="AP66" s="28" t="str">
        <f aca="false">IF(OR(N(AO66)&lt;=0,N(AG66)=0,N(L66)=0),"",MIN(L66,AG66/AO66))</f>
        <v/>
      </c>
      <c r="AQ66" s="29" t="str">
        <f aca="false">IF(OR(AP66="",N(O66)=0),"",AP66/O66-1)</f>
        <v/>
      </c>
      <c r="AR66" s="29" t="str">
        <f aca="false">IF(OR(AQ66="",N(O66)=0),"",AQ66+AG66/O66)</f>
        <v/>
      </c>
      <c r="AS66" s="32" t="str">
        <f aca="false">IF(OR(AR66="",N(AJ66)=0),"",AR66-AJ66)</f>
        <v/>
      </c>
      <c r="AT66" s="28"/>
      <c r="AU66" s="28"/>
      <c r="AV66" s="28" t="n">
        <f aca="false">IF(N(AT66)&gt;0,AT66,L66)</f>
        <v>25</v>
      </c>
      <c r="AW66" s="28" t="n">
        <f aca="false">IF(AND(N(M66)&gt;0,N(AV66)&gt;0),M66*AV66,IF(N(AU66)&gt;0,AU66,N66))</f>
        <v>1.8125</v>
      </c>
      <c r="AX66" s="29" t="str">
        <f aca="false">IF(N(AN66)=0,"",AN66+IF(I66="yes",AN66*Inputs!$B$10*Inputs!$B$9,0)+IFERROR(INDEX(Inputs!$B$13:$B$15,MATCH(G66,Inputs!$A$13:$A$15,0)),0)+IFERROR(INDEX(Inputs!$B$18:$B$24,MATCH(H66,Inputs!$A$18:$A$24,0)),0))</f>
        <v/>
      </c>
      <c r="AY66" s="28" t="str">
        <f aca="false">IF(OR(N(AX66)&lt;=0,N(AW66)=0,N(AV66)=0),"",MIN(AV66,AW66/AX66))</f>
        <v/>
      </c>
      <c r="AZ66" s="29" t="str">
        <f aca="false">IF(OR(AY66="",N(O66)=0),"",AY66/O66-1)</f>
        <v/>
      </c>
      <c r="BA66" s="29" t="str">
        <f aca="false">IF(OR(AZ66="",N(O66)=0),"",AZ66+AW66/O66)</f>
        <v/>
      </c>
      <c r="BB66" s="32" t="str">
        <f aca="false">IF(OR(BA66="",N(AR66)=0),"",BA66-AR66)</f>
        <v/>
      </c>
      <c r="BC66" s="35" t="str">
        <f aca="false">IF(OR(BA66="",N(U66)=0),"",BA66-U66)</f>
        <v/>
      </c>
      <c r="BD66" s="36" t="s">
        <v>147</v>
      </c>
    </row>
    <row r="67" customFormat="false" ht="15" hidden="false" customHeight="false" outlineLevel="0" collapsed="false">
      <c r="A67" s="2" t="s">
        <v>140</v>
      </c>
      <c r="B67" s="2" t="n">
        <v>125</v>
      </c>
      <c r="C67" s="2" t="s">
        <v>254</v>
      </c>
      <c r="D67" s="2" t="s">
        <v>255</v>
      </c>
      <c r="E67" s="2" t="s">
        <v>143</v>
      </c>
      <c r="F67" s="27"/>
      <c r="G67" s="2" t="s">
        <v>51</v>
      </c>
      <c r="H67" s="2" t="s">
        <v>59</v>
      </c>
      <c r="I67" s="2" t="s">
        <v>151</v>
      </c>
      <c r="J67" s="2" t="s">
        <v>145</v>
      </c>
      <c r="K67" s="2" t="n">
        <v>4</v>
      </c>
      <c r="L67" s="28" t="n">
        <v>25</v>
      </c>
      <c r="M67" s="29" t="n">
        <v>0.0615</v>
      </c>
      <c r="N67" s="28" t="n">
        <v>1.5375</v>
      </c>
      <c r="O67" s="28" t="n">
        <v>0</v>
      </c>
      <c r="P67" s="2" t="s">
        <v>146</v>
      </c>
      <c r="Q67" s="29" t="n">
        <v>0</v>
      </c>
      <c r="R67" s="30" t="n">
        <v>0</v>
      </c>
      <c r="S67" s="31"/>
      <c r="T67" s="30"/>
      <c r="U67" s="30"/>
      <c r="V67" s="29" t="n">
        <v>0</v>
      </c>
      <c r="W67" s="29" t="str">
        <f aca="false">IF(N(Q67)=0,"",Q67+IF(I67="yes",Q67*Inputs!$B$10*Inputs!$B$9,0)+V67)</f>
        <v/>
      </c>
      <c r="X67" s="28" t="str">
        <f aca="false">IF(OR(N(W67)&lt;=0,N(N67)=0,N(L67)=0),"",MIN(L67,N67/W67))</f>
        <v/>
      </c>
      <c r="Y67" s="29" t="str">
        <f aca="false">IF(OR(X67="",N(O67)=0),"",X67/O67-1)</f>
        <v/>
      </c>
      <c r="Z67" s="29" t="str">
        <f aca="false">IF(OR(Y67="",N(O67)=0),"",Y67+N67/O67)</f>
        <v/>
      </c>
      <c r="AA67" s="32" t="str">
        <f aca="false">IF(OR(Z67="",N(U67)=0),"",Z67-U67)</f>
        <v/>
      </c>
      <c r="AB67" s="29" t="str">
        <f aca="false">IF(N(Q67)=0,"",Q67+IF(I67="yes",Q67*Inputs!$B$10*Inputs!$B$9,0)+IFERROR(INDEX(Inputs!$B$13:$B$15,MATCH(G67,Inputs!$A$13:$A$15,0)),0)+IFERROR(INDEX(Inputs!$B$18:$B$24,MATCH(H67,Inputs!$A$18:$A$24,0)),0))</f>
        <v/>
      </c>
      <c r="AC67" s="28" t="str">
        <f aca="false">IF(OR(N(AB67)&lt;=0,N(N67)=0,N(L67)=0),"",MIN(L67,N67/AB67))</f>
        <v/>
      </c>
      <c r="AD67" s="29" t="str">
        <f aca="false">IF(OR(AC67="",N(O67)=0),"",AC67/O67-1)</f>
        <v/>
      </c>
      <c r="AE67" s="29" t="str">
        <f aca="false">IF(OR(AD67="",N(O67)=0),"",AD67+N67/O67)</f>
        <v/>
      </c>
      <c r="AF67" s="32" t="str">
        <f aca="false">IF(OR(AE67="",N(Z67)=0),"",AE67-Z67)</f>
        <v/>
      </c>
      <c r="AG67" s="28" t="n">
        <f aca="false">IF(AND(N(M67)&gt;0,N(L67)&gt;0),M67*L67,N67)</f>
        <v>1.5375</v>
      </c>
      <c r="AH67" s="28" t="str">
        <f aca="false">IF(OR(N(AB67)&lt;=0,N(AG67)=0,N(L67)=0),"",MIN(L67,AG67/AB67))</f>
        <v/>
      </c>
      <c r="AI67" s="29" t="str">
        <f aca="false">IF(OR(AH67="",N(O67)=0),"",AH67/O67-1)</f>
        <v/>
      </c>
      <c r="AJ67" s="29" t="str">
        <f aca="false">IF(OR(AI67="",N(O67)=0),"",AI67+AG67/O67)</f>
        <v/>
      </c>
      <c r="AK67" s="32" t="str">
        <f aca="false">IF(OR(AJ67="",N(AE67)=0),"",AJ67-AE67)</f>
        <v/>
      </c>
      <c r="AL67" s="33" t="str">
        <f aca="false">IF(N(F67)=0,"",INDEX(Inputs!$B$28:$B$32,IFERROR(MATCH(F67,Inputs!$A$28:$A$32,1),0)+1))</f>
        <v/>
      </c>
      <c r="AM67" s="34"/>
      <c r="AN67" s="33" t="str">
        <f aca="false">IF(N(AM67)&gt;0,AM67,AL67)</f>
        <v/>
      </c>
      <c r="AO67" s="29" t="str">
        <f aca="false">IF(N(AN67)=0,"",AN67+IF(I67="yes",AN67*Inputs!$B$10*Inputs!$B$9,0)+IFERROR(INDEX(Inputs!$B$13:$B$15,MATCH(G67,Inputs!$A$13:$A$15,0)),0)+IFERROR(INDEX(Inputs!$B$18:$B$24,MATCH(H67,Inputs!$A$18:$A$24,0)),0))</f>
        <v/>
      </c>
      <c r="AP67" s="28" t="str">
        <f aca="false">IF(OR(N(AO67)&lt;=0,N(AG67)=0,N(L67)=0),"",MIN(L67,AG67/AO67))</f>
        <v/>
      </c>
      <c r="AQ67" s="29" t="str">
        <f aca="false">IF(OR(AP67="",N(O67)=0),"",AP67/O67-1)</f>
        <v/>
      </c>
      <c r="AR67" s="29" t="str">
        <f aca="false">IF(OR(AQ67="",N(O67)=0),"",AQ67+AG67/O67)</f>
        <v/>
      </c>
      <c r="AS67" s="32" t="str">
        <f aca="false">IF(OR(AR67="",N(AJ67)=0),"",AR67-AJ67)</f>
        <v/>
      </c>
      <c r="AT67" s="28"/>
      <c r="AU67" s="28"/>
      <c r="AV67" s="28" t="n">
        <f aca="false">IF(N(AT67)&gt;0,AT67,L67)</f>
        <v>25</v>
      </c>
      <c r="AW67" s="28" t="n">
        <f aca="false">IF(AND(N(M67)&gt;0,N(AV67)&gt;0),M67*AV67,IF(N(AU67)&gt;0,AU67,N67))</f>
        <v>1.5375</v>
      </c>
      <c r="AX67" s="29" t="str">
        <f aca="false">IF(N(AN67)=0,"",AN67+IF(I67="yes",AN67*Inputs!$B$10*Inputs!$B$9,0)+IFERROR(INDEX(Inputs!$B$13:$B$15,MATCH(G67,Inputs!$A$13:$A$15,0)),0)+IFERROR(INDEX(Inputs!$B$18:$B$24,MATCH(H67,Inputs!$A$18:$A$24,0)),0))</f>
        <v/>
      </c>
      <c r="AY67" s="28" t="str">
        <f aca="false">IF(OR(N(AX67)&lt;=0,N(AW67)=0,N(AV67)=0),"",MIN(AV67,AW67/AX67))</f>
        <v/>
      </c>
      <c r="AZ67" s="29" t="str">
        <f aca="false">IF(OR(AY67="",N(O67)=0),"",AY67/O67-1)</f>
        <v/>
      </c>
      <c r="BA67" s="29" t="str">
        <f aca="false">IF(OR(AZ67="",N(O67)=0),"",AZ67+AW67/O67)</f>
        <v/>
      </c>
      <c r="BB67" s="32" t="str">
        <f aca="false">IF(OR(BA67="",N(AR67)=0),"",BA67-AR67)</f>
        <v/>
      </c>
      <c r="BC67" s="35" t="str">
        <f aca="false">IF(OR(BA67="",N(U67)=0),"",BA67-U67)</f>
        <v/>
      </c>
      <c r="BD67" s="36" t="s">
        <v>147</v>
      </c>
    </row>
    <row r="68" customFormat="false" ht="15" hidden="false" customHeight="false" outlineLevel="0" collapsed="false">
      <c r="A68" s="2" t="s">
        <v>140</v>
      </c>
      <c r="B68" s="2" t="n">
        <v>129</v>
      </c>
      <c r="C68" s="2" t="s">
        <v>256</v>
      </c>
      <c r="D68" s="2" t="s">
        <v>257</v>
      </c>
      <c r="E68" s="2" t="s">
        <v>258</v>
      </c>
      <c r="F68" s="27" t="n">
        <v>64400</v>
      </c>
      <c r="G68" s="2" t="s">
        <v>52</v>
      </c>
      <c r="H68" s="2" t="s">
        <v>58</v>
      </c>
      <c r="I68" s="2" t="s">
        <v>144</v>
      </c>
      <c r="J68" s="2" t="s">
        <v>145</v>
      </c>
      <c r="K68" s="2" t="n">
        <v>4</v>
      </c>
      <c r="L68" s="28" t="n">
        <v>25</v>
      </c>
      <c r="M68" s="29" t="n">
        <v>0.051</v>
      </c>
      <c r="N68" s="28" t="n">
        <v>1.275</v>
      </c>
      <c r="O68" s="28" t="n">
        <v>25.57</v>
      </c>
      <c r="P68" s="2" t="s">
        <v>146</v>
      </c>
      <c r="Q68" s="29" t="n">
        <v>0.08</v>
      </c>
      <c r="R68" s="30" t="n">
        <v>0.0725</v>
      </c>
      <c r="S68" s="31" t="n">
        <v>17.5862068965517</v>
      </c>
      <c r="T68" s="30" t="n">
        <v>-0.312232815934622</v>
      </c>
      <c r="U68" s="30" t="n">
        <v>-0.262369695089882</v>
      </c>
      <c r="V68" s="29" t="n">
        <v>-0.0075</v>
      </c>
      <c r="W68" s="29" t="n">
        <f aca="false">IF(N(Q68)=0,"",Q68+IF(I68="yes",Q68*Inputs!$B$10*Inputs!$B$9,0)+V68)</f>
        <v>0.0725</v>
      </c>
      <c r="X68" s="28" t="n">
        <f aca="false">IF(OR(N(W68)&lt;=0,N(N68)=0,N(L68)=0),"",MIN(L68,N68/W68))</f>
        <v>17.5862068965517</v>
      </c>
      <c r="Y68" s="29" t="n">
        <f aca="false">IF(OR(X68="",N(O68)=0),"",X68/O68-1)</f>
        <v>-0.312232815934622</v>
      </c>
      <c r="Z68" s="29" t="n">
        <f aca="false">IF(OR(Y68="",N(O68)=0),"",Y68+N68/O68)</f>
        <v>-0.262369695089882</v>
      </c>
      <c r="AA68" s="32" t="n">
        <f aca="false">IF(OR(Z68="",N(U68)=0),"",Z68-U68)</f>
        <v>0</v>
      </c>
      <c r="AB68" s="29" t="n">
        <f aca="false">IF(N(Q68)=0,"",Q68+IF(I68="yes",Q68*Inputs!$B$10*Inputs!$B$9,0)+IFERROR(INDEX(Inputs!$B$13:$B$15,MATCH(G68,Inputs!$A$13:$A$15,0)),0)+IFERROR(INDEX(Inputs!$B$18:$B$24,MATCH(H68,Inputs!$A$18:$A$24,0)),0))</f>
        <v>0.075</v>
      </c>
      <c r="AC68" s="28" t="n">
        <f aca="false">IF(OR(N(AB68)&lt;=0,N(N68)=0,N(L68)=0),"",MIN(L68,N68/AB68))</f>
        <v>17</v>
      </c>
      <c r="AD68" s="29" t="n">
        <f aca="false">IF(OR(AC68="",N(O68)=0),"",AC68/O68-1)</f>
        <v>-0.335158388736801</v>
      </c>
      <c r="AE68" s="29" t="n">
        <f aca="false">IF(OR(AD68="",N(O68)=0),"",AD68+N68/O68)</f>
        <v>-0.285295267892061</v>
      </c>
      <c r="AF68" s="32" t="n">
        <f aca="false">IF(OR(AE68="",N(Z68)=0),"",AE68-Z68)</f>
        <v>-0.0229255728021792</v>
      </c>
      <c r="AG68" s="28" t="n">
        <f aca="false">IF(AND(N(M68)&gt;0,N(L68)&gt;0),M68*L68,N68)</f>
        <v>1.275</v>
      </c>
      <c r="AH68" s="28" t="n">
        <f aca="false">IF(OR(N(AB68)&lt;=0,N(AG68)=0,N(L68)=0),"",MIN(L68,AG68/AB68))</f>
        <v>17</v>
      </c>
      <c r="AI68" s="29" t="n">
        <f aca="false">IF(OR(AH68="",N(O68)=0),"",AH68/O68-1)</f>
        <v>-0.335158388736801</v>
      </c>
      <c r="AJ68" s="29" t="n">
        <f aca="false">IF(OR(AI68="",N(O68)=0),"",AI68+AG68/O68)</f>
        <v>-0.285295267892061</v>
      </c>
      <c r="AK68" s="32" t="n">
        <f aca="false">IF(OR(AJ68="",N(AE68)=0),"",AJ68-AE68)</f>
        <v>0</v>
      </c>
      <c r="AL68" s="33" t="n">
        <f aca="false">IF(N(F68)=0,"",INDEX(Inputs!$B$28:$B$32,IFERROR(MATCH(F68,Inputs!$A$28:$A$32,1),0)+1))</f>
        <v>0.075</v>
      </c>
      <c r="AM68" s="34"/>
      <c r="AN68" s="33" t="n">
        <f aca="false">IF(N(AM68)&gt;0,AM68,AL68)</f>
        <v>0.075</v>
      </c>
      <c r="AO68" s="29" t="n">
        <f aca="false">IF(N(AN68)=0,"",AN68+IF(I68="yes",AN68*Inputs!$B$10*Inputs!$B$9,0)+IFERROR(INDEX(Inputs!$B$13:$B$15,MATCH(G68,Inputs!$A$13:$A$15,0)),0)+IFERROR(INDEX(Inputs!$B$18:$B$24,MATCH(H68,Inputs!$A$18:$A$24,0)),0))</f>
        <v>0.07</v>
      </c>
      <c r="AP68" s="28" t="n">
        <f aca="false">IF(OR(N(AO68)&lt;=0,N(AG68)=0,N(L68)=0),"",MIN(L68,AG68/AO68))</f>
        <v>18.2142857142857</v>
      </c>
      <c r="AQ68" s="29" t="n">
        <f aca="false">IF(OR(AP68="",N(O68)=0),"",AP68/O68-1)</f>
        <v>-0.287669702218001</v>
      </c>
      <c r="AR68" s="29" t="n">
        <f aca="false">IF(OR(AQ68="",N(O68)=0),"",AQ68+AG68/O68)</f>
        <v>-0.237806581373261</v>
      </c>
      <c r="AS68" s="32" t="n">
        <f aca="false">IF(OR(AR68="",N(AJ68)=0),"",AR68-AJ68)</f>
        <v>0.0474886865188</v>
      </c>
      <c r="AT68" s="28" t="n">
        <v>25</v>
      </c>
      <c r="AU68" s="28"/>
      <c r="AV68" s="28" t="n">
        <f aca="false">IF(N(AT68)&gt;0,AT68,L68)</f>
        <v>25</v>
      </c>
      <c r="AW68" s="28" t="n">
        <f aca="false">IF(AND(N(M68)&gt;0,N(AV68)&gt;0),M68*AV68,IF(N(AU68)&gt;0,AU68,N68))</f>
        <v>1.275</v>
      </c>
      <c r="AX68" s="29" t="n">
        <f aca="false">IF(N(AN68)=0,"",AN68+IF(I68="yes",AN68*Inputs!$B$10*Inputs!$B$9,0)+IFERROR(INDEX(Inputs!$B$13:$B$15,MATCH(G68,Inputs!$A$13:$A$15,0)),0)+IFERROR(INDEX(Inputs!$B$18:$B$24,MATCH(H68,Inputs!$A$18:$A$24,0)),0))</f>
        <v>0.07</v>
      </c>
      <c r="AY68" s="28" t="n">
        <f aca="false">IF(OR(N(AX68)&lt;=0,N(AW68)=0,N(AV68)=0),"",MIN(AV68,AW68/AX68))</f>
        <v>18.2142857142857</v>
      </c>
      <c r="AZ68" s="29" t="n">
        <f aca="false">IF(OR(AY68="",N(O68)=0),"",AY68/O68-1)</f>
        <v>-0.287669702218001</v>
      </c>
      <c r="BA68" s="29" t="n">
        <f aca="false">IF(OR(AZ68="",N(O68)=0),"",AZ68+AW68/O68)</f>
        <v>-0.237806581373261</v>
      </c>
      <c r="BB68" s="32" t="n">
        <f aca="false">IF(OR(BA68="",N(AR68)=0),"",BA68-AR68)</f>
        <v>0</v>
      </c>
      <c r="BC68" s="35" t="n">
        <f aca="false">IF(OR(BA68="",N(U68)=0),"",BA68-U68)</f>
        <v>0.0245631137166208</v>
      </c>
      <c r="BD68" s="37"/>
    </row>
    <row r="69" customFormat="false" ht="15" hidden="false" customHeight="false" outlineLevel="0" collapsed="false">
      <c r="A69" s="2" t="s">
        <v>140</v>
      </c>
      <c r="B69" s="2" t="n">
        <v>130</v>
      </c>
      <c r="C69" s="2" t="s">
        <v>259</v>
      </c>
      <c r="D69" s="2" t="s">
        <v>257</v>
      </c>
      <c r="E69" s="2" t="s">
        <v>258</v>
      </c>
      <c r="F69" s="27" t="n">
        <v>64400</v>
      </c>
      <c r="G69" s="2" t="s">
        <v>51</v>
      </c>
      <c r="H69" s="2" t="s">
        <v>58</v>
      </c>
      <c r="I69" s="2" t="s">
        <v>151</v>
      </c>
      <c r="J69" s="2" t="s">
        <v>145</v>
      </c>
      <c r="K69" s="2" t="n">
        <v>4</v>
      </c>
      <c r="L69" s="28" t="n">
        <v>25</v>
      </c>
      <c r="M69" s="29" t="n">
        <v>0.0512</v>
      </c>
      <c r="N69" s="28" t="n">
        <v>1.28</v>
      </c>
      <c r="O69" s="28" t="n">
        <v>18.75</v>
      </c>
      <c r="P69" s="2" t="s">
        <v>146</v>
      </c>
      <c r="Q69" s="29" t="n">
        <v>0.08</v>
      </c>
      <c r="R69" s="30" t="n">
        <v>0.076</v>
      </c>
      <c r="S69" s="31" t="n">
        <v>16.8421052631579</v>
      </c>
      <c r="T69" s="30" t="n">
        <v>-0.101754385964912</v>
      </c>
      <c r="U69" s="30" t="n">
        <v>-0.0334877192982457</v>
      </c>
      <c r="V69" s="29" t="n">
        <v>0</v>
      </c>
      <c r="W69" s="29" t="n">
        <f aca="false">IF(N(Q69)=0,"",Q69+IF(I69="yes",Q69*Inputs!$B$10*Inputs!$B$9,0)+V69)</f>
        <v>0.076</v>
      </c>
      <c r="X69" s="28" t="n">
        <f aca="false">IF(OR(N(W69)&lt;=0,N(N69)=0,N(L69)=0),"",MIN(L69,N69/W69))</f>
        <v>16.8421052631579</v>
      </c>
      <c r="Y69" s="29" t="n">
        <f aca="false">IF(OR(X69="",N(O69)=0),"",X69/O69-1)</f>
        <v>-0.101754385964912</v>
      </c>
      <c r="Z69" s="29" t="n">
        <f aca="false">IF(OR(Y69="",N(O69)=0),"",Y69+N69/O69)</f>
        <v>-0.0334877192982457</v>
      </c>
      <c r="AA69" s="32" t="n">
        <f aca="false">IF(OR(Z69="",N(U69)=0),"",Z69-U69)</f>
        <v>0</v>
      </c>
      <c r="AB69" s="29" t="n">
        <f aca="false">IF(N(Q69)=0,"",Q69+IF(I69="yes",Q69*Inputs!$B$10*Inputs!$B$9,0)+IFERROR(INDEX(Inputs!$B$13:$B$15,MATCH(G69,Inputs!$A$13:$A$15,0)),0)+IFERROR(INDEX(Inputs!$B$18:$B$24,MATCH(H69,Inputs!$A$18:$A$24,0)),0))</f>
        <v>0.076</v>
      </c>
      <c r="AC69" s="28" t="n">
        <f aca="false">IF(OR(N(AB69)&lt;=0,N(N69)=0,N(L69)=0),"",MIN(L69,N69/AB69))</f>
        <v>16.8421052631579</v>
      </c>
      <c r="AD69" s="29" t="n">
        <f aca="false">IF(OR(AC69="",N(O69)=0),"",AC69/O69-1)</f>
        <v>-0.101754385964912</v>
      </c>
      <c r="AE69" s="29" t="n">
        <f aca="false">IF(OR(AD69="",N(O69)=0),"",AD69+N69/O69)</f>
        <v>-0.0334877192982457</v>
      </c>
      <c r="AF69" s="32" t="n">
        <f aca="false">IF(OR(AE69="",N(Z69)=0),"",AE69-Z69)</f>
        <v>0</v>
      </c>
      <c r="AG69" s="28" t="n">
        <f aca="false">IF(AND(N(M69)&gt;0,N(L69)&gt;0),M69*L69,N69)</f>
        <v>1.28</v>
      </c>
      <c r="AH69" s="28" t="n">
        <f aca="false">IF(OR(N(AB69)&lt;=0,N(AG69)=0,N(L69)=0),"",MIN(L69,AG69/AB69))</f>
        <v>16.8421052631579</v>
      </c>
      <c r="AI69" s="29" t="n">
        <f aca="false">IF(OR(AH69="",N(O69)=0),"",AH69/O69-1)</f>
        <v>-0.101754385964912</v>
      </c>
      <c r="AJ69" s="29" t="n">
        <f aca="false">IF(OR(AI69="",N(O69)=0),"",AI69+AG69/O69)</f>
        <v>-0.0334877192982457</v>
      </c>
      <c r="AK69" s="32" t="n">
        <f aca="false">IF(OR(AJ69="",N(AE69)=0),"",AJ69-AE69)</f>
        <v>0</v>
      </c>
      <c r="AL69" s="33" t="n">
        <f aca="false">IF(N(F69)=0,"",INDEX(Inputs!$B$28:$B$32,IFERROR(MATCH(F69,Inputs!$A$28:$A$32,1),0)+1))</f>
        <v>0.075</v>
      </c>
      <c r="AM69" s="34"/>
      <c r="AN69" s="33" t="n">
        <f aca="false">IF(N(AM69)&gt;0,AM69,AL69)</f>
        <v>0.075</v>
      </c>
      <c r="AO69" s="29" t="n">
        <f aca="false">IF(N(AN69)=0,"",AN69+IF(I69="yes",AN69*Inputs!$B$10*Inputs!$B$9,0)+IFERROR(INDEX(Inputs!$B$13:$B$15,MATCH(G69,Inputs!$A$13:$A$15,0)),0)+IFERROR(INDEX(Inputs!$B$18:$B$24,MATCH(H69,Inputs!$A$18:$A$24,0)),0))</f>
        <v>0.07125</v>
      </c>
      <c r="AP69" s="28" t="n">
        <f aca="false">IF(OR(N(AO69)&lt;=0,N(AG69)=0,N(L69)=0),"",MIN(L69,AG69/AO69))</f>
        <v>17.9649122807018</v>
      </c>
      <c r="AQ69" s="29" t="n">
        <f aca="false">IF(OR(AP69="",N(O69)=0),"",AP69/O69-1)</f>
        <v>-0.0418713450292396</v>
      </c>
      <c r="AR69" s="29" t="n">
        <f aca="false">IF(OR(AQ69="",N(O69)=0),"",AQ69+AG69/O69)</f>
        <v>0.0263953216374271</v>
      </c>
      <c r="AS69" s="32" t="n">
        <f aca="false">IF(OR(AR69="",N(AJ69)=0),"",AR69-AJ69)</f>
        <v>0.0598830409356728</v>
      </c>
      <c r="AT69" s="28" t="n">
        <v>25</v>
      </c>
      <c r="AU69" s="28" t="n">
        <v>1.28</v>
      </c>
      <c r="AV69" s="28" t="n">
        <f aca="false">IF(N(AT69)&gt;0,AT69,L69)</f>
        <v>25</v>
      </c>
      <c r="AW69" s="28" t="n">
        <f aca="false">IF(AND(N(M69)&gt;0,N(AV69)&gt;0),M69*AV69,IF(N(AU69)&gt;0,AU69,N69))</f>
        <v>1.28</v>
      </c>
      <c r="AX69" s="29" t="n">
        <f aca="false">IF(N(AN69)=0,"",AN69+IF(I69="yes",AN69*Inputs!$B$10*Inputs!$B$9,0)+IFERROR(INDEX(Inputs!$B$13:$B$15,MATCH(G69,Inputs!$A$13:$A$15,0)),0)+IFERROR(INDEX(Inputs!$B$18:$B$24,MATCH(H69,Inputs!$A$18:$A$24,0)),0))</f>
        <v>0.07125</v>
      </c>
      <c r="AY69" s="28" t="n">
        <f aca="false">IF(OR(N(AX69)&lt;=0,N(AW69)=0,N(AV69)=0),"",MIN(AV69,AW69/AX69))</f>
        <v>17.9649122807018</v>
      </c>
      <c r="AZ69" s="29" t="n">
        <f aca="false">IF(OR(AY69="",N(O69)=0),"",AY69/O69-1)</f>
        <v>-0.0418713450292396</v>
      </c>
      <c r="BA69" s="29" t="n">
        <f aca="false">IF(OR(AZ69="",N(O69)=0),"",AZ69+AW69/O69)</f>
        <v>0.0263953216374271</v>
      </c>
      <c r="BB69" s="32" t="n">
        <f aca="false">IF(OR(BA69="",N(AR69)=0),"",BA69-AR69)</f>
        <v>0</v>
      </c>
      <c r="BC69" s="35" t="n">
        <f aca="false">IF(OR(BA69="",N(U69)=0),"",BA69-U69)</f>
        <v>0.0598830409356728</v>
      </c>
      <c r="BD69" s="37"/>
    </row>
    <row r="70" customFormat="false" ht="15" hidden="false" customHeight="false" outlineLevel="0" collapsed="false">
      <c r="A70" s="2" t="s">
        <v>140</v>
      </c>
      <c r="B70" s="2" t="n">
        <v>131</v>
      </c>
      <c r="C70" s="2" t="s">
        <v>260</v>
      </c>
      <c r="D70" s="2" t="s">
        <v>257</v>
      </c>
      <c r="E70" s="2" t="s">
        <v>258</v>
      </c>
      <c r="F70" s="27" t="n">
        <v>64400</v>
      </c>
      <c r="G70" s="2" t="s">
        <v>51</v>
      </c>
      <c r="H70" s="2" t="s">
        <v>58</v>
      </c>
      <c r="I70" s="2" t="s">
        <v>151</v>
      </c>
      <c r="J70" s="2" t="s">
        <v>145</v>
      </c>
      <c r="K70" s="2" t="n">
        <v>4</v>
      </c>
      <c r="L70" s="28" t="n">
        <v>25</v>
      </c>
      <c r="M70" s="29" t="n">
        <v>0.0475</v>
      </c>
      <c r="N70" s="28" t="n">
        <v>1.1875</v>
      </c>
      <c r="O70" s="28" t="n">
        <v>17.59</v>
      </c>
      <c r="P70" s="2" t="s">
        <v>146</v>
      </c>
      <c r="Q70" s="29" t="n">
        <v>0.08</v>
      </c>
      <c r="R70" s="30" t="n">
        <v>0.076</v>
      </c>
      <c r="S70" s="31" t="n">
        <v>15.625</v>
      </c>
      <c r="T70" s="30" t="n">
        <v>-0.111711199545196</v>
      </c>
      <c r="U70" s="30" t="n">
        <v>-0.0442012507106311</v>
      </c>
      <c r="V70" s="29" t="n">
        <v>0</v>
      </c>
      <c r="W70" s="29" t="n">
        <f aca="false">IF(N(Q70)=0,"",Q70+IF(I70="yes",Q70*Inputs!$B$10*Inputs!$B$9,0)+V70)</f>
        <v>0.076</v>
      </c>
      <c r="X70" s="28" t="n">
        <f aca="false">IF(OR(N(W70)&lt;=0,N(N70)=0,N(L70)=0),"",MIN(L70,N70/W70))</f>
        <v>15.625</v>
      </c>
      <c r="Y70" s="29" t="n">
        <f aca="false">IF(OR(X70="",N(O70)=0),"",X70/O70-1)</f>
        <v>-0.111711199545196</v>
      </c>
      <c r="Z70" s="29" t="n">
        <f aca="false">IF(OR(Y70="",N(O70)=0),"",Y70+N70/O70)</f>
        <v>-0.0442012507106311</v>
      </c>
      <c r="AA70" s="32" t="n">
        <f aca="false">IF(OR(Z70="",N(U70)=0),"",Z70-U70)</f>
        <v>0</v>
      </c>
      <c r="AB70" s="29" t="n">
        <f aca="false">IF(N(Q70)=0,"",Q70+IF(I70="yes",Q70*Inputs!$B$10*Inputs!$B$9,0)+IFERROR(INDEX(Inputs!$B$13:$B$15,MATCH(G70,Inputs!$A$13:$A$15,0)),0)+IFERROR(INDEX(Inputs!$B$18:$B$24,MATCH(H70,Inputs!$A$18:$A$24,0)),0))</f>
        <v>0.076</v>
      </c>
      <c r="AC70" s="28" t="n">
        <f aca="false">IF(OR(N(AB70)&lt;=0,N(N70)=0,N(L70)=0),"",MIN(L70,N70/AB70))</f>
        <v>15.625</v>
      </c>
      <c r="AD70" s="29" t="n">
        <f aca="false">IF(OR(AC70="",N(O70)=0),"",AC70/O70-1)</f>
        <v>-0.111711199545196</v>
      </c>
      <c r="AE70" s="29" t="n">
        <f aca="false">IF(OR(AD70="",N(O70)=0),"",AD70+N70/O70)</f>
        <v>-0.0442012507106311</v>
      </c>
      <c r="AF70" s="32" t="n">
        <f aca="false">IF(OR(AE70="",N(Z70)=0),"",AE70-Z70)</f>
        <v>0</v>
      </c>
      <c r="AG70" s="28" t="n">
        <f aca="false">IF(AND(N(M70)&gt;0,N(L70)&gt;0),M70*L70,N70)</f>
        <v>1.1875</v>
      </c>
      <c r="AH70" s="28" t="n">
        <f aca="false">IF(OR(N(AB70)&lt;=0,N(AG70)=0,N(L70)=0),"",MIN(L70,AG70/AB70))</f>
        <v>15.625</v>
      </c>
      <c r="AI70" s="29" t="n">
        <f aca="false">IF(OR(AH70="",N(O70)=0),"",AH70/O70-1)</f>
        <v>-0.111711199545196</v>
      </c>
      <c r="AJ70" s="29" t="n">
        <f aca="false">IF(OR(AI70="",N(O70)=0),"",AI70+AG70/O70)</f>
        <v>-0.0442012507106311</v>
      </c>
      <c r="AK70" s="32" t="n">
        <f aca="false">IF(OR(AJ70="",N(AE70)=0),"",AJ70-AE70)</f>
        <v>0</v>
      </c>
      <c r="AL70" s="33" t="n">
        <f aca="false">IF(N(F70)=0,"",INDEX(Inputs!$B$28:$B$32,IFERROR(MATCH(F70,Inputs!$A$28:$A$32,1),0)+1))</f>
        <v>0.075</v>
      </c>
      <c r="AM70" s="34"/>
      <c r="AN70" s="33" t="n">
        <f aca="false">IF(N(AM70)&gt;0,AM70,AL70)</f>
        <v>0.075</v>
      </c>
      <c r="AO70" s="29" t="n">
        <f aca="false">IF(N(AN70)=0,"",AN70+IF(I70="yes",AN70*Inputs!$B$10*Inputs!$B$9,0)+IFERROR(INDEX(Inputs!$B$13:$B$15,MATCH(G70,Inputs!$A$13:$A$15,0)),0)+IFERROR(INDEX(Inputs!$B$18:$B$24,MATCH(H70,Inputs!$A$18:$A$24,0)),0))</f>
        <v>0.07125</v>
      </c>
      <c r="AP70" s="28" t="n">
        <f aca="false">IF(OR(N(AO70)&lt;=0,N(AG70)=0,N(L70)=0),"",MIN(L70,AG70/AO70))</f>
        <v>16.6666666666667</v>
      </c>
      <c r="AQ70" s="29" t="n">
        <f aca="false">IF(OR(AP70="",N(O70)=0),"",AP70/O70-1)</f>
        <v>-0.0524919461815425</v>
      </c>
      <c r="AR70" s="29" t="n">
        <f aca="false">IF(OR(AQ70="",N(O70)=0),"",AQ70+AG70/O70)</f>
        <v>0.0150180026530226</v>
      </c>
      <c r="AS70" s="32" t="n">
        <f aca="false">IF(OR(AR70="",N(AJ70)=0),"",AR70-AJ70)</f>
        <v>0.0592192533636536</v>
      </c>
      <c r="AT70" s="28" t="n">
        <v>25</v>
      </c>
      <c r="AU70" s="28" t="n">
        <v>1.19</v>
      </c>
      <c r="AV70" s="28" t="n">
        <f aca="false">IF(N(AT70)&gt;0,AT70,L70)</f>
        <v>25</v>
      </c>
      <c r="AW70" s="28" t="n">
        <f aca="false">IF(AND(N(M70)&gt;0,N(AV70)&gt;0),M70*AV70,IF(N(AU70)&gt;0,AU70,N70))</f>
        <v>1.1875</v>
      </c>
      <c r="AX70" s="29" t="n">
        <f aca="false">IF(N(AN70)=0,"",AN70+IF(I70="yes",AN70*Inputs!$B$10*Inputs!$B$9,0)+IFERROR(INDEX(Inputs!$B$13:$B$15,MATCH(G70,Inputs!$A$13:$A$15,0)),0)+IFERROR(INDEX(Inputs!$B$18:$B$24,MATCH(H70,Inputs!$A$18:$A$24,0)),0))</f>
        <v>0.07125</v>
      </c>
      <c r="AY70" s="28" t="n">
        <f aca="false">IF(OR(N(AX70)&lt;=0,N(AW70)=0,N(AV70)=0),"",MIN(AV70,AW70/AX70))</f>
        <v>16.6666666666667</v>
      </c>
      <c r="AZ70" s="29" t="n">
        <f aca="false">IF(OR(AY70="",N(O70)=0),"",AY70/O70-1)</f>
        <v>-0.0524919461815425</v>
      </c>
      <c r="BA70" s="29" t="n">
        <f aca="false">IF(OR(AZ70="",N(O70)=0),"",AZ70+AW70/O70)</f>
        <v>0.0150180026530226</v>
      </c>
      <c r="BB70" s="32" t="n">
        <f aca="false">IF(OR(BA70="",N(AR70)=0),"",BA70-AR70)</f>
        <v>0</v>
      </c>
      <c r="BC70" s="35" t="n">
        <f aca="false">IF(OR(BA70="",N(U70)=0),"",BA70-U70)</f>
        <v>0.0592192533636536</v>
      </c>
      <c r="BD70" s="37"/>
    </row>
    <row r="71" customFormat="false" ht="15" hidden="false" customHeight="false" outlineLevel="0" collapsed="false">
      <c r="A71" s="2" t="s">
        <v>140</v>
      </c>
      <c r="B71" s="2" t="n">
        <v>132</v>
      </c>
      <c r="C71" s="2" t="s">
        <v>261</v>
      </c>
      <c r="D71" s="2" t="s">
        <v>257</v>
      </c>
      <c r="E71" s="2" t="s">
        <v>258</v>
      </c>
      <c r="F71" s="27" t="n">
        <v>64400</v>
      </c>
      <c r="G71" s="2" t="s">
        <v>51</v>
      </c>
      <c r="H71" s="2" t="s">
        <v>58</v>
      </c>
      <c r="I71" s="2" t="s">
        <v>151</v>
      </c>
      <c r="J71" s="2" t="s">
        <v>145</v>
      </c>
      <c r="K71" s="2" t="n">
        <v>4</v>
      </c>
      <c r="L71" s="28" t="n">
        <v>25</v>
      </c>
      <c r="M71" s="29" t="n">
        <v>0.07375</v>
      </c>
      <c r="N71" s="28" t="n">
        <v>1.84375</v>
      </c>
      <c r="O71" s="28" t="n">
        <v>25.81</v>
      </c>
      <c r="P71" s="2" t="s">
        <v>223</v>
      </c>
      <c r="Q71" s="29" t="n">
        <v>0.08</v>
      </c>
      <c r="R71" s="30" t="n">
        <v>0.08</v>
      </c>
      <c r="S71" s="31" t="n">
        <v>23.046875</v>
      </c>
      <c r="T71" s="30" t="n">
        <v>-0.107056373498644</v>
      </c>
      <c r="U71" s="30" t="n">
        <v>-0.0356208833785356</v>
      </c>
      <c r="V71" s="29" t="n">
        <v>0</v>
      </c>
      <c r="W71" s="29" t="n">
        <f aca="false">IF(N(Q71)=0,"",Q71+IF(I71="yes",Q71*Inputs!$B$10*Inputs!$B$9,0)+V71)</f>
        <v>0.076</v>
      </c>
      <c r="X71" s="28" t="n">
        <f aca="false">IF(OR(N(W71)&lt;=0,N(N71)=0,N(L71)=0),"",MIN(L71,N71/W71))</f>
        <v>24.2598684210526</v>
      </c>
      <c r="Y71" s="29" t="n">
        <f aca="false">IF(OR(X71="",N(O71)=0),"",X71/O71-1)</f>
        <v>-0.0600593405248883</v>
      </c>
      <c r="Z71" s="29" t="n">
        <f aca="false">IF(OR(Y71="",N(O71)=0),"",Y71+N71/O71)</f>
        <v>0.0113761495952202</v>
      </c>
      <c r="AA71" s="32" t="n">
        <f aca="false">IF(OR(Z71="",N(U71)=0),"",Z71-U71)</f>
        <v>0.0469970329737558</v>
      </c>
      <c r="AB71" s="29" t="n">
        <f aca="false">IF(N(Q71)=0,"",Q71+IF(I71="yes",Q71*Inputs!$B$10*Inputs!$B$9,0)+IFERROR(INDEX(Inputs!$B$13:$B$15,MATCH(G71,Inputs!$A$13:$A$15,0)),0)+IFERROR(INDEX(Inputs!$B$18:$B$24,MATCH(H71,Inputs!$A$18:$A$24,0)),0))</f>
        <v>0.076</v>
      </c>
      <c r="AC71" s="28" t="n">
        <f aca="false">IF(OR(N(AB71)&lt;=0,N(N71)=0,N(L71)=0),"",MIN(L71,N71/AB71))</f>
        <v>24.2598684210526</v>
      </c>
      <c r="AD71" s="29" t="n">
        <f aca="false">IF(OR(AC71="",N(O71)=0),"",AC71/O71-1)</f>
        <v>-0.0600593405248883</v>
      </c>
      <c r="AE71" s="29" t="n">
        <f aca="false">IF(OR(AD71="",N(O71)=0),"",AD71+N71/O71)</f>
        <v>0.0113761495952202</v>
      </c>
      <c r="AF71" s="32" t="n">
        <f aca="false">IF(OR(AE71="",N(Z71)=0),"",AE71-Z71)</f>
        <v>0</v>
      </c>
      <c r="AG71" s="28" t="n">
        <f aca="false">IF(AND(N(M71)&gt;0,N(L71)&gt;0),M71*L71,N71)</f>
        <v>1.84375</v>
      </c>
      <c r="AH71" s="28" t="n">
        <f aca="false">IF(OR(N(AB71)&lt;=0,N(AG71)=0,N(L71)=0),"",MIN(L71,AG71/AB71))</f>
        <v>24.2598684210526</v>
      </c>
      <c r="AI71" s="29" t="n">
        <f aca="false">IF(OR(AH71="",N(O71)=0),"",AH71/O71-1)</f>
        <v>-0.0600593405248883</v>
      </c>
      <c r="AJ71" s="29" t="n">
        <f aca="false">IF(OR(AI71="",N(O71)=0),"",AI71+AG71/O71)</f>
        <v>0.0113761495952202</v>
      </c>
      <c r="AK71" s="32" t="n">
        <f aca="false">IF(OR(AJ71="",N(AE71)=0),"",AJ71-AE71)</f>
        <v>0</v>
      </c>
      <c r="AL71" s="33" t="n">
        <f aca="false">IF(N(F71)=0,"",INDEX(Inputs!$B$28:$B$32,IFERROR(MATCH(F71,Inputs!$A$28:$A$32,1),0)+1))</f>
        <v>0.075</v>
      </c>
      <c r="AM71" s="34"/>
      <c r="AN71" s="33" t="n">
        <f aca="false">IF(N(AM71)&gt;0,AM71,AL71)</f>
        <v>0.075</v>
      </c>
      <c r="AO71" s="29" t="n">
        <f aca="false">IF(N(AN71)=0,"",AN71+IF(I71="yes",AN71*Inputs!$B$10*Inputs!$B$9,0)+IFERROR(INDEX(Inputs!$B$13:$B$15,MATCH(G71,Inputs!$A$13:$A$15,0)),0)+IFERROR(INDEX(Inputs!$B$18:$B$24,MATCH(H71,Inputs!$A$18:$A$24,0)),0))</f>
        <v>0.07125</v>
      </c>
      <c r="AP71" s="28" t="n">
        <f aca="false">IF(OR(N(AO71)&lt;=0,N(AG71)=0,N(L71)=0),"",MIN(L71,AG71/AO71))</f>
        <v>25</v>
      </c>
      <c r="AQ71" s="29" t="n">
        <f aca="false">IF(OR(AP71="",N(O71)=0),"",AP71/O71-1)</f>
        <v>-0.0313831848120882</v>
      </c>
      <c r="AR71" s="29" t="n">
        <f aca="false">IF(OR(AQ71="",N(O71)=0),"",AQ71+AG71/O71)</f>
        <v>0.0400523053080202</v>
      </c>
      <c r="AS71" s="32" t="n">
        <f aca="false">IF(OR(AR71="",N(AJ71)=0),"",AR71-AJ71)</f>
        <v>0.0286761557128</v>
      </c>
      <c r="AT71" s="28" t="n">
        <v>25</v>
      </c>
      <c r="AU71" s="28" t="n">
        <v>1.84375</v>
      </c>
      <c r="AV71" s="28" t="n">
        <f aca="false">IF(N(AT71)&gt;0,AT71,L71)</f>
        <v>25</v>
      </c>
      <c r="AW71" s="28" t="n">
        <f aca="false">IF(AND(N(M71)&gt;0,N(AV71)&gt;0),M71*AV71,IF(N(AU71)&gt;0,AU71,N71))</f>
        <v>1.84375</v>
      </c>
      <c r="AX71" s="29" t="n">
        <f aca="false">IF(N(AN71)=0,"",AN71+IF(I71="yes",AN71*Inputs!$B$10*Inputs!$B$9,0)+IFERROR(INDEX(Inputs!$B$13:$B$15,MATCH(G71,Inputs!$A$13:$A$15,0)),0)+IFERROR(INDEX(Inputs!$B$18:$B$24,MATCH(H71,Inputs!$A$18:$A$24,0)),0))</f>
        <v>0.07125</v>
      </c>
      <c r="AY71" s="28" t="n">
        <f aca="false">IF(OR(N(AX71)&lt;=0,N(AW71)=0,N(AV71)=0),"",MIN(AV71,AW71/AX71))</f>
        <v>25</v>
      </c>
      <c r="AZ71" s="29" t="n">
        <f aca="false">IF(OR(AY71="",N(O71)=0),"",AY71/O71-1)</f>
        <v>-0.0313831848120882</v>
      </c>
      <c r="BA71" s="29" t="n">
        <f aca="false">IF(OR(AZ71="",N(O71)=0),"",AZ71+AW71/O71)</f>
        <v>0.0400523053080202</v>
      </c>
      <c r="BB71" s="32" t="n">
        <f aca="false">IF(OR(BA71="",N(AR71)=0),"",BA71-AR71)</f>
        <v>0</v>
      </c>
      <c r="BC71" s="35" t="n">
        <f aca="false">IF(OR(BA71="",N(U71)=0),"",BA71-U71)</f>
        <v>0.0756731886865558</v>
      </c>
      <c r="BD71" s="36" t="s">
        <v>224</v>
      </c>
    </row>
    <row r="72" customFormat="false" ht="15" hidden="false" customHeight="false" outlineLevel="0" collapsed="false">
      <c r="A72" s="2" t="s">
        <v>140</v>
      </c>
      <c r="B72" s="2" t="n">
        <v>135</v>
      </c>
      <c r="C72" s="2" t="s">
        <v>262</v>
      </c>
      <c r="D72" s="2" t="s">
        <v>263</v>
      </c>
      <c r="E72" s="2" t="s">
        <v>264</v>
      </c>
      <c r="F72" s="27" t="n">
        <v>209</v>
      </c>
      <c r="G72" s="2" t="s">
        <v>51</v>
      </c>
      <c r="H72" s="2" t="s">
        <v>58</v>
      </c>
      <c r="I72" s="2" t="s">
        <v>151</v>
      </c>
      <c r="J72" s="2" t="s">
        <v>145</v>
      </c>
      <c r="K72" s="2" t="n">
        <v>4</v>
      </c>
      <c r="L72" s="28" t="n">
        <v>25</v>
      </c>
      <c r="M72" s="29" t="n">
        <v>0.1</v>
      </c>
      <c r="N72" s="28" t="n">
        <v>2.5</v>
      </c>
      <c r="O72" s="28" t="n">
        <v>26.14</v>
      </c>
      <c r="P72" s="2" t="s">
        <v>146</v>
      </c>
      <c r="Q72" s="29" t="n">
        <v>0.1</v>
      </c>
      <c r="R72" s="30" t="n">
        <v>0.095</v>
      </c>
      <c r="S72" s="31" t="n">
        <v>25</v>
      </c>
      <c r="T72" s="30" t="n">
        <v>-0.0436113236419281</v>
      </c>
      <c r="U72" s="30" t="n">
        <v>0.0520275439938791</v>
      </c>
      <c r="V72" s="29" t="n">
        <v>0</v>
      </c>
      <c r="W72" s="29" t="n">
        <f aca="false">IF(N(Q72)=0,"",Q72+IF(I72="yes",Q72*Inputs!$B$10*Inputs!$B$9,0)+V72)</f>
        <v>0.095</v>
      </c>
      <c r="X72" s="28" t="n">
        <f aca="false">IF(OR(N(W72)&lt;=0,N(N72)=0,N(L72)=0),"",MIN(L72,N72/W72))</f>
        <v>25</v>
      </c>
      <c r="Y72" s="29" t="n">
        <f aca="false">IF(OR(X72="",N(O72)=0),"",X72/O72-1)</f>
        <v>-0.0436113236419281</v>
      </c>
      <c r="Z72" s="29" t="n">
        <f aca="false">IF(OR(Y72="",N(O72)=0),"",Y72+N72/O72)</f>
        <v>0.0520275439938791</v>
      </c>
      <c r="AA72" s="32" t="n">
        <f aca="false">IF(OR(Z72="",N(U72)=0),"",Z72-U72)</f>
        <v>0</v>
      </c>
      <c r="AB72" s="29" t="n">
        <f aca="false">IF(N(Q72)=0,"",Q72+IF(I72="yes",Q72*Inputs!$B$10*Inputs!$B$9,0)+IFERROR(INDEX(Inputs!$B$13:$B$15,MATCH(G72,Inputs!$A$13:$A$15,0)),0)+IFERROR(INDEX(Inputs!$B$18:$B$24,MATCH(H72,Inputs!$A$18:$A$24,0)),0))</f>
        <v>0.095</v>
      </c>
      <c r="AC72" s="28" t="n">
        <f aca="false">IF(OR(N(AB72)&lt;=0,N(N72)=0,N(L72)=0),"",MIN(L72,N72/AB72))</f>
        <v>25</v>
      </c>
      <c r="AD72" s="29" t="n">
        <f aca="false">IF(OR(AC72="",N(O72)=0),"",AC72/O72-1)</f>
        <v>-0.0436113236419281</v>
      </c>
      <c r="AE72" s="29" t="n">
        <f aca="false">IF(OR(AD72="",N(O72)=0),"",AD72+N72/O72)</f>
        <v>0.0520275439938791</v>
      </c>
      <c r="AF72" s="32" t="n">
        <f aca="false">IF(OR(AE72="",N(Z72)=0),"",AE72-Z72)</f>
        <v>0</v>
      </c>
      <c r="AG72" s="28" t="n">
        <f aca="false">IF(AND(N(M72)&gt;0,N(L72)&gt;0),M72*L72,N72)</f>
        <v>2.5</v>
      </c>
      <c r="AH72" s="28" t="n">
        <f aca="false">IF(OR(N(AB72)&lt;=0,N(AG72)=0,N(L72)=0),"",MIN(L72,AG72/AB72))</f>
        <v>25</v>
      </c>
      <c r="AI72" s="29" t="n">
        <f aca="false">IF(OR(AH72="",N(O72)=0),"",AH72/O72-1)</f>
        <v>-0.0436113236419281</v>
      </c>
      <c r="AJ72" s="29" t="n">
        <f aca="false">IF(OR(AI72="",N(O72)=0),"",AI72+AG72/O72)</f>
        <v>0.0520275439938791</v>
      </c>
      <c r="AK72" s="32" t="n">
        <f aca="false">IF(OR(AJ72="",N(AE72)=0),"",AJ72-AE72)</f>
        <v>0</v>
      </c>
      <c r="AL72" s="33" t="n">
        <f aca="false">IF(N(F72)=0,"",INDEX(Inputs!$B$28:$B$32,IFERROR(MATCH(F72,Inputs!$A$28:$A$32,1),0)+1))</f>
        <v>0.1</v>
      </c>
      <c r="AM72" s="34"/>
      <c r="AN72" s="33" t="n">
        <f aca="false">IF(N(AM72)&gt;0,AM72,AL72)</f>
        <v>0.1</v>
      </c>
      <c r="AO72" s="29" t="n">
        <f aca="false">IF(N(AN72)=0,"",AN72+IF(I72="yes",AN72*Inputs!$B$10*Inputs!$B$9,0)+IFERROR(INDEX(Inputs!$B$13:$B$15,MATCH(G72,Inputs!$A$13:$A$15,0)),0)+IFERROR(INDEX(Inputs!$B$18:$B$24,MATCH(H72,Inputs!$A$18:$A$24,0)),0))</f>
        <v>0.095</v>
      </c>
      <c r="AP72" s="28" t="n">
        <f aca="false">IF(OR(N(AO72)&lt;=0,N(AG72)=0,N(L72)=0),"",MIN(L72,AG72/AO72))</f>
        <v>25</v>
      </c>
      <c r="AQ72" s="29" t="n">
        <f aca="false">IF(OR(AP72="",N(O72)=0),"",AP72/O72-1)</f>
        <v>-0.0436113236419281</v>
      </c>
      <c r="AR72" s="29" t="n">
        <f aca="false">IF(OR(AQ72="",N(O72)=0),"",AQ72+AG72/O72)</f>
        <v>0.0520275439938791</v>
      </c>
      <c r="AS72" s="32" t="n">
        <f aca="false">IF(OR(AR72="",N(AJ72)=0),"",AR72-AJ72)</f>
        <v>0</v>
      </c>
      <c r="AT72" s="28" t="n">
        <v>25</v>
      </c>
      <c r="AU72" s="28" t="n">
        <v>2.5</v>
      </c>
      <c r="AV72" s="28" t="n">
        <f aca="false">IF(N(AT72)&gt;0,AT72,L72)</f>
        <v>25</v>
      </c>
      <c r="AW72" s="28" t="n">
        <f aca="false">IF(AND(N(M72)&gt;0,N(AV72)&gt;0),M72*AV72,IF(N(AU72)&gt;0,AU72,N72))</f>
        <v>2.5</v>
      </c>
      <c r="AX72" s="29" t="n">
        <f aca="false">IF(N(AN72)=0,"",AN72+IF(I72="yes",AN72*Inputs!$B$10*Inputs!$B$9,0)+IFERROR(INDEX(Inputs!$B$13:$B$15,MATCH(G72,Inputs!$A$13:$A$15,0)),0)+IFERROR(INDEX(Inputs!$B$18:$B$24,MATCH(H72,Inputs!$A$18:$A$24,0)),0))</f>
        <v>0.095</v>
      </c>
      <c r="AY72" s="28" t="n">
        <f aca="false">IF(OR(N(AX72)&lt;=0,N(AW72)=0,N(AV72)=0),"",MIN(AV72,AW72/AX72))</f>
        <v>25</v>
      </c>
      <c r="AZ72" s="29" t="n">
        <f aca="false">IF(OR(AY72="",N(O72)=0),"",AY72/O72-1)</f>
        <v>-0.0436113236419281</v>
      </c>
      <c r="BA72" s="29" t="n">
        <f aca="false">IF(OR(AZ72="",N(O72)=0),"",AZ72+AW72/O72)</f>
        <v>0.0520275439938791</v>
      </c>
      <c r="BB72" s="32" t="n">
        <f aca="false">IF(OR(BA72="",N(AR72)=0),"",BA72-AR72)</f>
        <v>0</v>
      </c>
      <c r="BC72" s="35" t="n">
        <f aca="false">IF(OR(BA72="",N(U72)=0),"",BA72-U72)</f>
        <v>0</v>
      </c>
      <c r="BD72" s="37"/>
    </row>
    <row r="73" customFormat="false" ht="15" hidden="false" customHeight="false" outlineLevel="0" collapsed="false">
      <c r="A73" s="2" t="s">
        <v>140</v>
      </c>
      <c r="B73" s="2" t="n">
        <v>139</v>
      </c>
      <c r="C73" s="2" t="s">
        <v>265</v>
      </c>
      <c r="D73" s="2" t="s">
        <v>266</v>
      </c>
      <c r="E73" s="2" t="s">
        <v>267</v>
      </c>
      <c r="F73" s="27" t="n">
        <v>9100</v>
      </c>
      <c r="G73" s="2" t="s">
        <v>52</v>
      </c>
      <c r="H73" s="2" t="s">
        <v>58</v>
      </c>
      <c r="I73" s="2" t="s">
        <v>144</v>
      </c>
      <c r="J73" s="2" t="s">
        <v>145</v>
      </c>
      <c r="K73" s="2" t="n">
        <v>4</v>
      </c>
      <c r="L73" s="28" t="n">
        <v>25</v>
      </c>
      <c r="M73" s="29" t="n">
        <v>0.05875</v>
      </c>
      <c r="N73" s="28" t="n">
        <v>1.46875</v>
      </c>
      <c r="O73" s="28" t="n">
        <v>19.72</v>
      </c>
      <c r="P73" s="2" t="s">
        <v>146</v>
      </c>
      <c r="Q73" s="29" t="n">
        <v>0.08</v>
      </c>
      <c r="R73" s="30" t="n">
        <v>0.075</v>
      </c>
      <c r="S73" s="31" t="n">
        <v>19.5833333333333</v>
      </c>
      <c r="T73" s="30" t="n">
        <v>-0.00693035835023648</v>
      </c>
      <c r="U73" s="30" t="n">
        <v>0.0675498647734958</v>
      </c>
      <c r="V73" s="29" t="n">
        <v>-0.005</v>
      </c>
      <c r="W73" s="29" t="n">
        <f aca="false">IF(N(Q73)=0,"",Q73+IF(I73="yes",Q73*Inputs!$B$10*Inputs!$B$9,0)+V73)</f>
        <v>0.075</v>
      </c>
      <c r="X73" s="28" t="n">
        <f aca="false">IF(OR(N(W73)&lt;=0,N(N73)=0,N(L73)=0),"",MIN(L73,N73/W73))</f>
        <v>19.5833333333333</v>
      </c>
      <c r="Y73" s="29" t="n">
        <f aca="false">IF(OR(X73="",N(O73)=0),"",X73/O73-1)</f>
        <v>-0.00693035835023648</v>
      </c>
      <c r="Z73" s="29" t="n">
        <f aca="false">IF(OR(Y73="",N(O73)=0),"",Y73+N73/O73)</f>
        <v>0.0675498647734958</v>
      </c>
      <c r="AA73" s="32" t="n">
        <f aca="false">IF(OR(Z73="",N(U73)=0),"",Z73-U73)</f>
        <v>0</v>
      </c>
      <c r="AB73" s="29" t="n">
        <f aca="false">IF(N(Q73)=0,"",Q73+IF(I73="yes",Q73*Inputs!$B$10*Inputs!$B$9,0)+IFERROR(INDEX(Inputs!$B$13:$B$15,MATCH(G73,Inputs!$A$13:$A$15,0)),0)+IFERROR(INDEX(Inputs!$B$18:$B$24,MATCH(H73,Inputs!$A$18:$A$24,0)),0))</f>
        <v>0.075</v>
      </c>
      <c r="AC73" s="28" t="n">
        <f aca="false">IF(OR(N(AB73)&lt;=0,N(N73)=0,N(L73)=0),"",MIN(L73,N73/AB73))</f>
        <v>19.5833333333333</v>
      </c>
      <c r="AD73" s="29" t="n">
        <f aca="false">IF(OR(AC73="",N(O73)=0),"",AC73/O73-1)</f>
        <v>-0.00693035835023648</v>
      </c>
      <c r="AE73" s="29" t="n">
        <f aca="false">IF(OR(AD73="",N(O73)=0),"",AD73+N73/O73)</f>
        <v>0.0675498647734958</v>
      </c>
      <c r="AF73" s="32" t="n">
        <f aca="false">IF(OR(AE73="",N(Z73)=0),"",AE73-Z73)</f>
        <v>0</v>
      </c>
      <c r="AG73" s="28" t="n">
        <f aca="false">IF(AND(N(M73)&gt;0,N(L73)&gt;0),M73*L73,N73)</f>
        <v>1.46875</v>
      </c>
      <c r="AH73" s="28" t="n">
        <f aca="false">IF(OR(N(AB73)&lt;=0,N(AG73)=0,N(L73)=0),"",MIN(L73,AG73/AB73))</f>
        <v>19.5833333333333</v>
      </c>
      <c r="AI73" s="29" t="n">
        <f aca="false">IF(OR(AH73="",N(O73)=0),"",AH73/O73-1)</f>
        <v>-0.00693035835023648</v>
      </c>
      <c r="AJ73" s="29" t="n">
        <f aca="false">IF(OR(AI73="",N(O73)=0),"",AI73+AG73/O73)</f>
        <v>0.0675498647734958</v>
      </c>
      <c r="AK73" s="32" t="n">
        <f aca="false">IF(OR(AJ73="",N(AE73)=0),"",AJ73-AE73)</f>
        <v>0</v>
      </c>
      <c r="AL73" s="33" t="n">
        <f aca="false">IF(N(F73)=0,"",INDEX(Inputs!$B$28:$B$32,IFERROR(MATCH(F73,Inputs!$A$28:$A$32,1),0)+1))</f>
        <v>0.08</v>
      </c>
      <c r="AM73" s="34"/>
      <c r="AN73" s="33" t="n">
        <f aca="false">IF(N(AM73)&gt;0,AM73,AL73)</f>
        <v>0.08</v>
      </c>
      <c r="AO73" s="29" t="n">
        <f aca="false">IF(N(AN73)=0,"",AN73+IF(I73="yes",AN73*Inputs!$B$10*Inputs!$B$9,0)+IFERROR(INDEX(Inputs!$B$13:$B$15,MATCH(G73,Inputs!$A$13:$A$15,0)),0)+IFERROR(INDEX(Inputs!$B$18:$B$24,MATCH(H73,Inputs!$A$18:$A$24,0)),0))</f>
        <v>0.075</v>
      </c>
      <c r="AP73" s="28" t="n">
        <f aca="false">IF(OR(N(AO73)&lt;=0,N(AG73)=0,N(L73)=0),"",MIN(L73,AG73/AO73))</f>
        <v>19.5833333333333</v>
      </c>
      <c r="AQ73" s="29" t="n">
        <f aca="false">IF(OR(AP73="",N(O73)=0),"",AP73/O73-1)</f>
        <v>-0.00693035835023648</v>
      </c>
      <c r="AR73" s="29" t="n">
        <f aca="false">IF(OR(AQ73="",N(O73)=0),"",AQ73+AG73/O73)</f>
        <v>0.0675498647734958</v>
      </c>
      <c r="AS73" s="32" t="n">
        <f aca="false">IF(OR(AR73="",N(AJ73)=0),"",AR73-AJ73)</f>
        <v>0</v>
      </c>
      <c r="AT73" s="28" t="n">
        <v>25</v>
      </c>
      <c r="AU73" s="28" t="n">
        <v>1.47</v>
      </c>
      <c r="AV73" s="28" t="n">
        <f aca="false">IF(N(AT73)&gt;0,AT73,L73)</f>
        <v>25</v>
      </c>
      <c r="AW73" s="28" t="n">
        <f aca="false">IF(AND(N(M73)&gt;0,N(AV73)&gt;0),M73*AV73,IF(N(AU73)&gt;0,AU73,N73))</f>
        <v>1.46875</v>
      </c>
      <c r="AX73" s="29" t="n">
        <f aca="false">IF(N(AN73)=0,"",AN73+IF(I73="yes",AN73*Inputs!$B$10*Inputs!$B$9,0)+IFERROR(INDEX(Inputs!$B$13:$B$15,MATCH(G73,Inputs!$A$13:$A$15,0)),0)+IFERROR(INDEX(Inputs!$B$18:$B$24,MATCH(H73,Inputs!$A$18:$A$24,0)),0))</f>
        <v>0.075</v>
      </c>
      <c r="AY73" s="28" t="n">
        <f aca="false">IF(OR(N(AX73)&lt;=0,N(AW73)=0,N(AV73)=0),"",MIN(AV73,AW73/AX73))</f>
        <v>19.5833333333333</v>
      </c>
      <c r="AZ73" s="29" t="n">
        <f aca="false">IF(OR(AY73="",N(O73)=0),"",AY73/O73-1)</f>
        <v>-0.00693035835023648</v>
      </c>
      <c r="BA73" s="29" t="n">
        <f aca="false">IF(OR(AZ73="",N(O73)=0),"",AZ73+AW73/O73)</f>
        <v>0.0675498647734958</v>
      </c>
      <c r="BB73" s="32" t="n">
        <f aca="false">IF(OR(BA73="",N(AR73)=0),"",BA73-AR73)</f>
        <v>0</v>
      </c>
      <c r="BC73" s="35" t="n">
        <f aca="false">IF(OR(BA73="",N(U73)=0),"",BA73-U73)</f>
        <v>0</v>
      </c>
      <c r="BD73" s="37"/>
    </row>
    <row r="74" customFormat="false" ht="15" hidden="false" customHeight="false" outlineLevel="0" collapsed="false">
      <c r="A74" s="2" t="s">
        <v>140</v>
      </c>
      <c r="B74" s="2" t="n">
        <v>140</v>
      </c>
      <c r="C74" s="2" t="s">
        <v>268</v>
      </c>
      <c r="D74" s="2" t="s">
        <v>266</v>
      </c>
      <c r="E74" s="2" t="s">
        <v>267</v>
      </c>
      <c r="F74" s="27" t="n">
        <v>9100</v>
      </c>
      <c r="G74" s="2" t="s">
        <v>52</v>
      </c>
      <c r="H74" s="2" t="s">
        <v>58</v>
      </c>
      <c r="I74" s="2" t="s">
        <v>144</v>
      </c>
      <c r="J74" s="2" t="s">
        <v>145</v>
      </c>
      <c r="K74" s="2" t="n">
        <v>4</v>
      </c>
      <c r="L74" s="28" t="n">
        <v>25</v>
      </c>
      <c r="M74" s="29" t="n">
        <v>0.0475</v>
      </c>
      <c r="N74" s="28" t="n">
        <v>1.1875</v>
      </c>
      <c r="O74" s="28" t="n">
        <v>16.15</v>
      </c>
      <c r="P74" s="2" t="s">
        <v>146</v>
      </c>
      <c r="Q74" s="29" t="n">
        <v>0.08</v>
      </c>
      <c r="R74" s="30" t="n">
        <v>0.075</v>
      </c>
      <c r="S74" s="31" t="n">
        <v>15.8333333333333</v>
      </c>
      <c r="T74" s="30" t="n">
        <v>-0.0196078431372548</v>
      </c>
      <c r="U74" s="30" t="n">
        <v>0.0539215686274511</v>
      </c>
      <c r="V74" s="29" t="n">
        <v>-0.005</v>
      </c>
      <c r="W74" s="29" t="n">
        <f aca="false">IF(N(Q74)=0,"",Q74+IF(I74="yes",Q74*Inputs!$B$10*Inputs!$B$9,0)+V74)</f>
        <v>0.075</v>
      </c>
      <c r="X74" s="28" t="n">
        <f aca="false">IF(OR(N(W74)&lt;=0,N(N74)=0,N(L74)=0),"",MIN(L74,N74/W74))</f>
        <v>15.8333333333333</v>
      </c>
      <c r="Y74" s="29" t="n">
        <f aca="false">IF(OR(X74="",N(O74)=0),"",X74/O74-1)</f>
        <v>-0.0196078431372548</v>
      </c>
      <c r="Z74" s="29" t="n">
        <f aca="false">IF(OR(Y74="",N(O74)=0),"",Y74+N74/O74)</f>
        <v>0.0539215686274511</v>
      </c>
      <c r="AA74" s="32" t="n">
        <f aca="false">IF(OR(Z74="",N(U74)=0),"",Z74-U74)</f>
        <v>0</v>
      </c>
      <c r="AB74" s="29" t="n">
        <f aca="false">IF(N(Q74)=0,"",Q74+IF(I74="yes",Q74*Inputs!$B$10*Inputs!$B$9,0)+IFERROR(INDEX(Inputs!$B$13:$B$15,MATCH(G74,Inputs!$A$13:$A$15,0)),0)+IFERROR(INDEX(Inputs!$B$18:$B$24,MATCH(H74,Inputs!$A$18:$A$24,0)),0))</f>
        <v>0.075</v>
      </c>
      <c r="AC74" s="28" t="n">
        <f aca="false">IF(OR(N(AB74)&lt;=0,N(N74)=0,N(L74)=0),"",MIN(L74,N74/AB74))</f>
        <v>15.8333333333333</v>
      </c>
      <c r="AD74" s="29" t="n">
        <f aca="false">IF(OR(AC74="",N(O74)=0),"",AC74/O74-1)</f>
        <v>-0.0196078431372548</v>
      </c>
      <c r="AE74" s="29" t="n">
        <f aca="false">IF(OR(AD74="",N(O74)=0),"",AD74+N74/O74)</f>
        <v>0.0539215686274511</v>
      </c>
      <c r="AF74" s="32" t="n">
        <f aca="false">IF(OR(AE74="",N(Z74)=0),"",AE74-Z74)</f>
        <v>0</v>
      </c>
      <c r="AG74" s="28" t="n">
        <f aca="false">IF(AND(N(M74)&gt;0,N(L74)&gt;0),M74*L74,N74)</f>
        <v>1.1875</v>
      </c>
      <c r="AH74" s="28" t="n">
        <f aca="false">IF(OR(N(AB74)&lt;=0,N(AG74)=0,N(L74)=0),"",MIN(L74,AG74/AB74))</f>
        <v>15.8333333333333</v>
      </c>
      <c r="AI74" s="29" t="n">
        <f aca="false">IF(OR(AH74="",N(O74)=0),"",AH74/O74-1)</f>
        <v>-0.0196078431372548</v>
      </c>
      <c r="AJ74" s="29" t="n">
        <f aca="false">IF(OR(AI74="",N(O74)=0),"",AI74+AG74/O74)</f>
        <v>0.0539215686274511</v>
      </c>
      <c r="AK74" s="32" t="n">
        <f aca="false">IF(OR(AJ74="",N(AE74)=0),"",AJ74-AE74)</f>
        <v>0</v>
      </c>
      <c r="AL74" s="33" t="n">
        <f aca="false">IF(N(F74)=0,"",INDEX(Inputs!$B$28:$B$32,IFERROR(MATCH(F74,Inputs!$A$28:$A$32,1),0)+1))</f>
        <v>0.08</v>
      </c>
      <c r="AM74" s="34"/>
      <c r="AN74" s="33" t="n">
        <f aca="false">IF(N(AM74)&gt;0,AM74,AL74)</f>
        <v>0.08</v>
      </c>
      <c r="AO74" s="29" t="n">
        <f aca="false">IF(N(AN74)=0,"",AN74+IF(I74="yes",AN74*Inputs!$B$10*Inputs!$B$9,0)+IFERROR(INDEX(Inputs!$B$13:$B$15,MATCH(G74,Inputs!$A$13:$A$15,0)),0)+IFERROR(INDEX(Inputs!$B$18:$B$24,MATCH(H74,Inputs!$A$18:$A$24,0)),0))</f>
        <v>0.075</v>
      </c>
      <c r="AP74" s="28" t="n">
        <f aca="false">IF(OR(N(AO74)&lt;=0,N(AG74)=0,N(L74)=0),"",MIN(L74,AG74/AO74))</f>
        <v>15.8333333333333</v>
      </c>
      <c r="AQ74" s="29" t="n">
        <f aca="false">IF(OR(AP74="",N(O74)=0),"",AP74/O74-1)</f>
        <v>-0.0196078431372548</v>
      </c>
      <c r="AR74" s="29" t="n">
        <f aca="false">IF(OR(AQ74="",N(O74)=0),"",AQ74+AG74/O74)</f>
        <v>0.0539215686274511</v>
      </c>
      <c r="AS74" s="32" t="n">
        <f aca="false">IF(OR(AR74="",N(AJ74)=0),"",AR74-AJ74)</f>
        <v>0</v>
      </c>
      <c r="AT74" s="28" t="n">
        <v>25</v>
      </c>
      <c r="AU74" s="28" t="n">
        <v>1.1875</v>
      </c>
      <c r="AV74" s="28" t="n">
        <f aca="false">IF(N(AT74)&gt;0,AT74,L74)</f>
        <v>25</v>
      </c>
      <c r="AW74" s="28" t="n">
        <f aca="false">IF(AND(N(M74)&gt;0,N(AV74)&gt;0),M74*AV74,IF(N(AU74)&gt;0,AU74,N74))</f>
        <v>1.1875</v>
      </c>
      <c r="AX74" s="29" t="n">
        <f aca="false">IF(N(AN74)=0,"",AN74+IF(I74="yes",AN74*Inputs!$B$10*Inputs!$B$9,0)+IFERROR(INDEX(Inputs!$B$13:$B$15,MATCH(G74,Inputs!$A$13:$A$15,0)),0)+IFERROR(INDEX(Inputs!$B$18:$B$24,MATCH(H74,Inputs!$A$18:$A$24,0)),0))</f>
        <v>0.075</v>
      </c>
      <c r="AY74" s="28" t="n">
        <f aca="false">IF(OR(N(AX74)&lt;=0,N(AW74)=0,N(AV74)=0),"",MIN(AV74,AW74/AX74))</f>
        <v>15.8333333333333</v>
      </c>
      <c r="AZ74" s="29" t="n">
        <f aca="false">IF(OR(AY74="",N(O74)=0),"",AY74/O74-1)</f>
        <v>-0.0196078431372548</v>
      </c>
      <c r="BA74" s="29" t="n">
        <f aca="false">IF(OR(AZ74="",N(O74)=0),"",AZ74+AW74/O74)</f>
        <v>0.0539215686274511</v>
      </c>
      <c r="BB74" s="32" t="n">
        <f aca="false">IF(OR(BA74="",N(AR74)=0),"",BA74-AR74)</f>
        <v>0</v>
      </c>
      <c r="BC74" s="35" t="n">
        <f aca="false">IF(OR(BA74="",N(U74)=0),"",BA74-U74)</f>
        <v>0</v>
      </c>
      <c r="BD74" s="37"/>
    </row>
    <row r="75" customFormat="false" ht="15" hidden="false" customHeight="false" outlineLevel="0" collapsed="false">
      <c r="A75" s="2" t="s">
        <v>140</v>
      </c>
      <c r="B75" s="2" t="n">
        <v>141</v>
      </c>
      <c r="C75" s="2" t="s">
        <v>269</v>
      </c>
      <c r="D75" s="2" t="s">
        <v>266</v>
      </c>
      <c r="E75" s="2" t="s">
        <v>267</v>
      </c>
      <c r="F75" s="27" t="n">
        <v>9100</v>
      </c>
      <c r="G75" s="2" t="s">
        <v>52</v>
      </c>
      <c r="H75" s="2" t="s">
        <v>58</v>
      </c>
      <c r="I75" s="2" t="s">
        <v>144</v>
      </c>
      <c r="J75" s="2" t="s">
        <v>145</v>
      </c>
      <c r="K75" s="2" t="n">
        <v>4</v>
      </c>
      <c r="L75" s="28" t="n">
        <v>25</v>
      </c>
      <c r="M75" s="29" t="n">
        <v>0.042</v>
      </c>
      <c r="N75" s="28" t="n">
        <v>1.05</v>
      </c>
      <c r="O75" s="28" t="n">
        <v>14.58</v>
      </c>
      <c r="P75" s="2" t="s">
        <v>146</v>
      </c>
      <c r="Q75" s="29" t="n">
        <v>0.08</v>
      </c>
      <c r="R75" s="30" t="n">
        <v>0.075</v>
      </c>
      <c r="S75" s="31" t="n">
        <v>14</v>
      </c>
      <c r="T75" s="30" t="n">
        <v>-0.0397805212620026</v>
      </c>
      <c r="U75" s="30" t="n">
        <v>0.0322359396433472</v>
      </c>
      <c r="V75" s="29" t="n">
        <v>-0.005</v>
      </c>
      <c r="W75" s="29" t="n">
        <f aca="false">IF(N(Q75)=0,"",Q75+IF(I75="yes",Q75*Inputs!$B$10*Inputs!$B$9,0)+V75)</f>
        <v>0.075</v>
      </c>
      <c r="X75" s="28" t="n">
        <f aca="false">IF(OR(N(W75)&lt;=0,N(N75)=0,N(L75)=0),"",MIN(L75,N75/W75))</f>
        <v>14</v>
      </c>
      <c r="Y75" s="29" t="n">
        <f aca="false">IF(OR(X75="",N(O75)=0),"",X75/O75-1)</f>
        <v>-0.0397805212620026</v>
      </c>
      <c r="Z75" s="29" t="n">
        <f aca="false">IF(OR(Y75="",N(O75)=0),"",Y75+N75/O75)</f>
        <v>0.0322359396433472</v>
      </c>
      <c r="AA75" s="32" t="n">
        <f aca="false">IF(OR(Z75="",N(U75)=0),"",Z75-U75)</f>
        <v>0</v>
      </c>
      <c r="AB75" s="29" t="n">
        <f aca="false">IF(N(Q75)=0,"",Q75+IF(I75="yes",Q75*Inputs!$B$10*Inputs!$B$9,0)+IFERROR(INDEX(Inputs!$B$13:$B$15,MATCH(G75,Inputs!$A$13:$A$15,0)),0)+IFERROR(INDEX(Inputs!$B$18:$B$24,MATCH(H75,Inputs!$A$18:$A$24,0)),0))</f>
        <v>0.075</v>
      </c>
      <c r="AC75" s="28" t="n">
        <f aca="false">IF(OR(N(AB75)&lt;=0,N(N75)=0,N(L75)=0),"",MIN(L75,N75/AB75))</f>
        <v>14</v>
      </c>
      <c r="AD75" s="29" t="n">
        <f aca="false">IF(OR(AC75="",N(O75)=0),"",AC75/O75-1)</f>
        <v>-0.0397805212620026</v>
      </c>
      <c r="AE75" s="29" t="n">
        <f aca="false">IF(OR(AD75="",N(O75)=0),"",AD75+N75/O75)</f>
        <v>0.0322359396433472</v>
      </c>
      <c r="AF75" s="32" t="n">
        <f aca="false">IF(OR(AE75="",N(Z75)=0),"",AE75-Z75)</f>
        <v>0</v>
      </c>
      <c r="AG75" s="28" t="n">
        <f aca="false">IF(AND(N(M75)&gt;0,N(L75)&gt;0),M75*L75,N75)</f>
        <v>1.05</v>
      </c>
      <c r="AH75" s="28" t="n">
        <f aca="false">IF(OR(N(AB75)&lt;=0,N(AG75)=0,N(L75)=0),"",MIN(L75,AG75/AB75))</f>
        <v>14</v>
      </c>
      <c r="AI75" s="29" t="n">
        <f aca="false">IF(OR(AH75="",N(O75)=0),"",AH75/O75-1)</f>
        <v>-0.0397805212620026</v>
      </c>
      <c r="AJ75" s="29" t="n">
        <f aca="false">IF(OR(AI75="",N(O75)=0),"",AI75+AG75/O75)</f>
        <v>0.0322359396433472</v>
      </c>
      <c r="AK75" s="32" t="n">
        <f aca="false">IF(OR(AJ75="",N(AE75)=0),"",AJ75-AE75)</f>
        <v>0</v>
      </c>
      <c r="AL75" s="33" t="n">
        <f aca="false">IF(N(F75)=0,"",INDEX(Inputs!$B$28:$B$32,IFERROR(MATCH(F75,Inputs!$A$28:$A$32,1),0)+1))</f>
        <v>0.08</v>
      </c>
      <c r="AM75" s="34"/>
      <c r="AN75" s="33" t="n">
        <f aca="false">IF(N(AM75)&gt;0,AM75,AL75)</f>
        <v>0.08</v>
      </c>
      <c r="AO75" s="29" t="n">
        <f aca="false">IF(N(AN75)=0,"",AN75+IF(I75="yes",AN75*Inputs!$B$10*Inputs!$B$9,0)+IFERROR(INDEX(Inputs!$B$13:$B$15,MATCH(G75,Inputs!$A$13:$A$15,0)),0)+IFERROR(INDEX(Inputs!$B$18:$B$24,MATCH(H75,Inputs!$A$18:$A$24,0)),0))</f>
        <v>0.075</v>
      </c>
      <c r="AP75" s="28" t="n">
        <f aca="false">IF(OR(N(AO75)&lt;=0,N(AG75)=0,N(L75)=0),"",MIN(L75,AG75/AO75))</f>
        <v>14</v>
      </c>
      <c r="AQ75" s="29" t="n">
        <f aca="false">IF(OR(AP75="",N(O75)=0),"",AP75/O75-1)</f>
        <v>-0.0397805212620026</v>
      </c>
      <c r="AR75" s="29" t="n">
        <f aca="false">IF(OR(AQ75="",N(O75)=0),"",AQ75+AG75/O75)</f>
        <v>0.0322359396433472</v>
      </c>
      <c r="AS75" s="32" t="n">
        <f aca="false">IF(OR(AR75="",N(AJ75)=0),"",AR75-AJ75)</f>
        <v>0</v>
      </c>
      <c r="AT75" s="28" t="n">
        <v>25</v>
      </c>
      <c r="AU75" s="28" t="n">
        <v>1.05</v>
      </c>
      <c r="AV75" s="28" t="n">
        <f aca="false">IF(N(AT75)&gt;0,AT75,L75)</f>
        <v>25</v>
      </c>
      <c r="AW75" s="28" t="n">
        <f aca="false">IF(AND(N(M75)&gt;0,N(AV75)&gt;0),M75*AV75,IF(N(AU75)&gt;0,AU75,N75))</f>
        <v>1.05</v>
      </c>
      <c r="AX75" s="29" t="n">
        <f aca="false">IF(N(AN75)=0,"",AN75+IF(I75="yes",AN75*Inputs!$B$10*Inputs!$B$9,0)+IFERROR(INDEX(Inputs!$B$13:$B$15,MATCH(G75,Inputs!$A$13:$A$15,0)),0)+IFERROR(INDEX(Inputs!$B$18:$B$24,MATCH(H75,Inputs!$A$18:$A$24,0)),0))</f>
        <v>0.075</v>
      </c>
      <c r="AY75" s="28" t="n">
        <f aca="false">IF(OR(N(AX75)&lt;=0,N(AW75)=0,N(AV75)=0),"",MIN(AV75,AW75/AX75))</f>
        <v>14</v>
      </c>
      <c r="AZ75" s="29" t="n">
        <f aca="false">IF(OR(AY75="",N(O75)=0),"",AY75/O75-1)</f>
        <v>-0.0397805212620026</v>
      </c>
      <c r="BA75" s="29" t="n">
        <f aca="false">IF(OR(AZ75="",N(O75)=0),"",AZ75+AW75/O75)</f>
        <v>0.0322359396433472</v>
      </c>
      <c r="BB75" s="32" t="n">
        <f aca="false">IF(OR(BA75="",N(AR75)=0),"",BA75-AR75)</f>
        <v>0</v>
      </c>
      <c r="BC75" s="35" t="n">
        <f aca="false">IF(OR(BA75="",N(U75)=0),"",BA75-U75)</f>
        <v>0</v>
      </c>
      <c r="BD75" s="37"/>
    </row>
    <row r="76" customFormat="false" ht="15" hidden="false" customHeight="false" outlineLevel="0" collapsed="false">
      <c r="A76" s="2" t="s">
        <v>140</v>
      </c>
      <c r="B76" s="2" t="n">
        <v>144</v>
      </c>
      <c r="C76" s="2" t="s">
        <v>270</v>
      </c>
      <c r="D76" s="2" t="s">
        <v>271</v>
      </c>
      <c r="E76" s="2" t="s">
        <v>272</v>
      </c>
      <c r="F76" s="27" t="n">
        <v>12300</v>
      </c>
      <c r="G76" s="2" t="s">
        <v>51</v>
      </c>
      <c r="H76" s="2" t="s">
        <v>58</v>
      </c>
      <c r="I76" s="2" t="s">
        <v>144</v>
      </c>
      <c r="J76" s="2" t="s">
        <v>145</v>
      </c>
      <c r="K76" s="2" t="n">
        <v>4</v>
      </c>
      <c r="L76" s="28" t="n">
        <v>25</v>
      </c>
      <c r="M76" s="29" t="n">
        <v>0.05875</v>
      </c>
      <c r="N76" s="28" t="n">
        <v>1.46875</v>
      </c>
      <c r="O76" s="28" t="n">
        <v>22.43</v>
      </c>
      <c r="P76" s="2" t="s">
        <v>146</v>
      </c>
      <c r="Q76" s="29" t="n">
        <v>0.08</v>
      </c>
      <c r="R76" s="30" t="n">
        <v>0.08</v>
      </c>
      <c r="S76" s="31" t="n">
        <v>18.359375</v>
      </c>
      <c r="T76" s="30" t="n">
        <v>-0.181481275078021</v>
      </c>
      <c r="U76" s="30" t="n">
        <v>-0.115999777084262</v>
      </c>
      <c r="V76" s="29" t="n">
        <v>0</v>
      </c>
      <c r="W76" s="29" t="n">
        <f aca="false">IF(N(Q76)=0,"",Q76+IF(I76="yes",Q76*Inputs!$B$10*Inputs!$B$9,0)+V76)</f>
        <v>0.08</v>
      </c>
      <c r="X76" s="28" t="n">
        <f aca="false">IF(OR(N(W76)&lt;=0,N(N76)=0,N(L76)=0),"",MIN(L76,N76/W76))</f>
        <v>18.359375</v>
      </c>
      <c r="Y76" s="29" t="n">
        <f aca="false">IF(OR(X76="",N(O76)=0),"",X76/O76-1)</f>
        <v>-0.18148127507802</v>
      </c>
      <c r="Z76" s="29" t="n">
        <f aca="false">IF(OR(Y76="",N(O76)=0),"",Y76+N76/O76)</f>
        <v>-0.115999777084262</v>
      </c>
      <c r="AA76" s="32" t="n">
        <f aca="false">IF(OR(Z76="",N(U76)=0),"",Z76-U76)</f>
        <v>0</v>
      </c>
      <c r="AB76" s="29" t="n">
        <f aca="false">IF(N(Q76)=0,"",Q76+IF(I76="yes",Q76*Inputs!$B$10*Inputs!$B$9,0)+IFERROR(INDEX(Inputs!$B$13:$B$15,MATCH(G76,Inputs!$A$13:$A$15,0)),0)+IFERROR(INDEX(Inputs!$B$18:$B$24,MATCH(H76,Inputs!$A$18:$A$24,0)),0))</f>
        <v>0.08</v>
      </c>
      <c r="AC76" s="28" t="n">
        <f aca="false">IF(OR(N(AB76)&lt;=0,N(N76)=0,N(L76)=0),"",MIN(L76,N76/AB76))</f>
        <v>18.359375</v>
      </c>
      <c r="AD76" s="29" t="n">
        <f aca="false">IF(OR(AC76="",N(O76)=0),"",AC76/O76-1)</f>
        <v>-0.18148127507802</v>
      </c>
      <c r="AE76" s="29" t="n">
        <f aca="false">IF(OR(AD76="",N(O76)=0),"",AD76+N76/O76)</f>
        <v>-0.115999777084262</v>
      </c>
      <c r="AF76" s="32" t="n">
        <f aca="false">IF(OR(AE76="",N(Z76)=0),"",AE76-Z76)</f>
        <v>0</v>
      </c>
      <c r="AG76" s="28" t="n">
        <f aca="false">IF(AND(N(M76)&gt;0,N(L76)&gt;0),M76*L76,N76)</f>
        <v>1.46875</v>
      </c>
      <c r="AH76" s="28" t="n">
        <f aca="false">IF(OR(N(AB76)&lt;=0,N(AG76)=0,N(L76)=0),"",MIN(L76,AG76/AB76))</f>
        <v>18.359375</v>
      </c>
      <c r="AI76" s="29" t="n">
        <f aca="false">IF(OR(AH76="",N(O76)=0),"",AH76/O76-1)</f>
        <v>-0.18148127507802</v>
      </c>
      <c r="AJ76" s="29" t="n">
        <f aca="false">IF(OR(AI76="",N(O76)=0),"",AI76+AG76/O76)</f>
        <v>-0.115999777084262</v>
      </c>
      <c r="AK76" s="32" t="n">
        <f aca="false">IF(OR(AJ76="",N(AE76)=0),"",AJ76-AE76)</f>
        <v>0</v>
      </c>
      <c r="AL76" s="33" t="n">
        <f aca="false">IF(N(F76)=0,"",INDEX(Inputs!$B$28:$B$32,IFERROR(MATCH(F76,Inputs!$A$28:$A$32,1),0)+1))</f>
        <v>0.08</v>
      </c>
      <c r="AM76" s="34"/>
      <c r="AN76" s="33" t="n">
        <f aca="false">IF(N(AM76)&gt;0,AM76,AL76)</f>
        <v>0.08</v>
      </c>
      <c r="AO76" s="29" t="n">
        <f aca="false">IF(N(AN76)=0,"",AN76+IF(I76="yes",AN76*Inputs!$B$10*Inputs!$B$9,0)+IFERROR(INDEX(Inputs!$B$13:$B$15,MATCH(G76,Inputs!$A$13:$A$15,0)),0)+IFERROR(INDEX(Inputs!$B$18:$B$24,MATCH(H76,Inputs!$A$18:$A$24,0)),0))</f>
        <v>0.08</v>
      </c>
      <c r="AP76" s="28" t="n">
        <f aca="false">IF(OR(N(AO76)&lt;=0,N(AG76)=0,N(L76)=0),"",MIN(L76,AG76/AO76))</f>
        <v>18.359375</v>
      </c>
      <c r="AQ76" s="29" t="n">
        <f aca="false">IF(OR(AP76="",N(O76)=0),"",AP76/O76-1)</f>
        <v>-0.18148127507802</v>
      </c>
      <c r="AR76" s="29" t="n">
        <f aca="false">IF(OR(AQ76="",N(O76)=0),"",AQ76+AG76/O76)</f>
        <v>-0.115999777084262</v>
      </c>
      <c r="AS76" s="32" t="n">
        <f aca="false">IF(OR(AR76="",N(AJ76)=0),"",AR76-AJ76)</f>
        <v>0</v>
      </c>
      <c r="AT76" s="28" t="n">
        <v>25</v>
      </c>
      <c r="AU76" s="28" t="n">
        <v>1.47</v>
      </c>
      <c r="AV76" s="28" t="n">
        <f aca="false">IF(N(AT76)&gt;0,AT76,L76)</f>
        <v>25</v>
      </c>
      <c r="AW76" s="28" t="n">
        <f aca="false">IF(AND(N(M76)&gt;0,N(AV76)&gt;0),M76*AV76,IF(N(AU76)&gt;0,AU76,N76))</f>
        <v>1.46875</v>
      </c>
      <c r="AX76" s="29" t="n">
        <f aca="false">IF(N(AN76)=0,"",AN76+IF(I76="yes",AN76*Inputs!$B$10*Inputs!$B$9,0)+IFERROR(INDEX(Inputs!$B$13:$B$15,MATCH(G76,Inputs!$A$13:$A$15,0)),0)+IFERROR(INDEX(Inputs!$B$18:$B$24,MATCH(H76,Inputs!$A$18:$A$24,0)),0))</f>
        <v>0.08</v>
      </c>
      <c r="AY76" s="28" t="n">
        <f aca="false">IF(OR(N(AX76)&lt;=0,N(AW76)=0,N(AV76)=0),"",MIN(AV76,AW76/AX76))</f>
        <v>18.359375</v>
      </c>
      <c r="AZ76" s="29" t="n">
        <f aca="false">IF(OR(AY76="",N(O76)=0),"",AY76/O76-1)</f>
        <v>-0.18148127507802</v>
      </c>
      <c r="BA76" s="29" t="n">
        <f aca="false">IF(OR(AZ76="",N(O76)=0),"",AZ76+AW76/O76)</f>
        <v>-0.115999777084262</v>
      </c>
      <c r="BB76" s="32" t="n">
        <f aca="false">IF(OR(BA76="",N(AR76)=0),"",BA76-AR76)</f>
        <v>0</v>
      </c>
      <c r="BC76" s="35" t="n">
        <f aca="false">IF(OR(BA76="",N(U76)=0),"",BA76-U76)</f>
        <v>0</v>
      </c>
      <c r="BD76" s="37"/>
    </row>
    <row r="77" customFormat="false" ht="15" hidden="false" customHeight="false" outlineLevel="0" collapsed="false">
      <c r="A77" s="2" t="s">
        <v>140</v>
      </c>
      <c r="B77" s="2" t="n">
        <v>145</v>
      </c>
      <c r="C77" s="2" t="s">
        <v>273</v>
      </c>
      <c r="D77" s="2" t="s">
        <v>271</v>
      </c>
      <c r="E77" s="2" t="s">
        <v>272</v>
      </c>
      <c r="F77" s="27" t="n">
        <v>12300</v>
      </c>
      <c r="G77" s="2" t="s">
        <v>51</v>
      </c>
      <c r="H77" s="2" t="s">
        <v>58</v>
      </c>
      <c r="I77" s="2" t="s">
        <v>144</v>
      </c>
      <c r="J77" s="2" t="s">
        <v>145</v>
      </c>
      <c r="K77" s="2" t="n">
        <v>4</v>
      </c>
      <c r="L77" s="28" t="n">
        <v>25</v>
      </c>
      <c r="M77" s="29" t="n">
        <v>0.0625</v>
      </c>
      <c r="N77" s="28" t="n">
        <v>1.5625</v>
      </c>
      <c r="O77" s="28" t="n">
        <v>23.65</v>
      </c>
      <c r="P77" s="2" t="s">
        <v>146</v>
      </c>
      <c r="Q77" s="29" t="n">
        <v>0.08</v>
      </c>
      <c r="R77" s="30" t="n">
        <v>0.08</v>
      </c>
      <c r="S77" s="31" t="n">
        <v>19.53125</v>
      </c>
      <c r="T77" s="30" t="n">
        <v>-0.174154334038055</v>
      </c>
      <c r="U77" s="30" t="n">
        <v>-0.108086680761099</v>
      </c>
      <c r="V77" s="29" t="n">
        <v>0</v>
      </c>
      <c r="W77" s="29" t="n">
        <f aca="false">IF(N(Q77)=0,"",Q77+IF(I77="yes",Q77*Inputs!$B$10*Inputs!$B$9,0)+V77)</f>
        <v>0.08</v>
      </c>
      <c r="X77" s="28" t="n">
        <f aca="false">IF(OR(N(W77)&lt;=0,N(N77)=0,N(L77)=0),"",MIN(L77,N77/W77))</f>
        <v>19.53125</v>
      </c>
      <c r="Y77" s="29" t="n">
        <f aca="false">IF(OR(X77="",N(O77)=0),"",X77/O77-1)</f>
        <v>-0.174154334038055</v>
      </c>
      <c r="Z77" s="29" t="n">
        <f aca="false">IF(OR(Y77="",N(O77)=0),"",Y77+N77/O77)</f>
        <v>-0.108086680761099</v>
      </c>
      <c r="AA77" s="32" t="n">
        <f aca="false">IF(OR(Z77="",N(U77)=0),"",Z77-U77)</f>
        <v>0</v>
      </c>
      <c r="AB77" s="29" t="n">
        <f aca="false">IF(N(Q77)=0,"",Q77+IF(I77="yes",Q77*Inputs!$B$10*Inputs!$B$9,0)+IFERROR(INDEX(Inputs!$B$13:$B$15,MATCH(G77,Inputs!$A$13:$A$15,0)),0)+IFERROR(INDEX(Inputs!$B$18:$B$24,MATCH(H77,Inputs!$A$18:$A$24,0)),0))</f>
        <v>0.08</v>
      </c>
      <c r="AC77" s="28" t="n">
        <f aca="false">IF(OR(N(AB77)&lt;=0,N(N77)=0,N(L77)=0),"",MIN(L77,N77/AB77))</f>
        <v>19.53125</v>
      </c>
      <c r="AD77" s="29" t="n">
        <f aca="false">IF(OR(AC77="",N(O77)=0),"",AC77/O77-1)</f>
        <v>-0.174154334038055</v>
      </c>
      <c r="AE77" s="29" t="n">
        <f aca="false">IF(OR(AD77="",N(O77)=0),"",AD77+N77/O77)</f>
        <v>-0.108086680761099</v>
      </c>
      <c r="AF77" s="32" t="n">
        <f aca="false">IF(OR(AE77="",N(Z77)=0),"",AE77-Z77)</f>
        <v>0</v>
      </c>
      <c r="AG77" s="28" t="n">
        <f aca="false">IF(AND(N(M77)&gt;0,N(L77)&gt;0),M77*L77,N77)</f>
        <v>1.5625</v>
      </c>
      <c r="AH77" s="28" t="n">
        <f aca="false">IF(OR(N(AB77)&lt;=0,N(AG77)=0,N(L77)=0),"",MIN(L77,AG77/AB77))</f>
        <v>19.53125</v>
      </c>
      <c r="AI77" s="29" t="n">
        <f aca="false">IF(OR(AH77="",N(O77)=0),"",AH77/O77-1)</f>
        <v>-0.174154334038055</v>
      </c>
      <c r="AJ77" s="29" t="n">
        <f aca="false">IF(OR(AI77="",N(O77)=0),"",AI77+AG77/O77)</f>
        <v>-0.108086680761099</v>
      </c>
      <c r="AK77" s="32" t="n">
        <f aca="false">IF(OR(AJ77="",N(AE77)=0),"",AJ77-AE77)</f>
        <v>0</v>
      </c>
      <c r="AL77" s="33" t="n">
        <f aca="false">IF(N(F77)=0,"",INDEX(Inputs!$B$28:$B$32,IFERROR(MATCH(F77,Inputs!$A$28:$A$32,1),0)+1))</f>
        <v>0.08</v>
      </c>
      <c r="AM77" s="34"/>
      <c r="AN77" s="33" t="n">
        <f aca="false">IF(N(AM77)&gt;0,AM77,AL77)</f>
        <v>0.08</v>
      </c>
      <c r="AO77" s="29" t="n">
        <f aca="false">IF(N(AN77)=0,"",AN77+IF(I77="yes",AN77*Inputs!$B$10*Inputs!$B$9,0)+IFERROR(INDEX(Inputs!$B$13:$B$15,MATCH(G77,Inputs!$A$13:$A$15,0)),0)+IFERROR(INDEX(Inputs!$B$18:$B$24,MATCH(H77,Inputs!$A$18:$A$24,0)),0))</f>
        <v>0.08</v>
      </c>
      <c r="AP77" s="28" t="n">
        <f aca="false">IF(OR(N(AO77)&lt;=0,N(AG77)=0,N(L77)=0),"",MIN(L77,AG77/AO77))</f>
        <v>19.53125</v>
      </c>
      <c r="AQ77" s="29" t="n">
        <f aca="false">IF(OR(AP77="",N(O77)=0),"",AP77/O77-1)</f>
        <v>-0.174154334038055</v>
      </c>
      <c r="AR77" s="29" t="n">
        <f aca="false">IF(OR(AQ77="",N(O77)=0),"",AQ77+AG77/O77)</f>
        <v>-0.108086680761099</v>
      </c>
      <c r="AS77" s="32" t="n">
        <f aca="false">IF(OR(AR77="",N(AJ77)=0),"",AR77-AJ77)</f>
        <v>0</v>
      </c>
      <c r="AT77" s="28" t="n">
        <v>25</v>
      </c>
      <c r="AU77" s="28" t="n">
        <v>1.56</v>
      </c>
      <c r="AV77" s="28" t="n">
        <f aca="false">IF(N(AT77)&gt;0,AT77,L77)</f>
        <v>25</v>
      </c>
      <c r="AW77" s="28" t="n">
        <f aca="false">IF(AND(N(M77)&gt;0,N(AV77)&gt;0),M77*AV77,IF(N(AU77)&gt;0,AU77,N77))</f>
        <v>1.5625</v>
      </c>
      <c r="AX77" s="29" t="n">
        <f aca="false">IF(N(AN77)=0,"",AN77+IF(I77="yes",AN77*Inputs!$B$10*Inputs!$B$9,0)+IFERROR(INDEX(Inputs!$B$13:$B$15,MATCH(G77,Inputs!$A$13:$A$15,0)),0)+IFERROR(INDEX(Inputs!$B$18:$B$24,MATCH(H77,Inputs!$A$18:$A$24,0)),0))</f>
        <v>0.08</v>
      </c>
      <c r="AY77" s="28" t="n">
        <f aca="false">IF(OR(N(AX77)&lt;=0,N(AW77)=0,N(AV77)=0),"",MIN(AV77,AW77/AX77))</f>
        <v>19.53125</v>
      </c>
      <c r="AZ77" s="29" t="n">
        <f aca="false">IF(OR(AY77="",N(O77)=0),"",AY77/O77-1)</f>
        <v>-0.174154334038055</v>
      </c>
      <c r="BA77" s="29" t="n">
        <f aca="false">IF(OR(AZ77="",N(O77)=0),"",AZ77+AW77/O77)</f>
        <v>-0.108086680761099</v>
      </c>
      <c r="BB77" s="32" t="n">
        <f aca="false">IF(OR(BA77="",N(AR77)=0),"",BA77-AR77)</f>
        <v>0</v>
      </c>
      <c r="BC77" s="35" t="n">
        <f aca="false">IF(OR(BA77="",N(U77)=0),"",BA77-U77)</f>
        <v>0</v>
      </c>
      <c r="BD77" s="37"/>
    </row>
    <row r="78" customFormat="false" ht="15" hidden="false" customHeight="false" outlineLevel="0" collapsed="false">
      <c r="A78" s="2" t="s">
        <v>140</v>
      </c>
      <c r="B78" s="2" t="n">
        <v>148</v>
      </c>
      <c r="C78" s="2" t="s">
        <v>274</v>
      </c>
      <c r="D78" s="2" t="s">
        <v>275</v>
      </c>
      <c r="E78" s="2" t="s">
        <v>276</v>
      </c>
      <c r="F78" s="27" t="n">
        <v>74700</v>
      </c>
      <c r="G78" s="2" t="s">
        <v>51</v>
      </c>
      <c r="H78" s="2" t="s">
        <v>58</v>
      </c>
      <c r="I78" s="2" t="s">
        <v>144</v>
      </c>
      <c r="J78" s="2" t="s">
        <v>277</v>
      </c>
      <c r="K78" s="2" t="n">
        <v>2</v>
      </c>
      <c r="L78" s="28" t="n">
        <v>25</v>
      </c>
      <c r="M78" s="29" t="n">
        <v>0.08205</v>
      </c>
      <c r="N78" s="28" t="n">
        <v>2.05125</v>
      </c>
      <c r="O78" s="28" t="n">
        <v>25.53</v>
      </c>
      <c r="P78" s="2" t="s">
        <v>146</v>
      </c>
      <c r="Q78" s="29" t="n">
        <v>0.08</v>
      </c>
      <c r="R78" s="30" t="n">
        <v>0.08</v>
      </c>
      <c r="S78" s="31" t="n">
        <v>25</v>
      </c>
      <c r="T78" s="30" t="n">
        <v>-0.0207598903251077</v>
      </c>
      <c r="U78" s="30" t="n">
        <v>0.0595867606737172</v>
      </c>
      <c r="V78" s="29" t="n">
        <v>0</v>
      </c>
      <c r="W78" s="29" t="n">
        <f aca="false">IF(N(Q78)=0,"",Q78+IF(I78="yes",Q78*Inputs!$B$10*Inputs!$B$9,0)+V78)</f>
        <v>0.08</v>
      </c>
      <c r="X78" s="28" t="n">
        <f aca="false">IF(OR(N(W78)&lt;=0,N(N78)=0,N(L78)=0),"",MIN(L78,N78/W78))</f>
        <v>25</v>
      </c>
      <c r="Y78" s="29" t="n">
        <f aca="false">IF(OR(X78="",N(O78)=0),"",X78/O78-1)</f>
        <v>-0.0207598903251077</v>
      </c>
      <c r="Z78" s="29" t="n">
        <f aca="false">IF(OR(Y78="",N(O78)=0),"",Y78+N78/O78)</f>
        <v>0.0595867606737172</v>
      </c>
      <c r="AA78" s="32" t="n">
        <f aca="false">IF(OR(Z78="",N(U78)=0),"",Z78-U78)</f>
        <v>0</v>
      </c>
      <c r="AB78" s="29" t="n">
        <f aca="false">IF(N(Q78)=0,"",Q78+IF(I78="yes",Q78*Inputs!$B$10*Inputs!$B$9,0)+IFERROR(INDEX(Inputs!$B$13:$B$15,MATCH(G78,Inputs!$A$13:$A$15,0)),0)+IFERROR(INDEX(Inputs!$B$18:$B$24,MATCH(H78,Inputs!$A$18:$A$24,0)),0))</f>
        <v>0.08</v>
      </c>
      <c r="AC78" s="28" t="n">
        <f aca="false">IF(OR(N(AB78)&lt;=0,N(N78)=0,N(L78)=0),"",MIN(L78,N78/AB78))</f>
        <v>25</v>
      </c>
      <c r="AD78" s="29" t="n">
        <f aca="false">IF(OR(AC78="",N(O78)=0),"",AC78/O78-1)</f>
        <v>-0.0207598903251077</v>
      </c>
      <c r="AE78" s="29" t="n">
        <f aca="false">IF(OR(AD78="",N(O78)=0),"",AD78+N78/O78)</f>
        <v>0.0595867606737172</v>
      </c>
      <c r="AF78" s="32" t="n">
        <f aca="false">IF(OR(AE78="",N(Z78)=0),"",AE78-Z78)</f>
        <v>0</v>
      </c>
      <c r="AG78" s="28" t="n">
        <f aca="false">IF(AND(N(M78)&gt;0,N(L78)&gt;0),M78*L78,N78)</f>
        <v>2.05125</v>
      </c>
      <c r="AH78" s="28" t="n">
        <f aca="false">IF(OR(N(AB78)&lt;=0,N(AG78)=0,N(L78)=0),"",MIN(L78,AG78/AB78))</f>
        <v>25</v>
      </c>
      <c r="AI78" s="29" t="n">
        <f aca="false">IF(OR(AH78="",N(O78)=0),"",AH78/O78-1)</f>
        <v>-0.0207598903251077</v>
      </c>
      <c r="AJ78" s="29" t="n">
        <f aca="false">IF(OR(AI78="",N(O78)=0),"",AI78+AG78/O78)</f>
        <v>0.0595867606737172</v>
      </c>
      <c r="AK78" s="32" t="n">
        <f aca="false">IF(OR(AJ78="",N(AE78)=0),"",AJ78-AE78)</f>
        <v>0</v>
      </c>
      <c r="AL78" s="33" t="n">
        <f aca="false">IF(N(F78)=0,"",INDEX(Inputs!$B$28:$B$32,IFERROR(MATCH(F78,Inputs!$A$28:$A$32,1),0)+1))</f>
        <v>0.075</v>
      </c>
      <c r="AM78" s="34"/>
      <c r="AN78" s="33" t="n">
        <f aca="false">IF(N(AM78)&gt;0,AM78,AL78)</f>
        <v>0.075</v>
      </c>
      <c r="AO78" s="29" t="n">
        <f aca="false">IF(N(AN78)=0,"",AN78+IF(I78="yes",AN78*Inputs!$B$10*Inputs!$B$9,0)+IFERROR(INDEX(Inputs!$B$13:$B$15,MATCH(G78,Inputs!$A$13:$A$15,0)),0)+IFERROR(INDEX(Inputs!$B$18:$B$24,MATCH(H78,Inputs!$A$18:$A$24,0)),0))</f>
        <v>0.075</v>
      </c>
      <c r="AP78" s="28" t="n">
        <f aca="false">IF(OR(N(AO78)&lt;=0,N(AG78)=0,N(L78)=0),"",MIN(L78,AG78/AO78))</f>
        <v>25</v>
      </c>
      <c r="AQ78" s="29" t="n">
        <f aca="false">IF(OR(AP78="",N(O78)=0),"",AP78/O78-1)</f>
        <v>-0.0207598903251077</v>
      </c>
      <c r="AR78" s="29" t="n">
        <f aca="false">IF(OR(AQ78="",N(O78)=0),"",AQ78+AG78/O78)</f>
        <v>0.0595867606737172</v>
      </c>
      <c r="AS78" s="32" t="n">
        <f aca="false">IF(OR(AR78="",N(AJ78)=0),"",AR78-AJ78)</f>
        <v>0</v>
      </c>
      <c r="AT78" s="28" t="n">
        <v>25</v>
      </c>
      <c r="AU78" s="28" t="n">
        <v>2.05</v>
      </c>
      <c r="AV78" s="28" t="n">
        <f aca="false">IF(N(AT78)&gt;0,AT78,L78)</f>
        <v>25</v>
      </c>
      <c r="AW78" s="28" t="n">
        <f aca="false">IF(AND(N(M78)&gt;0,N(AV78)&gt;0),M78*AV78,IF(N(AU78)&gt;0,AU78,N78))</f>
        <v>2.05125</v>
      </c>
      <c r="AX78" s="29" t="n">
        <f aca="false">IF(N(AN78)=0,"",AN78+IF(I78="yes",AN78*Inputs!$B$10*Inputs!$B$9,0)+IFERROR(INDEX(Inputs!$B$13:$B$15,MATCH(G78,Inputs!$A$13:$A$15,0)),0)+IFERROR(INDEX(Inputs!$B$18:$B$24,MATCH(H78,Inputs!$A$18:$A$24,0)),0))</f>
        <v>0.075</v>
      </c>
      <c r="AY78" s="28" t="n">
        <f aca="false">IF(OR(N(AX78)&lt;=0,N(AW78)=0,N(AV78)=0),"",MIN(AV78,AW78/AX78))</f>
        <v>25</v>
      </c>
      <c r="AZ78" s="29" t="n">
        <f aca="false">IF(OR(AY78="",N(O78)=0),"",AY78/O78-1)</f>
        <v>-0.0207598903251077</v>
      </c>
      <c r="BA78" s="29" t="n">
        <f aca="false">IF(OR(AZ78="",N(O78)=0),"",AZ78+AW78/O78)</f>
        <v>0.0595867606737172</v>
      </c>
      <c r="BB78" s="32" t="n">
        <f aca="false">IF(OR(BA78="",N(AR78)=0),"",BA78-AR78)</f>
        <v>0</v>
      </c>
      <c r="BC78" s="35" t="n">
        <f aca="false">IF(OR(BA78="",N(U78)=0),"",BA78-U78)</f>
        <v>0</v>
      </c>
      <c r="BD78" s="37"/>
    </row>
    <row r="79" customFormat="false" ht="15" hidden="false" customHeight="false" outlineLevel="0" collapsed="false">
      <c r="A79" s="2" t="s">
        <v>140</v>
      </c>
      <c r="B79" s="2" t="n">
        <v>152</v>
      </c>
      <c r="C79" s="2" t="s">
        <v>278</v>
      </c>
      <c r="D79" s="2" t="s">
        <v>279</v>
      </c>
      <c r="E79" s="2" t="s">
        <v>280</v>
      </c>
      <c r="F79" s="27" t="n">
        <v>76800</v>
      </c>
      <c r="G79" s="2" t="s">
        <v>51</v>
      </c>
      <c r="H79" s="2" t="s">
        <v>58</v>
      </c>
      <c r="I79" s="2" t="s">
        <v>151</v>
      </c>
      <c r="J79" s="2" t="s">
        <v>145</v>
      </c>
      <c r="K79" s="2" t="n">
        <v>4</v>
      </c>
      <c r="L79" s="28" t="n">
        <v>25</v>
      </c>
      <c r="M79" s="29" t="n">
        <v>0.0595</v>
      </c>
      <c r="N79" s="28" t="n">
        <v>1.4875</v>
      </c>
      <c r="O79" s="28" t="n">
        <v>0</v>
      </c>
      <c r="P79" s="2" t="s">
        <v>146</v>
      </c>
      <c r="Q79" s="29" t="n">
        <v>0.08</v>
      </c>
      <c r="R79" s="30" t="n">
        <v>0.076</v>
      </c>
      <c r="S79" s="31" t="n">
        <v>19.5723684210526</v>
      </c>
      <c r="T79" s="30"/>
      <c r="U79" s="30"/>
      <c r="V79" s="29" t="n">
        <v>0</v>
      </c>
      <c r="W79" s="29" t="n">
        <f aca="false">IF(N(Q79)=0,"",Q79+IF(I79="yes",Q79*Inputs!$B$10*Inputs!$B$9,0)+V79)</f>
        <v>0.076</v>
      </c>
      <c r="X79" s="28" t="n">
        <f aca="false">IF(OR(N(W79)&lt;=0,N(N79)=0,N(L79)=0),"",MIN(L79,N79/W79))</f>
        <v>19.5723684210526</v>
      </c>
      <c r="Y79" s="29" t="str">
        <f aca="false">IF(OR(X79="",N(O79)=0),"",X79/O79-1)</f>
        <v/>
      </c>
      <c r="Z79" s="29" t="str">
        <f aca="false">IF(OR(Y79="",N(O79)=0),"",Y79+N79/O79)</f>
        <v/>
      </c>
      <c r="AA79" s="32" t="str">
        <f aca="false">IF(OR(Z79="",N(U79)=0),"",Z79-U79)</f>
        <v/>
      </c>
      <c r="AB79" s="29" t="n">
        <f aca="false">IF(N(Q79)=0,"",Q79+IF(I79="yes",Q79*Inputs!$B$10*Inputs!$B$9,0)+IFERROR(INDEX(Inputs!$B$13:$B$15,MATCH(G79,Inputs!$A$13:$A$15,0)),0)+IFERROR(INDEX(Inputs!$B$18:$B$24,MATCH(H79,Inputs!$A$18:$A$24,0)),0))</f>
        <v>0.076</v>
      </c>
      <c r="AC79" s="28" t="n">
        <f aca="false">IF(OR(N(AB79)&lt;=0,N(N79)=0,N(L79)=0),"",MIN(L79,N79/AB79))</f>
        <v>19.5723684210526</v>
      </c>
      <c r="AD79" s="29" t="str">
        <f aca="false">IF(OR(AC79="",N(O79)=0),"",AC79/O79-1)</f>
        <v/>
      </c>
      <c r="AE79" s="29" t="str">
        <f aca="false">IF(OR(AD79="",N(O79)=0),"",AD79+N79/O79)</f>
        <v/>
      </c>
      <c r="AF79" s="32" t="str">
        <f aca="false">IF(OR(AE79="",N(Z79)=0),"",AE79-Z79)</f>
        <v/>
      </c>
      <c r="AG79" s="28" t="n">
        <f aca="false">IF(AND(N(M79)&gt;0,N(L79)&gt;0),M79*L79,N79)</f>
        <v>1.4875</v>
      </c>
      <c r="AH79" s="28" t="n">
        <f aca="false">IF(OR(N(AB79)&lt;=0,N(AG79)=0,N(L79)=0),"",MIN(L79,AG79/AB79))</f>
        <v>19.5723684210526</v>
      </c>
      <c r="AI79" s="29" t="str">
        <f aca="false">IF(OR(AH79="",N(O79)=0),"",AH79/O79-1)</f>
        <v/>
      </c>
      <c r="AJ79" s="29" t="str">
        <f aca="false">IF(OR(AI79="",N(O79)=0),"",AI79+AG79/O79)</f>
        <v/>
      </c>
      <c r="AK79" s="32" t="str">
        <f aca="false">IF(OR(AJ79="",N(AE79)=0),"",AJ79-AE79)</f>
        <v/>
      </c>
      <c r="AL79" s="33" t="n">
        <f aca="false">IF(N(F79)=0,"",INDEX(Inputs!$B$28:$B$32,IFERROR(MATCH(F79,Inputs!$A$28:$A$32,1),0)+1))</f>
        <v>0.075</v>
      </c>
      <c r="AM79" s="34"/>
      <c r="AN79" s="33" t="n">
        <f aca="false">IF(N(AM79)&gt;0,AM79,AL79)</f>
        <v>0.075</v>
      </c>
      <c r="AO79" s="29" t="n">
        <f aca="false">IF(N(AN79)=0,"",AN79+IF(I79="yes",AN79*Inputs!$B$10*Inputs!$B$9,0)+IFERROR(INDEX(Inputs!$B$13:$B$15,MATCH(G79,Inputs!$A$13:$A$15,0)),0)+IFERROR(INDEX(Inputs!$B$18:$B$24,MATCH(H79,Inputs!$A$18:$A$24,0)),0))</f>
        <v>0.07125</v>
      </c>
      <c r="AP79" s="28" t="n">
        <f aca="false">IF(OR(N(AO79)&lt;=0,N(AG79)=0,N(L79)=0),"",MIN(L79,AG79/AO79))</f>
        <v>20.8771929824561</v>
      </c>
      <c r="AQ79" s="29" t="str">
        <f aca="false">IF(OR(AP79="",N(O79)=0),"",AP79/O79-1)</f>
        <v/>
      </c>
      <c r="AR79" s="29" t="str">
        <f aca="false">IF(OR(AQ79="",N(O79)=0),"",AQ79+AG79/O79)</f>
        <v/>
      </c>
      <c r="AS79" s="32" t="str">
        <f aca="false">IF(OR(AR79="",N(AJ79)=0),"",AR79-AJ79)</f>
        <v/>
      </c>
      <c r="AT79" s="28"/>
      <c r="AU79" s="28"/>
      <c r="AV79" s="28" t="n">
        <f aca="false">IF(N(AT79)&gt;0,AT79,L79)</f>
        <v>25</v>
      </c>
      <c r="AW79" s="28" t="n">
        <f aca="false">IF(AND(N(M79)&gt;0,N(AV79)&gt;0),M79*AV79,IF(N(AU79)&gt;0,AU79,N79))</f>
        <v>1.4875</v>
      </c>
      <c r="AX79" s="29" t="n">
        <f aca="false">IF(N(AN79)=0,"",AN79+IF(I79="yes",AN79*Inputs!$B$10*Inputs!$B$9,0)+IFERROR(INDEX(Inputs!$B$13:$B$15,MATCH(G79,Inputs!$A$13:$A$15,0)),0)+IFERROR(INDEX(Inputs!$B$18:$B$24,MATCH(H79,Inputs!$A$18:$A$24,0)),0))</f>
        <v>0.07125</v>
      </c>
      <c r="AY79" s="28" t="n">
        <f aca="false">IF(OR(N(AX79)&lt;=0,N(AW79)=0,N(AV79)=0),"",MIN(AV79,AW79/AX79))</f>
        <v>20.8771929824561</v>
      </c>
      <c r="AZ79" s="29" t="str">
        <f aca="false">IF(OR(AY79="",N(O79)=0),"",AY79/O79-1)</f>
        <v/>
      </c>
      <c r="BA79" s="29" t="str">
        <f aca="false">IF(OR(AZ79="",N(O79)=0),"",AZ79+AW79/O79)</f>
        <v/>
      </c>
      <c r="BB79" s="32" t="str">
        <f aca="false">IF(OR(BA79="",N(AR79)=0),"",BA79-AR79)</f>
        <v/>
      </c>
      <c r="BC79" s="35" t="str">
        <f aca="false">IF(OR(BA79="",N(U79)=0),"",BA79-U79)</f>
        <v/>
      </c>
      <c r="BD79" s="36" t="s">
        <v>198</v>
      </c>
    </row>
    <row r="80" customFormat="false" ht="15" hidden="false" customHeight="false" outlineLevel="0" collapsed="false">
      <c r="A80" s="2" t="s">
        <v>140</v>
      </c>
      <c r="B80" s="2" t="n">
        <v>153</v>
      </c>
      <c r="C80" s="2" t="s">
        <v>281</v>
      </c>
      <c r="D80" s="2" t="s">
        <v>279</v>
      </c>
      <c r="E80" s="2" t="s">
        <v>280</v>
      </c>
      <c r="F80" s="27" t="n">
        <v>76800</v>
      </c>
      <c r="G80" s="2" t="s">
        <v>51</v>
      </c>
      <c r="H80" s="2" t="s">
        <v>58</v>
      </c>
      <c r="I80" s="2" t="s">
        <v>151</v>
      </c>
      <c r="J80" s="2" t="s">
        <v>145</v>
      </c>
      <c r="K80" s="2" t="n">
        <v>4</v>
      </c>
      <c r="L80" s="28" t="n">
        <v>25</v>
      </c>
      <c r="M80" s="29" t="n">
        <v>0.05625</v>
      </c>
      <c r="N80" s="28" t="n">
        <v>1.40625</v>
      </c>
      <c r="O80" s="28" t="n">
        <v>18.66</v>
      </c>
      <c r="P80" s="2" t="s">
        <v>146</v>
      </c>
      <c r="Q80" s="29" t="n">
        <v>0.08</v>
      </c>
      <c r="R80" s="30" t="n">
        <v>0.076</v>
      </c>
      <c r="S80" s="31" t="n">
        <v>18.5032894736842</v>
      </c>
      <c r="T80" s="30" t="n">
        <v>-0.00839820612624798</v>
      </c>
      <c r="U80" s="30" t="n">
        <v>0.0669635302081572</v>
      </c>
      <c r="V80" s="29" t="n">
        <v>0</v>
      </c>
      <c r="W80" s="29" t="n">
        <f aca="false">IF(N(Q80)=0,"",Q80+IF(I80="yes",Q80*Inputs!$B$10*Inputs!$B$9,0)+V80)</f>
        <v>0.076</v>
      </c>
      <c r="X80" s="28" t="n">
        <f aca="false">IF(OR(N(W80)&lt;=0,N(N80)=0,N(L80)=0),"",MIN(L80,N80/W80))</f>
        <v>18.5032894736842</v>
      </c>
      <c r="Y80" s="29" t="n">
        <f aca="false">IF(OR(X80="",N(O80)=0),"",X80/O80-1)</f>
        <v>-0.00839820612624798</v>
      </c>
      <c r="Z80" s="29" t="n">
        <f aca="false">IF(OR(Y80="",N(O80)=0),"",Y80+N80/O80)</f>
        <v>0.0669635302081572</v>
      </c>
      <c r="AA80" s="32" t="n">
        <f aca="false">IF(OR(Z80="",N(U80)=0),"",Z80-U80)</f>
        <v>0</v>
      </c>
      <c r="AB80" s="29" t="n">
        <f aca="false">IF(N(Q80)=0,"",Q80+IF(I80="yes",Q80*Inputs!$B$10*Inputs!$B$9,0)+IFERROR(INDEX(Inputs!$B$13:$B$15,MATCH(G80,Inputs!$A$13:$A$15,0)),0)+IFERROR(INDEX(Inputs!$B$18:$B$24,MATCH(H80,Inputs!$A$18:$A$24,0)),0))</f>
        <v>0.076</v>
      </c>
      <c r="AC80" s="28" t="n">
        <f aca="false">IF(OR(N(AB80)&lt;=0,N(N80)=0,N(L80)=0),"",MIN(L80,N80/AB80))</f>
        <v>18.5032894736842</v>
      </c>
      <c r="AD80" s="29" t="n">
        <f aca="false">IF(OR(AC80="",N(O80)=0),"",AC80/O80-1)</f>
        <v>-0.00839820612624798</v>
      </c>
      <c r="AE80" s="29" t="n">
        <f aca="false">IF(OR(AD80="",N(O80)=0),"",AD80+N80/O80)</f>
        <v>0.0669635302081572</v>
      </c>
      <c r="AF80" s="32" t="n">
        <f aca="false">IF(OR(AE80="",N(Z80)=0),"",AE80-Z80)</f>
        <v>0</v>
      </c>
      <c r="AG80" s="28" t="n">
        <f aca="false">IF(AND(N(M80)&gt;0,N(L80)&gt;0),M80*L80,N80)</f>
        <v>1.40625</v>
      </c>
      <c r="AH80" s="28" t="n">
        <f aca="false">IF(OR(N(AB80)&lt;=0,N(AG80)=0,N(L80)=0),"",MIN(L80,AG80/AB80))</f>
        <v>18.5032894736842</v>
      </c>
      <c r="AI80" s="29" t="n">
        <f aca="false">IF(OR(AH80="",N(O80)=0),"",AH80/O80-1)</f>
        <v>-0.00839820612624798</v>
      </c>
      <c r="AJ80" s="29" t="n">
        <f aca="false">IF(OR(AI80="",N(O80)=0),"",AI80+AG80/O80)</f>
        <v>0.0669635302081572</v>
      </c>
      <c r="AK80" s="32" t="n">
        <f aca="false">IF(OR(AJ80="",N(AE80)=0),"",AJ80-AE80)</f>
        <v>0</v>
      </c>
      <c r="AL80" s="33" t="n">
        <f aca="false">IF(N(F80)=0,"",INDEX(Inputs!$B$28:$B$32,IFERROR(MATCH(F80,Inputs!$A$28:$A$32,1),0)+1))</f>
        <v>0.075</v>
      </c>
      <c r="AM80" s="34"/>
      <c r="AN80" s="33" t="n">
        <f aca="false">IF(N(AM80)&gt;0,AM80,AL80)</f>
        <v>0.075</v>
      </c>
      <c r="AO80" s="29" t="n">
        <f aca="false">IF(N(AN80)=0,"",AN80+IF(I80="yes",AN80*Inputs!$B$10*Inputs!$B$9,0)+IFERROR(INDEX(Inputs!$B$13:$B$15,MATCH(G80,Inputs!$A$13:$A$15,0)),0)+IFERROR(INDEX(Inputs!$B$18:$B$24,MATCH(H80,Inputs!$A$18:$A$24,0)),0))</f>
        <v>0.07125</v>
      </c>
      <c r="AP80" s="28" t="n">
        <f aca="false">IF(OR(N(AO80)&lt;=0,N(AG80)=0,N(L80)=0),"",MIN(L80,AG80/AO80))</f>
        <v>19.7368421052632</v>
      </c>
      <c r="AQ80" s="29" t="n">
        <f aca="false">IF(OR(AP80="",N(O80)=0),"",AP80/O80-1)</f>
        <v>0.0577085801320021</v>
      </c>
      <c r="AR80" s="29" t="n">
        <f aca="false">IF(OR(AQ80="",N(O80)=0),"",AQ80+AG80/O80)</f>
        <v>0.133070316466407</v>
      </c>
      <c r="AS80" s="32" t="n">
        <f aca="false">IF(OR(AR80="",N(AJ80)=0),"",AR80-AJ80)</f>
        <v>0.0661067862582501</v>
      </c>
      <c r="AT80" s="28" t="n">
        <v>25</v>
      </c>
      <c r="AU80" s="28" t="n">
        <v>1.41</v>
      </c>
      <c r="AV80" s="28" t="n">
        <f aca="false">IF(N(AT80)&gt;0,AT80,L80)</f>
        <v>25</v>
      </c>
      <c r="AW80" s="28" t="n">
        <f aca="false">IF(AND(N(M80)&gt;0,N(AV80)&gt;0),M80*AV80,IF(N(AU80)&gt;0,AU80,N80))</f>
        <v>1.40625</v>
      </c>
      <c r="AX80" s="29" t="n">
        <f aca="false">IF(N(AN80)=0,"",AN80+IF(I80="yes",AN80*Inputs!$B$10*Inputs!$B$9,0)+IFERROR(INDEX(Inputs!$B$13:$B$15,MATCH(G80,Inputs!$A$13:$A$15,0)),0)+IFERROR(INDEX(Inputs!$B$18:$B$24,MATCH(H80,Inputs!$A$18:$A$24,0)),0))</f>
        <v>0.07125</v>
      </c>
      <c r="AY80" s="28" t="n">
        <f aca="false">IF(OR(N(AX80)&lt;=0,N(AW80)=0,N(AV80)=0),"",MIN(AV80,AW80/AX80))</f>
        <v>19.7368421052632</v>
      </c>
      <c r="AZ80" s="29" t="n">
        <f aca="false">IF(OR(AY80="",N(O80)=0),"",AY80/O80-1)</f>
        <v>0.0577085801320021</v>
      </c>
      <c r="BA80" s="29" t="n">
        <f aca="false">IF(OR(AZ80="",N(O80)=0),"",AZ80+AW80/O80)</f>
        <v>0.133070316466407</v>
      </c>
      <c r="BB80" s="32" t="n">
        <f aca="false">IF(OR(BA80="",N(AR80)=0),"",BA80-AR80)</f>
        <v>0</v>
      </c>
      <c r="BC80" s="35" t="n">
        <f aca="false">IF(OR(BA80="",N(U80)=0),"",BA80-U80)</f>
        <v>0.0661067862582501</v>
      </c>
      <c r="BD80" s="37"/>
    </row>
    <row r="81" customFormat="false" ht="15" hidden="false" customHeight="false" outlineLevel="0" collapsed="false">
      <c r="A81" s="2" t="s">
        <v>140</v>
      </c>
      <c r="B81" s="2" t="n">
        <v>154</v>
      </c>
      <c r="C81" s="2" t="s">
        <v>282</v>
      </c>
      <c r="D81" s="2" t="s">
        <v>279</v>
      </c>
      <c r="E81" s="2" t="s">
        <v>280</v>
      </c>
      <c r="F81" s="27" t="n">
        <v>76800</v>
      </c>
      <c r="G81" s="2" t="s">
        <v>51</v>
      </c>
      <c r="H81" s="2" t="s">
        <v>58</v>
      </c>
      <c r="I81" s="2" t="s">
        <v>151</v>
      </c>
      <c r="J81" s="2" t="s">
        <v>145</v>
      </c>
      <c r="K81" s="2" t="n">
        <v>4</v>
      </c>
      <c r="L81" s="28" t="n">
        <v>25</v>
      </c>
      <c r="M81" s="29" t="n">
        <v>0.0564</v>
      </c>
      <c r="N81" s="28" t="n">
        <v>1.41</v>
      </c>
      <c r="O81" s="28" t="n">
        <v>18.63</v>
      </c>
      <c r="P81" s="2" t="s">
        <v>146</v>
      </c>
      <c r="Q81" s="29" t="n">
        <v>0.08</v>
      </c>
      <c r="R81" s="30" t="n">
        <v>0.076</v>
      </c>
      <c r="S81" s="31" t="n">
        <v>18.5526315789474</v>
      </c>
      <c r="T81" s="30" t="n">
        <v>-0.00415289431307742</v>
      </c>
      <c r="U81" s="30" t="n">
        <v>0.0715314857191287</v>
      </c>
      <c r="V81" s="29" t="n">
        <v>0</v>
      </c>
      <c r="W81" s="29" t="n">
        <f aca="false">IF(N(Q81)=0,"",Q81+IF(I81="yes",Q81*Inputs!$B$10*Inputs!$B$9,0)+V81)</f>
        <v>0.076</v>
      </c>
      <c r="X81" s="28" t="n">
        <f aca="false">IF(OR(N(W81)&lt;=0,N(N81)=0,N(L81)=0),"",MIN(L81,N81/W81))</f>
        <v>18.5526315789474</v>
      </c>
      <c r="Y81" s="29" t="n">
        <f aca="false">IF(OR(X81="",N(O81)=0),"",X81/O81-1)</f>
        <v>-0.00415289431307742</v>
      </c>
      <c r="Z81" s="29" t="n">
        <f aca="false">IF(OR(Y81="",N(O81)=0),"",Y81+N81/O81)</f>
        <v>0.0715314857191287</v>
      </c>
      <c r="AA81" s="32" t="n">
        <f aca="false">IF(OR(Z81="",N(U81)=0),"",Z81-U81)</f>
        <v>0</v>
      </c>
      <c r="AB81" s="29" t="n">
        <f aca="false">IF(N(Q81)=0,"",Q81+IF(I81="yes",Q81*Inputs!$B$10*Inputs!$B$9,0)+IFERROR(INDEX(Inputs!$B$13:$B$15,MATCH(G81,Inputs!$A$13:$A$15,0)),0)+IFERROR(INDEX(Inputs!$B$18:$B$24,MATCH(H81,Inputs!$A$18:$A$24,0)),0))</f>
        <v>0.076</v>
      </c>
      <c r="AC81" s="28" t="n">
        <f aca="false">IF(OR(N(AB81)&lt;=0,N(N81)=0,N(L81)=0),"",MIN(L81,N81/AB81))</f>
        <v>18.5526315789474</v>
      </c>
      <c r="AD81" s="29" t="n">
        <f aca="false">IF(OR(AC81="",N(O81)=0),"",AC81/O81-1)</f>
        <v>-0.00415289431307742</v>
      </c>
      <c r="AE81" s="29" t="n">
        <f aca="false">IF(OR(AD81="",N(O81)=0),"",AD81+N81/O81)</f>
        <v>0.0715314857191287</v>
      </c>
      <c r="AF81" s="32" t="n">
        <f aca="false">IF(OR(AE81="",N(Z81)=0),"",AE81-Z81)</f>
        <v>0</v>
      </c>
      <c r="AG81" s="28" t="n">
        <f aca="false">IF(AND(N(M81)&gt;0,N(L81)&gt;0),M81*L81,N81)</f>
        <v>1.41</v>
      </c>
      <c r="AH81" s="28" t="n">
        <f aca="false">IF(OR(N(AB81)&lt;=0,N(AG81)=0,N(L81)=0),"",MIN(L81,AG81/AB81))</f>
        <v>18.5526315789474</v>
      </c>
      <c r="AI81" s="29" t="n">
        <f aca="false">IF(OR(AH81="",N(O81)=0),"",AH81/O81-1)</f>
        <v>-0.00415289431307742</v>
      </c>
      <c r="AJ81" s="29" t="n">
        <f aca="false">IF(OR(AI81="",N(O81)=0),"",AI81+AG81/O81)</f>
        <v>0.0715314857191287</v>
      </c>
      <c r="AK81" s="32" t="n">
        <f aca="false">IF(OR(AJ81="",N(AE81)=0),"",AJ81-AE81)</f>
        <v>0</v>
      </c>
      <c r="AL81" s="33" t="n">
        <f aca="false">IF(N(F81)=0,"",INDEX(Inputs!$B$28:$B$32,IFERROR(MATCH(F81,Inputs!$A$28:$A$32,1),0)+1))</f>
        <v>0.075</v>
      </c>
      <c r="AM81" s="34"/>
      <c r="AN81" s="33" t="n">
        <f aca="false">IF(N(AM81)&gt;0,AM81,AL81)</f>
        <v>0.075</v>
      </c>
      <c r="AO81" s="29" t="n">
        <f aca="false">IF(N(AN81)=0,"",AN81+IF(I81="yes",AN81*Inputs!$B$10*Inputs!$B$9,0)+IFERROR(INDEX(Inputs!$B$13:$B$15,MATCH(G81,Inputs!$A$13:$A$15,0)),0)+IFERROR(INDEX(Inputs!$B$18:$B$24,MATCH(H81,Inputs!$A$18:$A$24,0)),0))</f>
        <v>0.07125</v>
      </c>
      <c r="AP81" s="28" t="n">
        <f aca="false">IF(OR(N(AO81)&lt;=0,N(AG81)=0,N(L81)=0),"",MIN(L81,AG81/AO81))</f>
        <v>19.7894736842105</v>
      </c>
      <c r="AQ81" s="29" t="n">
        <f aca="false">IF(OR(AP81="",N(O81)=0),"",AP81/O81-1)</f>
        <v>0.0622369127327176</v>
      </c>
      <c r="AR81" s="29" t="n">
        <f aca="false">IF(OR(AQ81="",N(O81)=0),"",AQ81+AG81/O81)</f>
        <v>0.137921292764924</v>
      </c>
      <c r="AS81" s="32" t="n">
        <f aca="false">IF(OR(AR81="",N(AJ81)=0),"",AR81-AJ81)</f>
        <v>0.066389807045795</v>
      </c>
      <c r="AT81" s="28" t="n">
        <v>25</v>
      </c>
      <c r="AU81" s="28" t="n">
        <v>1.41</v>
      </c>
      <c r="AV81" s="28" t="n">
        <f aca="false">IF(N(AT81)&gt;0,AT81,L81)</f>
        <v>25</v>
      </c>
      <c r="AW81" s="28" t="n">
        <f aca="false">IF(AND(N(M81)&gt;0,N(AV81)&gt;0),M81*AV81,IF(N(AU81)&gt;0,AU81,N81))</f>
        <v>1.41</v>
      </c>
      <c r="AX81" s="29" t="n">
        <f aca="false">IF(N(AN81)=0,"",AN81+IF(I81="yes",AN81*Inputs!$B$10*Inputs!$B$9,0)+IFERROR(INDEX(Inputs!$B$13:$B$15,MATCH(G81,Inputs!$A$13:$A$15,0)),0)+IFERROR(INDEX(Inputs!$B$18:$B$24,MATCH(H81,Inputs!$A$18:$A$24,0)),0))</f>
        <v>0.07125</v>
      </c>
      <c r="AY81" s="28" t="n">
        <f aca="false">IF(OR(N(AX81)&lt;=0,N(AW81)=0,N(AV81)=0),"",MIN(AV81,AW81/AX81))</f>
        <v>19.7894736842105</v>
      </c>
      <c r="AZ81" s="29" t="n">
        <f aca="false">IF(OR(AY81="",N(O81)=0),"",AY81/O81-1)</f>
        <v>0.0622369127327176</v>
      </c>
      <c r="BA81" s="29" t="n">
        <f aca="false">IF(OR(AZ81="",N(O81)=0),"",AZ81+AW81/O81)</f>
        <v>0.137921292764924</v>
      </c>
      <c r="BB81" s="32" t="n">
        <f aca="false">IF(OR(BA81="",N(AR81)=0),"",BA81-AR81)</f>
        <v>0</v>
      </c>
      <c r="BC81" s="35" t="n">
        <f aca="false">IF(OR(BA81="",N(U81)=0),"",BA81-U81)</f>
        <v>0.066389807045795</v>
      </c>
      <c r="BD81" s="37"/>
    </row>
    <row r="82" customFormat="false" ht="15" hidden="false" customHeight="false" outlineLevel="0" collapsed="false">
      <c r="A82" s="2" t="s">
        <v>140</v>
      </c>
      <c r="B82" s="2" t="n">
        <v>155</v>
      </c>
      <c r="C82" s="2" t="s">
        <v>283</v>
      </c>
      <c r="D82" s="2" t="s">
        <v>279</v>
      </c>
      <c r="E82" s="2" t="s">
        <v>280</v>
      </c>
      <c r="F82" s="27" t="n">
        <v>76800</v>
      </c>
      <c r="G82" s="2" t="s">
        <v>51</v>
      </c>
      <c r="H82" s="2" t="s">
        <v>64</v>
      </c>
      <c r="I82" s="2" t="s">
        <v>151</v>
      </c>
      <c r="J82" s="2" t="s">
        <v>145</v>
      </c>
      <c r="K82" s="2" t="n">
        <v>4</v>
      </c>
      <c r="L82" s="28" t="n">
        <v>50</v>
      </c>
      <c r="M82" s="29" t="n">
        <v>0.0675</v>
      </c>
      <c r="N82" s="28" t="n">
        <v>3.375</v>
      </c>
      <c r="O82" s="28" t="n">
        <v>0</v>
      </c>
      <c r="P82" s="2" t="s">
        <v>223</v>
      </c>
      <c r="Q82" s="29" t="n">
        <v>0.08</v>
      </c>
      <c r="R82" s="30" t="n">
        <v>0.08</v>
      </c>
      <c r="S82" s="31" t="n">
        <v>42.1875</v>
      </c>
      <c r="T82" s="30"/>
      <c r="U82" s="30"/>
      <c r="V82" s="29" t="n">
        <v>0</v>
      </c>
      <c r="W82" s="29" t="n">
        <f aca="false">IF(N(Q82)=0,"",Q82+IF(I82="yes",Q82*Inputs!$B$10*Inputs!$B$9,0)+V82)</f>
        <v>0.076</v>
      </c>
      <c r="X82" s="28" t="n">
        <f aca="false">IF(OR(N(W82)&lt;=0,N(N82)=0,N(L82)=0),"",MIN(L82,N82/W82))</f>
        <v>44.4078947368421</v>
      </c>
      <c r="Y82" s="29" t="str">
        <f aca="false">IF(OR(X82="",N(O82)=0),"",X82/O82-1)</f>
        <v/>
      </c>
      <c r="Z82" s="29" t="str">
        <f aca="false">IF(OR(Y82="",N(O82)=0),"",Y82+N82/O82)</f>
        <v/>
      </c>
      <c r="AA82" s="32" t="str">
        <f aca="false">IF(OR(Z82="",N(U82)=0),"",Z82-U82)</f>
        <v/>
      </c>
      <c r="AB82" s="29" t="n">
        <f aca="false">IF(N(Q82)=0,"",Q82+IF(I82="yes",Q82*Inputs!$B$10*Inputs!$B$9,0)+IFERROR(INDEX(Inputs!$B$13:$B$15,MATCH(G82,Inputs!$A$13:$A$15,0)),0)+IFERROR(INDEX(Inputs!$B$18:$B$24,MATCH(H82,Inputs!$A$18:$A$24,0)),0))</f>
        <v>0.076</v>
      </c>
      <c r="AC82" s="28" t="n">
        <f aca="false">IF(OR(N(AB82)&lt;=0,N(N82)=0,N(L82)=0),"",MIN(L82,N82/AB82))</f>
        <v>44.4078947368421</v>
      </c>
      <c r="AD82" s="29" t="str">
        <f aca="false">IF(OR(AC82="",N(O82)=0),"",AC82/O82-1)</f>
        <v/>
      </c>
      <c r="AE82" s="29" t="str">
        <f aca="false">IF(OR(AD82="",N(O82)=0),"",AD82+N82/O82)</f>
        <v/>
      </c>
      <c r="AF82" s="32" t="str">
        <f aca="false">IF(OR(AE82="",N(Z82)=0),"",AE82-Z82)</f>
        <v/>
      </c>
      <c r="AG82" s="28" t="n">
        <f aca="false">IF(AND(N(M82)&gt;0,N(L82)&gt;0),M82*L82,N82)</f>
        <v>3.375</v>
      </c>
      <c r="AH82" s="28" t="n">
        <f aca="false">IF(OR(N(AB82)&lt;=0,N(AG82)=0,N(L82)=0),"",MIN(L82,AG82/AB82))</f>
        <v>44.4078947368421</v>
      </c>
      <c r="AI82" s="29" t="str">
        <f aca="false">IF(OR(AH82="",N(O82)=0),"",AH82/O82-1)</f>
        <v/>
      </c>
      <c r="AJ82" s="29" t="str">
        <f aca="false">IF(OR(AI82="",N(O82)=0),"",AI82+AG82/O82)</f>
        <v/>
      </c>
      <c r="AK82" s="32" t="str">
        <f aca="false">IF(OR(AJ82="",N(AE82)=0),"",AJ82-AE82)</f>
        <v/>
      </c>
      <c r="AL82" s="33" t="n">
        <f aca="false">IF(N(F82)=0,"",INDEX(Inputs!$B$28:$B$32,IFERROR(MATCH(F82,Inputs!$A$28:$A$32,1),0)+1))</f>
        <v>0.075</v>
      </c>
      <c r="AM82" s="34"/>
      <c r="AN82" s="33" t="n">
        <f aca="false">IF(N(AM82)&gt;0,AM82,AL82)</f>
        <v>0.075</v>
      </c>
      <c r="AO82" s="29" t="n">
        <f aca="false">IF(N(AN82)=0,"",AN82+IF(I82="yes",AN82*Inputs!$B$10*Inputs!$B$9,0)+IFERROR(INDEX(Inputs!$B$13:$B$15,MATCH(G82,Inputs!$A$13:$A$15,0)),0)+IFERROR(INDEX(Inputs!$B$18:$B$24,MATCH(H82,Inputs!$A$18:$A$24,0)),0))</f>
        <v>0.07125</v>
      </c>
      <c r="AP82" s="28" t="n">
        <f aca="false">IF(OR(N(AO82)&lt;=0,N(AG82)=0,N(L82)=0),"",MIN(L82,AG82/AO82))</f>
        <v>47.3684210526316</v>
      </c>
      <c r="AQ82" s="29" t="str">
        <f aca="false">IF(OR(AP82="",N(O82)=0),"",AP82/O82-1)</f>
        <v/>
      </c>
      <c r="AR82" s="29" t="str">
        <f aca="false">IF(OR(AQ82="",N(O82)=0),"",AQ82+AG82/O82)</f>
        <v/>
      </c>
      <c r="AS82" s="32" t="str">
        <f aca="false">IF(OR(AR82="",N(AJ82)=0),"",AR82-AJ82)</f>
        <v/>
      </c>
      <c r="AT82" s="28" t="n">
        <v>50</v>
      </c>
      <c r="AU82" s="28" t="n">
        <v>3.375</v>
      </c>
      <c r="AV82" s="28" t="n">
        <f aca="false">IF(N(AT82)&gt;0,AT82,L82)</f>
        <v>50</v>
      </c>
      <c r="AW82" s="28" t="n">
        <f aca="false">IF(AND(N(M82)&gt;0,N(AV82)&gt;0),M82*AV82,IF(N(AU82)&gt;0,AU82,N82))</f>
        <v>3.375</v>
      </c>
      <c r="AX82" s="29" t="n">
        <f aca="false">IF(N(AN82)=0,"",AN82+IF(I82="yes",AN82*Inputs!$B$10*Inputs!$B$9,0)+IFERROR(INDEX(Inputs!$B$13:$B$15,MATCH(G82,Inputs!$A$13:$A$15,0)),0)+IFERROR(INDEX(Inputs!$B$18:$B$24,MATCH(H82,Inputs!$A$18:$A$24,0)),0))</f>
        <v>0.07125</v>
      </c>
      <c r="AY82" s="28" t="n">
        <f aca="false">IF(OR(N(AX82)&lt;=0,N(AW82)=0,N(AV82)=0),"",MIN(AV82,AW82/AX82))</f>
        <v>47.3684210526316</v>
      </c>
      <c r="AZ82" s="29" t="str">
        <f aca="false">IF(OR(AY82="",N(O82)=0),"",AY82/O82-1)</f>
        <v/>
      </c>
      <c r="BA82" s="29" t="str">
        <f aca="false">IF(OR(AZ82="",N(O82)=0),"",AZ82+AW82/O82)</f>
        <v/>
      </c>
      <c r="BB82" s="32" t="str">
        <f aca="false">IF(OR(BA82="",N(AR82)=0),"",BA82-AR82)</f>
        <v/>
      </c>
      <c r="BC82" s="35" t="str">
        <f aca="false">IF(OR(BA82="",N(U82)=0),"",BA82-U82)</f>
        <v/>
      </c>
      <c r="BD82" s="36" t="s">
        <v>284</v>
      </c>
    </row>
    <row r="83" customFormat="false" ht="15" hidden="false" customHeight="false" outlineLevel="0" collapsed="false">
      <c r="A83" s="2" t="s">
        <v>140</v>
      </c>
      <c r="B83" s="2" t="n">
        <v>156</v>
      </c>
      <c r="C83" s="2" t="s">
        <v>285</v>
      </c>
      <c r="D83" s="2" t="s">
        <v>279</v>
      </c>
      <c r="E83" s="2" t="s">
        <v>280</v>
      </c>
      <c r="F83" s="27" t="n">
        <v>76800</v>
      </c>
      <c r="G83" s="2" t="s">
        <v>52</v>
      </c>
      <c r="H83" s="2" t="s">
        <v>58</v>
      </c>
      <c r="I83" s="2" t="s">
        <v>144</v>
      </c>
      <c r="J83" s="2" t="s">
        <v>145</v>
      </c>
      <c r="K83" s="2" t="n">
        <v>4</v>
      </c>
      <c r="L83" s="28" t="n">
        <v>25</v>
      </c>
      <c r="M83" s="29" t="n">
        <v>0.07625</v>
      </c>
      <c r="N83" s="28" t="n">
        <v>1.90625</v>
      </c>
      <c r="O83" s="28" t="n">
        <v>25.43</v>
      </c>
      <c r="P83" s="2" t="s">
        <v>223</v>
      </c>
      <c r="Q83" s="29" t="n">
        <v>0.08</v>
      </c>
      <c r="R83" s="30" t="n">
        <v>0.08</v>
      </c>
      <c r="S83" s="31" t="n">
        <v>23.828125</v>
      </c>
      <c r="T83" s="30" t="n">
        <v>-0.0629915454187967</v>
      </c>
      <c r="U83" s="30" t="n">
        <v>0.0119691309476996</v>
      </c>
      <c r="V83" s="29" t="n">
        <v>-0.005</v>
      </c>
      <c r="W83" s="29" t="n">
        <f aca="false">IF(N(Q83)=0,"",Q83+IF(I83="yes",Q83*Inputs!$B$10*Inputs!$B$9,0)+V83)</f>
        <v>0.075</v>
      </c>
      <c r="X83" s="28" t="n">
        <f aca="false">IF(OR(N(W83)&lt;=0,N(N83)=0,N(L83)=0),"",MIN(L83,N83/W83))</f>
        <v>25</v>
      </c>
      <c r="Y83" s="29" t="n">
        <f aca="false">IF(OR(X83="",N(O83)=0),"",X83/O83-1)</f>
        <v>-0.0169091624066063</v>
      </c>
      <c r="Z83" s="29" t="n">
        <f aca="false">IF(OR(Y83="",N(O83)=0),"",Y83+N83/O83)</f>
        <v>0.0580515139598899</v>
      </c>
      <c r="AA83" s="32" t="n">
        <f aca="false">IF(OR(Z83="",N(U83)=0),"",Z83-U83)</f>
        <v>0.0460823830121904</v>
      </c>
      <c r="AB83" s="29" t="n">
        <f aca="false">IF(N(Q83)=0,"",Q83+IF(I83="yes",Q83*Inputs!$B$10*Inputs!$B$9,0)+IFERROR(INDEX(Inputs!$B$13:$B$15,MATCH(G83,Inputs!$A$13:$A$15,0)),0)+IFERROR(INDEX(Inputs!$B$18:$B$24,MATCH(H83,Inputs!$A$18:$A$24,0)),0))</f>
        <v>0.075</v>
      </c>
      <c r="AC83" s="28" t="n">
        <f aca="false">IF(OR(N(AB83)&lt;=0,N(N83)=0,N(L83)=0),"",MIN(L83,N83/AB83))</f>
        <v>25</v>
      </c>
      <c r="AD83" s="29" t="n">
        <f aca="false">IF(OR(AC83="",N(O83)=0),"",AC83/O83-1)</f>
        <v>-0.0169091624066063</v>
      </c>
      <c r="AE83" s="29" t="n">
        <f aca="false">IF(OR(AD83="",N(O83)=0),"",AD83+N83/O83)</f>
        <v>0.0580515139598899</v>
      </c>
      <c r="AF83" s="32" t="n">
        <f aca="false">IF(OR(AE83="",N(Z83)=0),"",AE83-Z83)</f>
        <v>0</v>
      </c>
      <c r="AG83" s="28" t="n">
        <f aca="false">IF(AND(N(M83)&gt;0,N(L83)&gt;0),M83*L83,N83)</f>
        <v>1.90625</v>
      </c>
      <c r="AH83" s="28" t="n">
        <f aca="false">IF(OR(N(AB83)&lt;=0,N(AG83)=0,N(L83)=0),"",MIN(L83,AG83/AB83))</f>
        <v>25</v>
      </c>
      <c r="AI83" s="29" t="n">
        <f aca="false">IF(OR(AH83="",N(O83)=0),"",AH83/O83-1)</f>
        <v>-0.0169091624066063</v>
      </c>
      <c r="AJ83" s="29" t="n">
        <f aca="false">IF(OR(AI83="",N(O83)=0),"",AI83+AG83/O83)</f>
        <v>0.0580515139598899</v>
      </c>
      <c r="AK83" s="32" t="n">
        <f aca="false">IF(OR(AJ83="",N(AE83)=0),"",AJ83-AE83)</f>
        <v>0</v>
      </c>
      <c r="AL83" s="33" t="n">
        <f aca="false">IF(N(F83)=0,"",INDEX(Inputs!$B$28:$B$32,IFERROR(MATCH(F83,Inputs!$A$28:$A$32,1),0)+1))</f>
        <v>0.075</v>
      </c>
      <c r="AM83" s="34"/>
      <c r="AN83" s="33" t="n">
        <f aca="false">IF(N(AM83)&gt;0,AM83,AL83)</f>
        <v>0.075</v>
      </c>
      <c r="AO83" s="29" t="n">
        <f aca="false">IF(N(AN83)=0,"",AN83+IF(I83="yes",AN83*Inputs!$B$10*Inputs!$B$9,0)+IFERROR(INDEX(Inputs!$B$13:$B$15,MATCH(G83,Inputs!$A$13:$A$15,0)),0)+IFERROR(INDEX(Inputs!$B$18:$B$24,MATCH(H83,Inputs!$A$18:$A$24,0)),0))</f>
        <v>0.07</v>
      </c>
      <c r="AP83" s="28" t="n">
        <f aca="false">IF(OR(N(AO83)&lt;=0,N(AG83)=0,N(L83)=0),"",MIN(L83,AG83/AO83))</f>
        <v>25</v>
      </c>
      <c r="AQ83" s="29" t="n">
        <f aca="false">IF(OR(AP83="",N(O83)=0),"",AP83/O83-1)</f>
        <v>-0.0169091624066063</v>
      </c>
      <c r="AR83" s="29" t="n">
        <f aca="false">IF(OR(AQ83="",N(O83)=0),"",AQ83+AG83/O83)</f>
        <v>0.0580515139598899</v>
      </c>
      <c r="AS83" s="32" t="n">
        <f aca="false">IF(OR(AR83="",N(AJ83)=0),"",AR83-AJ83)</f>
        <v>0</v>
      </c>
      <c r="AT83" s="28" t="n">
        <v>25</v>
      </c>
      <c r="AU83" s="28" t="n">
        <v>1.90625</v>
      </c>
      <c r="AV83" s="28" t="n">
        <f aca="false">IF(N(AT83)&gt;0,AT83,L83)</f>
        <v>25</v>
      </c>
      <c r="AW83" s="28" t="n">
        <f aca="false">IF(AND(N(M83)&gt;0,N(AV83)&gt;0),M83*AV83,IF(N(AU83)&gt;0,AU83,N83))</f>
        <v>1.90625</v>
      </c>
      <c r="AX83" s="29" t="n">
        <f aca="false">IF(N(AN83)=0,"",AN83+IF(I83="yes",AN83*Inputs!$B$10*Inputs!$B$9,0)+IFERROR(INDEX(Inputs!$B$13:$B$15,MATCH(G83,Inputs!$A$13:$A$15,0)),0)+IFERROR(INDEX(Inputs!$B$18:$B$24,MATCH(H83,Inputs!$A$18:$A$24,0)),0))</f>
        <v>0.07</v>
      </c>
      <c r="AY83" s="28" t="n">
        <f aca="false">IF(OR(N(AX83)&lt;=0,N(AW83)=0,N(AV83)=0),"",MIN(AV83,AW83/AX83))</f>
        <v>25</v>
      </c>
      <c r="AZ83" s="29" t="n">
        <f aca="false">IF(OR(AY83="",N(O83)=0),"",AY83/O83-1)</f>
        <v>-0.0169091624066063</v>
      </c>
      <c r="BA83" s="29" t="n">
        <f aca="false">IF(OR(AZ83="",N(O83)=0),"",AZ83+AW83/O83)</f>
        <v>0.0580515139598899</v>
      </c>
      <c r="BB83" s="32" t="n">
        <f aca="false">IF(OR(BA83="",N(AR83)=0),"",BA83-AR83)</f>
        <v>0</v>
      </c>
      <c r="BC83" s="35" t="n">
        <f aca="false">IF(OR(BA83="",N(U83)=0),"",BA83-U83)</f>
        <v>0.0460823830121904</v>
      </c>
      <c r="BD83" s="36" t="s">
        <v>224</v>
      </c>
    </row>
    <row r="84" customFormat="false" ht="15" hidden="false" customHeight="false" outlineLevel="0" collapsed="false">
      <c r="A84" s="2" t="s">
        <v>140</v>
      </c>
      <c r="B84" s="2" t="n">
        <v>157</v>
      </c>
      <c r="C84" s="2" t="s">
        <v>286</v>
      </c>
      <c r="D84" s="2" t="s">
        <v>279</v>
      </c>
      <c r="E84" s="2" t="s">
        <v>280</v>
      </c>
      <c r="F84" s="27" t="n">
        <v>76800</v>
      </c>
      <c r="G84" s="2" t="s">
        <v>51</v>
      </c>
      <c r="H84" s="2" t="s">
        <v>59</v>
      </c>
      <c r="I84" s="2" t="s">
        <v>151</v>
      </c>
      <c r="J84" s="2" t="s">
        <v>145</v>
      </c>
      <c r="K84" s="2" t="n">
        <v>4</v>
      </c>
      <c r="L84" s="28" t="n">
        <v>25</v>
      </c>
      <c r="M84" s="29" t="n">
        <v>0.0635</v>
      </c>
      <c r="N84" s="28" t="n">
        <v>1.5875</v>
      </c>
      <c r="O84" s="28" t="n">
        <v>23.73</v>
      </c>
      <c r="P84" s="2" t="s">
        <v>146</v>
      </c>
      <c r="Q84" s="29" t="n">
        <v>0.08</v>
      </c>
      <c r="R84" s="30" t="n">
        <v>0.076</v>
      </c>
      <c r="S84" s="31" t="n">
        <v>20.8881578947368</v>
      </c>
      <c r="T84" s="30" t="n">
        <v>-0.119757357996762</v>
      </c>
      <c r="U84" s="30" t="n">
        <v>-0.0528589172045157</v>
      </c>
      <c r="V84" s="29" t="n">
        <v>0</v>
      </c>
      <c r="W84" s="29" t="n">
        <f aca="false">IF(N(Q84)=0,"",Q84+IF(I84="yes",Q84*Inputs!$B$10*Inputs!$B$9,0)+V84)</f>
        <v>0.076</v>
      </c>
      <c r="X84" s="28" t="n">
        <f aca="false">IF(OR(N(W84)&lt;=0,N(N84)=0,N(L84)=0),"",MIN(L84,N84/W84))</f>
        <v>20.8881578947368</v>
      </c>
      <c r="Y84" s="29" t="n">
        <f aca="false">IF(OR(X84="",N(O84)=0),"",X84/O84-1)</f>
        <v>-0.119757357996762</v>
      </c>
      <c r="Z84" s="29" t="n">
        <f aca="false">IF(OR(Y84="",N(O84)=0),"",Y84+N84/O84)</f>
        <v>-0.0528589172045157</v>
      </c>
      <c r="AA84" s="32" t="n">
        <f aca="false">IF(OR(Z84="",N(U84)=0),"",Z84-U84)</f>
        <v>0</v>
      </c>
      <c r="AB84" s="29" t="n">
        <f aca="false">IF(N(Q84)=0,"",Q84+IF(I84="yes",Q84*Inputs!$B$10*Inputs!$B$9,0)+IFERROR(INDEX(Inputs!$B$13:$B$15,MATCH(G84,Inputs!$A$13:$A$15,0)),0)+IFERROR(INDEX(Inputs!$B$18:$B$24,MATCH(H84,Inputs!$A$18:$A$24,0)),0))</f>
        <v>0.076</v>
      </c>
      <c r="AC84" s="28" t="n">
        <f aca="false">IF(OR(N(AB84)&lt;=0,N(N84)=0,N(L84)=0),"",MIN(L84,N84/AB84))</f>
        <v>20.8881578947368</v>
      </c>
      <c r="AD84" s="29" t="n">
        <f aca="false">IF(OR(AC84="",N(O84)=0),"",AC84/O84-1)</f>
        <v>-0.119757357996762</v>
      </c>
      <c r="AE84" s="29" t="n">
        <f aca="false">IF(OR(AD84="",N(O84)=0),"",AD84+N84/O84)</f>
        <v>-0.0528589172045157</v>
      </c>
      <c r="AF84" s="32" t="n">
        <f aca="false">IF(OR(AE84="",N(Z84)=0),"",AE84-Z84)</f>
        <v>0</v>
      </c>
      <c r="AG84" s="28" t="n">
        <f aca="false">IF(AND(N(M84)&gt;0,N(L84)&gt;0),M84*L84,N84)</f>
        <v>1.5875</v>
      </c>
      <c r="AH84" s="28" t="n">
        <f aca="false">IF(OR(N(AB84)&lt;=0,N(AG84)=0,N(L84)=0),"",MIN(L84,AG84/AB84))</f>
        <v>20.8881578947368</v>
      </c>
      <c r="AI84" s="29" t="n">
        <f aca="false">IF(OR(AH84="",N(O84)=0),"",AH84/O84-1)</f>
        <v>-0.119757357996762</v>
      </c>
      <c r="AJ84" s="29" t="n">
        <f aca="false">IF(OR(AI84="",N(O84)=0),"",AI84+AG84/O84)</f>
        <v>-0.0528589172045157</v>
      </c>
      <c r="AK84" s="32" t="n">
        <f aca="false">IF(OR(AJ84="",N(AE84)=0),"",AJ84-AE84)</f>
        <v>0</v>
      </c>
      <c r="AL84" s="33" t="n">
        <f aca="false">IF(N(F84)=0,"",INDEX(Inputs!$B$28:$B$32,IFERROR(MATCH(F84,Inputs!$A$28:$A$32,1),0)+1))</f>
        <v>0.075</v>
      </c>
      <c r="AM84" s="34"/>
      <c r="AN84" s="33" t="n">
        <f aca="false">IF(N(AM84)&gt;0,AM84,AL84)</f>
        <v>0.075</v>
      </c>
      <c r="AO84" s="29" t="n">
        <f aca="false">IF(N(AN84)=0,"",AN84+IF(I84="yes",AN84*Inputs!$B$10*Inputs!$B$9,0)+IFERROR(INDEX(Inputs!$B$13:$B$15,MATCH(G84,Inputs!$A$13:$A$15,0)),0)+IFERROR(INDEX(Inputs!$B$18:$B$24,MATCH(H84,Inputs!$A$18:$A$24,0)),0))</f>
        <v>0.07125</v>
      </c>
      <c r="AP84" s="28" t="n">
        <f aca="false">IF(OR(N(AO84)&lt;=0,N(AG84)=0,N(L84)=0),"",MIN(L84,AG84/AO84))</f>
        <v>22.280701754386</v>
      </c>
      <c r="AQ84" s="29" t="n">
        <f aca="false">IF(OR(AP84="",N(O84)=0),"",AP84/O84-1)</f>
        <v>-0.0610745151965459</v>
      </c>
      <c r="AR84" s="29" t="n">
        <f aca="false">IF(OR(AQ84="",N(O84)=0),"",AQ84+AG84/O84)</f>
        <v>0.00582392559570015</v>
      </c>
      <c r="AS84" s="32" t="n">
        <f aca="false">IF(OR(AR84="",N(AJ84)=0),"",AR84-AJ84)</f>
        <v>0.0586828428002159</v>
      </c>
      <c r="AT84" s="28" t="n">
        <v>25</v>
      </c>
      <c r="AU84" s="28" t="n">
        <v>1.59</v>
      </c>
      <c r="AV84" s="28" t="n">
        <f aca="false">IF(N(AT84)&gt;0,AT84,L84)</f>
        <v>25</v>
      </c>
      <c r="AW84" s="28" t="n">
        <f aca="false">IF(AND(N(M84)&gt;0,N(AV84)&gt;0),M84*AV84,IF(N(AU84)&gt;0,AU84,N84))</f>
        <v>1.5875</v>
      </c>
      <c r="AX84" s="29" t="n">
        <f aca="false">IF(N(AN84)=0,"",AN84+IF(I84="yes",AN84*Inputs!$B$10*Inputs!$B$9,0)+IFERROR(INDEX(Inputs!$B$13:$B$15,MATCH(G84,Inputs!$A$13:$A$15,0)),0)+IFERROR(INDEX(Inputs!$B$18:$B$24,MATCH(H84,Inputs!$A$18:$A$24,0)),0))</f>
        <v>0.07125</v>
      </c>
      <c r="AY84" s="28" t="n">
        <f aca="false">IF(OR(N(AX84)&lt;=0,N(AW84)=0,N(AV84)=0),"",MIN(AV84,AW84/AX84))</f>
        <v>22.280701754386</v>
      </c>
      <c r="AZ84" s="29" t="n">
        <f aca="false">IF(OR(AY84="",N(O84)=0),"",AY84/O84-1)</f>
        <v>-0.0610745151965459</v>
      </c>
      <c r="BA84" s="29" t="n">
        <f aca="false">IF(OR(AZ84="",N(O84)=0),"",AZ84+AW84/O84)</f>
        <v>0.00582392559570015</v>
      </c>
      <c r="BB84" s="32" t="n">
        <f aca="false">IF(OR(BA84="",N(AR84)=0),"",BA84-AR84)</f>
        <v>0</v>
      </c>
      <c r="BC84" s="35" t="n">
        <f aca="false">IF(OR(BA84="",N(U84)=0),"",BA84-U84)</f>
        <v>0.0586828428002159</v>
      </c>
      <c r="BD84" s="37"/>
    </row>
    <row r="85" customFormat="false" ht="15" hidden="false" customHeight="false" outlineLevel="0" collapsed="false">
      <c r="A85" s="2" t="s">
        <v>140</v>
      </c>
      <c r="B85" s="2" t="n">
        <v>158</v>
      </c>
      <c r="C85" s="2" t="s">
        <v>287</v>
      </c>
      <c r="D85" s="2" t="s">
        <v>279</v>
      </c>
      <c r="E85" s="2" t="s">
        <v>280</v>
      </c>
      <c r="F85" s="27" t="n">
        <v>76800</v>
      </c>
      <c r="G85" s="2" t="s">
        <v>51</v>
      </c>
      <c r="H85" s="2" t="s">
        <v>58</v>
      </c>
      <c r="I85" s="2" t="s">
        <v>151</v>
      </c>
      <c r="J85" s="2" t="s">
        <v>145</v>
      </c>
      <c r="K85" s="2" t="n">
        <v>4</v>
      </c>
      <c r="L85" s="28" t="n">
        <v>25</v>
      </c>
      <c r="M85" s="29" t="n">
        <v>0.0564</v>
      </c>
      <c r="N85" s="28" t="n">
        <v>1.41</v>
      </c>
      <c r="O85" s="28" t="n">
        <v>18.48</v>
      </c>
      <c r="P85" s="2" t="s">
        <v>146</v>
      </c>
      <c r="Q85" s="29" t="n">
        <v>0.08</v>
      </c>
      <c r="R85" s="30" t="n">
        <v>0.076</v>
      </c>
      <c r="S85" s="31" t="n">
        <v>18.5526315789474</v>
      </c>
      <c r="T85" s="30" t="n">
        <v>0.00393028024606967</v>
      </c>
      <c r="U85" s="30" t="n">
        <v>0.080228981544771</v>
      </c>
      <c r="V85" s="29" t="n">
        <v>0</v>
      </c>
      <c r="W85" s="29" t="n">
        <f aca="false">IF(N(Q85)=0,"",Q85+IF(I85="yes",Q85*Inputs!$B$10*Inputs!$B$9,0)+V85)</f>
        <v>0.076</v>
      </c>
      <c r="X85" s="28" t="n">
        <f aca="false">IF(OR(N(W85)&lt;=0,N(N85)=0,N(L85)=0),"",MIN(L85,N85/W85))</f>
        <v>18.5526315789474</v>
      </c>
      <c r="Y85" s="29" t="n">
        <f aca="false">IF(OR(X85="",N(O85)=0),"",X85/O85-1)</f>
        <v>0.00393028024606967</v>
      </c>
      <c r="Z85" s="29" t="n">
        <f aca="false">IF(OR(Y85="",N(O85)=0),"",Y85+N85/O85)</f>
        <v>0.080228981544771</v>
      </c>
      <c r="AA85" s="32" t="n">
        <f aca="false">IF(OR(Z85="",N(U85)=0),"",Z85-U85)</f>
        <v>0</v>
      </c>
      <c r="AB85" s="29" t="n">
        <f aca="false">IF(N(Q85)=0,"",Q85+IF(I85="yes",Q85*Inputs!$B$10*Inputs!$B$9,0)+IFERROR(INDEX(Inputs!$B$13:$B$15,MATCH(G85,Inputs!$A$13:$A$15,0)),0)+IFERROR(INDEX(Inputs!$B$18:$B$24,MATCH(H85,Inputs!$A$18:$A$24,0)),0))</f>
        <v>0.076</v>
      </c>
      <c r="AC85" s="28" t="n">
        <f aca="false">IF(OR(N(AB85)&lt;=0,N(N85)=0,N(L85)=0),"",MIN(L85,N85/AB85))</f>
        <v>18.5526315789474</v>
      </c>
      <c r="AD85" s="29" t="n">
        <f aca="false">IF(OR(AC85="",N(O85)=0),"",AC85/O85-1)</f>
        <v>0.00393028024606967</v>
      </c>
      <c r="AE85" s="29" t="n">
        <f aca="false">IF(OR(AD85="",N(O85)=0),"",AD85+N85/O85)</f>
        <v>0.080228981544771</v>
      </c>
      <c r="AF85" s="32" t="n">
        <f aca="false">IF(OR(AE85="",N(Z85)=0),"",AE85-Z85)</f>
        <v>0</v>
      </c>
      <c r="AG85" s="28" t="n">
        <f aca="false">IF(AND(N(M85)&gt;0,N(L85)&gt;0),M85*L85,N85)</f>
        <v>1.41</v>
      </c>
      <c r="AH85" s="28" t="n">
        <f aca="false">IF(OR(N(AB85)&lt;=0,N(AG85)=0,N(L85)=0),"",MIN(L85,AG85/AB85))</f>
        <v>18.5526315789474</v>
      </c>
      <c r="AI85" s="29" t="n">
        <f aca="false">IF(OR(AH85="",N(O85)=0),"",AH85/O85-1)</f>
        <v>0.00393028024606967</v>
      </c>
      <c r="AJ85" s="29" t="n">
        <f aca="false">IF(OR(AI85="",N(O85)=0),"",AI85+AG85/O85)</f>
        <v>0.080228981544771</v>
      </c>
      <c r="AK85" s="32" t="n">
        <f aca="false">IF(OR(AJ85="",N(AE85)=0),"",AJ85-AE85)</f>
        <v>0</v>
      </c>
      <c r="AL85" s="33" t="n">
        <f aca="false">IF(N(F85)=0,"",INDEX(Inputs!$B$28:$B$32,IFERROR(MATCH(F85,Inputs!$A$28:$A$32,1),0)+1))</f>
        <v>0.075</v>
      </c>
      <c r="AM85" s="34"/>
      <c r="AN85" s="33" t="n">
        <f aca="false">IF(N(AM85)&gt;0,AM85,AL85)</f>
        <v>0.075</v>
      </c>
      <c r="AO85" s="29" t="n">
        <f aca="false">IF(N(AN85)=0,"",AN85+IF(I85="yes",AN85*Inputs!$B$10*Inputs!$B$9,0)+IFERROR(INDEX(Inputs!$B$13:$B$15,MATCH(G85,Inputs!$A$13:$A$15,0)),0)+IFERROR(INDEX(Inputs!$B$18:$B$24,MATCH(H85,Inputs!$A$18:$A$24,0)),0))</f>
        <v>0.07125</v>
      </c>
      <c r="AP85" s="28" t="n">
        <f aca="false">IF(OR(N(AO85)&lt;=0,N(AG85)=0,N(L85)=0),"",MIN(L85,AG85/AO85))</f>
        <v>19.7894736842105</v>
      </c>
      <c r="AQ85" s="29" t="n">
        <f aca="false">IF(OR(AP85="",N(O85)=0),"",AP85/O85-1)</f>
        <v>0.0708589655958078</v>
      </c>
      <c r="AR85" s="29" t="n">
        <f aca="false">IF(OR(AQ85="",N(O85)=0),"",AQ85+AG85/O85)</f>
        <v>0.147157666894509</v>
      </c>
      <c r="AS85" s="32" t="n">
        <f aca="false">IF(OR(AR85="",N(AJ85)=0),"",AR85-AJ85)</f>
        <v>0.0669286853497382</v>
      </c>
      <c r="AT85" s="28" t="n">
        <v>25</v>
      </c>
      <c r="AU85" s="28" t="n">
        <v>1.41</v>
      </c>
      <c r="AV85" s="28" t="n">
        <f aca="false">IF(N(AT85)&gt;0,AT85,L85)</f>
        <v>25</v>
      </c>
      <c r="AW85" s="28" t="n">
        <f aca="false">IF(AND(N(M85)&gt;0,N(AV85)&gt;0),M85*AV85,IF(N(AU85)&gt;0,AU85,N85))</f>
        <v>1.41</v>
      </c>
      <c r="AX85" s="29" t="n">
        <f aca="false">IF(N(AN85)=0,"",AN85+IF(I85="yes",AN85*Inputs!$B$10*Inputs!$B$9,0)+IFERROR(INDEX(Inputs!$B$13:$B$15,MATCH(G85,Inputs!$A$13:$A$15,0)),0)+IFERROR(INDEX(Inputs!$B$18:$B$24,MATCH(H85,Inputs!$A$18:$A$24,0)),0))</f>
        <v>0.07125</v>
      </c>
      <c r="AY85" s="28" t="n">
        <f aca="false">IF(OR(N(AX85)&lt;=0,N(AW85)=0,N(AV85)=0),"",MIN(AV85,AW85/AX85))</f>
        <v>19.7894736842105</v>
      </c>
      <c r="AZ85" s="29" t="n">
        <f aca="false">IF(OR(AY85="",N(O85)=0),"",AY85/O85-1)</f>
        <v>0.0708589655958078</v>
      </c>
      <c r="BA85" s="29" t="n">
        <f aca="false">IF(OR(AZ85="",N(O85)=0),"",AZ85+AW85/O85)</f>
        <v>0.147157666894509</v>
      </c>
      <c r="BB85" s="32" t="n">
        <f aca="false">IF(OR(BA85="",N(AR85)=0),"",BA85-AR85)</f>
        <v>0</v>
      </c>
      <c r="BC85" s="35" t="n">
        <f aca="false">IF(OR(BA85="",N(U85)=0),"",BA85-U85)</f>
        <v>0.0669286853497382</v>
      </c>
      <c r="BD85" s="37"/>
    </row>
    <row r="86" customFormat="false" ht="15" hidden="false" customHeight="false" outlineLevel="0" collapsed="false">
      <c r="A86" s="2" t="s">
        <v>140</v>
      </c>
      <c r="B86" s="2" t="n">
        <v>159</v>
      </c>
      <c r="C86" s="2" t="s">
        <v>288</v>
      </c>
      <c r="D86" s="2" t="s">
        <v>279</v>
      </c>
      <c r="E86" s="2" t="s">
        <v>280</v>
      </c>
      <c r="F86" s="27" t="n">
        <v>76800</v>
      </c>
      <c r="G86" s="2" t="s">
        <v>51</v>
      </c>
      <c r="H86" s="2" t="s">
        <v>61</v>
      </c>
      <c r="I86" s="2" t="s">
        <v>151</v>
      </c>
      <c r="J86" s="2" t="s">
        <v>145</v>
      </c>
      <c r="K86" s="2" t="n">
        <v>4</v>
      </c>
      <c r="L86" s="28" t="n">
        <v>25</v>
      </c>
      <c r="M86" s="29" t="n">
        <v>0.06375</v>
      </c>
      <c r="N86" s="28" t="n">
        <v>1.59375</v>
      </c>
      <c r="O86" s="28" t="n">
        <v>0</v>
      </c>
      <c r="P86" s="2" t="s">
        <v>146</v>
      </c>
      <c r="Q86" s="29" t="n">
        <v>0.08</v>
      </c>
      <c r="R86" s="30" t="n">
        <v>0.076</v>
      </c>
      <c r="S86" s="31" t="n">
        <v>20.9703947368421</v>
      </c>
      <c r="T86" s="30"/>
      <c r="U86" s="30"/>
      <c r="V86" s="29" t="n">
        <v>0</v>
      </c>
      <c r="W86" s="29" t="n">
        <f aca="false">IF(N(Q86)=0,"",Q86+IF(I86="yes",Q86*Inputs!$B$10*Inputs!$B$9,0)+V86)</f>
        <v>0.076</v>
      </c>
      <c r="X86" s="28" t="n">
        <f aca="false">IF(OR(N(W86)&lt;=0,N(N86)=0,N(L86)=0),"",MIN(L86,N86/W86))</f>
        <v>20.9703947368421</v>
      </c>
      <c r="Y86" s="29" t="str">
        <f aca="false">IF(OR(X86="",N(O86)=0),"",X86/O86-1)</f>
        <v/>
      </c>
      <c r="Z86" s="29" t="str">
        <f aca="false">IF(OR(Y86="",N(O86)=0),"",Y86+N86/O86)</f>
        <v/>
      </c>
      <c r="AA86" s="32" t="str">
        <f aca="false">IF(OR(Z86="",N(U86)=0),"",Z86-U86)</f>
        <v/>
      </c>
      <c r="AB86" s="29" t="n">
        <f aca="false">IF(N(Q86)=0,"",Q86+IF(I86="yes",Q86*Inputs!$B$10*Inputs!$B$9,0)+IFERROR(INDEX(Inputs!$B$13:$B$15,MATCH(G86,Inputs!$A$13:$A$15,0)),0)+IFERROR(INDEX(Inputs!$B$18:$B$24,MATCH(H86,Inputs!$A$18:$A$24,0)),0))</f>
        <v>0.076</v>
      </c>
      <c r="AC86" s="28" t="n">
        <f aca="false">IF(OR(N(AB86)&lt;=0,N(N86)=0,N(L86)=0),"",MIN(L86,N86/AB86))</f>
        <v>20.9703947368421</v>
      </c>
      <c r="AD86" s="29" t="str">
        <f aca="false">IF(OR(AC86="",N(O86)=0),"",AC86/O86-1)</f>
        <v/>
      </c>
      <c r="AE86" s="29" t="str">
        <f aca="false">IF(OR(AD86="",N(O86)=0),"",AD86+N86/O86)</f>
        <v/>
      </c>
      <c r="AF86" s="32" t="str">
        <f aca="false">IF(OR(AE86="",N(Z86)=0),"",AE86-Z86)</f>
        <v/>
      </c>
      <c r="AG86" s="28" t="n">
        <f aca="false">IF(AND(N(M86)&gt;0,N(L86)&gt;0),M86*L86,N86)</f>
        <v>1.59375</v>
      </c>
      <c r="AH86" s="28" t="n">
        <f aca="false">IF(OR(N(AB86)&lt;=0,N(AG86)=0,N(L86)=0),"",MIN(L86,AG86/AB86))</f>
        <v>20.9703947368421</v>
      </c>
      <c r="AI86" s="29" t="str">
        <f aca="false">IF(OR(AH86="",N(O86)=0),"",AH86/O86-1)</f>
        <v/>
      </c>
      <c r="AJ86" s="29" t="str">
        <f aca="false">IF(OR(AI86="",N(O86)=0),"",AI86+AG86/O86)</f>
        <v/>
      </c>
      <c r="AK86" s="32" t="str">
        <f aca="false">IF(OR(AJ86="",N(AE86)=0),"",AJ86-AE86)</f>
        <v/>
      </c>
      <c r="AL86" s="33" t="n">
        <f aca="false">IF(N(F86)=0,"",INDEX(Inputs!$B$28:$B$32,IFERROR(MATCH(F86,Inputs!$A$28:$A$32,1),0)+1))</f>
        <v>0.075</v>
      </c>
      <c r="AM86" s="34"/>
      <c r="AN86" s="33" t="n">
        <f aca="false">IF(N(AM86)&gt;0,AM86,AL86)</f>
        <v>0.075</v>
      </c>
      <c r="AO86" s="29" t="n">
        <f aca="false">IF(N(AN86)=0,"",AN86+IF(I86="yes",AN86*Inputs!$B$10*Inputs!$B$9,0)+IFERROR(INDEX(Inputs!$B$13:$B$15,MATCH(G86,Inputs!$A$13:$A$15,0)),0)+IFERROR(INDEX(Inputs!$B$18:$B$24,MATCH(H86,Inputs!$A$18:$A$24,0)),0))</f>
        <v>0.07125</v>
      </c>
      <c r="AP86" s="28" t="n">
        <f aca="false">IF(OR(N(AO86)&lt;=0,N(AG86)=0,N(L86)=0),"",MIN(L86,AG86/AO86))</f>
        <v>22.3684210526316</v>
      </c>
      <c r="AQ86" s="29" t="str">
        <f aca="false">IF(OR(AP86="",N(O86)=0),"",AP86/O86-1)</f>
        <v/>
      </c>
      <c r="AR86" s="29" t="str">
        <f aca="false">IF(OR(AQ86="",N(O86)=0),"",AQ86+AG86/O86)</f>
        <v/>
      </c>
      <c r="AS86" s="32" t="str">
        <f aca="false">IF(OR(AR86="",N(AJ86)=0),"",AR86-AJ86)</f>
        <v/>
      </c>
      <c r="AT86" s="28"/>
      <c r="AU86" s="28"/>
      <c r="AV86" s="28" t="n">
        <f aca="false">IF(N(AT86)&gt;0,AT86,L86)</f>
        <v>25</v>
      </c>
      <c r="AW86" s="28" t="n">
        <f aca="false">IF(AND(N(M86)&gt;0,N(AV86)&gt;0),M86*AV86,IF(N(AU86)&gt;0,AU86,N86))</f>
        <v>1.59375</v>
      </c>
      <c r="AX86" s="29" t="n">
        <f aca="false">IF(N(AN86)=0,"",AN86+IF(I86="yes",AN86*Inputs!$B$10*Inputs!$B$9,0)+IFERROR(INDEX(Inputs!$B$13:$B$15,MATCH(G86,Inputs!$A$13:$A$15,0)),0)+IFERROR(INDEX(Inputs!$B$18:$B$24,MATCH(H86,Inputs!$A$18:$A$24,0)),0))</f>
        <v>0.07125</v>
      </c>
      <c r="AY86" s="28" t="n">
        <f aca="false">IF(OR(N(AX86)&lt;=0,N(AW86)=0,N(AV86)=0),"",MIN(AV86,AW86/AX86))</f>
        <v>22.3684210526316</v>
      </c>
      <c r="AZ86" s="29" t="str">
        <f aca="false">IF(OR(AY86="",N(O86)=0),"",AY86/O86-1)</f>
        <v/>
      </c>
      <c r="BA86" s="29" t="str">
        <f aca="false">IF(OR(AZ86="",N(O86)=0),"",AZ86+AW86/O86)</f>
        <v/>
      </c>
      <c r="BB86" s="32" t="str">
        <f aca="false">IF(OR(BA86="",N(AR86)=0),"",BA86-AR86)</f>
        <v/>
      </c>
      <c r="BC86" s="35" t="str">
        <f aca="false">IF(OR(BA86="",N(U86)=0),"",BA86-U86)</f>
        <v/>
      </c>
      <c r="BD86" s="36" t="s">
        <v>198</v>
      </c>
    </row>
    <row r="87" customFormat="false" ht="15" hidden="false" customHeight="false" outlineLevel="0" collapsed="false">
      <c r="A87" s="2" t="s">
        <v>140</v>
      </c>
      <c r="B87" s="2" t="n">
        <v>160</v>
      </c>
      <c r="C87" s="2" t="s">
        <v>289</v>
      </c>
      <c r="D87" s="2" t="s">
        <v>279</v>
      </c>
      <c r="E87" s="2" t="s">
        <v>280</v>
      </c>
      <c r="F87" s="27" t="n">
        <v>76800</v>
      </c>
      <c r="G87" s="2" t="s">
        <v>51</v>
      </c>
      <c r="H87" s="2" t="s">
        <v>58</v>
      </c>
      <c r="I87" s="2" t="s">
        <v>151</v>
      </c>
      <c r="J87" s="2" t="s">
        <v>145</v>
      </c>
      <c r="K87" s="2" t="n">
        <v>4</v>
      </c>
      <c r="L87" s="28" t="n">
        <v>25</v>
      </c>
      <c r="M87" s="29" t="n">
        <v>0.04875</v>
      </c>
      <c r="N87" s="28" t="n">
        <v>1.21875</v>
      </c>
      <c r="O87" s="28" t="n">
        <v>15.6</v>
      </c>
      <c r="P87" s="2" t="s">
        <v>146</v>
      </c>
      <c r="Q87" s="29" t="n">
        <v>0.08</v>
      </c>
      <c r="R87" s="30" t="n">
        <v>0.076</v>
      </c>
      <c r="S87" s="31" t="n">
        <v>16.0361842105263</v>
      </c>
      <c r="T87" s="30" t="n">
        <v>0.0279605263157894</v>
      </c>
      <c r="U87" s="30" t="n">
        <v>0.106085526315789</v>
      </c>
      <c r="V87" s="29" t="n">
        <v>0</v>
      </c>
      <c r="W87" s="29" t="n">
        <f aca="false">IF(N(Q87)=0,"",Q87+IF(I87="yes",Q87*Inputs!$B$10*Inputs!$B$9,0)+V87)</f>
        <v>0.076</v>
      </c>
      <c r="X87" s="28" t="n">
        <f aca="false">IF(OR(N(W87)&lt;=0,N(N87)=0,N(L87)=0),"",MIN(L87,N87/W87))</f>
        <v>16.0361842105263</v>
      </c>
      <c r="Y87" s="29" t="n">
        <f aca="false">IF(OR(X87="",N(O87)=0),"",X87/O87-1)</f>
        <v>0.0279605263157894</v>
      </c>
      <c r="Z87" s="29" t="n">
        <f aca="false">IF(OR(Y87="",N(O87)=0),"",Y87+N87/O87)</f>
        <v>0.106085526315789</v>
      </c>
      <c r="AA87" s="32" t="n">
        <f aca="false">IF(OR(Z87="",N(U87)=0),"",Z87-U87)</f>
        <v>0</v>
      </c>
      <c r="AB87" s="29" t="n">
        <f aca="false">IF(N(Q87)=0,"",Q87+IF(I87="yes",Q87*Inputs!$B$10*Inputs!$B$9,0)+IFERROR(INDEX(Inputs!$B$13:$B$15,MATCH(G87,Inputs!$A$13:$A$15,0)),0)+IFERROR(INDEX(Inputs!$B$18:$B$24,MATCH(H87,Inputs!$A$18:$A$24,0)),0))</f>
        <v>0.076</v>
      </c>
      <c r="AC87" s="28" t="n">
        <f aca="false">IF(OR(N(AB87)&lt;=0,N(N87)=0,N(L87)=0),"",MIN(L87,N87/AB87))</f>
        <v>16.0361842105263</v>
      </c>
      <c r="AD87" s="29" t="n">
        <f aca="false">IF(OR(AC87="",N(O87)=0),"",AC87/O87-1)</f>
        <v>0.0279605263157894</v>
      </c>
      <c r="AE87" s="29" t="n">
        <f aca="false">IF(OR(AD87="",N(O87)=0),"",AD87+N87/O87)</f>
        <v>0.106085526315789</v>
      </c>
      <c r="AF87" s="32" t="n">
        <f aca="false">IF(OR(AE87="",N(Z87)=0),"",AE87-Z87)</f>
        <v>0</v>
      </c>
      <c r="AG87" s="28" t="n">
        <f aca="false">IF(AND(N(M87)&gt;0,N(L87)&gt;0),M87*L87,N87)</f>
        <v>1.21875</v>
      </c>
      <c r="AH87" s="28" t="n">
        <f aca="false">IF(OR(N(AB87)&lt;=0,N(AG87)=0,N(L87)=0),"",MIN(L87,AG87/AB87))</f>
        <v>16.0361842105263</v>
      </c>
      <c r="AI87" s="29" t="n">
        <f aca="false">IF(OR(AH87="",N(O87)=0),"",AH87/O87-1)</f>
        <v>0.0279605263157894</v>
      </c>
      <c r="AJ87" s="29" t="n">
        <f aca="false">IF(OR(AI87="",N(O87)=0),"",AI87+AG87/O87)</f>
        <v>0.106085526315789</v>
      </c>
      <c r="AK87" s="32" t="n">
        <f aca="false">IF(OR(AJ87="",N(AE87)=0),"",AJ87-AE87)</f>
        <v>0</v>
      </c>
      <c r="AL87" s="33" t="n">
        <f aca="false">IF(N(F87)=0,"",INDEX(Inputs!$B$28:$B$32,IFERROR(MATCH(F87,Inputs!$A$28:$A$32,1),0)+1))</f>
        <v>0.075</v>
      </c>
      <c r="AM87" s="34"/>
      <c r="AN87" s="33" t="n">
        <f aca="false">IF(N(AM87)&gt;0,AM87,AL87)</f>
        <v>0.075</v>
      </c>
      <c r="AO87" s="29" t="n">
        <f aca="false">IF(N(AN87)=0,"",AN87+IF(I87="yes",AN87*Inputs!$B$10*Inputs!$B$9,0)+IFERROR(INDEX(Inputs!$B$13:$B$15,MATCH(G87,Inputs!$A$13:$A$15,0)),0)+IFERROR(INDEX(Inputs!$B$18:$B$24,MATCH(H87,Inputs!$A$18:$A$24,0)),0))</f>
        <v>0.07125</v>
      </c>
      <c r="AP87" s="28" t="n">
        <f aca="false">IF(OR(N(AO87)&lt;=0,N(AG87)=0,N(L87)=0),"",MIN(L87,AG87/AO87))</f>
        <v>17.1052631578947</v>
      </c>
      <c r="AQ87" s="29" t="n">
        <f aca="false">IF(OR(AP87="",N(O87)=0),"",AP87/O87-1)</f>
        <v>0.0964912280701757</v>
      </c>
      <c r="AR87" s="29" t="n">
        <f aca="false">IF(OR(AQ87="",N(O87)=0),"",AQ87+AG87/O87)</f>
        <v>0.174616228070176</v>
      </c>
      <c r="AS87" s="32" t="n">
        <f aca="false">IF(OR(AR87="",N(AJ87)=0),"",AR87-AJ87)</f>
        <v>0.0685307017543864</v>
      </c>
      <c r="AT87" s="28" t="n">
        <v>25</v>
      </c>
      <c r="AU87" s="28" t="n">
        <v>1.21875</v>
      </c>
      <c r="AV87" s="28" t="n">
        <f aca="false">IF(N(AT87)&gt;0,AT87,L87)</f>
        <v>25</v>
      </c>
      <c r="AW87" s="28" t="n">
        <f aca="false">IF(AND(N(M87)&gt;0,N(AV87)&gt;0),M87*AV87,IF(N(AU87)&gt;0,AU87,N87))</f>
        <v>1.21875</v>
      </c>
      <c r="AX87" s="29" t="n">
        <f aca="false">IF(N(AN87)=0,"",AN87+IF(I87="yes",AN87*Inputs!$B$10*Inputs!$B$9,0)+IFERROR(INDEX(Inputs!$B$13:$B$15,MATCH(G87,Inputs!$A$13:$A$15,0)),0)+IFERROR(INDEX(Inputs!$B$18:$B$24,MATCH(H87,Inputs!$A$18:$A$24,0)),0))</f>
        <v>0.07125</v>
      </c>
      <c r="AY87" s="28" t="n">
        <f aca="false">IF(OR(N(AX87)&lt;=0,N(AW87)=0,N(AV87)=0),"",MIN(AV87,AW87/AX87))</f>
        <v>17.1052631578947</v>
      </c>
      <c r="AZ87" s="29" t="n">
        <f aca="false">IF(OR(AY87="",N(O87)=0),"",AY87/O87-1)</f>
        <v>0.0964912280701757</v>
      </c>
      <c r="BA87" s="29" t="n">
        <f aca="false">IF(OR(AZ87="",N(O87)=0),"",AZ87+AW87/O87)</f>
        <v>0.174616228070176</v>
      </c>
      <c r="BB87" s="32" t="n">
        <f aca="false">IF(OR(BA87="",N(AR87)=0),"",BA87-AR87)</f>
        <v>0</v>
      </c>
      <c r="BC87" s="35" t="n">
        <f aca="false">IF(OR(BA87="",N(U87)=0),"",BA87-U87)</f>
        <v>0.0685307017543863</v>
      </c>
      <c r="BD87" s="37"/>
    </row>
    <row r="88" customFormat="false" ht="15" hidden="false" customHeight="false" outlineLevel="0" collapsed="false">
      <c r="A88" s="2" t="s">
        <v>140</v>
      </c>
      <c r="B88" s="2" t="n">
        <v>161</v>
      </c>
      <c r="C88" s="2" t="s">
        <v>290</v>
      </c>
      <c r="D88" s="2" t="s">
        <v>279</v>
      </c>
      <c r="E88" s="2" t="s">
        <v>280</v>
      </c>
      <c r="F88" s="27" t="n">
        <v>76800</v>
      </c>
      <c r="G88" s="2" t="s">
        <v>51</v>
      </c>
      <c r="H88" s="2" t="s">
        <v>59</v>
      </c>
      <c r="I88" s="2" t="s">
        <v>151</v>
      </c>
      <c r="J88" s="2" t="s">
        <v>145</v>
      </c>
      <c r="K88" s="2" t="n">
        <v>4</v>
      </c>
      <c r="L88" s="28" t="n">
        <v>25</v>
      </c>
      <c r="M88" s="29" t="n">
        <v>0.07775</v>
      </c>
      <c r="N88" s="28" t="n">
        <v>1.94375</v>
      </c>
      <c r="O88" s="28" t="n">
        <v>25.2</v>
      </c>
      <c r="P88" s="2" t="s">
        <v>223</v>
      </c>
      <c r="Q88" s="29" t="n">
        <v>0.08</v>
      </c>
      <c r="R88" s="30" t="n">
        <v>0.08</v>
      </c>
      <c r="S88" s="31" t="n">
        <v>24.296875</v>
      </c>
      <c r="T88" s="30" t="n">
        <v>-0.0358382936507936</v>
      </c>
      <c r="U88" s="30" t="n">
        <v>0.0412946428571429</v>
      </c>
      <c r="V88" s="29" t="n">
        <v>0</v>
      </c>
      <c r="W88" s="29" t="n">
        <f aca="false">IF(N(Q88)=0,"",Q88+IF(I88="yes",Q88*Inputs!$B$10*Inputs!$B$9,0)+V88)</f>
        <v>0.076</v>
      </c>
      <c r="X88" s="28" t="n">
        <f aca="false">IF(OR(N(W88)&lt;=0,N(N88)=0,N(L88)=0),"",MIN(L88,N88/W88))</f>
        <v>25</v>
      </c>
      <c r="Y88" s="29" t="n">
        <f aca="false">IF(OR(X88="",N(O88)=0),"",X88/O88-1)</f>
        <v>-0.00793650793650791</v>
      </c>
      <c r="Z88" s="29" t="n">
        <f aca="false">IF(OR(Y88="",N(O88)=0),"",Y88+N88/O88)</f>
        <v>0.0691964285714286</v>
      </c>
      <c r="AA88" s="32" t="n">
        <f aca="false">IF(OR(Z88="",N(U88)=0),"",Z88-U88)</f>
        <v>0.0279017857142857</v>
      </c>
      <c r="AB88" s="29" t="n">
        <f aca="false">IF(N(Q88)=0,"",Q88+IF(I88="yes",Q88*Inputs!$B$10*Inputs!$B$9,0)+IFERROR(INDEX(Inputs!$B$13:$B$15,MATCH(G88,Inputs!$A$13:$A$15,0)),0)+IFERROR(INDEX(Inputs!$B$18:$B$24,MATCH(H88,Inputs!$A$18:$A$24,0)),0))</f>
        <v>0.076</v>
      </c>
      <c r="AC88" s="28" t="n">
        <f aca="false">IF(OR(N(AB88)&lt;=0,N(N88)=0,N(L88)=0),"",MIN(L88,N88/AB88))</f>
        <v>25</v>
      </c>
      <c r="AD88" s="29" t="n">
        <f aca="false">IF(OR(AC88="",N(O88)=0),"",AC88/O88-1)</f>
        <v>-0.00793650793650791</v>
      </c>
      <c r="AE88" s="29" t="n">
        <f aca="false">IF(OR(AD88="",N(O88)=0),"",AD88+N88/O88)</f>
        <v>0.0691964285714286</v>
      </c>
      <c r="AF88" s="32" t="n">
        <f aca="false">IF(OR(AE88="",N(Z88)=0),"",AE88-Z88)</f>
        <v>0</v>
      </c>
      <c r="AG88" s="28" t="n">
        <f aca="false">IF(AND(N(M88)&gt;0,N(L88)&gt;0),M88*L88,N88)</f>
        <v>1.94375</v>
      </c>
      <c r="AH88" s="28" t="n">
        <f aca="false">IF(OR(N(AB88)&lt;=0,N(AG88)=0,N(L88)=0),"",MIN(L88,AG88/AB88))</f>
        <v>25</v>
      </c>
      <c r="AI88" s="29" t="n">
        <f aca="false">IF(OR(AH88="",N(O88)=0),"",AH88/O88-1)</f>
        <v>-0.00793650793650791</v>
      </c>
      <c r="AJ88" s="29" t="n">
        <f aca="false">IF(OR(AI88="",N(O88)=0),"",AI88+AG88/O88)</f>
        <v>0.0691964285714286</v>
      </c>
      <c r="AK88" s="32" t="n">
        <f aca="false">IF(OR(AJ88="",N(AE88)=0),"",AJ88-AE88)</f>
        <v>0</v>
      </c>
      <c r="AL88" s="33" t="n">
        <f aca="false">IF(N(F88)=0,"",INDEX(Inputs!$B$28:$B$32,IFERROR(MATCH(F88,Inputs!$A$28:$A$32,1),0)+1))</f>
        <v>0.075</v>
      </c>
      <c r="AM88" s="34"/>
      <c r="AN88" s="33" t="n">
        <f aca="false">IF(N(AM88)&gt;0,AM88,AL88)</f>
        <v>0.075</v>
      </c>
      <c r="AO88" s="29" t="n">
        <f aca="false">IF(N(AN88)=0,"",AN88+IF(I88="yes",AN88*Inputs!$B$10*Inputs!$B$9,0)+IFERROR(INDEX(Inputs!$B$13:$B$15,MATCH(G88,Inputs!$A$13:$A$15,0)),0)+IFERROR(INDEX(Inputs!$B$18:$B$24,MATCH(H88,Inputs!$A$18:$A$24,0)),0))</f>
        <v>0.07125</v>
      </c>
      <c r="AP88" s="28" t="n">
        <f aca="false">IF(OR(N(AO88)&lt;=0,N(AG88)=0,N(L88)=0),"",MIN(L88,AG88/AO88))</f>
        <v>25</v>
      </c>
      <c r="AQ88" s="29" t="n">
        <f aca="false">IF(OR(AP88="",N(O88)=0),"",AP88/O88-1)</f>
        <v>-0.00793650793650791</v>
      </c>
      <c r="AR88" s="29" t="n">
        <f aca="false">IF(OR(AQ88="",N(O88)=0),"",AQ88+AG88/O88)</f>
        <v>0.0691964285714286</v>
      </c>
      <c r="AS88" s="32" t="n">
        <f aca="false">IF(OR(AR88="",N(AJ88)=0),"",AR88-AJ88)</f>
        <v>0</v>
      </c>
      <c r="AT88" s="28" t="n">
        <v>25</v>
      </c>
      <c r="AU88" s="28" t="n">
        <v>1.94375</v>
      </c>
      <c r="AV88" s="28" t="n">
        <f aca="false">IF(N(AT88)&gt;0,AT88,L88)</f>
        <v>25</v>
      </c>
      <c r="AW88" s="28" t="n">
        <f aca="false">IF(AND(N(M88)&gt;0,N(AV88)&gt;0),M88*AV88,IF(N(AU88)&gt;0,AU88,N88))</f>
        <v>1.94375</v>
      </c>
      <c r="AX88" s="29" t="n">
        <f aca="false">IF(N(AN88)=0,"",AN88+IF(I88="yes",AN88*Inputs!$B$10*Inputs!$B$9,0)+IFERROR(INDEX(Inputs!$B$13:$B$15,MATCH(G88,Inputs!$A$13:$A$15,0)),0)+IFERROR(INDEX(Inputs!$B$18:$B$24,MATCH(H88,Inputs!$A$18:$A$24,0)),0))</f>
        <v>0.07125</v>
      </c>
      <c r="AY88" s="28" t="n">
        <f aca="false">IF(OR(N(AX88)&lt;=0,N(AW88)=0,N(AV88)=0),"",MIN(AV88,AW88/AX88))</f>
        <v>25</v>
      </c>
      <c r="AZ88" s="29" t="n">
        <f aca="false">IF(OR(AY88="",N(O88)=0),"",AY88/O88-1)</f>
        <v>-0.00793650793650791</v>
      </c>
      <c r="BA88" s="29" t="n">
        <f aca="false">IF(OR(AZ88="",N(O88)=0),"",AZ88+AW88/O88)</f>
        <v>0.0691964285714286</v>
      </c>
      <c r="BB88" s="32" t="n">
        <f aca="false">IF(OR(BA88="",N(AR88)=0),"",BA88-AR88)</f>
        <v>0</v>
      </c>
      <c r="BC88" s="35" t="n">
        <f aca="false">IF(OR(BA88="",N(U88)=0),"",BA88-U88)</f>
        <v>0.0279017857142857</v>
      </c>
      <c r="BD88" s="36" t="s">
        <v>224</v>
      </c>
    </row>
    <row r="89" customFormat="false" ht="15" hidden="false" customHeight="false" outlineLevel="0" collapsed="false">
      <c r="A89" s="2" t="s">
        <v>140</v>
      </c>
      <c r="B89" s="2" t="n">
        <v>164</v>
      </c>
      <c r="C89" s="2" t="s">
        <v>291</v>
      </c>
      <c r="D89" s="2" t="s">
        <v>292</v>
      </c>
      <c r="E89" s="2" t="s">
        <v>293</v>
      </c>
      <c r="F89" s="27" t="n">
        <v>6200</v>
      </c>
      <c r="G89" s="2" t="s">
        <v>52</v>
      </c>
      <c r="H89" s="2" t="s">
        <v>59</v>
      </c>
      <c r="I89" s="2" t="s">
        <v>144</v>
      </c>
      <c r="J89" s="2" t="s">
        <v>145</v>
      </c>
      <c r="K89" s="2" t="n">
        <v>4</v>
      </c>
      <c r="L89" s="28" t="n">
        <v>25</v>
      </c>
      <c r="M89" s="29" t="n">
        <v>0.06875</v>
      </c>
      <c r="N89" s="28" t="n">
        <v>1.71875</v>
      </c>
      <c r="O89" s="28" t="n">
        <v>0</v>
      </c>
      <c r="P89" s="2" t="s">
        <v>146</v>
      </c>
      <c r="Q89" s="29" t="n">
        <v>0.1</v>
      </c>
      <c r="R89" s="30" t="n">
        <v>0.1</v>
      </c>
      <c r="S89" s="31" t="n">
        <v>17.1875</v>
      </c>
      <c r="T89" s="30"/>
      <c r="U89" s="30"/>
      <c r="V89" s="29" t="n">
        <v>-0.005</v>
      </c>
      <c r="W89" s="29" t="n">
        <f aca="false">IF(N(Q89)=0,"",Q89+IF(I89="yes",Q89*Inputs!$B$10*Inputs!$B$9,0)+V89)</f>
        <v>0.095</v>
      </c>
      <c r="X89" s="28" t="n">
        <f aca="false">IF(OR(N(W89)&lt;=0,N(N89)=0,N(L89)=0),"",MIN(L89,N89/W89))</f>
        <v>18.0921052631579</v>
      </c>
      <c r="Y89" s="29" t="str">
        <f aca="false">IF(OR(X89="",N(O89)=0),"",X89/O89-1)</f>
        <v/>
      </c>
      <c r="Z89" s="29" t="str">
        <f aca="false">IF(OR(Y89="",N(O89)=0),"",Y89+N89/O89)</f>
        <v/>
      </c>
      <c r="AA89" s="32" t="str">
        <f aca="false">IF(OR(Z89="",N(U89)=0),"",Z89-U89)</f>
        <v/>
      </c>
      <c r="AB89" s="29" t="n">
        <f aca="false">IF(N(Q89)=0,"",Q89+IF(I89="yes",Q89*Inputs!$B$10*Inputs!$B$9,0)+IFERROR(INDEX(Inputs!$B$13:$B$15,MATCH(G89,Inputs!$A$13:$A$15,0)),0)+IFERROR(INDEX(Inputs!$B$18:$B$24,MATCH(H89,Inputs!$A$18:$A$24,0)),0))</f>
        <v>0.095</v>
      </c>
      <c r="AC89" s="28" t="n">
        <f aca="false">IF(OR(N(AB89)&lt;=0,N(N89)=0,N(L89)=0),"",MIN(L89,N89/AB89))</f>
        <v>18.0921052631579</v>
      </c>
      <c r="AD89" s="29" t="str">
        <f aca="false">IF(OR(AC89="",N(O89)=0),"",AC89/O89-1)</f>
        <v/>
      </c>
      <c r="AE89" s="29" t="str">
        <f aca="false">IF(OR(AD89="",N(O89)=0),"",AD89+N89/O89)</f>
        <v/>
      </c>
      <c r="AF89" s="32" t="str">
        <f aca="false">IF(OR(AE89="",N(Z89)=0),"",AE89-Z89)</f>
        <v/>
      </c>
      <c r="AG89" s="28" t="n">
        <f aca="false">IF(AND(N(M89)&gt;0,N(L89)&gt;0),M89*L89,N89)</f>
        <v>1.71875</v>
      </c>
      <c r="AH89" s="28" t="n">
        <f aca="false">IF(OR(N(AB89)&lt;=0,N(AG89)=0,N(L89)=0),"",MIN(L89,AG89/AB89))</f>
        <v>18.0921052631579</v>
      </c>
      <c r="AI89" s="29" t="str">
        <f aca="false">IF(OR(AH89="",N(O89)=0),"",AH89/O89-1)</f>
        <v/>
      </c>
      <c r="AJ89" s="29" t="str">
        <f aca="false">IF(OR(AI89="",N(O89)=0),"",AI89+AG89/O89)</f>
        <v/>
      </c>
      <c r="AK89" s="32" t="str">
        <f aca="false">IF(OR(AJ89="",N(AE89)=0),"",AJ89-AE89)</f>
        <v/>
      </c>
      <c r="AL89" s="33" t="n">
        <f aca="false">IF(N(F89)=0,"",INDEX(Inputs!$B$28:$B$32,IFERROR(MATCH(F89,Inputs!$A$28:$A$32,1),0)+1))</f>
        <v>0.08</v>
      </c>
      <c r="AM89" s="34"/>
      <c r="AN89" s="33" t="n">
        <f aca="false">IF(N(AM89)&gt;0,AM89,AL89)</f>
        <v>0.08</v>
      </c>
      <c r="AO89" s="29" t="n">
        <f aca="false">IF(N(AN89)=0,"",AN89+IF(I89="yes",AN89*Inputs!$B$10*Inputs!$B$9,0)+IFERROR(INDEX(Inputs!$B$13:$B$15,MATCH(G89,Inputs!$A$13:$A$15,0)),0)+IFERROR(INDEX(Inputs!$B$18:$B$24,MATCH(H89,Inputs!$A$18:$A$24,0)),0))</f>
        <v>0.075</v>
      </c>
      <c r="AP89" s="28" t="n">
        <f aca="false">IF(OR(N(AO89)&lt;=0,N(AG89)=0,N(L89)=0),"",MIN(L89,AG89/AO89))</f>
        <v>22.9166666666667</v>
      </c>
      <c r="AQ89" s="29" t="str">
        <f aca="false">IF(OR(AP89="",N(O89)=0),"",AP89/O89-1)</f>
        <v/>
      </c>
      <c r="AR89" s="29" t="str">
        <f aca="false">IF(OR(AQ89="",N(O89)=0),"",AQ89+AG89/O89)</f>
        <v/>
      </c>
      <c r="AS89" s="32" t="str">
        <f aca="false">IF(OR(AR89="",N(AJ89)=0),"",AR89-AJ89)</f>
        <v/>
      </c>
      <c r="AT89" s="28"/>
      <c r="AU89" s="28"/>
      <c r="AV89" s="28" t="n">
        <f aca="false">IF(N(AT89)&gt;0,AT89,L89)</f>
        <v>25</v>
      </c>
      <c r="AW89" s="28" t="n">
        <f aca="false">IF(AND(N(M89)&gt;0,N(AV89)&gt;0),M89*AV89,IF(N(AU89)&gt;0,AU89,N89))</f>
        <v>1.71875</v>
      </c>
      <c r="AX89" s="29" t="n">
        <f aca="false">IF(N(AN89)=0,"",AN89+IF(I89="yes",AN89*Inputs!$B$10*Inputs!$B$9,0)+IFERROR(INDEX(Inputs!$B$13:$B$15,MATCH(G89,Inputs!$A$13:$A$15,0)),0)+IFERROR(INDEX(Inputs!$B$18:$B$24,MATCH(H89,Inputs!$A$18:$A$24,0)),0))</f>
        <v>0.075</v>
      </c>
      <c r="AY89" s="28" t="n">
        <f aca="false">IF(OR(N(AX89)&lt;=0,N(AW89)=0,N(AV89)=0),"",MIN(AV89,AW89/AX89))</f>
        <v>22.9166666666667</v>
      </c>
      <c r="AZ89" s="29" t="str">
        <f aca="false">IF(OR(AY89="",N(O89)=0),"",AY89/O89-1)</f>
        <v/>
      </c>
      <c r="BA89" s="29" t="str">
        <f aca="false">IF(OR(AZ89="",N(O89)=0),"",AZ89+AW89/O89)</f>
        <v/>
      </c>
      <c r="BB89" s="32" t="str">
        <f aca="false">IF(OR(BA89="",N(AR89)=0),"",BA89-AR89)</f>
        <v/>
      </c>
      <c r="BC89" s="35" t="str">
        <f aca="false">IF(OR(BA89="",N(U89)=0),"",BA89-U89)</f>
        <v/>
      </c>
      <c r="BD89" s="36" t="s">
        <v>198</v>
      </c>
    </row>
    <row r="90" customFormat="false" ht="15" hidden="false" customHeight="false" outlineLevel="0" collapsed="false">
      <c r="A90" s="2" t="s">
        <v>140</v>
      </c>
      <c r="B90" s="2" t="n">
        <v>165</v>
      </c>
      <c r="C90" s="2" t="s">
        <v>294</v>
      </c>
      <c r="D90" s="2" t="s">
        <v>292</v>
      </c>
      <c r="E90" s="2" t="s">
        <v>293</v>
      </c>
      <c r="F90" s="27" t="n">
        <v>6200</v>
      </c>
      <c r="G90" s="2" t="s">
        <v>52</v>
      </c>
      <c r="H90" s="2" t="s">
        <v>59</v>
      </c>
      <c r="I90" s="2" t="s">
        <v>144</v>
      </c>
      <c r="J90" s="2" t="s">
        <v>145</v>
      </c>
      <c r="K90" s="2" t="n">
        <v>4</v>
      </c>
      <c r="L90" s="28" t="n">
        <v>25</v>
      </c>
      <c r="M90" s="29" t="n">
        <v>0.062</v>
      </c>
      <c r="N90" s="28" t="n">
        <v>1.55</v>
      </c>
      <c r="O90" s="28" t="n">
        <v>25.99</v>
      </c>
      <c r="P90" s="2" t="s">
        <v>146</v>
      </c>
      <c r="Q90" s="29"/>
      <c r="R90" s="30"/>
      <c r="S90" s="31"/>
      <c r="T90" s="30"/>
      <c r="U90" s="30"/>
      <c r="V90" s="29" t="n">
        <v>-0.005</v>
      </c>
      <c r="W90" s="29" t="str">
        <f aca="false">IF(N(Q90)=0,"",Q90+IF(I90="yes",Q90*Inputs!$B$10*Inputs!$B$9,0)+V90)</f>
        <v/>
      </c>
      <c r="X90" s="28" t="str">
        <f aca="false">IF(OR(N(W90)&lt;=0,N(N90)=0,N(L90)=0),"",MIN(L90,N90/W90))</f>
        <v/>
      </c>
      <c r="Y90" s="29" t="str">
        <f aca="false">IF(OR(X90="",N(O90)=0),"",X90/O90-1)</f>
        <v/>
      </c>
      <c r="Z90" s="29" t="str">
        <f aca="false">IF(OR(Y90="",N(O90)=0),"",Y90+N90/O90)</f>
        <v/>
      </c>
      <c r="AA90" s="32" t="str">
        <f aca="false">IF(OR(Z90="",N(U90)=0),"",Z90-U90)</f>
        <v/>
      </c>
      <c r="AB90" s="29" t="str">
        <f aca="false">IF(N(Q90)=0,"",Q90+IF(I90="yes",Q90*Inputs!$B$10*Inputs!$B$9,0)+IFERROR(INDEX(Inputs!$B$13:$B$15,MATCH(G90,Inputs!$A$13:$A$15,0)),0)+IFERROR(INDEX(Inputs!$B$18:$B$24,MATCH(H90,Inputs!$A$18:$A$24,0)),0))</f>
        <v/>
      </c>
      <c r="AC90" s="28" t="str">
        <f aca="false">IF(OR(N(AB90)&lt;=0,N(N90)=0,N(L90)=0),"",MIN(L90,N90/AB90))</f>
        <v/>
      </c>
      <c r="AD90" s="29" t="str">
        <f aca="false">IF(OR(AC90="",N(O90)=0),"",AC90/O90-1)</f>
        <v/>
      </c>
      <c r="AE90" s="29" t="str">
        <f aca="false">IF(OR(AD90="",N(O90)=0),"",AD90+N90/O90)</f>
        <v/>
      </c>
      <c r="AF90" s="32" t="str">
        <f aca="false">IF(OR(AE90="",N(Z90)=0),"",AE90-Z90)</f>
        <v/>
      </c>
      <c r="AG90" s="28" t="n">
        <f aca="false">IF(AND(N(M90)&gt;0,N(L90)&gt;0),M90*L90,N90)</f>
        <v>1.55</v>
      </c>
      <c r="AH90" s="28" t="str">
        <f aca="false">IF(OR(N(AB90)&lt;=0,N(AG90)=0,N(L90)=0),"",MIN(L90,AG90/AB90))</f>
        <v/>
      </c>
      <c r="AI90" s="29" t="str">
        <f aca="false">IF(OR(AH90="",N(O90)=0),"",AH90/O90-1)</f>
        <v/>
      </c>
      <c r="AJ90" s="29" t="str">
        <f aca="false">IF(OR(AI90="",N(O90)=0),"",AI90+AG90/O90)</f>
        <v/>
      </c>
      <c r="AK90" s="32" t="str">
        <f aca="false">IF(OR(AJ90="",N(AE90)=0),"",AJ90-AE90)</f>
        <v/>
      </c>
      <c r="AL90" s="33" t="n">
        <f aca="false">IF(N(F90)=0,"",INDEX(Inputs!$B$28:$B$32,IFERROR(MATCH(F90,Inputs!$A$28:$A$32,1),0)+1))</f>
        <v>0.08</v>
      </c>
      <c r="AM90" s="34"/>
      <c r="AN90" s="33" t="n">
        <f aca="false">IF(N(AM90)&gt;0,AM90,AL90)</f>
        <v>0.08</v>
      </c>
      <c r="AO90" s="29" t="n">
        <f aca="false">IF(N(AN90)=0,"",AN90+IF(I90="yes",AN90*Inputs!$B$10*Inputs!$B$9,0)+IFERROR(INDEX(Inputs!$B$13:$B$15,MATCH(G90,Inputs!$A$13:$A$15,0)),0)+IFERROR(INDEX(Inputs!$B$18:$B$24,MATCH(H90,Inputs!$A$18:$A$24,0)),0))</f>
        <v>0.075</v>
      </c>
      <c r="AP90" s="28" t="n">
        <f aca="false">IF(OR(N(AO90)&lt;=0,N(AG90)=0,N(L90)=0),"",MIN(L90,AG90/AO90))</f>
        <v>20.6666666666667</v>
      </c>
      <c r="AQ90" s="29" t="n">
        <f aca="false">IF(OR(AP90="",N(O90)=0),"",AP90/O90-1)</f>
        <v>-0.204822367577273</v>
      </c>
      <c r="AR90" s="29" t="n">
        <f aca="false">IF(OR(AQ90="",N(O90)=0),"",AQ90+AG90/O90)</f>
        <v>-0.145184045145569</v>
      </c>
      <c r="AS90" s="32" t="str">
        <f aca="false">IF(OR(AR90="",N(AJ90)=0),"",AR90-AJ90)</f>
        <v/>
      </c>
      <c r="AT90" s="28" t="n">
        <v>25</v>
      </c>
      <c r="AU90" s="28" t="n">
        <v>1.55</v>
      </c>
      <c r="AV90" s="28" t="n">
        <f aca="false">IF(N(AT90)&gt;0,AT90,L90)</f>
        <v>25</v>
      </c>
      <c r="AW90" s="28" t="n">
        <f aca="false">IF(AND(N(M90)&gt;0,N(AV90)&gt;0),M90*AV90,IF(N(AU90)&gt;0,AU90,N90))</f>
        <v>1.55</v>
      </c>
      <c r="AX90" s="29" t="n">
        <f aca="false">IF(N(AN90)=0,"",AN90+IF(I90="yes",AN90*Inputs!$B$10*Inputs!$B$9,0)+IFERROR(INDEX(Inputs!$B$13:$B$15,MATCH(G90,Inputs!$A$13:$A$15,0)),0)+IFERROR(INDEX(Inputs!$B$18:$B$24,MATCH(H90,Inputs!$A$18:$A$24,0)),0))</f>
        <v>0.075</v>
      </c>
      <c r="AY90" s="28" t="n">
        <f aca="false">IF(OR(N(AX90)&lt;=0,N(AW90)=0,N(AV90)=0),"",MIN(AV90,AW90/AX90))</f>
        <v>20.6666666666667</v>
      </c>
      <c r="AZ90" s="29" t="n">
        <f aca="false">IF(OR(AY90="",N(O90)=0),"",AY90/O90-1)</f>
        <v>-0.204822367577273</v>
      </c>
      <c r="BA90" s="29" t="n">
        <f aca="false">IF(OR(AZ90="",N(O90)=0),"",AZ90+AW90/O90)</f>
        <v>-0.145184045145569</v>
      </c>
      <c r="BB90" s="32" t="n">
        <f aca="false">IF(OR(BA90="",N(AR90)=0),"",BA90-AR90)</f>
        <v>0</v>
      </c>
      <c r="BC90" s="35" t="str">
        <f aca="false">IF(OR(BA90="",N(U90)=0),"",BA90-U90)</f>
        <v/>
      </c>
      <c r="BD90" s="36" t="s">
        <v>231</v>
      </c>
    </row>
    <row r="91" customFormat="false" ht="15" hidden="false" customHeight="false" outlineLevel="0" collapsed="false">
      <c r="A91" s="2" t="s">
        <v>140</v>
      </c>
      <c r="B91" s="2" t="n">
        <v>166</v>
      </c>
      <c r="C91" s="2" t="s">
        <v>295</v>
      </c>
      <c r="D91" s="2" t="s">
        <v>292</v>
      </c>
      <c r="E91" s="2" t="s">
        <v>293</v>
      </c>
      <c r="F91" s="27" t="n">
        <v>6200</v>
      </c>
      <c r="G91" s="2" t="s">
        <v>51</v>
      </c>
      <c r="H91" s="2" t="s">
        <v>64</v>
      </c>
      <c r="I91" s="2" t="s">
        <v>144</v>
      </c>
      <c r="J91" s="2" t="s">
        <v>145</v>
      </c>
      <c r="K91" s="2" t="n">
        <v>4</v>
      </c>
      <c r="L91" s="28" t="n">
        <v>50</v>
      </c>
      <c r="M91" s="29" t="n">
        <v>0.0775</v>
      </c>
      <c r="N91" s="28" t="n">
        <v>3.875</v>
      </c>
      <c r="O91" s="28" t="n">
        <v>0</v>
      </c>
      <c r="P91" s="2" t="s">
        <v>146</v>
      </c>
      <c r="Q91" s="29"/>
      <c r="R91" s="30"/>
      <c r="S91" s="31"/>
      <c r="T91" s="30"/>
      <c r="U91" s="30"/>
      <c r="V91" s="29" t="n">
        <v>0</v>
      </c>
      <c r="W91" s="29" t="str">
        <f aca="false">IF(N(Q91)=0,"",Q91+IF(I91="yes",Q91*Inputs!$B$10*Inputs!$B$9,0)+V91)</f>
        <v/>
      </c>
      <c r="X91" s="28" t="str">
        <f aca="false">IF(OR(N(W91)&lt;=0,N(N91)=0,N(L91)=0),"",MIN(L91,N91/W91))</f>
        <v/>
      </c>
      <c r="Y91" s="29" t="str">
        <f aca="false">IF(OR(X91="",N(O91)=0),"",X91/O91-1)</f>
        <v/>
      </c>
      <c r="Z91" s="29" t="str">
        <f aca="false">IF(OR(Y91="",N(O91)=0),"",Y91+N91/O91)</f>
        <v/>
      </c>
      <c r="AA91" s="32" t="str">
        <f aca="false">IF(OR(Z91="",N(U91)=0),"",Z91-U91)</f>
        <v/>
      </c>
      <c r="AB91" s="29" t="str">
        <f aca="false">IF(N(Q91)=0,"",Q91+IF(I91="yes",Q91*Inputs!$B$10*Inputs!$B$9,0)+IFERROR(INDEX(Inputs!$B$13:$B$15,MATCH(G91,Inputs!$A$13:$A$15,0)),0)+IFERROR(INDEX(Inputs!$B$18:$B$24,MATCH(H91,Inputs!$A$18:$A$24,0)),0))</f>
        <v/>
      </c>
      <c r="AC91" s="28" t="str">
        <f aca="false">IF(OR(N(AB91)&lt;=0,N(N91)=0,N(L91)=0),"",MIN(L91,N91/AB91))</f>
        <v/>
      </c>
      <c r="AD91" s="29" t="str">
        <f aca="false">IF(OR(AC91="",N(O91)=0),"",AC91/O91-1)</f>
        <v/>
      </c>
      <c r="AE91" s="29" t="str">
        <f aca="false">IF(OR(AD91="",N(O91)=0),"",AD91+N91/O91)</f>
        <v/>
      </c>
      <c r="AF91" s="32" t="str">
        <f aca="false">IF(OR(AE91="",N(Z91)=0),"",AE91-Z91)</f>
        <v/>
      </c>
      <c r="AG91" s="28" t="n">
        <f aca="false">IF(AND(N(M91)&gt;0,N(L91)&gt;0),M91*L91,N91)</f>
        <v>3.875</v>
      </c>
      <c r="AH91" s="28" t="str">
        <f aca="false">IF(OR(N(AB91)&lt;=0,N(AG91)=0,N(L91)=0),"",MIN(L91,AG91/AB91))</f>
        <v/>
      </c>
      <c r="AI91" s="29" t="str">
        <f aca="false">IF(OR(AH91="",N(O91)=0),"",AH91/O91-1)</f>
        <v/>
      </c>
      <c r="AJ91" s="29" t="str">
        <f aca="false">IF(OR(AI91="",N(O91)=0),"",AI91+AG91/O91)</f>
        <v/>
      </c>
      <c r="AK91" s="32" t="str">
        <f aca="false">IF(OR(AJ91="",N(AE91)=0),"",AJ91-AE91)</f>
        <v/>
      </c>
      <c r="AL91" s="33" t="n">
        <f aca="false">IF(N(F91)=0,"",INDEX(Inputs!$B$28:$B$32,IFERROR(MATCH(F91,Inputs!$A$28:$A$32,1),0)+1))</f>
        <v>0.08</v>
      </c>
      <c r="AM91" s="34"/>
      <c r="AN91" s="33" t="n">
        <f aca="false">IF(N(AM91)&gt;0,AM91,AL91)</f>
        <v>0.08</v>
      </c>
      <c r="AO91" s="29" t="n">
        <f aca="false">IF(N(AN91)=0,"",AN91+IF(I91="yes",AN91*Inputs!$B$10*Inputs!$B$9,0)+IFERROR(INDEX(Inputs!$B$13:$B$15,MATCH(G91,Inputs!$A$13:$A$15,0)),0)+IFERROR(INDEX(Inputs!$B$18:$B$24,MATCH(H91,Inputs!$A$18:$A$24,0)),0))</f>
        <v>0.08</v>
      </c>
      <c r="AP91" s="28" t="n">
        <f aca="false">IF(OR(N(AO91)&lt;=0,N(AG91)=0,N(L91)=0),"",MIN(L91,AG91/AO91))</f>
        <v>48.4375</v>
      </c>
      <c r="AQ91" s="29" t="str">
        <f aca="false">IF(OR(AP91="",N(O91)=0),"",AP91/O91-1)</f>
        <v/>
      </c>
      <c r="AR91" s="29" t="str">
        <f aca="false">IF(OR(AQ91="",N(O91)=0),"",AQ91+AG91/O91)</f>
        <v/>
      </c>
      <c r="AS91" s="32" t="str">
        <f aca="false">IF(OR(AR91="",N(AJ91)=0),"",AR91-AJ91)</f>
        <v/>
      </c>
      <c r="AT91" s="28"/>
      <c r="AU91" s="28"/>
      <c r="AV91" s="28" t="n">
        <f aca="false">IF(N(AT91)&gt;0,AT91,L91)</f>
        <v>50</v>
      </c>
      <c r="AW91" s="28" t="n">
        <f aca="false">IF(AND(N(M91)&gt;0,N(AV91)&gt;0),M91*AV91,IF(N(AU91)&gt;0,AU91,N91))</f>
        <v>3.875</v>
      </c>
      <c r="AX91" s="29" t="n">
        <f aca="false">IF(N(AN91)=0,"",AN91+IF(I91="yes",AN91*Inputs!$B$10*Inputs!$B$9,0)+IFERROR(INDEX(Inputs!$B$13:$B$15,MATCH(G91,Inputs!$A$13:$A$15,0)),0)+IFERROR(INDEX(Inputs!$B$18:$B$24,MATCH(H91,Inputs!$A$18:$A$24,0)),0))</f>
        <v>0.08</v>
      </c>
      <c r="AY91" s="28" t="n">
        <f aca="false">IF(OR(N(AX91)&lt;=0,N(AW91)=0,N(AV91)=0),"",MIN(AV91,AW91/AX91))</f>
        <v>48.4375</v>
      </c>
      <c r="AZ91" s="29" t="str">
        <f aca="false">IF(OR(AY91="",N(O91)=0),"",AY91/O91-1)</f>
        <v/>
      </c>
      <c r="BA91" s="29" t="str">
        <f aca="false">IF(OR(AZ91="",N(O91)=0),"",AZ91+AW91/O91)</f>
        <v/>
      </c>
      <c r="BB91" s="32" t="str">
        <f aca="false">IF(OR(BA91="",N(AR91)=0),"",BA91-AR91)</f>
        <v/>
      </c>
      <c r="BC91" s="35" t="str">
        <f aca="false">IF(OR(BA91="",N(U91)=0),"",BA91-U91)</f>
        <v/>
      </c>
      <c r="BD91" s="36" t="s">
        <v>147</v>
      </c>
    </row>
    <row r="92" customFormat="false" ht="15" hidden="false" customHeight="false" outlineLevel="0" collapsed="false">
      <c r="A92" s="2" t="s">
        <v>140</v>
      </c>
      <c r="B92" s="2" t="n">
        <v>169</v>
      </c>
      <c r="C92" s="2" t="s">
        <v>296</v>
      </c>
      <c r="D92" s="2" t="s">
        <v>297</v>
      </c>
      <c r="E92" s="2" t="s">
        <v>298</v>
      </c>
      <c r="F92" s="27" t="n">
        <v>43</v>
      </c>
      <c r="G92" s="2" t="s">
        <v>52</v>
      </c>
      <c r="H92" s="2" t="s">
        <v>58</v>
      </c>
      <c r="I92" s="2" t="s">
        <v>144</v>
      </c>
      <c r="J92" s="2" t="s">
        <v>145</v>
      </c>
      <c r="K92" s="2" t="n">
        <v>4</v>
      </c>
      <c r="L92" s="28" t="n">
        <v>25</v>
      </c>
      <c r="M92" s="29" t="n">
        <v>0.0875</v>
      </c>
      <c r="N92" s="28" t="n">
        <v>2.1875</v>
      </c>
      <c r="O92" s="28" t="n">
        <v>0</v>
      </c>
      <c r="P92" s="2" t="s">
        <v>146</v>
      </c>
      <c r="Q92" s="29" t="n">
        <v>0.1</v>
      </c>
      <c r="R92" s="30" t="n">
        <v>0.095</v>
      </c>
      <c r="S92" s="31" t="n">
        <v>23.0263157894737</v>
      </c>
      <c r="T92" s="30"/>
      <c r="U92" s="30"/>
      <c r="V92" s="29" t="n">
        <v>-0.005</v>
      </c>
      <c r="W92" s="29" t="n">
        <f aca="false">IF(N(Q92)=0,"",Q92+IF(I92="yes",Q92*Inputs!$B$10*Inputs!$B$9,0)+V92)</f>
        <v>0.095</v>
      </c>
      <c r="X92" s="28" t="n">
        <f aca="false">IF(OR(N(W92)&lt;=0,N(N92)=0,N(L92)=0),"",MIN(L92,N92/W92))</f>
        <v>23.0263157894737</v>
      </c>
      <c r="Y92" s="29" t="str">
        <f aca="false">IF(OR(X92="",N(O92)=0),"",X92/O92-1)</f>
        <v/>
      </c>
      <c r="Z92" s="29" t="str">
        <f aca="false">IF(OR(Y92="",N(O92)=0),"",Y92+N92/O92)</f>
        <v/>
      </c>
      <c r="AA92" s="32" t="str">
        <f aca="false">IF(OR(Z92="",N(U92)=0),"",Z92-U92)</f>
        <v/>
      </c>
      <c r="AB92" s="29" t="n">
        <f aca="false">IF(N(Q92)=0,"",Q92+IF(I92="yes",Q92*Inputs!$B$10*Inputs!$B$9,0)+IFERROR(INDEX(Inputs!$B$13:$B$15,MATCH(G92,Inputs!$A$13:$A$15,0)),0)+IFERROR(INDEX(Inputs!$B$18:$B$24,MATCH(H92,Inputs!$A$18:$A$24,0)),0))</f>
        <v>0.095</v>
      </c>
      <c r="AC92" s="28" t="n">
        <f aca="false">IF(OR(N(AB92)&lt;=0,N(N92)=0,N(L92)=0),"",MIN(L92,N92/AB92))</f>
        <v>23.0263157894737</v>
      </c>
      <c r="AD92" s="29" t="str">
        <f aca="false">IF(OR(AC92="",N(O92)=0),"",AC92/O92-1)</f>
        <v/>
      </c>
      <c r="AE92" s="29" t="str">
        <f aca="false">IF(OR(AD92="",N(O92)=0),"",AD92+N92/O92)</f>
        <v/>
      </c>
      <c r="AF92" s="32" t="str">
        <f aca="false">IF(OR(AE92="",N(Z92)=0),"",AE92-Z92)</f>
        <v/>
      </c>
      <c r="AG92" s="28" t="n">
        <f aca="false">IF(AND(N(M92)&gt;0,N(L92)&gt;0),M92*L92,N92)</f>
        <v>2.1875</v>
      </c>
      <c r="AH92" s="28" t="n">
        <f aca="false">IF(OR(N(AB92)&lt;=0,N(AG92)=0,N(L92)=0),"",MIN(L92,AG92/AB92))</f>
        <v>23.0263157894737</v>
      </c>
      <c r="AI92" s="29" t="str">
        <f aca="false">IF(OR(AH92="",N(O92)=0),"",AH92/O92-1)</f>
        <v/>
      </c>
      <c r="AJ92" s="29" t="str">
        <f aca="false">IF(OR(AI92="",N(O92)=0),"",AI92+AG92/O92)</f>
        <v/>
      </c>
      <c r="AK92" s="32" t="str">
        <f aca="false">IF(OR(AJ92="",N(AE92)=0),"",AJ92-AE92)</f>
        <v/>
      </c>
      <c r="AL92" s="33" t="n">
        <f aca="false">IF(N(F92)=0,"",INDEX(Inputs!$B$28:$B$32,IFERROR(MATCH(F92,Inputs!$A$28:$A$32,1),0)+1))</f>
        <v>0.1</v>
      </c>
      <c r="AM92" s="34"/>
      <c r="AN92" s="33" t="n">
        <f aca="false">IF(N(AM92)&gt;0,AM92,AL92)</f>
        <v>0.1</v>
      </c>
      <c r="AO92" s="29" t="n">
        <f aca="false">IF(N(AN92)=0,"",AN92+IF(I92="yes",AN92*Inputs!$B$10*Inputs!$B$9,0)+IFERROR(INDEX(Inputs!$B$13:$B$15,MATCH(G92,Inputs!$A$13:$A$15,0)),0)+IFERROR(INDEX(Inputs!$B$18:$B$24,MATCH(H92,Inputs!$A$18:$A$24,0)),0))</f>
        <v>0.095</v>
      </c>
      <c r="AP92" s="28" t="n">
        <f aca="false">IF(OR(N(AO92)&lt;=0,N(AG92)=0,N(L92)=0),"",MIN(L92,AG92/AO92))</f>
        <v>23.0263157894737</v>
      </c>
      <c r="AQ92" s="29" t="str">
        <f aca="false">IF(OR(AP92="",N(O92)=0),"",AP92/O92-1)</f>
        <v/>
      </c>
      <c r="AR92" s="29" t="str">
        <f aca="false">IF(OR(AQ92="",N(O92)=0),"",AQ92+AG92/O92)</f>
        <v/>
      </c>
      <c r="AS92" s="32" t="str">
        <f aca="false">IF(OR(AR92="",N(AJ92)=0),"",AR92-AJ92)</f>
        <v/>
      </c>
      <c r="AT92" s="28" t="n">
        <v>25</v>
      </c>
      <c r="AU92" s="28" t="n">
        <v>2.1875</v>
      </c>
      <c r="AV92" s="28" t="n">
        <f aca="false">IF(N(AT92)&gt;0,AT92,L92)</f>
        <v>25</v>
      </c>
      <c r="AW92" s="28" t="n">
        <f aca="false">IF(AND(N(M92)&gt;0,N(AV92)&gt;0),M92*AV92,IF(N(AU92)&gt;0,AU92,N92))</f>
        <v>2.1875</v>
      </c>
      <c r="AX92" s="29" t="n">
        <f aca="false">IF(N(AN92)=0,"",AN92+IF(I92="yes",AN92*Inputs!$B$10*Inputs!$B$9,0)+IFERROR(INDEX(Inputs!$B$13:$B$15,MATCH(G92,Inputs!$A$13:$A$15,0)),0)+IFERROR(INDEX(Inputs!$B$18:$B$24,MATCH(H92,Inputs!$A$18:$A$24,0)),0))</f>
        <v>0.095</v>
      </c>
      <c r="AY92" s="28" t="n">
        <f aca="false">IF(OR(N(AX92)&lt;=0,N(AW92)=0,N(AV92)=0),"",MIN(AV92,AW92/AX92))</f>
        <v>23.0263157894737</v>
      </c>
      <c r="AZ92" s="29" t="str">
        <f aca="false">IF(OR(AY92="",N(O92)=0),"",AY92/O92-1)</f>
        <v/>
      </c>
      <c r="BA92" s="29" t="str">
        <f aca="false">IF(OR(AZ92="",N(O92)=0),"",AZ92+AW92/O92)</f>
        <v/>
      </c>
      <c r="BB92" s="32" t="str">
        <f aca="false">IF(OR(BA92="",N(AR92)=0),"",BA92-AR92)</f>
        <v/>
      </c>
      <c r="BC92" s="35" t="str">
        <f aca="false">IF(OR(BA92="",N(U92)=0),"",BA92-U92)</f>
        <v/>
      </c>
      <c r="BD92" s="36" t="s">
        <v>299</v>
      </c>
    </row>
    <row r="93" customFormat="false" ht="15" hidden="false" customHeight="false" outlineLevel="0" collapsed="false">
      <c r="A93" s="2" t="s">
        <v>140</v>
      </c>
      <c r="B93" s="2" t="n">
        <v>173</v>
      </c>
      <c r="C93" s="2" t="s">
        <v>300</v>
      </c>
      <c r="D93" s="2" t="s">
        <v>301</v>
      </c>
      <c r="E93" s="2" t="s">
        <v>143</v>
      </c>
      <c r="F93" s="27"/>
      <c r="G93" s="2" t="s">
        <v>52</v>
      </c>
      <c r="H93" s="2" t="s">
        <v>58</v>
      </c>
      <c r="I93" s="2" t="s">
        <v>144</v>
      </c>
      <c r="J93" s="2" t="s">
        <v>145</v>
      </c>
      <c r="K93" s="2" t="n">
        <v>4</v>
      </c>
      <c r="L93" s="28" t="n">
        <v>25</v>
      </c>
      <c r="M93" s="29" t="n">
        <v>0.065</v>
      </c>
      <c r="N93" s="28" t="n">
        <v>1.625</v>
      </c>
      <c r="O93" s="28" t="n">
        <v>0</v>
      </c>
      <c r="P93" s="2" t="s">
        <v>146</v>
      </c>
      <c r="Q93" s="29" t="n">
        <v>0</v>
      </c>
      <c r="R93" s="30" t="n">
        <v>-0.0075</v>
      </c>
      <c r="S93" s="31" t="n">
        <v>-216.666666666667</v>
      </c>
      <c r="T93" s="30"/>
      <c r="U93" s="30"/>
      <c r="V93" s="29" t="n">
        <v>-0.0075</v>
      </c>
      <c r="W93" s="29" t="str">
        <f aca="false">IF(N(Q93)=0,"",Q93+IF(I93="yes",Q93*Inputs!$B$10*Inputs!$B$9,0)+V93)</f>
        <v/>
      </c>
      <c r="X93" s="28" t="str">
        <f aca="false">IF(OR(N(W93)&lt;=0,N(N93)=0,N(L93)=0),"",MIN(L93,N93/W93))</f>
        <v/>
      </c>
      <c r="Y93" s="29" t="str">
        <f aca="false">IF(OR(X93="",N(O93)=0),"",X93/O93-1)</f>
        <v/>
      </c>
      <c r="Z93" s="29" t="str">
        <f aca="false">IF(OR(Y93="",N(O93)=0),"",Y93+N93/O93)</f>
        <v/>
      </c>
      <c r="AA93" s="32" t="str">
        <f aca="false">IF(OR(Z93="",N(U93)=0),"",Z93-U93)</f>
        <v/>
      </c>
      <c r="AB93" s="29" t="str">
        <f aca="false">IF(N(Q93)=0,"",Q93+IF(I93="yes",Q93*Inputs!$B$10*Inputs!$B$9,0)+IFERROR(INDEX(Inputs!$B$13:$B$15,MATCH(G93,Inputs!$A$13:$A$15,0)),0)+IFERROR(INDEX(Inputs!$B$18:$B$24,MATCH(H93,Inputs!$A$18:$A$24,0)),0))</f>
        <v/>
      </c>
      <c r="AC93" s="28" t="str">
        <f aca="false">IF(OR(N(AB93)&lt;=0,N(N93)=0,N(L93)=0),"",MIN(L93,N93/AB93))</f>
        <v/>
      </c>
      <c r="AD93" s="29" t="str">
        <f aca="false">IF(OR(AC93="",N(O93)=0),"",AC93/O93-1)</f>
        <v/>
      </c>
      <c r="AE93" s="29" t="str">
        <f aca="false">IF(OR(AD93="",N(O93)=0),"",AD93+N93/O93)</f>
        <v/>
      </c>
      <c r="AF93" s="32" t="str">
        <f aca="false">IF(OR(AE93="",N(Z93)=0),"",AE93-Z93)</f>
        <v/>
      </c>
      <c r="AG93" s="28" t="n">
        <f aca="false">IF(AND(N(M93)&gt;0,N(L93)&gt;0),M93*L93,N93)</f>
        <v>1.625</v>
      </c>
      <c r="AH93" s="28" t="str">
        <f aca="false">IF(OR(N(AB93)&lt;=0,N(AG93)=0,N(L93)=0),"",MIN(L93,AG93/AB93))</f>
        <v/>
      </c>
      <c r="AI93" s="29" t="str">
        <f aca="false">IF(OR(AH93="",N(O93)=0),"",AH93/O93-1)</f>
        <v/>
      </c>
      <c r="AJ93" s="29" t="str">
        <f aca="false">IF(OR(AI93="",N(O93)=0),"",AI93+AG93/O93)</f>
        <v/>
      </c>
      <c r="AK93" s="32" t="str">
        <f aca="false">IF(OR(AJ93="",N(AE93)=0),"",AJ93-AE93)</f>
        <v/>
      </c>
      <c r="AL93" s="33" t="str">
        <f aca="false">IF(N(F93)=0,"",INDEX(Inputs!$B$28:$B$32,IFERROR(MATCH(F93,Inputs!$A$28:$A$32,1),0)+1))</f>
        <v/>
      </c>
      <c r="AM93" s="34"/>
      <c r="AN93" s="33" t="str">
        <f aca="false">IF(N(AM93)&gt;0,AM93,AL93)</f>
        <v/>
      </c>
      <c r="AO93" s="29" t="str">
        <f aca="false">IF(N(AN93)=0,"",AN93+IF(I93="yes",AN93*Inputs!$B$10*Inputs!$B$9,0)+IFERROR(INDEX(Inputs!$B$13:$B$15,MATCH(G93,Inputs!$A$13:$A$15,0)),0)+IFERROR(INDEX(Inputs!$B$18:$B$24,MATCH(H93,Inputs!$A$18:$A$24,0)),0))</f>
        <v/>
      </c>
      <c r="AP93" s="28" t="str">
        <f aca="false">IF(OR(N(AO93)&lt;=0,N(AG93)=0,N(L93)=0),"",MIN(L93,AG93/AO93))</f>
        <v/>
      </c>
      <c r="AQ93" s="29" t="str">
        <f aca="false">IF(OR(AP93="",N(O93)=0),"",AP93/O93-1)</f>
        <v/>
      </c>
      <c r="AR93" s="29" t="str">
        <f aca="false">IF(OR(AQ93="",N(O93)=0),"",AQ93+AG93/O93)</f>
        <v/>
      </c>
      <c r="AS93" s="32" t="str">
        <f aca="false">IF(OR(AR93="",N(AJ93)=0),"",AR93-AJ93)</f>
        <v/>
      </c>
      <c r="AT93" s="28" t="n">
        <v>25</v>
      </c>
      <c r="AU93" s="28" t="n">
        <v>1.63</v>
      </c>
      <c r="AV93" s="28" t="n">
        <f aca="false">IF(N(AT93)&gt;0,AT93,L93)</f>
        <v>25</v>
      </c>
      <c r="AW93" s="28" t="n">
        <f aca="false">IF(AND(N(M93)&gt;0,N(AV93)&gt;0),M93*AV93,IF(N(AU93)&gt;0,AU93,N93))</f>
        <v>1.625</v>
      </c>
      <c r="AX93" s="29" t="str">
        <f aca="false">IF(N(AN93)=0,"",AN93+IF(I93="yes",AN93*Inputs!$B$10*Inputs!$B$9,0)+IFERROR(INDEX(Inputs!$B$13:$B$15,MATCH(G93,Inputs!$A$13:$A$15,0)),0)+IFERROR(INDEX(Inputs!$B$18:$B$24,MATCH(H93,Inputs!$A$18:$A$24,0)),0))</f>
        <v/>
      </c>
      <c r="AY93" s="28" t="str">
        <f aca="false">IF(OR(N(AX93)&lt;=0,N(AW93)=0,N(AV93)=0),"",MIN(AV93,AW93/AX93))</f>
        <v/>
      </c>
      <c r="AZ93" s="29" t="str">
        <f aca="false">IF(OR(AY93="",N(O93)=0),"",AY93/O93-1)</f>
        <v/>
      </c>
      <c r="BA93" s="29" t="str">
        <f aca="false">IF(OR(AZ93="",N(O93)=0),"",AZ93+AW93/O93)</f>
        <v/>
      </c>
      <c r="BB93" s="32" t="str">
        <f aca="false">IF(OR(BA93="",N(AR93)=0),"",BA93-AR93)</f>
        <v/>
      </c>
      <c r="BC93" s="35" t="str">
        <f aca="false">IF(OR(BA93="",N(U93)=0),"",BA93-U93)</f>
        <v/>
      </c>
      <c r="BD93" s="36" t="s">
        <v>302</v>
      </c>
    </row>
    <row r="94" customFormat="false" ht="15" hidden="false" customHeight="false" outlineLevel="0" collapsed="false">
      <c r="A94" s="2" t="s">
        <v>140</v>
      </c>
      <c r="B94" s="2" t="n">
        <v>177</v>
      </c>
      <c r="C94" s="2" t="s">
        <v>303</v>
      </c>
      <c r="D94" s="2" t="s">
        <v>304</v>
      </c>
      <c r="E94" s="2" t="s">
        <v>305</v>
      </c>
      <c r="F94" s="27" t="n">
        <v>2300</v>
      </c>
      <c r="G94" s="2" t="s">
        <v>51</v>
      </c>
      <c r="H94" s="2" t="s">
        <v>58</v>
      </c>
      <c r="I94" s="2" t="s">
        <v>144</v>
      </c>
      <c r="J94" s="2" t="s">
        <v>168</v>
      </c>
      <c r="K94" s="2" t="n">
        <v>12</v>
      </c>
      <c r="L94" s="28" t="n">
        <v>25</v>
      </c>
      <c r="M94" s="29" t="n">
        <v>0.07</v>
      </c>
      <c r="N94" s="28" t="n">
        <v>1.75</v>
      </c>
      <c r="O94" s="28" t="n">
        <v>20.89</v>
      </c>
      <c r="P94" s="2" t="s">
        <v>146</v>
      </c>
      <c r="Q94" s="29" t="n">
        <v>0.085</v>
      </c>
      <c r="R94" s="30" t="n">
        <v>0.085</v>
      </c>
      <c r="S94" s="31" t="n">
        <v>20.5882352941177</v>
      </c>
      <c r="T94" s="30" t="n">
        <v>-0.0144454143553064</v>
      </c>
      <c r="U94" s="30" t="n">
        <v>0.0693267254244925</v>
      </c>
      <c r="V94" s="29" t="n">
        <v>0</v>
      </c>
      <c r="W94" s="29" t="n">
        <f aca="false">IF(N(Q94)=0,"",Q94+IF(I94="yes",Q94*Inputs!$B$10*Inputs!$B$9,0)+V94)</f>
        <v>0.085</v>
      </c>
      <c r="X94" s="28" t="n">
        <f aca="false">IF(OR(N(W94)&lt;=0,N(N94)=0,N(L94)=0),"",MIN(L94,N94/W94))</f>
        <v>20.5882352941176</v>
      </c>
      <c r="Y94" s="29" t="n">
        <f aca="false">IF(OR(X94="",N(O94)=0),"",X94/O94-1)</f>
        <v>-0.0144454143553067</v>
      </c>
      <c r="Z94" s="29" t="n">
        <f aca="false">IF(OR(Y94="",N(O94)=0),"",Y94+N94/O94)</f>
        <v>0.0693267254244923</v>
      </c>
      <c r="AA94" s="32" t="n">
        <f aca="false">IF(OR(Z94="",N(U94)=0),"",Z94-U94)</f>
        <v>0</v>
      </c>
      <c r="AB94" s="29" t="n">
        <f aca="false">IF(N(Q94)=0,"",Q94+IF(I94="yes",Q94*Inputs!$B$10*Inputs!$B$9,0)+IFERROR(INDEX(Inputs!$B$13:$B$15,MATCH(G94,Inputs!$A$13:$A$15,0)),0)+IFERROR(INDEX(Inputs!$B$18:$B$24,MATCH(H94,Inputs!$A$18:$A$24,0)),0))</f>
        <v>0.085</v>
      </c>
      <c r="AC94" s="28" t="n">
        <f aca="false">IF(OR(N(AB94)&lt;=0,N(N94)=0,N(L94)=0),"",MIN(L94,N94/AB94))</f>
        <v>20.5882352941176</v>
      </c>
      <c r="AD94" s="29" t="n">
        <f aca="false">IF(OR(AC94="",N(O94)=0),"",AC94/O94-1)</f>
        <v>-0.0144454143553067</v>
      </c>
      <c r="AE94" s="29" t="n">
        <f aca="false">IF(OR(AD94="",N(O94)=0),"",AD94+N94/O94)</f>
        <v>0.0693267254244923</v>
      </c>
      <c r="AF94" s="32" t="n">
        <f aca="false">IF(OR(AE94="",N(Z94)=0),"",AE94-Z94)</f>
        <v>0</v>
      </c>
      <c r="AG94" s="28" t="n">
        <f aca="false">IF(AND(N(M94)&gt;0,N(L94)&gt;0),M94*L94,N94)</f>
        <v>1.75</v>
      </c>
      <c r="AH94" s="28" t="n">
        <f aca="false">IF(OR(N(AB94)&lt;=0,N(AG94)=0,N(L94)=0),"",MIN(L94,AG94/AB94))</f>
        <v>20.5882352941177</v>
      </c>
      <c r="AI94" s="29" t="n">
        <f aca="false">IF(OR(AH94="",N(O94)=0),"",AH94/O94-1)</f>
        <v>-0.0144454143553064</v>
      </c>
      <c r="AJ94" s="29" t="n">
        <f aca="false">IF(OR(AI94="",N(O94)=0),"",AI94+AG94/O94)</f>
        <v>0.0693267254244925</v>
      </c>
      <c r="AK94" s="32" t="n">
        <f aca="false">IF(OR(AJ94="",N(AE94)=0),"",AJ94-AE94)</f>
        <v>0</v>
      </c>
      <c r="AL94" s="33" t="n">
        <f aca="false">IF(N(F94)=0,"",INDEX(Inputs!$B$28:$B$32,IFERROR(MATCH(F94,Inputs!$A$28:$A$32,1),0)+1))</f>
        <v>0.085</v>
      </c>
      <c r="AM94" s="34"/>
      <c r="AN94" s="33" t="n">
        <f aca="false">IF(N(AM94)&gt;0,AM94,AL94)</f>
        <v>0.085</v>
      </c>
      <c r="AO94" s="29" t="n">
        <f aca="false">IF(N(AN94)=0,"",AN94+IF(I94="yes",AN94*Inputs!$B$10*Inputs!$B$9,0)+IFERROR(INDEX(Inputs!$B$13:$B$15,MATCH(G94,Inputs!$A$13:$A$15,0)),0)+IFERROR(INDEX(Inputs!$B$18:$B$24,MATCH(H94,Inputs!$A$18:$A$24,0)),0))</f>
        <v>0.085</v>
      </c>
      <c r="AP94" s="28" t="n">
        <f aca="false">IF(OR(N(AO94)&lt;=0,N(AG94)=0,N(L94)=0),"",MIN(L94,AG94/AO94))</f>
        <v>20.5882352941177</v>
      </c>
      <c r="AQ94" s="29" t="n">
        <f aca="false">IF(OR(AP94="",N(O94)=0),"",AP94/O94-1)</f>
        <v>-0.0144454143553064</v>
      </c>
      <c r="AR94" s="29" t="n">
        <f aca="false">IF(OR(AQ94="",N(O94)=0),"",AQ94+AG94/O94)</f>
        <v>0.0693267254244925</v>
      </c>
      <c r="AS94" s="32" t="n">
        <f aca="false">IF(OR(AR94="",N(AJ94)=0),"",AR94-AJ94)</f>
        <v>0</v>
      </c>
      <c r="AT94" s="28" t="n">
        <v>25</v>
      </c>
      <c r="AU94" s="28" t="n">
        <v>1.75</v>
      </c>
      <c r="AV94" s="28" t="n">
        <f aca="false">IF(N(AT94)&gt;0,AT94,L94)</f>
        <v>25</v>
      </c>
      <c r="AW94" s="28" t="n">
        <f aca="false">IF(AND(N(M94)&gt;0,N(AV94)&gt;0),M94*AV94,IF(N(AU94)&gt;0,AU94,N94))</f>
        <v>1.75</v>
      </c>
      <c r="AX94" s="29" t="n">
        <f aca="false">IF(N(AN94)=0,"",AN94+IF(I94="yes",AN94*Inputs!$B$10*Inputs!$B$9,0)+IFERROR(INDEX(Inputs!$B$13:$B$15,MATCH(G94,Inputs!$A$13:$A$15,0)),0)+IFERROR(INDEX(Inputs!$B$18:$B$24,MATCH(H94,Inputs!$A$18:$A$24,0)),0))</f>
        <v>0.085</v>
      </c>
      <c r="AY94" s="28" t="n">
        <f aca="false">IF(OR(N(AX94)&lt;=0,N(AW94)=0,N(AV94)=0),"",MIN(AV94,AW94/AX94))</f>
        <v>20.5882352941177</v>
      </c>
      <c r="AZ94" s="29" t="n">
        <f aca="false">IF(OR(AY94="",N(O94)=0),"",AY94/O94-1)</f>
        <v>-0.0144454143553064</v>
      </c>
      <c r="BA94" s="29" t="n">
        <f aca="false">IF(OR(AZ94="",N(O94)=0),"",AZ94+AW94/O94)</f>
        <v>0.0693267254244925</v>
      </c>
      <c r="BB94" s="32" t="n">
        <f aca="false">IF(OR(BA94="",N(AR94)=0),"",BA94-AR94)</f>
        <v>0</v>
      </c>
      <c r="BC94" s="35" t="n">
        <f aca="false">IF(OR(BA94="",N(U94)=0),"",BA94-U94)</f>
        <v>0</v>
      </c>
      <c r="BD94" s="37"/>
    </row>
    <row r="95" customFormat="false" ht="15" hidden="false" customHeight="false" outlineLevel="0" collapsed="false">
      <c r="A95" s="2" t="s">
        <v>140</v>
      </c>
      <c r="B95" s="2" t="n">
        <v>181</v>
      </c>
      <c r="C95" s="2" t="s">
        <v>306</v>
      </c>
      <c r="D95" s="2" t="s">
        <v>307</v>
      </c>
      <c r="E95" s="2" t="s">
        <v>308</v>
      </c>
      <c r="F95" s="27" t="n">
        <v>5800</v>
      </c>
      <c r="G95" s="2" t="s">
        <v>51</v>
      </c>
      <c r="H95" s="2" t="s">
        <v>58</v>
      </c>
      <c r="I95" s="2" t="s">
        <v>151</v>
      </c>
      <c r="J95" s="2" t="s">
        <v>145</v>
      </c>
      <c r="K95" s="2" t="n">
        <v>4</v>
      </c>
      <c r="L95" s="28" t="n">
        <v>25</v>
      </c>
      <c r="M95" s="29" t="n">
        <v>0.05875</v>
      </c>
      <c r="N95" s="28" t="n">
        <v>1.46875</v>
      </c>
      <c r="O95" s="28" t="n">
        <v>19.98</v>
      </c>
      <c r="P95" s="2" t="s">
        <v>146</v>
      </c>
      <c r="Q95" s="29" t="n">
        <v>0.08</v>
      </c>
      <c r="R95" s="30" t="n">
        <v>0.076</v>
      </c>
      <c r="S95" s="31" t="n">
        <v>19.3256578947368</v>
      </c>
      <c r="T95" s="30" t="n">
        <v>-0.0327498551182762</v>
      </c>
      <c r="U95" s="30" t="n">
        <v>0.0407611558927348</v>
      </c>
      <c r="V95" s="29" t="n">
        <v>0</v>
      </c>
      <c r="W95" s="29" t="n">
        <f aca="false">IF(N(Q95)=0,"",Q95+IF(I95="yes",Q95*Inputs!$B$10*Inputs!$B$9,0)+V95)</f>
        <v>0.076</v>
      </c>
      <c r="X95" s="28" t="n">
        <f aca="false">IF(OR(N(W95)&lt;=0,N(N95)=0,N(L95)=0),"",MIN(L95,N95/W95))</f>
        <v>19.3256578947368</v>
      </c>
      <c r="Y95" s="29" t="n">
        <f aca="false">IF(OR(X95="",N(O95)=0),"",X95/O95-1)</f>
        <v>-0.0327498551182762</v>
      </c>
      <c r="Z95" s="29" t="n">
        <f aca="false">IF(OR(Y95="",N(O95)=0),"",Y95+N95/O95)</f>
        <v>0.0407611558927348</v>
      </c>
      <c r="AA95" s="32" t="n">
        <f aca="false">IF(OR(Z95="",N(U95)=0),"",Z95-U95)</f>
        <v>0</v>
      </c>
      <c r="AB95" s="29" t="n">
        <f aca="false">IF(N(Q95)=0,"",Q95+IF(I95="yes",Q95*Inputs!$B$10*Inputs!$B$9,0)+IFERROR(INDEX(Inputs!$B$13:$B$15,MATCH(G95,Inputs!$A$13:$A$15,0)),0)+IFERROR(INDEX(Inputs!$B$18:$B$24,MATCH(H95,Inputs!$A$18:$A$24,0)),0))</f>
        <v>0.076</v>
      </c>
      <c r="AC95" s="28" t="n">
        <f aca="false">IF(OR(N(AB95)&lt;=0,N(N95)=0,N(L95)=0),"",MIN(L95,N95/AB95))</f>
        <v>19.3256578947368</v>
      </c>
      <c r="AD95" s="29" t="n">
        <f aca="false">IF(OR(AC95="",N(O95)=0),"",AC95/O95-1)</f>
        <v>-0.0327498551182762</v>
      </c>
      <c r="AE95" s="29" t="n">
        <f aca="false">IF(OR(AD95="",N(O95)=0),"",AD95+N95/O95)</f>
        <v>0.0407611558927348</v>
      </c>
      <c r="AF95" s="32" t="n">
        <f aca="false">IF(OR(AE95="",N(Z95)=0),"",AE95-Z95)</f>
        <v>0</v>
      </c>
      <c r="AG95" s="28" t="n">
        <f aca="false">IF(AND(N(M95)&gt;0,N(L95)&gt;0),M95*L95,N95)</f>
        <v>1.46875</v>
      </c>
      <c r="AH95" s="28" t="n">
        <f aca="false">IF(OR(N(AB95)&lt;=0,N(AG95)=0,N(L95)=0),"",MIN(L95,AG95/AB95))</f>
        <v>19.3256578947368</v>
      </c>
      <c r="AI95" s="29" t="n">
        <f aca="false">IF(OR(AH95="",N(O95)=0),"",AH95/O95-1)</f>
        <v>-0.0327498551182762</v>
      </c>
      <c r="AJ95" s="29" t="n">
        <f aca="false">IF(OR(AI95="",N(O95)=0),"",AI95+AG95/O95)</f>
        <v>0.0407611558927348</v>
      </c>
      <c r="AK95" s="32" t="n">
        <f aca="false">IF(OR(AJ95="",N(AE95)=0),"",AJ95-AE95)</f>
        <v>0</v>
      </c>
      <c r="AL95" s="33" t="n">
        <f aca="false">IF(N(F95)=0,"",INDEX(Inputs!$B$28:$B$32,IFERROR(MATCH(F95,Inputs!$A$28:$A$32,1),0)+1))</f>
        <v>0.08</v>
      </c>
      <c r="AM95" s="34"/>
      <c r="AN95" s="33" t="n">
        <f aca="false">IF(N(AM95)&gt;0,AM95,AL95)</f>
        <v>0.08</v>
      </c>
      <c r="AO95" s="29" t="n">
        <f aca="false">IF(N(AN95)=0,"",AN95+IF(I95="yes",AN95*Inputs!$B$10*Inputs!$B$9,0)+IFERROR(INDEX(Inputs!$B$13:$B$15,MATCH(G95,Inputs!$A$13:$A$15,0)),0)+IFERROR(INDEX(Inputs!$B$18:$B$24,MATCH(H95,Inputs!$A$18:$A$24,0)),0))</f>
        <v>0.076</v>
      </c>
      <c r="AP95" s="28" t="n">
        <f aca="false">IF(OR(N(AO95)&lt;=0,N(AG95)=0,N(L95)=0),"",MIN(L95,AG95/AO95))</f>
        <v>19.3256578947368</v>
      </c>
      <c r="AQ95" s="29" t="n">
        <f aca="false">IF(OR(AP95="",N(O95)=0),"",AP95/O95-1)</f>
        <v>-0.0327498551182762</v>
      </c>
      <c r="AR95" s="29" t="n">
        <f aca="false">IF(OR(AQ95="",N(O95)=0),"",AQ95+AG95/O95)</f>
        <v>0.0407611558927348</v>
      </c>
      <c r="AS95" s="32" t="n">
        <f aca="false">IF(OR(AR95="",N(AJ95)=0),"",AR95-AJ95)</f>
        <v>0</v>
      </c>
      <c r="AT95" s="28" t="n">
        <v>25</v>
      </c>
      <c r="AU95" s="28" t="n">
        <v>1.47</v>
      </c>
      <c r="AV95" s="28" t="n">
        <f aca="false">IF(N(AT95)&gt;0,AT95,L95)</f>
        <v>25</v>
      </c>
      <c r="AW95" s="28" t="n">
        <f aca="false">IF(AND(N(M95)&gt;0,N(AV95)&gt;0),M95*AV95,IF(N(AU95)&gt;0,AU95,N95))</f>
        <v>1.46875</v>
      </c>
      <c r="AX95" s="29" t="n">
        <f aca="false">IF(N(AN95)=0,"",AN95+IF(I95="yes",AN95*Inputs!$B$10*Inputs!$B$9,0)+IFERROR(INDEX(Inputs!$B$13:$B$15,MATCH(G95,Inputs!$A$13:$A$15,0)),0)+IFERROR(INDEX(Inputs!$B$18:$B$24,MATCH(H95,Inputs!$A$18:$A$24,0)),0))</f>
        <v>0.076</v>
      </c>
      <c r="AY95" s="28" t="n">
        <f aca="false">IF(OR(N(AX95)&lt;=0,N(AW95)=0,N(AV95)=0),"",MIN(AV95,AW95/AX95))</f>
        <v>19.3256578947368</v>
      </c>
      <c r="AZ95" s="29" t="n">
        <f aca="false">IF(OR(AY95="",N(O95)=0),"",AY95/O95-1)</f>
        <v>-0.0327498551182762</v>
      </c>
      <c r="BA95" s="29" t="n">
        <f aca="false">IF(OR(AZ95="",N(O95)=0),"",AZ95+AW95/O95)</f>
        <v>0.0407611558927348</v>
      </c>
      <c r="BB95" s="32" t="n">
        <f aca="false">IF(OR(BA95="",N(AR95)=0),"",BA95-AR95)</f>
        <v>0</v>
      </c>
      <c r="BC95" s="35" t="n">
        <f aca="false">IF(OR(BA95="",N(U95)=0),"",BA95-U95)</f>
        <v>0</v>
      </c>
      <c r="BD95" s="37"/>
    </row>
    <row r="96" customFormat="false" ht="15" hidden="false" customHeight="false" outlineLevel="0" collapsed="false">
      <c r="A96" s="2" t="s">
        <v>140</v>
      </c>
      <c r="B96" s="2" t="n">
        <v>182</v>
      </c>
      <c r="C96" s="2" t="s">
        <v>309</v>
      </c>
      <c r="D96" s="2" t="s">
        <v>307</v>
      </c>
      <c r="E96" s="2" t="s">
        <v>308</v>
      </c>
      <c r="F96" s="27" t="n">
        <v>5800</v>
      </c>
      <c r="G96" s="2" t="s">
        <v>51</v>
      </c>
      <c r="H96" s="2" t="s">
        <v>58</v>
      </c>
      <c r="I96" s="2" t="s">
        <v>151</v>
      </c>
      <c r="J96" s="2" t="s">
        <v>145</v>
      </c>
      <c r="K96" s="2" t="n">
        <v>4</v>
      </c>
      <c r="L96" s="28" t="n">
        <v>25</v>
      </c>
      <c r="M96" s="29" t="n">
        <v>0.05625</v>
      </c>
      <c r="N96" s="28" t="n">
        <v>1.40625</v>
      </c>
      <c r="O96" s="28" t="n">
        <v>19.25</v>
      </c>
      <c r="P96" s="2" t="s">
        <v>146</v>
      </c>
      <c r="Q96" s="29"/>
      <c r="R96" s="30"/>
      <c r="S96" s="31"/>
      <c r="T96" s="30"/>
      <c r="U96" s="30"/>
      <c r="V96" s="29" t="n">
        <v>0</v>
      </c>
      <c r="W96" s="29" t="str">
        <f aca="false">IF(N(Q96)=0,"",Q96+IF(I96="yes",Q96*Inputs!$B$10*Inputs!$B$9,0)+V96)</f>
        <v/>
      </c>
      <c r="X96" s="28" t="str">
        <f aca="false">IF(OR(N(W96)&lt;=0,N(N96)=0,N(L96)=0),"",MIN(L96,N96/W96))</f>
        <v/>
      </c>
      <c r="Y96" s="29" t="str">
        <f aca="false">IF(OR(X96="",N(O96)=0),"",X96/O96-1)</f>
        <v/>
      </c>
      <c r="Z96" s="29" t="str">
        <f aca="false">IF(OR(Y96="",N(O96)=0),"",Y96+N96/O96)</f>
        <v/>
      </c>
      <c r="AA96" s="32" t="str">
        <f aca="false">IF(OR(Z96="",N(U96)=0),"",Z96-U96)</f>
        <v/>
      </c>
      <c r="AB96" s="29" t="str">
        <f aca="false">IF(N(Q96)=0,"",Q96+IF(I96="yes",Q96*Inputs!$B$10*Inputs!$B$9,0)+IFERROR(INDEX(Inputs!$B$13:$B$15,MATCH(G96,Inputs!$A$13:$A$15,0)),0)+IFERROR(INDEX(Inputs!$B$18:$B$24,MATCH(H96,Inputs!$A$18:$A$24,0)),0))</f>
        <v/>
      </c>
      <c r="AC96" s="28" t="str">
        <f aca="false">IF(OR(N(AB96)&lt;=0,N(N96)=0,N(L96)=0),"",MIN(L96,N96/AB96))</f>
        <v/>
      </c>
      <c r="AD96" s="29" t="str">
        <f aca="false">IF(OR(AC96="",N(O96)=0),"",AC96/O96-1)</f>
        <v/>
      </c>
      <c r="AE96" s="29" t="str">
        <f aca="false">IF(OR(AD96="",N(O96)=0),"",AD96+N96/O96)</f>
        <v/>
      </c>
      <c r="AF96" s="32" t="str">
        <f aca="false">IF(OR(AE96="",N(Z96)=0),"",AE96-Z96)</f>
        <v/>
      </c>
      <c r="AG96" s="28" t="n">
        <f aca="false">IF(AND(N(M96)&gt;0,N(L96)&gt;0),M96*L96,N96)</f>
        <v>1.40625</v>
      </c>
      <c r="AH96" s="28" t="str">
        <f aca="false">IF(OR(N(AB96)&lt;=0,N(AG96)=0,N(L96)=0),"",MIN(L96,AG96/AB96))</f>
        <v/>
      </c>
      <c r="AI96" s="29" t="str">
        <f aca="false">IF(OR(AH96="",N(O96)=0),"",AH96/O96-1)</f>
        <v/>
      </c>
      <c r="AJ96" s="29" t="str">
        <f aca="false">IF(OR(AI96="",N(O96)=0),"",AI96+AG96/O96)</f>
        <v/>
      </c>
      <c r="AK96" s="32" t="str">
        <f aca="false">IF(OR(AJ96="",N(AE96)=0),"",AJ96-AE96)</f>
        <v/>
      </c>
      <c r="AL96" s="33" t="n">
        <f aca="false">IF(N(F96)=0,"",INDEX(Inputs!$B$28:$B$32,IFERROR(MATCH(F96,Inputs!$A$28:$A$32,1),0)+1))</f>
        <v>0.08</v>
      </c>
      <c r="AM96" s="34"/>
      <c r="AN96" s="33" t="n">
        <f aca="false">IF(N(AM96)&gt;0,AM96,AL96)</f>
        <v>0.08</v>
      </c>
      <c r="AO96" s="29" t="n">
        <f aca="false">IF(N(AN96)=0,"",AN96+IF(I96="yes",AN96*Inputs!$B$10*Inputs!$B$9,0)+IFERROR(INDEX(Inputs!$B$13:$B$15,MATCH(G96,Inputs!$A$13:$A$15,0)),0)+IFERROR(INDEX(Inputs!$B$18:$B$24,MATCH(H96,Inputs!$A$18:$A$24,0)),0))</f>
        <v>0.076</v>
      </c>
      <c r="AP96" s="28" t="n">
        <f aca="false">IF(OR(N(AO96)&lt;=0,N(AG96)=0,N(L96)=0),"",MIN(L96,AG96/AO96))</f>
        <v>18.5032894736842</v>
      </c>
      <c r="AQ96" s="29" t="n">
        <f aca="false">IF(OR(AP96="",N(O96)=0),"",AP96/O96-1)</f>
        <v>-0.0387901572112097</v>
      </c>
      <c r="AR96" s="29" t="n">
        <f aca="false">IF(OR(AQ96="",N(O96)=0),"",AQ96+AG96/O96)</f>
        <v>0.0342617908407383</v>
      </c>
      <c r="AS96" s="32" t="str">
        <f aca="false">IF(OR(AR96="",N(AJ96)=0),"",AR96-AJ96)</f>
        <v/>
      </c>
      <c r="AT96" s="28" t="n">
        <v>25</v>
      </c>
      <c r="AU96" s="28" t="n">
        <v>1.40625</v>
      </c>
      <c r="AV96" s="28" t="n">
        <f aca="false">IF(N(AT96)&gt;0,AT96,L96)</f>
        <v>25</v>
      </c>
      <c r="AW96" s="28" t="n">
        <f aca="false">IF(AND(N(M96)&gt;0,N(AV96)&gt;0),M96*AV96,IF(N(AU96)&gt;0,AU96,N96))</f>
        <v>1.40625</v>
      </c>
      <c r="AX96" s="29" t="n">
        <f aca="false">IF(N(AN96)=0,"",AN96+IF(I96="yes",AN96*Inputs!$B$10*Inputs!$B$9,0)+IFERROR(INDEX(Inputs!$B$13:$B$15,MATCH(G96,Inputs!$A$13:$A$15,0)),0)+IFERROR(INDEX(Inputs!$B$18:$B$24,MATCH(H96,Inputs!$A$18:$A$24,0)),0))</f>
        <v>0.076</v>
      </c>
      <c r="AY96" s="28" t="n">
        <f aca="false">IF(OR(N(AX96)&lt;=0,N(AW96)=0,N(AV96)=0),"",MIN(AV96,AW96/AX96))</f>
        <v>18.5032894736842</v>
      </c>
      <c r="AZ96" s="29" t="n">
        <f aca="false">IF(OR(AY96="",N(O96)=0),"",AY96/O96-1)</f>
        <v>-0.0387901572112097</v>
      </c>
      <c r="BA96" s="29" t="n">
        <f aca="false">IF(OR(AZ96="",N(O96)=0),"",AZ96+AW96/O96)</f>
        <v>0.0342617908407383</v>
      </c>
      <c r="BB96" s="32" t="n">
        <f aca="false">IF(OR(BA96="",N(AR96)=0),"",BA96-AR96)</f>
        <v>0</v>
      </c>
      <c r="BC96" s="35" t="str">
        <f aca="false">IF(OR(BA96="",N(U96)=0),"",BA96-U96)</f>
        <v/>
      </c>
      <c r="BD96" s="36" t="s">
        <v>231</v>
      </c>
    </row>
    <row r="97" customFormat="false" ht="15" hidden="false" customHeight="false" outlineLevel="0" collapsed="false">
      <c r="A97" s="2" t="s">
        <v>140</v>
      </c>
      <c r="B97" s="2" t="n">
        <v>183</v>
      </c>
      <c r="C97" s="2" t="s">
        <v>310</v>
      </c>
      <c r="D97" s="2" t="s">
        <v>307</v>
      </c>
      <c r="E97" s="2" t="s">
        <v>308</v>
      </c>
      <c r="F97" s="27" t="n">
        <v>5800</v>
      </c>
      <c r="G97" s="2" t="s">
        <v>52</v>
      </c>
      <c r="H97" s="2" t="s">
        <v>58</v>
      </c>
      <c r="I97" s="2" t="s">
        <v>144</v>
      </c>
      <c r="J97" s="2" t="s">
        <v>145</v>
      </c>
      <c r="K97" s="2" t="n">
        <v>4</v>
      </c>
      <c r="L97" s="28" t="n">
        <v>25</v>
      </c>
      <c r="M97" s="29" t="n">
        <v>0.06625</v>
      </c>
      <c r="N97" s="28" t="n">
        <v>1.65625</v>
      </c>
      <c r="O97" s="28" t="n">
        <v>24.65</v>
      </c>
      <c r="P97" s="2" t="s">
        <v>223</v>
      </c>
      <c r="Q97" s="29"/>
      <c r="R97" s="30"/>
      <c r="S97" s="31"/>
      <c r="T97" s="30"/>
      <c r="U97" s="30"/>
      <c r="V97" s="29" t="n">
        <v>-0.005</v>
      </c>
      <c r="W97" s="29" t="str">
        <f aca="false">IF(N(Q97)=0,"",Q97+IF(I97="yes",Q97*Inputs!$B$10*Inputs!$B$9,0)+V97)</f>
        <v/>
      </c>
      <c r="X97" s="28" t="str">
        <f aca="false">IF(OR(N(W97)&lt;=0,N(N97)=0,N(L97)=0),"",MIN(L97,N97/W97))</f>
        <v/>
      </c>
      <c r="Y97" s="29" t="str">
        <f aca="false">IF(OR(X97="",N(O97)=0),"",X97/O97-1)</f>
        <v/>
      </c>
      <c r="Z97" s="29" t="str">
        <f aca="false">IF(OR(Y97="",N(O97)=0),"",Y97+N97/O97)</f>
        <v/>
      </c>
      <c r="AA97" s="32" t="str">
        <f aca="false">IF(OR(Z97="",N(U97)=0),"",Z97-U97)</f>
        <v/>
      </c>
      <c r="AB97" s="29" t="str">
        <f aca="false">IF(N(Q97)=0,"",Q97+IF(I97="yes",Q97*Inputs!$B$10*Inputs!$B$9,0)+IFERROR(INDEX(Inputs!$B$13:$B$15,MATCH(G97,Inputs!$A$13:$A$15,0)),0)+IFERROR(INDEX(Inputs!$B$18:$B$24,MATCH(H97,Inputs!$A$18:$A$24,0)),0))</f>
        <v/>
      </c>
      <c r="AC97" s="28" t="str">
        <f aca="false">IF(OR(N(AB97)&lt;=0,N(N97)=0,N(L97)=0),"",MIN(L97,N97/AB97))</f>
        <v/>
      </c>
      <c r="AD97" s="29" t="str">
        <f aca="false">IF(OR(AC97="",N(O97)=0),"",AC97/O97-1)</f>
        <v/>
      </c>
      <c r="AE97" s="29" t="str">
        <f aca="false">IF(OR(AD97="",N(O97)=0),"",AD97+N97/O97)</f>
        <v/>
      </c>
      <c r="AF97" s="32" t="str">
        <f aca="false">IF(OR(AE97="",N(Z97)=0),"",AE97-Z97)</f>
        <v/>
      </c>
      <c r="AG97" s="28" t="n">
        <f aca="false">IF(AND(N(M97)&gt;0,N(L97)&gt;0),M97*L97,N97)</f>
        <v>1.65625</v>
      </c>
      <c r="AH97" s="28" t="str">
        <f aca="false">IF(OR(N(AB97)&lt;=0,N(AG97)=0,N(L97)=0),"",MIN(L97,AG97/AB97))</f>
        <v/>
      </c>
      <c r="AI97" s="29" t="str">
        <f aca="false">IF(OR(AH97="",N(O97)=0),"",AH97/O97-1)</f>
        <v/>
      </c>
      <c r="AJ97" s="29" t="str">
        <f aca="false">IF(OR(AI97="",N(O97)=0),"",AI97+AG97/O97)</f>
        <v/>
      </c>
      <c r="AK97" s="32" t="str">
        <f aca="false">IF(OR(AJ97="",N(AE97)=0),"",AJ97-AE97)</f>
        <v/>
      </c>
      <c r="AL97" s="33" t="n">
        <f aca="false">IF(N(F97)=0,"",INDEX(Inputs!$B$28:$B$32,IFERROR(MATCH(F97,Inputs!$A$28:$A$32,1),0)+1))</f>
        <v>0.08</v>
      </c>
      <c r="AM97" s="34"/>
      <c r="AN97" s="33" t="n">
        <f aca="false">IF(N(AM97)&gt;0,AM97,AL97)</f>
        <v>0.08</v>
      </c>
      <c r="AO97" s="29" t="n">
        <f aca="false">IF(N(AN97)=0,"",AN97+IF(I97="yes",AN97*Inputs!$B$10*Inputs!$B$9,0)+IFERROR(INDEX(Inputs!$B$13:$B$15,MATCH(G97,Inputs!$A$13:$A$15,0)),0)+IFERROR(INDEX(Inputs!$B$18:$B$24,MATCH(H97,Inputs!$A$18:$A$24,0)),0))</f>
        <v>0.075</v>
      </c>
      <c r="AP97" s="28" t="n">
        <f aca="false">IF(OR(N(AO97)&lt;=0,N(AG97)=0,N(L97)=0),"",MIN(L97,AG97/AO97))</f>
        <v>22.0833333333333</v>
      </c>
      <c r="AQ97" s="29" t="n">
        <f aca="false">IF(OR(AP97="",N(O97)=0),"",AP97/O97-1)</f>
        <v>-0.104124408384043</v>
      </c>
      <c r="AR97" s="29" t="n">
        <f aca="false">IF(OR(AQ97="",N(O97)=0),"",AQ97+AG97/O97)</f>
        <v>-0.0369337390128464</v>
      </c>
      <c r="AS97" s="32" t="str">
        <f aca="false">IF(OR(AR97="",N(AJ97)=0),"",AR97-AJ97)</f>
        <v/>
      </c>
      <c r="AT97" s="28" t="n">
        <v>25</v>
      </c>
      <c r="AU97" s="28" t="n">
        <v>1.65625</v>
      </c>
      <c r="AV97" s="28" t="n">
        <f aca="false">IF(N(AT97)&gt;0,AT97,L97)</f>
        <v>25</v>
      </c>
      <c r="AW97" s="28" t="n">
        <f aca="false">IF(AND(N(M97)&gt;0,N(AV97)&gt;0),M97*AV97,IF(N(AU97)&gt;0,AU97,N97))</f>
        <v>1.65625</v>
      </c>
      <c r="AX97" s="29" t="n">
        <f aca="false">IF(N(AN97)=0,"",AN97+IF(I97="yes",AN97*Inputs!$B$10*Inputs!$B$9,0)+IFERROR(INDEX(Inputs!$B$13:$B$15,MATCH(G97,Inputs!$A$13:$A$15,0)),0)+IFERROR(INDEX(Inputs!$B$18:$B$24,MATCH(H97,Inputs!$A$18:$A$24,0)),0))</f>
        <v>0.075</v>
      </c>
      <c r="AY97" s="28" t="n">
        <f aca="false">IF(OR(N(AX97)&lt;=0,N(AW97)=0,N(AV97)=0),"",MIN(AV97,AW97/AX97))</f>
        <v>22.0833333333333</v>
      </c>
      <c r="AZ97" s="29" t="n">
        <f aca="false">IF(OR(AY97="",N(O97)=0),"",AY97/O97-1)</f>
        <v>-0.104124408384043</v>
      </c>
      <c r="BA97" s="29" t="n">
        <f aca="false">IF(OR(AZ97="",N(O97)=0),"",AZ97+AW97/O97)</f>
        <v>-0.0369337390128464</v>
      </c>
      <c r="BB97" s="32" t="n">
        <f aca="false">IF(OR(BA97="",N(AR97)=0),"",BA97-AR97)</f>
        <v>0</v>
      </c>
      <c r="BC97" s="35" t="str">
        <f aca="false">IF(OR(BA97="",N(U97)=0),"",BA97-U97)</f>
        <v/>
      </c>
      <c r="BD97" s="36" t="s">
        <v>311</v>
      </c>
    </row>
    <row r="98" customFormat="false" ht="15" hidden="false" customHeight="false" outlineLevel="0" collapsed="false">
      <c r="A98" s="2" t="s">
        <v>140</v>
      </c>
      <c r="B98" s="2" t="n">
        <v>186</v>
      </c>
      <c r="C98" s="2" t="s">
        <v>312</v>
      </c>
      <c r="D98" s="2" t="s">
        <v>313</v>
      </c>
      <c r="E98" s="2" t="s">
        <v>143</v>
      </c>
      <c r="F98" s="27"/>
      <c r="G98" s="2" t="s">
        <v>51</v>
      </c>
      <c r="H98" s="2" t="s">
        <v>58</v>
      </c>
      <c r="I98" s="2" t="s">
        <v>144</v>
      </c>
      <c r="J98" s="2" t="s">
        <v>145</v>
      </c>
      <c r="K98" s="2" t="n">
        <v>4</v>
      </c>
      <c r="L98" s="28" t="n">
        <v>25</v>
      </c>
      <c r="M98" s="29" t="n">
        <v>0.0795</v>
      </c>
      <c r="N98" s="28" t="n">
        <v>1.9875</v>
      </c>
      <c r="O98" s="28" t="n">
        <v>0</v>
      </c>
      <c r="P98" s="2" t="s">
        <v>146</v>
      </c>
      <c r="Q98" s="29" t="n">
        <v>0</v>
      </c>
      <c r="R98" s="30" t="n">
        <v>0</v>
      </c>
      <c r="S98" s="31"/>
      <c r="T98" s="30"/>
      <c r="U98" s="30"/>
      <c r="V98" s="29" t="n">
        <v>0</v>
      </c>
      <c r="W98" s="29" t="str">
        <f aca="false">IF(N(Q98)=0,"",Q98+IF(I98="yes",Q98*Inputs!$B$10*Inputs!$B$9,0)+V98)</f>
        <v/>
      </c>
      <c r="X98" s="28" t="str">
        <f aca="false">IF(OR(N(W98)&lt;=0,N(N98)=0,N(L98)=0),"",MIN(L98,N98/W98))</f>
        <v/>
      </c>
      <c r="Y98" s="29" t="str">
        <f aca="false">IF(OR(X98="",N(O98)=0),"",X98/O98-1)</f>
        <v/>
      </c>
      <c r="Z98" s="29" t="str">
        <f aca="false">IF(OR(Y98="",N(O98)=0),"",Y98+N98/O98)</f>
        <v/>
      </c>
      <c r="AA98" s="32" t="str">
        <f aca="false">IF(OR(Z98="",N(U98)=0),"",Z98-U98)</f>
        <v/>
      </c>
      <c r="AB98" s="29" t="str">
        <f aca="false">IF(N(Q98)=0,"",Q98+IF(I98="yes",Q98*Inputs!$B$10*Inputs!$B$9,0)+IFERROR(INDEX(Inputs!$B$13:$B$15,MATCH(G98,Inputs!$A$13:$A$15,0)),0)+IFERROR(INDEX(Inputs!$B$18:$B$24,MATCH(H98,Inputs!$A$18:$A$24,0)),0))</f>
        <v/>
      </c>
      <c r="AC98" s="28" t="str">
        <f aca="false">IF(OR(N(AB98)&lt;=0,N(N98)=0,N(L98)=0),"",MIN(L98,N98/AB98))</f>
        <v/>
      </c>
      <c r="AD98" s="29" t="str">
        <f aca="false">IF(OR(AC98="",N(O98)=0),"",AC98/O98-1)</f>
        <v/>
      </c>
      <c r="AE98" s="29" t="str">
        <f aca="false">IF(OR(AD98="",N(O98)=0),"",AD98+N98/O98)</f>
        <v/>
      </c>
      <c r="AF98" s="32" t="str">
        <f aca="false">IF(OR(AE98="",N(Z98)=0),"",AE98-Z98)</f>
        <v/>
      </c>
      <c r="AG98" s="28" t="n">
        <f aca="false">IF(AND(N(M98)&gt;0,N(L98)&gt;0),M98*L98,N98)</f>
        <v>1.9875</v>
      </c>
      <c r="AH98" s="28" t="str">
        <f aca="false">IF(OR(N(AB98)&lt;=0,N(AG98)=0,N(L98)=0),"",MIN(L98,AG98/AB98))</f>
        <v/>
      </c>
      <c r="AI98" s="29" t="str">
        <f aca="false">IF(OR(AH98="",N(O98)=0),"",AH98/O98-1)</f>
        <v/>
      </c>
      <c r="AJ98" s="29" t="str">
        <f aca="false">IF(OR(AI98="",N(O98)=0),"",AI98+AG98/O98)</f>
        <v/>
      </c>
      <c r="AK98" s="32" t="str">
        <f aca="false">IF(OR(AJ98="",N(AE98)=0),"",AJ98-AE98)</f>
        <v/>
      </c>
      <c r="AL98" s="33" t="str">
        <f aca="false">IF(N(F98)=0,"",INDEX(Inputs!$B$28:$B$32,IFERROR(MATCH(F98,Inputs!$A$28:$A$32,1),0)+1))</f>
        <v/>
      </c>
      <c r="AM98" s="34"/>
      <c r="AN98" s="33" t="str">
        <f aca="false">IF(N(AM98)&gt;0,AM98,AL98)</f>
        <v/>
      </c>
      <c r="AO98" s="29" t="str">
        <f aca="false">IF(N(AN98)=0,"",AN98+IF(I98="yes",AN98*Inputs!$B$10*Inputs!$B$9,0)+IFERROR(INDEX(Inputs!$B$13:$B$15,MATCH(G98,Inputs!$A$13:$A$15,0)),0)+IFERROR(INDEX(Inputs!$B$18:$B$24,MATCH(H98,Inputs!$A$18:$A$24,0)),0))</f>
        <v/>
      </c>
      <c r="AP98" s="28" t="str">
        <f aca="false">IF(OR(N(AO98)&lt;=0,N(AG98)=0,N(L98)=0),"",MIN(L98,AG98/AO98))</f>
        <v/>
      </c>
      <c r="AQ98" s="29" t="str">
        <f aca="false">IF(OR(AP98="",N(O98)=0),"",AP98/O98-1)</f>
        <v/>
      </c>
      <c r="AR98" s="29" t="str">
        <f aca="false">IF(OR(AQ98="",N(O98)=0),"",AQ98+AG98/O98)</f>
        <v/>
      </c>
      <c r="AS98" s="32" t="str">
        <f aca="false">IF(OR(AR98="",N(AJ98)=0),"",AR98-AJ98)</f>
        <v/>
      </c>
      <c r="AT98" s="28" t="n">
        <v>25</v>
      </c>
      <c r="AU98" s="28" t="n">
        <v>1.99</v>
      </c>
      <c r="AV98" s="28" t="n">
        <f aca="false">IF(N(AT98)&gt;0,AT98,L98)</f>
        <v>25</v>
      </c>
      <c r="AW98" s="28" t="n">
        <f aca="false">IF(AND(N(M98)&gt;0,N(AV98)&gt;0),M98*AV98,IF(N(AU98)&gt;0,AU98,N98))</f>
        <v>1.9875</v>
      </c>
      <c r="AX98" s="29" t="str">
        <f aca="false">IF(N(AN98)=0,"",AN98+IF(I98="yes",AN98*Inputs!$B$10*Inputs!$B$9,0)+IFERROR(INDEX(Inputs!$B$13:$B$15,MATCH(G98,Inputs!$A$13:$A$15,0)),0)+IFERROR(INDEX(Inputs!$B$18:$B$24,MATCH(H98,Inputs!$A$18:$A$24,0)),0))</f>
        <v/>
      </c>
      <c r="AY98" s="28" t="str">
        <f aca="false">IF(OR(N(AX98)&lt;=0,N(AW98)=0,N(AV98)=0),"",MIN(AV98,AW98/AX98))</f>
        <v/>
      </c>
      <c r="AZ98" s="29" t="str">
        <f aca="false">IF(OR(AY98="",N(O98)=0),"",AY98/O98-1)</f>
        <v/>
      </c>
      <c r="BA98" s="29" t="str">
        <f aca="false">IF(OR(AZ98="",N(O98)=0),"",AZ98+AW98/O98)</f>
        <v/>
      </c>
      <c r="BB98" s="32" t="str">
        <f aca="false">IF(OR(BA98="",N(AR98)=0),"",BA98-AR98)</f>
        <v/>
      </c>
      <c r="BC98" s="35" t="str">
        <f aca="false">IF(OR(BA98="",N(U98)=0),"",BA98-U98)</f>
        <v/>
      </c>
      <c r="BD98" s="36" t="s">
        <v>302</v>
      </c>
    </row>
    <row r="99" customFormat="false" ht="15" hidden="false" customHeight="false" outlineLevel="0" collapsed="false">
      <c r="A99" s="2" t="s">
        <v>140</v>
      </c>
      <c r="B99" s="2" t="n">
        <v>187</v>
      </c>
      <c r="C99" s="2" t="s">
        <v>314</v>
      </c>
      <c r="D99" s="2" t="s">
        <v>313</v>
      </c>
      <c r="E99" s="2" t="s">
        <v>143</v>
      </c>
      <c r="F99" s="27"/>
      <c r="G99" s="2" t="s">
        <v>51</v>
      </c>
      <c r="H99" s="2" t="s">
        <v>58</v>
      </c>
      <c r="I99" s="2" t="s">
        <v>144</v>
      </c>
      <c r="J99" s="2" t="s">
        <v>145</v>
      </c>
      <c r="K99" s="2" t="n">
        <v>4</v>
      </c>
      <c r="L99" s="28" t="n">
        <v>25</v>
      </c>
      <c r="M99" s="29" t="n">
        <v>0.07875</v>
      </c>
      <c r="N99" s="28" t="n">
        <v>1.96875</v>
      </c>
      <c r="O99" s="28" t="n">
        <v>0</v>
      </c>
      <c r="P99" s="2" t="s">
        <v>146</v>
      </c>
      <c r="Q99" s="29" t="n">
        <v>0</v>
      </c>
      <c r="R99" s="30" t="n">
        <v>0</v>
      </c>
      <c r="S99" s="31"/>
      <c r="T99" s="30"/>
      <c r="U99" s="30"/>
      <c r="V99" s="29" t="n">
        <v>0</v>
      </c>
      <c r="W99" s="29" t="str">
        <f aca="false">IF(N(Q99)=0,"",Q99+IF(I99="yes",Q99*Inputs!$B$10*Inputs!$B$9,0)+V99)</f>
        <v/>
      </c>
      <c r="X99" s="28" t="str">
        <f aca="false">IF(OR(N(W99)&lt;=0,N(N99)=0,N(L99)=0),"",MIN(L99,N99/W99))</f>
        <v/>
      </c>
      <c r="Y99" s="29" t="str">
        <f aca="false">IF(OR(X99="",N(O99)=0),"",X99/O99-1)</f>
        <v/>
      </c>
      <c r="Z99" s="29" t="str">
        <f aca="false">IF(OR(Y99="",N(O99)=0),"",Y99+N99/O99)</f>
        <v/>
      </c>
      <c r="AA99" s="32" t="str">
        <f aca="false">IF(OR(Z99="",N(U99)=0),"",Z99-U99)</f>
        <v/>
      </c>
      <c r="AB99" s="29" t="str">
        <f aca="false">IF(N(Q99)=0,"",Q99+IF(I99="yes",Q99*Inputs!$B$10*Inputs!$B$9,0)+IFERROR(INDEX(Inputs!$B$13:$B$15,MATCH(G99,Inputs!$A$13:$A$15,0)),0)+IFERROR(INDEX(Inputs!$B$18:$B$24,MATCH(H99,Inputs!$A$18:$A$24,0)),0))</f>
        <v/>
      </c>
      <c r="AC99" s="28" t="str">
        <f aca="false">IF(OR(N(AB99)&lt;=0,N(N99)=0,N(L99)=0),"",MIN(L99,N99/AB99))</f>
        <v/>
      </c>
      <c r="AD99" s="29" t="str">
        <f aca="false">IF(OR(AC99="",N(O99)=0),"",AC99/O99-1)</f>
        <v/>
      </c>
      <c r="AE99" s="29" t="str">
        <f aca="false">IF(OR(AD99="",N(O99)=0),"",AD99+N99/O99)</f>
        <v/>
      </c>
      <c r="AF99" s="32" t="str">
        <f aca="false">IF(OR(AE99="",N(Z99)=0),"",AE99-Z99)</f>
        <v/>
      </c>
      <c r="AG99" s="28" t="n">
        <f aca="false">IF(AND(N(M99)&gt;0,N(L99)&gt;0),M99*L99,N99)</f>
        <v>1.96875</v>
      </c>
      <c r="AH99" s="28" t="str">
        <f aca="false">IF(OR(N(AB99)&lt;=0,N(AG99)=0,N(L99)=0),"",MIN(L99,AG99/AB99))</f>
        <v/>
      </c>
      <c r="AI99" s="29" t="str">
        <f aca="false">IF(OR(AH99="",N(O99)=0),"",AH99/O99-1)</f>
        <v/>
      </c>
      <c r="AJ99" s="29" t="str">
        <f aca="false">IF(OR(AI99="",N(O99)=0),"",AI99+AG99/O99)</f>
        <v/>
      </c>
      <c r="AK99" s="32" t="str">
        <f aca="false">IF(OR(AJ99="",N(AE99)=0),"",AJ99-AE99)</f>
        <v/>
      </c>
      <c r="AL99" s="33" t="str">
        <f aca="false">IF(N(F99)=0,"",INDEX(Inputs!$B$28:$B$32,IFERROR(MATCH(F99,Inputs!$A$28:$A$32,1),0)+1))</f>
        <v/>
      </c>
      <c r="AM99" s="34"/>
      <c r="AN99" s="33" t="str">
        <f aca="false">IF(N(AM99)&gt;0,AM99,AL99)</f>
        <v/>
      </c>
      <c r="AO99" s="29" t="str">
        <f aca="false">IF(N(AN99)=0,"",AN99+IF(I99="yes",AN99*Inputs!$B$10*Inputs!$B$9,0)+IFERROR(INDEX(Inputs!$B$13:$B$15,MATCH(G99,Inputs!$A$13:$A$15,0)),0)+IFERROR(INDEX(Inputs!$B$18:$B$24,MATCH(H99,Inputs!$A$18:$A$24,0)),0))</f>
        <v/>
      </c>
      <c r="AP99" s="28" t="str">
        <f aca="false">IF(OR(N(AO99)&lt;=0,N(AG99)=0,N(L99)=0),"",MIN(L99,AG99/AO99))</f>
        <v/>
      </c>
      <c r="AQ99" s="29" t="str">
        <f aca="false">IF(OR(AP99="",N(O99)=0),"",AP99/O99-1)</f>
        <v/>
      </c>
      <c r="AR99" s="29" t="str">
        <f aca="false">IF(OR(AQ99="",N(O99)=0),"",AQ99+AG99/O99)</f>
        <v/>
      </c>
      <c r="AS99" s="32" t="str">
        <f aca="false">IF(OR(AR99="",N(AJ99)=0),"",AR99-AJ99)</f>
        <v/>
      </c>
      <c r="AT99" s="28" t="n">
        <v>25</v>
      </c>
      <c r="AU99" s="28" t="n">
        <v>1.97</v>
      </c>
      <c r="AV99" s="28" t="n">
        <f aca="false">IF(N(AT99)&gt;0,AT99,L99)</f>
        <v>25</v>
      </c>
      <c r="AW99" s="28" t="n">
        <f aca="false">IF(AND(N(M99)&gt;0,N(AV99)&gt;0),M99*AV99,IF(N(AU99)&gt;0,AU99,N99))</f>
        <v>1.96875</v>
      </c>
      <c r="AX99" s="29" t="str">
        <f aca="false">IF(N(AN99)=0,"",AN99+IF(I99="yes",AN99*Inputs!$B$10*Inputs!$B$9,0)+IFERROR(INDEX(Inputs!$B$13:$B$15,MATCH(G99,Inputs!$A$13:$A$15,0)),0)+IFERROR(INDEX(Inputs!$B$18:$B$24,MATCH(H99,Inputs!$A$18:$A$24,0)),0))</f>
        <v/>
      </c>
      <c r="AY99" s="28" t="str">
        <f aca="false">IF(OR(N(AX99)&lt;=0,N(AW99)=0,N(AV99)=0),"",MIN(AV99,AW99/AX99))</f>
        <v/>
      </c>
      <c r="AZ99" s="29" t="str">
        <f aca="false">IF(OR(AY99="",N(O99)=0),"",AY99/O99-1)</f>
        <v/>
      </c>
      <c r="BA99" s="29" t="str">
        <f aca="false">IF(OR(AZ99="",N(O99)=0),"",AZ99+AW99/O99)</f>
        <v/>
      </c>
      <c r="BB99" s="32" t="str">
        <f aca="false">IF(OR(BA99="",N(AR99)=0),"",BA99-AR99)</f>
        <v/>
      </c>
      <c r="BC99" s="35" t="str">
        <f aca="false">IF(OR(BA99="",N(U99)=0),"",BA99-U99)</f>
        <v/>
      </c>
      <c r="BD99" s="36" t="s">
        <v>302</v>
      </c>
    </row>
    <row r="100" customFormat="false" ht="15" hidden="false" customHeight="false" outlineLevel="0" collapsed="false">
      <c r="A100" s="2" t="s">
        <v>140</v>
      </c>
      <c r="B100" s="2" t="n">
        <v>188</v>
      </c>
      <c r="C100" s="2" t="s">
        <v>315</v>
      </c>
      <c r="D100" s="2" t="s">
        <v>313</v>
      </c>
      <c r="E100" s="2" t="s">
        <v>143</v>
      </c>
      <c r="F100" s="27"/>
      <c r="G100" s="2" t="s">
        <v>51</v>
      </c>
      <c r="H100" s="2" t="s">
        <v>58</v>
      </c>
      <c r="I100" s="2" t="s">
        <v>144</v>
      </c>
      <c r="J100" s="2" t="s">
        <v>145</v>
      </c>
      <c r="K100" s="2" t="n">
        <v>4</v>
      </c>
      <c r="L100" s="28" t="n">
        <v>25</v>
      </c>
      <c r="M100" s="29" t="n">
        <v>0.08</v>
      </c>
      <c r="N100" s="28" t="n">
        <v>2</v>
      </c>
      <c r="O100" s="28" t="n">
        <v>0</v>
      </c>
      <c r="P100" s="2" t="s">
        <v>316</v>
      </c>
      <c r="Q100" s="29" t="n">
        <v>0</v>
      </c>
      <c r="R100" s="30"/>
      <c r="S100" s="31"/>
      <c r="T100" s="30"/>
      <c r="U100" s="30"/>
      <c r="V100" s="29" t="n">
        <v>0</v>
      </c>
      <c r="W100" s="29" t="str">
        <f aca="false">IF(N(Q100)=0,"",Q100+IF(I100="yes",Q100*Inputs!$B$10*Inputs!$B$9,0)+V100)</f>
        <v/>
      </c>
      <c r="X100" s="28" t="str">
        <f aca="false">IF(OR(N(W100)&lt;=0,N(N100)=0,N(L100)=0),"",MIN(L100,N100/W100))</f>
        <v/>
      </c>
      <c r="Y100" s="29" t="str">
        <f aca="false">IF(OR(X100="",N(O100)=0),"",X100/O100-1)</f>
        <v/>
      </c>
      <c r="Z100" s="29" t="str">
        <f aca="false">IF(OR(Y100="",N(O100)=0),"",Y100+N100/O100)</f>
        <v/>
      </c>
      <c r="AA100" s="32" t="str">
        <f aca="false">IF(OR(Z100="",N(U100)=0),"",Z100-U100)</f>
        <v/>
      </c>
      <c r="AB100" s="29" t="str">
        <f aca="false">IF(N(Q100)=0,"",Q100+IF(I100="yes",Q100*Inputs!$B$10*Inputs!$B$9,0)+IFERROR(INDEX(Inputs!$B$13:$B$15,MATCH(G100,Inputs!$A$13:$A$15,0)),0)+IFERROR(INDEX(Inputs!$B$18:$B$24,MATCH(H100,Inputs!$A$18:$A$24,0)),0))</f>
        <v/>
      </c>
      <c r="AC100" s="28" t="str">
        <f aca="false">IF(OR(N(AB100)&lt;=0,N(N100)=0,N(L100)=0),"",MIN(L100,N100/AB100))</f>
        <v/>
      </c>
      <c r="AD100" s="29" t="str">
        <f aca="false">IF(OR(AC100="",N(O100)=0),"",AC100/O100-1)</f>
        <v/>
      </c>
      <c r="AE100" s="29" t="str">
        <f aca="false">IF(OR(AD100="",N(O100)=0),"",AD100+N100/O100)</f>
        <v/>
      </c>
      <c r="AF100" s="32" t="str">
        <f aca="false">IF(OR(AE100="",N(Z100)=0),"",AE100-Z100)</f>
        <v/>
      </c>
      <c r="AG100" s="28" t="n">
        <f aca="false">IF(AND(N(M100)&gt;0,N(L100)&gt;0),M100*L100,N100)</f>
        <v>2</v>
      </c>
      <c r="AH100" s="28" t="str">
        <f aca="false">IF(OR(N(AB100)&lt;=0,N(AG100)=0,N(L100)=0),"",MIN(L100,AG100/AB100))</f>
        <v/>
      </c>
      <c r="AI100" s="29" t="str">
        <f aca="false">IF(OR(AH100="",N(O100)=0),"",AH100/O100-1)</f>
        <v/>
      </c>
      <c r="AJ100" s="29" t="str">
        <f aca="false">IF(OR(AI100="",N(O100)=0),"",AI100+AG100/O100)</f>
        <v/>
      </c>
      <c r="AK100" s="32" t="str">
        <f aca="false">IF(OR(AJ100="",N(AE100)=0),"",AJ100-AE100)</f>
        <v/>
      </c>
      <c r="AL100" s="33" t="str">
        <f aca="false">IF(N(F100)=0,"",INDEX(Inputs!$B$28:$B$32,IFERROR(MATCH(F100,Inputs!$A$28:$A$32,1),0)+1))</f>
        <v/>
      </c>
      <c r="AM100" s="34"/>
      <c r="AN100" s="33" t="str">
        <f aca="false">IF(N(AM100)&gt;0,AM100,AL100)</f>
        <v/>
      </c>
      <c r="AO100" s="29" t="str">
        <f aca="false">IF(N(AN100)=0,"",AN100+IF(I100="yes",AN100*Inputs!$B$10*Inputs!$B$9,0)+IFERROR(INDEX(Inputs!$B$13:$B$15,MATCH(G100,Inputs!$A$13:$A$15,0)),0)+IFERROR(INDEX(Inputs!$B$18:$B$24,MATCH(H100,Inputs!$A$18:$A$24,0)),0))</f>
        <v/>
      </c>
      <c r="AP100" s="28" t="str">
        <f aca="false">IF(OR(N(AO100)&lt;=0,N(AG100)=0,N(L100)=0),"",MIN(L100,AG100/AO100))</f>
        <v/>
      </c>
      <c r="AQ100" s="29" t="str">
        <f aca="false">IF(OR(AP100="",N(O100)=0),"",AP100/O100-1)</f>
        <v/>
      </c>
      <c r="AR100" s="29" t="str">
        <f aca="false">IF(OR(AQ100="",N(O100)=0),"",AQ100+AG100/O100)</f>
        <v/>
      </c>
      <c r="AS100" s="32" t="str">
        <f aca="false">IF(OR(AR100="",N(AJ100)=0),"",AR100-AJ100)</f>
        <v/>
      </c>
      <c r="AT100" s="28"/>
      <c r="AU100" s="28"/>
      <c r="AV100" s="28" t="n">
        <f aca="false">IF(N(AT100)&gt;0,AT100,L100)</f>
        <v>25</v>
      </c>
      <c r="AW100" s="28" t="n">
        <f aca="false">IF(AND(N(M100)&gt;0,N(AV100)&gt;0),M100*AV100,IF(N(AU100)&gt;0,AU100,N100))</f>
        <v>2</v>
      </c>
      <c r="AX100" s="29" t="str">
        <f aca="false">IF(N(AN100)=0,"",AN100+IF(I100="yes",AN100*Inputs!$B$10*Inputs!$B$9,0)+IFERROR(INDEX(Inputs!$B$13:$B$15,MATCH(G100,Inputs!$A$13:$A$15,0)),0)+IFERROR(INDEX(Inputs!$B$18:$B$24,MATCH(H100,Inputs!$A$18:$A$24,0)),0))</f>
        <v/>
      </c>
      <c r="AY100" s="28" t="str">
        <f aca="false">IF(OR(N(AX100)&lt;=0,N(AW100)=0,N(AV100)=0),"",MIN(AV100,AW100/AX100))</f>
        <v/>
      </c>
      <c r="AZ100" s="29" t="str">
        <f aca="false">IF(OR(AY100="",N(O100)=0),"",AY100/O100-1)</f>
        <v/>
      </c>
      <c r="BA100" s="29" t="str">
        <f aca="false">IF(OR(AZ100="",N(O100)=0),"",AZ100+AW100/O100)</f>
        <v/>
      </c>
      <c r="BB100" s="32" t="str">
        <f aca="false">IF(OR(BA100="",N(AR100)=0),"",BA100-AR100)</f>
        <v/>
      </c>
      <c r="BC100" s="35" t="str">
        <f aca="false">IF(OR(BA100="",N(U100)=0),"",BA100-U100)</f>
        <v/>
      </c>
      <c r="BD100" s="36" t="s">
        <v>317</v>
      </c>
    </row>
    <row r="101" customFormat="false" ht="15" hidden="false" customHeight="false" outlineLevel="0" collapsed="false">
      <c r="A101" s="2" t="s">
        <v>140</v>
      </c>
      <c r="B101" s="2" t="n">
        <v>189</v>
      </c>
      <c r="C101" s="2" t="s">
        <v>318</v>
      </c>
      <c r="D101" s="2" t="s">
        <v>313</v>
      </c>
      <c r="E101" s="2" t="s">
        <v>143</v>
      </c>
      <c r="F101" s="27"/>
      <c r="G101" s="2" t="s">
        <v>52</v>
      </c>
      <c r="H101" s="2" t="s">
        <v>58</v>
      </c>
      <c r="I101" s="2" t="s">
        <v>144</v>
      </c>
      <c r="J101" s="2" t="s">
        <v>145</v>
      </c>
      <c r="K101" s="2" t="n">
        <v>4</v>
      </c>
      <c r="L101" s="28" t="n">
        <v>25</v>
      </c>
      <c r="M101" s="29" t="n">
        <v>0.0712</v>
      </c>
      <c r="N101" s="28" t="n">
        <v>1.78</v>
      </c>
      <c r="O101" s="28" t="n">
        <v>0</v>
      </c>
      <c r="P101" s="2" t="s">
        <v>146</v>
      </c>
      <c r="Q101" s="29" t="n">
        <v>0</v>
      </c>
      <c r="R101" s="30" t="n">
        <v>-0.005</v>
      </c>
      <c r="S101" s="31" t="n">
        <v>-356</v>
      </c>
      <c r="T101" s="30"/>
      <c r="U101" s="30"/>
      <c r="V101" s="29" t="n">
        <v>-0.005</v>
      </c>
      <c r="W101" s="29" t="str">
        <f aca="false">IF(N(Q101)=0,"",Q101+IF(I101="yes",Q101*Inputs!$B$10*Inputs!$B$9,0)+V101)</f>
        <v/>
      </c>
      <c r="X101" s="28" t="str">
        <f aca="false">IF(OR(N(W101)&lt;=0,N(N101)=0,N(L101)=0),"",MIN(L101,N101/W101))</f>
        <v/>
      </c>
      <c r="Y101" s="29" t="str">
        <f aca="false">IF(OR(X101="",N(O101)=0),"",X101/O101-1)</f>
        <v/>
      </c>
      <c r="Z101" s="29" t="str">
        <f aca="false">IF(OR(Y101="",N(O101)=0),"",Y101+N101/O101)</f>
        <v/>
      </c>
      <c r="AA101" s="32" t="str">
        <f aca="false">IF(OR(Z101="",N(U101)=0),"",Z101-U101)</f>
        <v/>
      </c>
      <c r="AB101" s="29" t="str">
        <f aca="false">IF(N(Q101)=0,"",Q101+IF(I101="yes",Q101*Inputs!$B$10*Inputs!$B$9,0)+IFERROR(INDEX(Inputs!$B$13:$B$15,MATCH(G101,Inputs!$A$13:$A$15,0)),0)+IFERROR(INDEX(Inputs!$B$18:$B$24,MATCH(H101,Inputs!$A$18:$A$24,0)),0))</f>
        <v/>
      </c>
      <c r="AC101" s="28" t="str">
        <f aca="false">IF(OR(N(AB101)&lt;=0,N(N101)=0,N(L101)=0),"",MIN(L101,N101/AB101))</f>
        <v/>
      </c>
      <c r="AD101" s="29" t="str">
        <f aca="false">IF(OR(AC101="",N(O101)=0),"",AC101/O101-1)</f>
        <v/>
      </c>
      <c r="AE101" s="29" t="str">
        <f aca="false">IF(OR(AD101="",N(O101)=0),"",AD101+N101/O101)</f>
        <v/>
      </c>
      <c r="AF101" s="32" t="str">
        <f aca="false">IF(OR(AE101="",N(Z101)=0),"",AE101-Z101)</f>
        <v/>
      </c>
      <c r="AG101" s="28" t="n">
        <f aca="false">IF(AND(N(M101)&gt;0,N(L101)&gt;0),M101*L101,N101)</f>
        <v>1.78</v>
      </c>
      <c r="AH101" s="28" t="str">
        <f aca="false">IF(OR(N(AB101)&lt;=0,N(AG101)=0,N(L101)=0),"",MIN(L101,AG101/AB101))</f>
        <v/>
      </c>
      <c r="AI101" s="29" t="str">
        <f aca="false">IF(OR(AH101="",N(O101)=0),"",AH101/O101-1)</f>
        <v/>
      </c>
      <c r="AJ101" s="29" t="str">
        <f aca="false">IF(OR(AI101="",N(O101)=0),"",AI101+AG101/O101)</f>
        <v/>
      </c>
      <c r="AK101" s="32" t="str">
        <f aca="false">IF(OR(AJ101="",N(AE101)=0),"",AJ101-AE101)</f>
        <v/>
      </c>
      <c r="AL101" s="33" t="str">
        <f aca="false">IF(N(F101)=0,"",INDEX(Inputs!$B$28:$B$32,IFERROR(MATCH(F101,Inputs!$A$28:$A$32,1),0)+1))</f>
        <v/>
      </c>
      <c r="AM101" s="34"/>
      <c r="AN101" s="33" t="str">
        <f aca="false">IF(N(AM101)&gt;0,AM101,AL101)</f>
        <v/>
      </c>
      <c r="AO101" s="29" t="str">
        <f aca="false">IF(N(AN101)=0,"",AN101+IF(I101="yes",AN101*Inputs!$B$10*Inputs!$B$9,0)+IFERROR(INDEX(Inputs!$B$13:$B$15,MATCH(G101,Inputs!$A$13:$A$15,0)),0)+IFERROR(INDEX(Inputs!$B$18:$B$24,MATCH(H101,Inputs!$A$18:$A$24,0)),0))</f>
        <v/>
      </c>
      <c r="AP101" s="28" t="str">
        <f aca="false">IF(OR(N(AO101)&lt;=0,N(AG101)=0,N(L101)=0),"",MIN(L101,AG101/AO101))</f>
        <v/>
      </c>
      <c r="AQ101" s="29" t="str">
        <f aca="false">IF(OR(AP101="",N(O101)=0),"",AP101/O101-1)</f>
        <v/>
      </c>
      <c r="AR101" s="29" t="str">
        <f aca="false">IF(OR(AQ101="",N(O101)=0),"",AQ101+AG101/O101)</f>
        <v/>
      </c>
      <c r="AS101" s="32" t="str">
        <f aca="false">IF(OR(AR101="",N(AJ101)=0),"",AR101-AJ101)</f>
        <v/>
      </c>
      <c r="AT101" s="28"/>
      <c r="AU101" s="28"/>
      <c r="AV101" s="28" t="n">
        <f aca="false">IF(N(AT101)&gt;0,AT101,L101)</f>
        <v>25</v>
      </c>
      <c r="AW101" s="28" t="n">
        <f aca="false">IF(AND(N(M101)&gt;0,N(AV101)&gt;0),M101*AV101,IF(N(AU101)&gt;0,AU101,N101))</f>
        <v>1.78</v>
      </c>
      <c r="AX101" s="29" t="str">
        <f aca="false">IF(N(AN101)=0,"",AN101+IF(I101="yes",AN101*Inputs!$B$10*Inputs!$B$9,0)+IFERROR(INDEX(Inputs!$B$13:$B$15,MATCH(G101,Inputs!$A$13:$A$15,0)),0)+IFERROR(INDEX(Inputs!$B$18:$B$24,MATCH(H101,Inputs!$A$18:$A$24,0)),0))</f>
        <v/>
      </c>
      <c r="AY101" s="28" t="str">
        <f aca="false">IF(OR(N(AX101)&lt;=0,N(AW101)=0,N(AV101)=0),"",MIN(AV101,AW101/AX101))</f>
        <v/>
      </c>
      <c r="AZ101" s="29" t="str">
        <f aca="false">IF(OR(AY101="",N(O101)=0),"",AY101/O101-1)</f>
        <v/>
      </c>
      <c r="BA101" s="29" t="str">
        <f aca="false">IF(OR(AZ101="",N(O101)=0),"",AZ101+AW101/O101)</f>
        <v/>
      </c>
      <c r="BB101" s="32" t="str">
        <f aca="false">IF(OR(BA101="",N(AR101)=0),"",BA101-AR101)</f>
        <v/>
      </c>
      <c r="BC101" s="35" t="str">
        <f aca="false">IF(OR(BA101="",N(U101)=0),"",BA101-U101)</f>
        <v/>
      </c>
      <c r="BD101" s="36" t="s">
        <v>147</v>
      </c>
    </row>
    <row r="102" customFormat="false" ht="15" hidden="false" customHeight="false" outlineLevel="0" collapsed="false">
      <c r="A102" s="2" t="s">
        <v>140</v>
      </c>
      <c r="B102" s="2" t="n">
        <v>192</v>
      </c>
      <c r="C102" s="2" t="s">
        <v>319</v>
      </c>
      <c r="D102" s="2" t="s">
        <v>320</v>
      </c>
      <c r="E102" s="2" t="s">
        <v>321</v>
      </c>
      <c r="F102" s="27" t="n">
        <v>1400</v>
      </c>
      <c r="G102" s="2" t="s">
        <v>52</v>
      </c>
      <c r="H102" s="2" t="s">
        <v>58</v>
      </c>
      <c r="I102" s="2" t="s">
        <v>144</v>
      </c>
      <c r="J102" s="2" t="s">
        <v>145</v>
      </c>
      <c r="K102" s="2" t="n">
        <v>4</v>
      </c>
      <c r="L102" s="28" t="n">
        <v>25</v>
      </c>
      <c r="M102" s="29" t="n">
        <v>0.06125</v>
      </c>
      <c r="N102" s="28" t="n">
        <v>1.53125</v>
      </c>
      <c r="O102" s="28" t="n">
        <v>25.12</v>
      </c>
      <c r="P102" s="2" t="s">
        <v>146</v>
      </c>
      <c r="Q102" s="29" t="n">
        <v>0.08</v>
      </c>
      <c r="R102" s="30" t="n">
        <v>0.075</v>
      </c>
      <c r="S102" s="31" t="n">
        <v>20.4166666666667</v>
      </c>
      <c r="T102" s="30" t="n">
        <v>-0.187234607218684</v>
      </c>
      <c r="U102" s="30" t="n">
        <v>-0.126277202760085</v>
      </c>
      <c r="V102" s="29" t="n">
        <v>-0.005</v>
      </c>
      <c r="W102" s="29" t="n">
        <f aca="false">IF(N(Q102)=0,"",Q102+IF(I102="yes",Q102*Inputs!$B$10*Inputs!$B$9,0)+V102)</f>
        <v>0.075</v>
      </c>
      <c r="X102" s="28" t="n">
        <f aca="false">IF(OR(N(W102)&lt;=0,N(N102)=0,N(L102)=0),"",MIN(L102,N102/W102))</f>
        <v>20.4166666666667</v>
      </c>
      <c r="Y102" s="29" t="n">
        <f aca="false">IF(OR(X102="",N(O102)=0),"",X102/O102-1)</f>
        <v>-0.187234607218684</v>
      </c>
      <c r="Z102" s="29" t="n">
        <f aca="false">IF(OR(Y102="",N(O102)=0),"",Y102+N102/O102)</f>
        <v>-0.126277202760085</v>
      </c>
      <c r="AA102" s="32" t="n">
        <f aca="false">IF(OR(Z102="",N(U102)=0),"",Z102-U102)</f>
        <v>0</v>
      </c>
      <c r="AB102" s="29" t="n">
        <f aca="false">IF(N(Q102)=0,"",Q102+IF(I102="yes",Q102*Inputs!$B$10*Inputs!$B$9,0)+IFERROR(INDEX(Inputs!$B$13:$B$15,MATCH(G102,Inputs!$A$13:$A$15,0)),0)+IFERROR(INDEX(Inputs!$B$18:$B$24,MATCH(H102,Inputs!$A$18:$A$24,0)),0))</f>
        <v>0.075</v>
      </c>
      <c r="AC102" s="28" t="n">
        <f aca="false">IF(OR(N(AB102)&lt;=0,N(N102)=0,N(L102)=0),"",MIN(L102,N102/AB102))</f>
        <v>20.4166666666667</v>
      </c>
      <c r="AD102" s="29" t="n">
        <f aca="false">IF(OR(AC102="",N(O102)=0),"",AC102/O102-1)</f>
        <v>-0.187234607218684</v>
      </c>
      <c r="AE102" s="29" t="n">
        <f aca="false">IF(OR(AD102="",N(O102)=0),"",AD102+N102/O102)</f>
        <v>-0.126277202760085</v>
      </c>
      <c r="AF102" s="32" t="n">
        <f aca="false">IF(OR(AE102="",N(Z102)=0),"",AE102-Z102)</f>
        <v>0</v>
      </c>
      <c r="AG102" s="28" t="n">
        <f aca="false">IF(AND(N(M102)&gt;0,N(L102)&gt;0),M102*L102,N102)</f>
        <v>1.53125</v>
      </c>
      <c r="AH102" s="28" t="n">
        <f aca="false">IF(OR(N(AB102)&lt;=0,N(AG102)=0,N(L102)=0),"",MIN(L102,AG102/AB102))</f>
        <v>20.4166666666667</v>
      </c>
      <c r="AI102" s="29" t="n">
        <f aca="false">IF(OR(AH102="",N(O102)=0),"",AH102/O102-1)</f>
        <v>-0.187234607218684</v>
      </c>
      <c r="AJ102" s="29" t="n">
        <f aca="false">IF(OR(AI102="",N(O102)=0),"",AI102+AG102/O102)</f>
        <v>-0.126277202760085</v>
      </c>
      <c r="AK102" s="32" t="n">
        <f aca="false">IF(OR(AJ102="",N(AE102)=0),"",AJ102-AE102)</f>
        <v>0</v>
      </c>
      <c r="AL102" s="33" t="n">
        <f aca="false">IF(N(F102)=0,"",INDEX(Inputs!$B$28:$B$32,IFERROR(MATCH(F102,Inputs!$A$28:$A$32,1),0)+1))</f>
        <v>0.085</v>
      </c>
      <c r="AM102" s="34"/>
      <c r="AN102" s="33" t="n">
        <f aca="false">IF(N(AM102)&gt;0,AM102,AL102)</f>
        <v>0.085</v>
      </c>
      <c r="AO102" s="29" t="n">
        <f aca="false">IF(N(AN102)=0,"",AN102+IF(I102="yes",AN102*Inputs!$B$10*Inputs!$B$9,0)+IFERROR(INDEX(Inputs!$B$13:$B$15,MATCH(G102,Inputs!$A$13:$A$15,0)),0)+IFERROR(INDEX(Inputs!$B$18:$B$24,MATCH(H102,Inputs!$A$18:$A$24,0)),0))</f>
        <v>0.08</v>
      </c>
      <c r="AP102" s="28" t="n">
        <f aca="false">IF(OR(N(AO102)&lt;=0,N(AG102)=0,N(L102)=0),"",MIN(L102,AG102/AO102))</f>
        <v>19.140625</v>
      </c>
      <c r="AQ102" s="29" t="n">
        <f aca="false">IF(OR(AP102="",N(O102)=0),"",AP102/O102-1)</f>
        <v>-0.238032444267516</v>
      </c>
      <c r="AR102" s="29" t="n">
        <f aca="false">IF(OR(AQ102="",N(O102)=0),"",AQ102+AG102/O102)</f>
        <v>-0.177075039808917</v>
      </c>
      <c r="AS102" s="32" t="n">
        <f aca="false">IF(OR(AR102="",N(AJ102)=0),"",AR102-AJ102)</f>
        <v>-0.0507978370488322</v>
      </c>
      <c r="AT102" s="28" t="n">
        <v>25</v>
      </c>
      <c r="AU102" s="28" t="n">
        <v>1.53125</v>
      </c>
      <c r="AV102" s="28" t="n">
        <f aca="false">IF(N(AT102)&gt;0,AT102,L102)</f>
        <v>25</v>
      </c>
      <c r="AW102" s="28" t="n">
        <f aca="false">IF(AND(N(M102)&gt;0,N(AV102)&gt;0),M102*AV102,IF(N(AU102)&gt;0,AU102,N102))</f>
        <v>1.53125</v>
      </c>
      <c r="AX102" s="29" t="n">
        <f aca="false">IF(N(AN102)=0,"",AN102+IF(I102="yes",AN102*Inputs!$B$10*Inputs!$B$9,0)+IFERROR(INDEX(Inputs!$B$13:$B$15,MATCH(G102,Inputs!$A$13:$A$15,0)),0)+IFERROR(INDEX(Inputs!$B$18:$B$24,MATCH(H102,Inputs!$A$18:$A$24,0)),0))</f>
        <v>0.08</v>
      </c>
      <c r="AY102" s="28" t="n">
        <f aca="false">IF(OR(N(AX102)&lt;=0,N(AW102)=0,N(AV102)=0),"",MIN(AV102,AW102/AX102))</f>
        <v>19.140625</v>
      </c>
      <c r="AZ102" s="29" t="n">
        <f aca="false">IF(OR(AY102="",N(O102)=0),"",AY102/O102-1)</f>
        <v>-0.238032444267516</v>
      </c>
      <c r="BA102" s="29" t="n">
        <f aca="false">IF(OR(AZ102="",N(O102)=0),"",AZ102+AW102/O102)</f>
        <v>-0.177075039808917</v>
      </c>
      <c r="BB102" s="32" t="n">
        <f aca="false">IF(OR(BA102="",N(AR102)=0),"",BA102-AR102)</f>
        <v>0</v>
      </c>
      <c r="BC102" s="35" t="n">
        <f aca="false">IF(OR(BA102="",N(U102)=0),"",BA102-U102)</f>
        <v>-0.0507978370488322</v>
      </c>
      <c r="BD102" s="37"/>
    </row>
    <row r="103" customFormat="false" ht="15" hidden="false" customHeight="false" outlineLevel="0" collapsed="false">
      <c r="A103" s="2" t="s">
        <v>140</v>
      </c>
      <c r="B103" s="2" t="n">
        <v>193</v>
      </c>
      <c r="C103" s="2" t="s">
        <v>322</v>
      </c>
      <c r="D103" s="2" t="s">
        <v>320</v>
      </c>
      <c r="E103" s="2" t="s">
        <v>321</v>
      </c>
      <c r="F103" s="27" t="n">
        <v>1400</v>
      </c>
      <c r="G103" s="2" t="s">
        <v>51</v>
      </c>
      <c r="H103" s="2" t="s">
        <v>58</v>
      </c>
      <c r="I103" s="2" t="s">
        <v>151</v>
      </c>
      <c r="J103" s="2" t="s">
        <v>145</v>
      </c>
      <c r="K103" s="2" t="n">
        <v>4</v>
      </c>
      <c r="L103" s="28" t="n">
        <v>25</v>
      </c>
      <c r="M103" s="29" t="n">
        <v>0.07625</v>
      </c>
      <c r="N103" s="28" t="n">
        <v>1.90625</v>
      </c>
      <c r="O103" s="28" t="n">
        <v>24.15</v>
      </c>
      <c r="P103" s="2" t="s">
        <v>146</v>
      </c>
      <c r="Q103" s="29" t="n">
        <v>0.08</v>
      </c>
      <c r="R103" s="30" t="n">
        <v>0.076</v>
      </c>
      <c r="S103" s="31" t="n">
        <v>25</v>
      </c>
      <c r="T103" s="30" t="n">
        <v>0.0351966873706002</v>
      </c>
      <c r="U103" s="30" t="n">
        <v>0.114130434782609</v>
      </c>
      <c r="V103" s="29" t="n">
        <v>0</v>
      </c>
      <c r="W103" s="29" t="n">
        <f aca="false">IF(N(Q103)=0,"",Q103+IF(I103="yes",Q103*Inputs!$B$10*Inputs!$B$9,0)+V103)</f>
        <v>0.076</v>
      </c>
      <c r="X103" s="28" t="n">
        <f aca="false">IF(OR(N(W103)&lt;=0,N(N103)=0,N(L103)=0),"",MIN(L103,N103/W103))</f>
        <v>25</v>
      </c>
      <c r="Y103" s="29" t="n">
        <f aca="false">IF(OR(X103="",N(O103)=0),"",X103/O103-1)</f>
        <v>0.0351966873706004</v>
      </c>
      <c r="Z103" s="29" t="n">
        <f aca="false">IF(OR(Y103="",N(O103)=0),"",Y103+N103/O103)</f>
        <v>0.114130434782609</v>
      </c>
      <c r="AA103" s="32" t="n">
        <f aca="false">IF(OR(Z103="",N(U103)=0),"",Z103-U103)</f>
        <v>0</v>
      </c>
      <c r="AB103" s="29" t="n">
        <f aca="false">IF(N(Q103)=0,"",Q103+IF(I103="yes",Q103*Inputs!$B$10*Inputs!$B$9,0)+IFERROR(INDEX(Inputs!$B$13:$B$15,MATCH(G103,Inputs!$A$13:$A$15,0)),0)+IFERROR(INDEX(Inputs!$B$18:$B$24,MATCH(H103,Inputs!$A$18:$A$24,0)),0))</f>
        <v>0.076</v>
      </c>
      <c r="AC103" s="28" t="n">
        <f aca="false">IF(OR(N(AB103)&lt;=0,N(N103)=0,N(L103)=0),"",MIN(L103,N103/AB103))</f>
        <v>25</v>
      </c>
      <c r="AD103" s="29" t="n">
        <f aca="false">IF(OR(AC103="",N(O103)=0),"",AC103/O103-1)</f>
        <v>0.0351966873706004</v>
      </c>
      <c r="AE103" s="29" t="n">
        <f aca="false">IF(OR(AD103="",N(O103)=0),"",AD103+N103/O103)</f>
        <v>0.114130434782609</v>
      </c>
      <c r="AF103" s="32" t="n">
        <f aca="false">IF(OR(AE103="",N(Z103)=0),"",AE103-Z103)</f>
        <v>0</v>
      </c>
      <c r="AG103" s="28" t="n">
        <f aca="false">IF(AND(N(M103)&gt;0,N(L103)&gt;0),M103*L103,N103)</f>
        <v>1.90625</v>
      </c>
      <c r="AH103" s="28" t="n">
        <f aca="false">IF(OR(N(AB103)&lt;=0,N(AG103)=0,N(L103)=0),"",MIN(L103,AG103/AB103))</f>
        <v>25</v>
      </c>
      <c r="AI103" s="29" t="n">
        <f aca="false">IF(OR(AH103="",N(O103)=0),"",AH103/O103-1)</f>
        <v>0.0351966873706004</v>
      </c>
      <c r="AJ103" s="29" t="n">
        <f aca="false">IF(OR(AI103="",N(O103)=0),"",AI103+AG103/O103)</f>
        <v>0.114130434782609</v>
      </c>
      <c r="AK103" s="32" t="n">
        <f aca="false">IF(OR(AJ103="",N(AE103)=0),"",AJ103-AE103)</f>
        <v>0</v>
      </c>
      <c r="AL103" s="33" t="n">
        <f aca="false">IF(N(F103)=0,"",INDEX(Inputs!$B$28:$B$32,IFERROR(MATCH(F103,Inputs!$A$28:$A$32,1),0)+1))</f>
        <v>0.085</v>
      </c>
      <c r="AM103" s="34"/>
      <c r="AN103" s="33" t="n">
        <f aca="false">IF(N(AM103)&gt;0,AM103,AL103)</f>
        <v>0.085</v>
      </c>
      <c r="AO103" s="29" t="n">
        <f aca="false">IF(N(AN103)=0,"",AN103+IF(I103="yes",AN103*Inputs!$B$10*Inputs!$B$9,0)+IFERROR(INDEX(Inputs!$B$13:$B$15,MATCH(G103,Inputs!$A$13:$A$15,0)),0)+IFERROR(INDEX(Inputs!$B$18:$B$24,MATCH(H103,Inputs!$A$18:$A$24,0)),0))</f>
        <v>0.08075</v>
      </c>
      <c r="AP103" s="28" t="n">
        <f aca="false">IF(OR(N(AO103)&lt;=0,N(AG103)=0,N(L103)=0),"",MIN(L103,AG103/AO103))</f>
        <v>23.6068111455108</v>
      </c>
      <c r="AQ103" s="29" t="n">
        <f aca="false">IF(OR(AP103="",N(O103)=0),"",AP103/O103-1)</f>
        <v>-0.0224922921113525</v>
      </c>
      <c r="AR103" s="29" t="n">
        <f aca="false">IF(OR(AQ103="",N(O103)=0),"",AQ103+AG103/O103)</f>
        <v>0.0564414553006558</v>
      </c>
      <c r="AS103" s="32" t="n">
        <f aca="false">IF(OR(AR103="",N(AJ103)=0),"",AR103-AJ103)</f>
        <v>-0.057688979481953</v>
      </c>
      <c r="AT103" s="28" t="n">
        <v>25</v>
      </c>
      <c r="AU103" s="28" t="n">
        <v>1.90625</v>
      </c>
      <c r="AV103" s="28" t="n">
        <f aca="false">IF(N(AT103)&gt;0,AT103,L103)</f>
        <v>25</v>
      </c>
      <c r="AW103" s="28" t="n">
        <f aca="false">IF(AND(N(M103)&gt;0,N(AV103)&gt;0),M103*AV103,IF(N(AU103)&gt;0,AU103,N103))</f>
        <v>1.90625</v>
      </c>
      <c r="AX103" s="29" t="n">
        <f aca="false">IF(N(AN103)=0,"",AN103+IF(I103="yes",AN103*Inputs!$B$10*Inputs!$B$9,0)+IFERROR(INDEX(Inputs!$B$13:$B$15,MATCH(G103,Inputs!$A$13:$A$15,0)),0)+IFERROR(INDEX(Inputs!$B$18:$B$24,MATCH(H103,Inputs!$A$18:$A$24,0)),0))</f>
        <v>0.08075</v>
      </c>
      <c r="AY103" s="28" t="n">
        <f aca="false">IF(OR(N(AX103)&lt;=0,N(AW103)=0,N(AV103)=0),"",MIN(AV103,AW103/AX103))</f>
        <v>23.6068111455108</v>
      </c>
      <c r="AZ103" s="29" t="n">
        <f aca="false">IF(OR(AY103="",N(O103)=0),"",AY103/O103-1)</f>
        <v>-0.0224922921113525</v>
      </c>
      <c r="BA103" s="29" t="n">
        <f aca="false">IF(OR(AZ103="",N(O103)=0),"",AZ103+AW103/O103)</f>
        <v>0.0564414553006558</v>
      </c>
      <c r="BB103" s="32" t="n">
        <f aca="false">IF(OR(BA103="",N(AR103)=0),"",BA103-AR103)</f>
        <v>0</v>
      </c>
      <c r="BC103" s="35" t="n">
        <f aca="false">IF(OR(BA103="",N(U103)=0),"",BA103-U103)</f>
        <v>-0.0576889794819527</v>
      </c>
      <c r="BD103" s="37"/>
    </row>
    <row r="104" customFormat="false" ht="15" hidden="false" customHeight="false" outlineLevel="0" collapsed="false">
      <c r="A104" s="2" t="s">
        <v>140</v>
      </c>
      <c r="B104" s="2" t="n">
        <v>196</v>
      </c>
      <c r="C104" s="2" t="s">
        <v>323</v>
      </c>
      <c r="D104" s="2" t="s">
        <v>324</v>
      </c>
      <c r="E104" s="2" t="s">
        <v>325</v>
      </c>
      <c r="F104" s="27" t="n">
        <v>5900</v>
      </c>
      <c r="G104" s="2" t="s">
        <v>51</v>
      </c>
      <c r="H104" s="2" t="s">
        <v>58</v>
      </c>
      <c r="I104" s="2" t="s">
        <v>151</v>
      </c>
      <c r="J104" s="2" t="s">
        <v>145</v>
      </c>
      <c r="K104" s="2" t="n">
        <v>4</v>
      </c>
      <c r="L104" s="28" t="n">
        <v>25</v>
      </c>
      <c r="M104" s="29" t="n">
        <v>0.06875</v>
      </c>
      <c r="N104" s="28" t="n">
        <v>1.71875</v>
      </c>
      <c r="O104" s="28" t="n">
        <v>24.4</v>
      </c>
      <c r="P104" s="2" t="s">
        <v>146</v>
      </c>
      <c r="Q104" s="29" t="n">
        <v>0.08</v>
      </c>
      <c r="R104" s="30" t="n">
        <v>0.076</v>
      </c>
      <c r="S104" s="31" t="n">
        <v>22.6151315789474</v>
      </c>
      <c r="T104" s="30" t="n">
        <v>-0.0731503451251078</v>
      </c>
      <c r="U104" s="30" t="n">
        <v>-0.00270977135461596</v>
      </c>
      <c r="V104" s="29" t="n">
        <v>0</v>
      </c>
      <c r="W104" s="29" t="n">
        <f aca="false">IF(N(Q104)=0,"",Q104+IF(I104="yes",Q104*Inputs!$B$10*Inputs!$B$9,0)+V104)</f>
        <v>0.076</v>
      </c>
      <c r="X104" s="28" t="n">
        <f aca="false">IF(OR(N(W104)&lt;=0,N(N104)=0,N(L104)=0),"",MIN(L104,N104/W104))</f>
        <v>22.6151315789474</v>
      </c>
      <c r="Y104" s="29" t="n">
        <f aca="false">IF(OR(X104="",N(O104)=0),"",X104/O104-1)</f>
        <v>-0.0731503451251078</v>
      </c>
      <c r="Z104" s="29" t="n">
        <f aca="false">IF(OR(Y104="",N(O104)=0),"",Y104+N104/O104)</f>
        <v>-0.00270977135461596</v>
      </c>
      <c r="AA104" s="32" t="n">
        <f aca="false">IF(OR(Z104="",N(U104)=0),"",Z104-U104)</f>
        <v>0</v>
      </c>
      <c r="AB104" s="29" t="n">
        <f aca="false">IF(N(Q104)=0,"",Q104+IF(I104="yes",Q104*Inputs!$B$10*Inputs!$B$9,0)+IFERROR(INDEX(Inputs!$B$13:$B$15,MATCH(G104,Inputs!$A$13:$A$15,0)),0)+IFERROR(INDEX(Inputs!$B$18:$B$24,MATCH(H104,Inputs!$A$18:$A$24,0)),0))</f>
        <v>0.076</v>
      </c>
      <c r="AC104" s="28" t="n">
        <f aca="false">IF(OR(N(AB104)&lt;=0,N(N104)=0,N(L104)=0),"",MIN(L104,N104/AB104))</f>
        <v>22.6151315789474</v>
      </c>
      <c r="AD104" s="29" t="n">
        <f aca="false">IF(OR(AC104="",N(O104)=0),"",AC104/O104-1)</f>
        <v>-0.0731503451251078</v>
      </c>
      <c r="AE104" s="29" t="n">
        <f aca="false">IF(OR(AD104="",N(O104)=0),"",AD104+N104/O104)</f>
        <v>-0.00270977135461596</v>
      </c>
      <c r="AF104" s="32" t="n">
        <f aca="false">IF(OR(AE104="",N(Z104)=0),"",AE104-Z104)</f>
        <v>0</v>
      </c>
      <c r="AG104" s="28" t="n">
        <f aca="false">IF(AND(N(M104)&gt;0,N(L104)&gt;0),M104*L104,N104)</f>
        <v>1.71875</v>
      </c>
      <c r="AH104" s="28" t="n">
        <f aca="false">IF(OR(N(AB104)&lt;=0,N(AG104)=0,N(L104)=0),"",MIN(L104,AG104/AB104))</f>
        <v>22.6151315789474</v>
      </c>
      <c r="AI104" s="29" t="n">
        <f aca="false">IF(OR(AH104="",N(O104)=0),"",AH104/O104-1)</f>
        <v>-0.0731503451251075</v>
      </c>
      <c r="AJ104" s="29" t="n">
        <f aca="false">IF(OR(AI104="",N(O104)=0),"",AI104+AG104/O104)</f>
        <v>-0.00270977135461573</v>
      </c>
      <c r="AK104" s="32" t="n">
        <f aca="false">IF(OR(AJ104="",N(AE104)=0),"",AJ104-AE104)</f>
        <v>2.35922392732846E-016</v>
      </c>
      <c r="AL104" s="33" t="n">
        <f aca="false">IF(N(F104)=0,"",INDEX(Inputs!$B$28:$B$32,IFERROR(MATCH(F104,Inputs!$A$28:$A$32,1),0)+1))</f>
        <v>0.08</v>
      </c>
      <c r="AM104" s="34"/>
      <c r="AN104" s="33" t="n">
        <f aca="false">IF(N(AM104)&gt;0,AM104,AL104)</f>
        <v>0.08</v>
      </c>
      <c r="AO104" s="29" t="n">
        <f aca="false">IF(N(AN104)=0,"",AN104+IF(I104="yes",AN104*Inputs!$B$10*Inputs!$B$9,0)+IFERROR(INDEX(Inputs!$B$13:$B$15,MATCH(G104,Inputs!$A$13:$A$15,0)),0)+IFERROR(INDEX(Inputs!$B$18:$B$24,MATCH(H104,Inputs!$A$18:$A$24,0)),0))</f>
        <v>0.076</v>
      </c>
      <c r="AP104" s="28" t="n">
        <f aca="false">IF(OR(N(AO104)&lt;=0,N(AG104)=0,N(L104)=0),"",MIN(L104,AG104/AO104))</f>
        <v>22.6151315789474</v>
      </c>
      <c r="AQ104" s="29" t="n">
        <f aca="false">IF(OR(AP104="",N(O104)=0),"",AP104/O104-1)</f>
        <v>-0.0731503451251075</v>
      </c>
      <c r="AR104" s="29" t="n">
        <f aca="false">IF(OR(AQ104="",N(O104)=0),"",AQ104+AG104/O104)</f>
        <v>-0.00270977135461573</v>
      </c>
      <c r="AS104" s="32" t="n">
        <f aca="false">IF(OR(AR104="",N(AJ104)=0),"",AR104-AJ104)</f>
        <v>0</v>
      </c>
      <c r="AT104" s="28" t="n">
        <v>25</v>
      </c>
      <c r="AU104" s="28" t="n">
        <v>1.71875</v>
      </c>
      <c r="AV104" s="28" t="n">
        <f aca="false">IF(N(AT104)&gt;0,AT104,L104)</f>
        <v>25</v>
      </c>
      <c r="AW104" s="28" t="n">
        <f aca="false">IF(AND(N(M104)&gt;0,N(AV104)&gt;0),M104*AV104,IF(N(AU104)&gt;0,AU104,N104))</f>
        <v>1.71875</v>
      </c>
      <c r="AX104" s="29" t="n">
        <f aca="false">IF(N(AN104)=0,"",AN104+IF(I104="yes",AN104*Inputs!$B$10*Inputs!$B$9,0)+IFERROR(INDEX(Inputs!$B$13:$B$15,MATCH(G104,Inputs!$A$13:$A$15,0)),0)+IFERROR(INDEX(Inputs!$B$18:$B$24,MATCH(H104,Inputs!$A$18:$A$24,0)),0))</f>
        <v>0.076</v>
      </c>
      <c r="AY104" s="28" t="n">
        <f aca="false">IF(OR(N(AX104)&lt;=0,N(AW104)=0,N(AV104)=0),"",MIN(AV104,AW104/AX104))</f>
        <v>22.6151315789474</v>
      </c>
      <c r="AZ104" s="29" t="n">
        <f aca="false">IF(OR(AY104="",N(O104)=0),"",AY104/O104-1)</f>
        <v>-0.0731503451251075</v>
      </c>
      <c r="BA104" s="29" t="n">
        <f aca="false">IF(OR(AZ104="",N(O104)=0),"",AZ104+AW104/O104)</f>
        <v>-0.00270977135461573</v>
      </c>
      <c r="BB104" s="32" t="n">
        <f aca="false">IF(OR(BA104="",N(AR104)=0),"",BA104-AR104)</f>
        <v>0</v>
      </c>
      <c r="BC104" s="35" t="n">
        <f aca="false">IF(OR(BA104="",N(U104)=0),"",BA104-U104)</f>
        <v>2.35488711863852E-016</v>
      </c>
      <c r="BD104" s="37"/>
    </row>
    <row r="105" customFormat="false" ht="15" hidden="false" customHeight="false" outlineLevel="0" collapsed="false">
      <c r="A105" s="2" t="s">
        <v>140</v>
      </c>
      <c r="B105" s="2" t="n">
        <v>200</v>
      </c>
      <c r="C105" s="2" t="s">
        <v>326</v>
      </c>
      <c r="D105" s="2" t="s">
        <v>327</v>
      </c>
      <c r="E105" s="2" t="s">
        <v>143</v>
      </c>
      <c r="F105" s="27"/>
      <c r="G105" s="2" t="s">
        <v>51</v>
      </c>
      <c r="H105" s="2" t="s">
        <v>58</v>
      </c>
      <c r="I105" s="2" t="s">
        <v>144</v>
      </c>
      <c r="J105" s="2" t="s">
        <v>168</v>
      </c>
      <c r="K105" s="2" t="n">
        <v>12</v>
      </c>
      <c r="L105" s="28" t="n">
        <v>25</v>
      </c>
      <c r="M105" s="29" t="n">
        <v>0.13</v>
      </c>
      <c r="N105" s="28" t="n">
        <v>3.25</v>
      </c>
      <c r="O105" s="28" t="n">
        <v>0</v>
      </c>
      <c r="P105" s="2" t="s">
        <v>223</v>
      </c>
      <c r="Q105" s="29" t="n">
        <v>0</v>
      </c>
      <c r="R105" s="30" t="n">
        <v>0</v>
      </c>
      <c r="S105" s="31"/>
      <c r="T105" s="30"/>
      <c r="U105" s="30"/>
      <c r="V105" s="29" t="n">
        <v>0</v>
      </c>
      <c r="W105" s="29" t="str">
        <f aca="false">IF(N(Q105)=0,"",Q105+IF(I105="yes",Q105*Inputs!$B$10*Inputs!$B$9,0)+V105)</f>
        <v/>
      </c>
      <c r="X105" s="28" t="str">
        <f aca="false">IF(OR(N(W105)&lt;=0,N(N105)=0,N(L105)=0),"",MIN(L105,N105/W105))</f>
        <v/>
      </c>
      <c r="Y105" s="29" t="str">
        <f aca="false">IF(OR(X105="",N(O105)=0),"",X105/O105-1)</f>
        <v/>
      </c>
      <c r="Z105" s="29" t="str">
        <f aca="false">IF(OR(Y105="",N(O105)=0),"",Y105+N105/O105)</f>
        <v/>
      </c>
      <c r="AA105" s="32" t="str">
        <f aca="false">IF(OR(Z105="",N(U105)=0),"",Z105-U105)</f>
        <v/>
      </c>
      <c r="AB105" s="29" t="str">
        <f aca="false">IF(N(Q105)=0,"",Q105+IF(I105="yes",Q105*Inputs!$B$10*Inputs!$B$9,0)+IFERROR(INDEX(Inputs!$B$13:$B$15,MATCH(G105,Inputs!$A$13:$A$15,0)),0)+IFERROR(INDEX(Inputs!$B$18:$B$24,MATCH(H105,Inputs!$A$18:$A$24,0)),0))</f>
        <v/>
      </c>
      <c r="AC105" s="28" t="str">
        <f aca="false">IF(OR(N(AB105)&lt;=0,N(N105)=0,N(L105)=0),"",MIN(L105,N105/AB105))</f>
        <v/>
      </c>
      <c r="AD105" s="29" t="str">
        <f aca="false">IF(OR(AC105="",N(O105)=0),"",AC105/O105-1)</f>
        <v/>
      </c>
      <c r="AE105" s="29" t="str">
        <f aca="false">IF(OR(AD105="",N(O105)=0),"",AD105+N105/O105)</f>
        <v/>
      </c>
      <c r="AF105" s="32" t="str">
        <f aca="false">IF(OR(AE105="",N(Z105)=0),"",AE105-Z105)</f>
        <v/>
      </c>
      <c r="AG105" s="28" t="n">
        <f aca="false">IF(AND(N(M105)&gt;0,N(L105)&gt;0),M105*L105,N105)</f>
        <v>3.25</v>
      </c>
      <c r="AH105" s="28" t="str">
        <f aca="false">IF(OR(N(AB105)&lt;=0,N(AG105)=0,N(L105)=0),"",MIN(L105,AG105/AB105))</f>
        <v/>
      </c>
      <c r="AI105" s="29" t="str">
        <f aca="false">IF(OR(AH105="",N(O105)=0),"",AH105/O105-1)</f>
        <v/>
      </c>
      <c r="AJ105" s="29" t="str">
        <f aca="false">IF(OR(AI105="",N(O105)=0),"",AI105+AG105/O105)</f>
        <v/>
      </c>
      <c r="AK105" s="32" t="str">
        <f aca="false">IF(OR(AJ105="",N(AE105)=0),"",AJ105-AE105)</f>
        <v/>
      </c>
      <c r="AL105" s="33" t="str">
        <f aca="false">IF(N(F105)=0,"",INDEX(Inputs!$B$28:$B$32,IFERROR(MATCH(F105,Inputs!$A$28:$A$32,1),0)+1))</f>
        <v/>
      </c>
      <c r="AM105" s="34"/>
      <c r="AN105" s="33" t="str">
        <f aca="false">IF(N(AM105)&gt;0,AM105,AL105)</f>
        <v/>
      </c>
      <c r="AO105" s="29" t="str">
        <f aca="false">IF(N(AN105)=0,"",AN105+IF(I105="yes",AN105*Inputs!$B$10*Inputs!$B$9,0)+IFERROR(INDEX(Inputs!$B$13:$B$15,MATCH(G105,Inputs!$A$13:$A$15,0)),0)+IFERROR(INDEX(Inputs!$B$18:$B$24,MATCH(H105,Inputs!$A$18:$A$24,0)),0))</f>
        <v/>
      </c>
      <c r="AP105" s="28" t="str">
        <f aca="false">IF(OR(N(AO105)&lt;=0,N(AG105)=0,N(L105)=0),"",MIN(L105,AG105/AO105))</f>
        <v/>
      </c>
      <c r="AQ105" s="29" t="str">
        <f aca="false">IF(OR(AP105="",N(O105)=0),"",AP105/O105-1)</f>
        <v/>
      </c>
      <c r="AR105" s="29" t="str">
        <f aca="false">IF(OR(AQ105="",N(O105)=0),"",AQ105+AG105/O105)</f>
        <v/>
      </c>
      <c r="AS105" s="32" t="str">
        <f aca="false">IF(OR(AR105="",N(AJ105)=0),"",AR105-AJ105)</f>
        <v/>
      </c>
      <c r="AT105" s="28"/>
      <c r="AU105" s="28"/>
      <c r="AV105" s="28" t="n">
        <f aca="false">IF(N(AT105)&gt;0,AT105,L105)</f>
        <v>25</v>
      </c>
      <c r="AW105" s="28" t="n">
        <f aca="false">IF(AND(N(M105)&gt;0,N(AV105)&gt;0),M105*AV105,IF(N(AU105)&gt;0,AU105,N105))</f>
        <v>3.25</v>
      </c>
      <c r="AX105" s="29" t="str">
        <f aca="false">IF(N(AN105)=0,"",AN105+IF(I105="yes",AN105*Inputs!$B$10*Inputs!$B$9,0)+IFERROR(INDEX(Inputs!$B$13:$B$15,MATCH(G105,Inputs!$A$13:$A$15,0)),0)+IFERROR(INDEX(Inputs!$B$18:$B$24,MATCH(H105,Inputs!$A$18:$A$24,0)),0))</f>
        <v/>
      </c>
      <c r="AY105" s="28" t="str">
        <f aca="false">IF(OR(N(AX105)&lt;=0,N(AW105)=0,N(AV105)=0),"",MIN(AV105,AW105/AX105))</f>
        <v/>
      </c>
      <c r="AZ105" s="29" t="str">
        <f aca="false">IF(OR(AY105="",N(O105)=0),"",AY105/O105-1)</f>
        <v/>
      </c>
      <c r="BA105" s="29" t="str">
        <f aca="false">IF(OR(AZ105="",N(O105)=0),"",AZ105+AW105/O105)</f>
        <v/>
      </c>
      <c r="BB105" s="32" t="str">
        <f aca="false">IF(OR(BA105="",N(AR105)=0),"",BA105-AR105)</f>
        <v/>
      </c>
      <c r="BC105" s="35" t="str">
        <f aca="false">IF(OR(BA105="",N(U105)=0),"",BA105-U105)</f>
        <v/>
      </c>
      <c r="BD105" s="36" t="s">
        <v>328</v>
      </c>
    </row>
    <row r="106" customFormat="false" ht="15" hidden="false" customHeight="false" outlineLevel="0" collapsed="false">
      <c r="A106" s="2" t="s">
        <v>140</v>
      </c>
      <c r="B106" s="2" t="n">
        <v>204</v>
      </c>
      <c r="C106" s="2" t="s">
        <v>329</v>
      </c>
      <c r="D106" s="2" t="s">
        <v>330</v>
      </c>
      <c r="E106" s="2" t="s">
        <v>331</v>
      </c>
      <c r="F106" s="27"/>
      <c r="G106" s="2" t="s">
        <v>51</v>
      </c>
      <c r="H106" s="2" t="s">
        <v>58</v>
      </c>
      <c r="I106" s="2" t="s">
        <v>151</v>
      </c>
      <c r="J106" s="2" t="s">
        <v>168</v>
      </c>
      <c r="K106" s="2" t="n">
        <v>12</v>
      </c>
      <c r="L106" s="28" t="n">
        <v>25</v>
      </c>
      <c r="M106" s="29" t="n">
        <v>0.105</v>
      </c>
      <c r="N106" s="28" t="n">
        <v>2.625</v>
      </c>
      <c r="O106" s="28" t="n">
        <v>0.0001</v>
      </c>
      <c r="P106" s="2" t="s">
        <v>146</v>
      </c>
      <c r="Q106" s="29" t="n">
        <v>0.1</v>
      </c>
      <c r="R106" s="30" t="n">
        <v>0.095</v>
      </c>
      <c r="S106" s="31" t="n">
        <v>25</v>
      </c>
      <c r="T106" s="30" t="n">
        <v>249999</v>
      </c>
      <c r="U106" s="30" t="n">
        <v>276249</v>
      </c>
      <c r="V106" s="29" t="n">
        <v>0</v>
      </c>
      <c r="W106" s="29" t="n">
        <f aca="false">IF(N(Q106)=0,"",Q106+IF(I106="yes",Q106*Inputs!$B$10*Inputs!$B$9,0)+V106)</f>
        <v>0.095</v>
      </c>
      <c r="X106" s="28" t="n">
        <f aca="false">IF(OR(N(W106)&lt;=0,N(N106)=0,N(L106)=0),"",MIN(L106,N106/W106))</f>
        <v>25</v>
      </c>
      <c r="Y106" s="29" t="n">
        <f aca="false">IF(OR(X106="",N(O106)=0),"",X106/O106-1)</f>
        <v>249999</v>
      </c>
      <c r="Z106" s="29" t="n">
        <f aca="false">IF(OR(Y106="",N(O106)=0),"",Y106+N106/O106)</f>
        <v>276249</v>
      </c>
      <c r="AA106" s="32" t="n">
        <f aca="false">IF(OR(Z106="",N(U106)=0),"",Z106-U106)</f>
        <v>0</v>
      </c>
      <c r="AB106" s="29" t="n">
        <f aca="false">IF(N(Q106)=0,"",Q106+IF(I106="yes",Q106*Inputs!$B$10*Inputs!$B$9,0)+IFERROR(INDEX(Inputs!$B$13:$B$15,MATCH(G106,Inputs!$A$13:$A$15,0)),0)+IFERROR(INDEX(Inputs!$B$18:$B$24,MATCH(H106,Inputs!$A$18:$A$24,0)),0))</f>
        <v>0.095</v>
      </c>
      <c r="AC106" s="28" t="n">
        <f aca="false">IF(OR(N(AB106)&lt;=0,N(N106)=0,N(L106)=0),"",MIN(L106,N106/AB106))</f>
        <v>25</v>
      </c>
      <c r="AD106" s="29" t="n">
        <f aca="false">IF(OR(AC106="",N(O106)=0),"",AC106/O106-1)</f>
        <v>249999</v>
      </c>
      <c r="AE106" s="29" t="n">
        <f aca="false">IF(OR(AD106="",N(O106)=0),"",AD106+N106/O106)</f>
        <v>276249</v>
      </c>
      <c r="AF106" s="32" t="n">
        <f aca="false">IF(OR(AE106="",N(Z106)=0),"",AE106-Z106)</f>
        <v>0</v>
      </c>
      <c r="AG106" s="28" t="n">
        <f aca="false">IF(AND(N(M106)&gt;0,N(L106)&gt;0),M106*L106,N106)</f>
        <v>2.625</v>
      </c>
      <c r="AH106" s="28" t="n">
        <f aca="false">IF(OR(N(AB106)&lt;=0,N(AG106)=0,N(L106)=0),"",MIN(L106,AG106/AB106))</f>
        <v>25</v>
      </c>
      <c r="AI106" s="29" t="n">
        <f aca="false">IF(OR(AH106="",N(O106)=0),"",AH106/O106-1)</f>
        <v>249999</v>
      </c>
      <c r="AJ106" s="29" t="n">
        <f aca="false">IF(OR(AI106="",N(O106)=0),"",AI106+AG106/O106)</f>
        <v>276249</v>
      </c>
      <c r="AK106" s="32" t="n">
        <f aca="false">IF(OR(AJ106="",N(AE106)=0),"",AJ106-AE106)</f>
        <v>0</v>
      </c>
      <c r="AL106" s="33" t="str">
        <f aca="false">IF(N(F106)=0,"",INDEX(Inputs!$B$28:$B$32,IFERROR(MATCH(F106,Inputs!$A$28:$A$32,1),0)+1))</f>
        <v/>
      </c>
      <c r="AM106" s="34"/>
      <c r="AN106" s="33" t="str">
        <f aca="false">IF(N(AM106)&gt;0,AM106,AL106)</f>
        <v/>
      </c>
      <c r="AO106" s="29" t="str">
        <f aca="false">IF(N(AN106)=0,"",AN106+IF(I106="yes",AN106*Inputs!$B$10*Inputs!$B$9,0)+IFERROR(INDEX(Inputs!$B$13:$B$15,MATCH(G106,Inputs!$A$13:$A$15,0)),0)+IFERROR(INDEX(Inputs!$B$18:$B$24,MATCH(H106,Inputs!$A$18:$A$24,0)),0))</f>
        <v/>
      </c>
      <c r="AP106" s="28" t="str">
        <f aca="false">IF(OR(N(AO106)&lt;=0,N(AG106)=0,N(L106)=0),"",MIN(L106,AG106/AO106))</f>
        <v/>
      </c>
      <c r="AQ106" s="29" t="str">
        <f aca="false">IF(OR(AP106="",N(O106)=0),"",AP106/O106-1)</f>
        <v/>
      </c>
      <c r="AR106" s="29" t="str">
        <f aca="false">IF(OR(AQ106="",N(O106)=0),"",AQ106+AG106/O106)</f>
        <v/>
      </c>
      <c r="AS106" s="32" t="str">
        <f aca="false">IF(OR(AR106="",N(AJ106)=0),"",AR106-AJ106)</f>
        <v/>
      </c>
      <c r="AT106" s="28"/>
      <c r="AU106" s="28"/>
      <c r="AV106" s="28" t="n">
        <f aca="false">IF(N(AT106)&gt;0,AT106,L106)</f>
        <v>25</v>
      </c>
      <c r="AW106" s="28" t="n">
        <f aca="false">IF(AND(N(M106)&gt;0,N(AV106)&gt;0),M106*AV106,IF(N(AU106)&gt;0,AU106,N106))</f>
        <v>2.625</v>
      </c>
      <c r="AX106" s="29" t="str">
        <f aca="false">IF(N(AN106)=0,"",AN106+IF(I106="yes",AN106*Inputs!$B$10*Inputs!$B$9,0)+IFERROR(INDEX(Inputs!$B$13:$B$15,MATCH(G106,Inputs!$A$13:$A$15,0)),0)+IFERROR(INDEX(Inputs!$B$18:$B$24,MATCH(H106,Inputs!$A$18:$A$24,0)),0))</f>
        <v/>
      </c>
      <c r="AY106" s="28" t="str">
        <f aca="false">IF(OR(N(AX106)&lt;=0,N(AW106)=0,N(AV106)=0),"",MIN(AV106,AW106/AX106))</f>
        <v/>
      </c>
      <c r="AZ106" s="29" t="str">
        <f aca="false">IF(OR(AY106="",N(O106)=0),"",AY106/O106-1)</f>
        <v/>
      </c>
      <c r="BA106" s="29" t="str">
        <f aca="false">IF(OR(AZ106="",N(O106)=0),"",AZ106+AW106/O106)</f>
        <v/>
      </c>
      <c r="BB106" s="32" t="str">
        <f aca="false">IF(OR(BA106="",N(AR106)=0),"",BA106-AR106)</f>
        <v/>
      </c>
      <c r="BC106" s="35" t="str">
        <f aca="false">IF(OR(BA106="",N(U106)=0),"",BA106-U106)</f>
        <v/>
      </c>
      <c r="BD106" s="36" t="s">
        <v>332</v>
      </c>
    </row>
    <row r="107" customFormat="false" ht="15" hidden="false" customHeight="false" outlineLevel="0" collapsed="false">
      <c r="A107" s="2" t="s">
        <v>140</v>
      </c>
      <c r="B107" s="2" t="n">
        <v>208</v>
      </c>
      <c r="C107" s="2" t="s">
        <v>333</v>
      </c>
      <c r="D107" s="2" t="s">
        <v>334</v>
      </c>
      <c r="E107" s="2" t="s">
        <v>335</v>
      </c>
      <c r="F107" s="27" t="n">
        <v>7200</v>
      </c>
      <c r="G107" s="2" t="s">
        <v>51</v>
      </c>
      <c r="H107" s="2" t="s">
        <v>58</v>
      </c>
      <c r="I107" s="2" t="s">
        <v>151</v>
      </c>
      <c r="J107" s="2" t="s">
        <v>145</v>
      </c>
      <c r="K107" s="2" t="n">
        <v>4</v>
      </c>
      <c r="L107" s="28" t="n">
        <v>25</v>
      </c>
      <c r="M107" s="29" t="n">
        <v>0.055</v>
      </c>
      <c r="N107" s="28" t="n">
        <v>1.375</v>
      </c>
      <c r="O107" s="28" t="n">
        <v>18.51</v>
      </c>
      <c r="P107" s="2" t="s">
        <v>146</v>
      </c>
      <c r="Q107" s="29" t="n">
        <v>0.08</v>
      </c>
      <c r="R107" s="30" t="n">
        <v>0.076</v>
      </c>
      <c r="S107" s="31" t="n">
        <v>18.0921052631579</v>
      </c>
      <c r="T107" s="30" t="n">
        <v>-0.022576701071967</v>
      </c>
      <c r="U107" s="30" t="n">
        <v>0.0517074696465636</v>
      </c>
      <c r="V107" s="29" t="n">
        <v>0</v>
      </c>
      <c r="W107" s="29" t="n">
        <f aca="false">IF(N(Q107)=0,"",Q107+IF(I107="yes",Q107*Inputs!$B$10*Inputs!$B$9,0)+V107)</f>
        <v>0.076</v>
      </c>
      <c r="X107" s="28" t="n">
        <f aca="false">IF(OR(N(W107)&lt;=0,N(N107)=0,N(L107)=0),"",MIN(L107,N107/W107))</f>
        <v>18.0921052631579</v>
      </c>
      <c r="Y107" s="29" t="n">
        <f aca="false">IF(OR(X107="",N(O107)=0),"",X107/O107-1)</f>
        <v>-0.022576701071967</v>
      </c>
      <c r="Z107" s="29" t="n">
        <f aca="false">IF(OR(Y107="",N(O107)=0),"",Y107+N107/O107)</f>
        <v>0.0517074696465636</v>
      </c>
      <c r="AA107" s="32" t="n">
        <f aca="false">IF(OR(Z107="",N(U107)=0),"",Z107-U107)</f>
        <v>0</v>
      </c>
      <c r="AB107" s="29" t="n">
        <f aca="false">IF(N(Q107)=0,"",Q107+IF(I107="yes",Q107*Inputs!$B$10*Inputs!$B$9,0)+IFERROR(INDEX(Inputs!$B$13:$B$15,MATCH(G107,Inputs!$A$13:$A$15,0)),0)+IFERROR(INDEX(Inputs!$B$18:$B$24,MATCH(H107,Inputs!$A$18:$A$24,0)),0))</f>
        <v>0.076</v>
      </c>
      <c r="AC107" s="28" t="n">
        <f aca="false">IF(OR(N(AB107)&lt;=0,N(N107)=0,N(L107)=0),"",MIN(L107,N107/AB107))</f>
        <v>18.0921052631579</v>
      </c>
      <c r="AD107" s="29" t="n">
        <f aca="false">IF(OR(AC107="",N(O107)=0),"",AC107/O107-1)</f>
        <v>-0.022576701071967</v>
      </c>
      <c r="AE107" s="29" t="n">
        <f aca="false">IF(OR(AD107="",N(O107)=0),"",AD107+N107/O107)</f>
        <v>0.0517074696465636</v>
      </c>
      <c r="AF107" s="32" t="n">
        <f aca="false">IF(OR(AE107="",N(Z107)=0),"",AE107-Z107)</f>
        <v>0</v>
      </c>
      <c r="AG107" s="28" t="n">
        <f aca="false">IF(AND(N(M107)&gt;0,N(L107)&gt;0),M107*L107,N107)</f>
        <v>1.375</v>
      </c>
      <c r="AH107" s="28" t="n">
        <f aca="false">IF(OR(N(AB107)&lt;=0,N(AG107)=0,N(L107)=0),"",MIN(L107,AG107/AB107))</f>
        <v>18.0921052631579</v>
      </c>
      <c r="AI107" s="29" t="n">
        <f aca="false">IF(OR(AH107="",N(O107)=0),"",AH107/O107-1)</f>
        <v>-0.022576701071967</v>
      </c>
      <c r="AJ107" s="29" t="n">
        <f aca="false">IF(OR(AI107="",N(O107)=0),"",AI107+AG107/O107)</f>
        <v>0.0517074696465636</v>
      </c>
      <c r="AK107" s="32" t="n">
        <f aca="false">IF(OR(AJ107="",N(AE107)=0),"",AJ107-AE107)</f>
        <v>0</v>
      </c>
      <c r="AL107" s="33" t="n">
        <f aca="false">IF(N(F107)=0,"",INDEX(Inputs!$B$28:$B$32,IFERROR(MATCH(F107,Inputs!$A$28:$A$32,1),0)+1))</f>
        <v>0.08</v>
      </c>
      <c r="AM107" s="34"/>
      <c r="AN107" s="33" t="n">
        <f aca="false">IF(N(AM107)&gt;0,AM107,AL107)</f>
        <v>0.08</v>
      </c>
      <c r="AO107" s="29" t="n">
        <f aca="false">IF(N(AN107)=0,"",AN107+IF(I107="yes",AN107*Inputs!$B$10*Inputs!$B$9,0)+IFERROR(INDEX(Inputs!$B$13:$B$15,MATCH(G107,Inputs!$A$13:$A$15,0)),0)+IFERROR(INDEX(Inputs!$B$18:$B$24,MATCH(H107,Inputs!$A$18:$A$24,0)),0))</f>
        <v>0.076</v>
      </c>
      <c r="AP107" s="28" t="n">
        <f aca="false">IF(OR(N(AO107)&lt;=0,N(AG107)=0,N(L107)=0),"",MIN(L107,AG107/AO107))</f>
        <v>18.0921052631579</v>
      </c>
      <c r="AQ107" s="29" t="n">
        <f aca="false">IF(OR(AP107="",N(O107)=0),"",AP107/O107-1)</f>
        <v>-0.022576701071967</v>
      </c>
      <c r="AR107" s="29" t="n">
        <f aca="false">IF(OR(AQ107="",N(O107)=0),"",AQ107+AG107/O107)</f>
        <v>0.0517074696465636</v>
      </c>
      <c r="AS107" s="32" t="n">
        <f aca="false">IF(OR(AR107="",N(AJ107)=0),"",AR107-AJ107)</f>
        <v>0</v>
      </c>
      <c r="AT107" s="28" t="n">
        <v>25</v>
      </c>
      <c r="AU107" s="28" t="n">
        <v>1.38</v>
      </c>
      <c r="AV107" s="28" t="n">
        <f aca="false">IF(N(AT107)&gt;0,AT107,L107)</f>
        <v>25</v>
      </c>
      <c r="AW107" s="28" t="n">
        <f aca="false">IF(AND(N(M107)&gt;0,N(AV107)&gt;0),M107*AV107,IF(N(AU107)&gt;0,AU107,N107))</f>
        <v>1.375</v>
      </c>
      <c r="AX107" s="29" t="n">
        <f aca="false">IF(N(AN107)=0,"",AN107+IF(I107="yes",AN107*Inputs!$B$10*Inputs!$B$9,0)+IFERROR(INDEX(Inputs!$B$13:$B$15,MATCH(G107,Inputs!$A$13:$A$15,0)),0)+IFERROR(INDEX(Inputs!$B$18:$B$24,MATCH(H107,Inputs!$A$18:$A$24,0)),0))</f>
        <v>0.076</v>
      </c>
      <c r="AY107" s="28" t="n">
        <f aca="false">IF(OR(N(AX107)&lt;=0,N(AW107)=0,N(AV107)=0),"",MIN(AV107,AW107/AX107))</f>
        <v>18.0921052631579</v>
      </c>
      <c r="AZ107" s="29" t="n">
        <f aca="false">IF(OR(AY107="",N(O107)=0),"",AY107/O107-1)</f>
        <v>-0.022576701071967</v>
      </c>
      <c r="BA107" s="29" t="n">
        <f aca="false">IF(OR(AZ107="",N(O107)=0),"",AZ107+AW107/O107)</f>
        <v>0.0517074696465636</v>
      </c>
      <c r="BB107" s="32" t="n">
        <f aca="false">IF(OR(BA107="",N(AR107)=0),"",BA107-AR107)</f>
        <v>0</v>
      </c>
      <c r="BC107" s="35" t="n">
        <f aca="false">IF(OR(BA107="",N(U107)=0),"",BA107-U107)</f>
        <v>0</v>
      </c>
      <c r="BD107" s="37"/>
    </row>
    <row r="108" customFormat="false" ht="15" hidden="false" customHeight="false" outlineLevel="0" collapsed="false">
      <c r="A108" s="2" t="s">
        <v>140</v>
      </c>
      <c r="B108" s="2" t="n">
        <v>214</v>
      </c>
      <c r="C108" s="2" t="s">
        <v>336</v>
      </c>
      <c r="D108" s="2" t="s">
        <v>337</v>
      </c>
      <c r="E108" s="2" t="s">
        <v>338</v>
      </c>
      <c r="F108" s="27" t="n">
        <v>432600</v>
      </c>
      <c r="G108" s="2" t="s">
        <v>51</v>
      </c>
      <c r="H108" s="2" t="s">
        <v>58</v>
      </c>
      <c r="I108" s="2" t="s">
        <v>151</v>
      </c>
      <c r="J108" s="2" t="s">
        <v>145</v>
      </c>
      <c r="K108" s="2" t="n">
        <v>4</v>
      </c>
      <c r="L108" s="28" t="n">
        <v>25</v>
      </c>
      <c r="M108" s="29" t="n">
        <v>0.06</v>
      </c>
      <c r="N108" s="28" t="n">
        <v>1.5</v>
      </c>
      <c r="O108" s="28" t="n">
        <v>24.4</v>
      </c>
      <c r="P108" s="2" t="s">
        <v>146</v>
      </c>
      <c r="Q108" s="29" t="n">
        <v>0.08</v>
      </c>
      <c r="R108" s="30" t="n">
        <v>0.076</v>
      </c>
      <c r="S108" s="31" t="n">
        <v>19.7368421052632</v>
      </c>
      <c r="T108" s="30" t="n">
        <v>-0.191113028472822</v>
      </c>
      <c r="U108" s="30" t="n">
        <v>-0.129637618636756</v>
      </c>
      <c r="V108" s="29" t="n">
        <v>0</v>
      </c>
      <c r="W108" s="29" t="n">
        <f aca="false">IF(N(Q108)=0,"",Q108+IF(I108="yes",Q108*Inputs!$B$10*Inputs!$B$9,0)+V108)</f>
        <v>0.076</v>
      </c>
      <c r="X108" s="28" t="n">
        <f aca="false">IF(OR(N(W108)&lt;=0,N(N108)=0,N(L108)=0),"",MIN(L108,N108/W108))</f>
        <v>19.7368421052632</v>
      </c>
      <c r="Y108" s="29" t="n">
        <f aca="false">IF(OR(X108="",N(O108)=0),"",X108/O108-1)</f>
        <v>-0.191113028472821</v>
      </c>
      <c r="Z108" s="29" t="n">
        <f aca="false">IF(OR(Y108="",N(O108)=0),"",Y108+N108/O108)</f>
        <v>-0.129637618636756</v>
      </c>
      <c r="AA108" s="32" t="n">
        <f aca="false">IF(OR(Z108="",N(U108)=0),"",Z108-U108)</f>
        <v>0</v>
      </c>
      <c r="AB108" s="29" t="n">
        <f aca="false">IF(N(Q108)=0,"",Q108+IF(I108="yes",Q108*Inputs!$B$10*Inputs!$B$9,0)+IFERROR(INDEX(Inputs!$B$13:$B$15,MATCH(G108,Inputs!$A$13:$A$15,0)),0)+IFERROR(INDEX(Inputs!$B$18:$B$24,MATCH(H108,Inputs!$A$18:$A$24,0)),0))</f>
        <v>0.076</v>
      </c>
      <c r="AC108" s="28" t="n">
        <f aca="false">IF(OR(N(AB108)&lt;=0,N(N108)=0,N(L108)=0),"",MIN(L108,N108/AB108))</f>
        <v>19.7368421052632</v>
      </c>
      <c r="AD108" s="29" t="n">
        <f aca="false">IF(OR(AC108="",N(O108)=0),"",AC108/O108-1)</f>
        <v>-0.191113028472821</v>
      </c>
      <c r="AE108" s="29" t="n">
        <f aca="false">IF(OR(AD108="",N(O108)=0),"",AD108+N108/O108)</f>
        <v>-0.129637618636756</v>
      </c>
      <c r="AF108" s="32" t="n">
        <f aca="false">IF(OR(AE108="",N(Z108)=0),"",AE108-Z108)</f>
        <v>0</v>
      </c>
      <c r="AG108" s="28" t="n">
        <f aca="false">IF(AND(N(M108)&gt;0,N(L108)&gt;0),M108*L108,N108)</f>
        <v>1.5</v>
      </c>
      <c r="AH108" s="28" t="n">
        <f aca="false">IF(OR(N(AB108)&lt;=0,N(AG108)=0,N(L108)=0),"",MIN(L108,AG108/AB108))</f>
        <v>19.7368421052632</v>
      </c>
      <c r="AI108" s="29" t="n">
        <f aca="false">IF(OR(AH108="",N(O108)=0),"",AH108/O108-1)</f>
        <v>-0.191113028472821</v>
      </c>
      <c r="AJ108" s="29" t="n">
        <f aca="false">IF(OR(AI108="",N(O108)=0),"",AI108+AG108/O108)</f>
        <v>-0.129637618636756</v>
      </c>
      <c r="AK108" s="32" t="n">
        <f aca="false">IF(OR(AJ108="",N(AE108)=0),"",AJ108-AE108)</f>
        <v>0</v>
      </c>
      <c r="AL108" s="33" t="n">
        <f aca="false">IF(N(F108)=0,"",INDEX(Inputs!$B$28:$B$32,IFERROR(MATCH(F108,Inputs!$A$28:$A$32,1),0)+1))</f>
        <v>0.075</v>
      </c>
      <c r="AM108" s="34"/>
      <c r="AN108" s="33" t="n">
        <f aca="false">IF(N(AM108)&gt;0,AM108,AL108)</f>
        <v>0.075</v>
      </c>
      <c r="AO108" s="29" t="n">
        <f aca="false">IF(N(AN108)=0,"",AN108+IF(I108="yes",AN108*Inputs!$B$10*Inputs!$B$9,0)+IFERROR(INDEX(Inputs!$B$13:$B$15,MATCH(G108,Inputs!$A$13:$A$15,0)),0)+IFERROR(INDEX(Inputs!$B$18:$B$24,MATCH(H108,Inputs!$A$18:$A$24,0)),0))</f>
        <v>0.07125</v>
      </c>
      <c r="AP108" s="28" t="n">
        <f aca="false">IF(OR(N(AO108)&lt;=0,N(AG108)=0,N(L108)=0),"",MIN(L108,AG108/AO108))</f>
        <v>21.0526315789474</v>
      </c>
      <c r="AQ108" s="29" t="n">
        <f aca="false">IF(OR(AP108="",N(O108)=0),"",AP108/O108-1)</f>
        <v>-0.137187230371009</v>
      </c>
      <c r="AR108" s="29" t="n">
        <f aca="false">IF(OR(AQ108="",N(O108)=0),"",AQ108+AG108/O108)</f>
        <v>-0.0757118205349437</v>
      </c>
      <c r="AS108" s="32" t="n">
        <f aca="false">IF(OR(AR108="",N(AJ108)=0),"",AR108-AJ108)</f>
        <v>0.0539257981018121</v>
      </c>
      <c r="AT108" s="28" t="n">
        <v>25</v>
      </c>
      <c r="AU108" s="28" t="n">
        <v>1.5</v>
      </c>
      <c r="AV108" s="28" t="n">
        <f aca="false">IF(N(AT108)&gt;0,AT108,L108)</f>
        <v>25</v>
      </c>
      <c r="AW108" s="28" t="n">
        <f aca="false">IF(AND(N(M108)&gt;0,N(AV108)&gt;0),M108*AV108,IF(N(AU108)&gt;0,AU108,N108))</f>
        <v>1.5</v>
      </c>
      <c r="AX108" s="29" t="n">
        <f aca="false">IF(N(AN108)=0,"",AN108+IF(I108="yes",AN108*Inputs!$B$10*Inputs!$B$9,0)+IFERROR(INDEX(Inputs!$B$13:$B$15,MATCH(G108,Inputs!$A$13:$A$15,0)),0)+IFERROR(INDEX(Inputs!$B$18:$B$24,MATCH(H108,Inputs!$A$18:$A$24,0)),0))</f>
        <v>0.07125</v>
      </c>
      <c r="AY108" s="28" t="n">
        <f aca="false">IF(OR(N(AX108)&lt;=0,N(AW108)=0,N(AV108)=0),"",MIN(AV108,AW108/AX108))</f>
        <v>21.0526315789474</v>
      </c>
      <c r="AZ108" s="29" t="n">
        <f aca="false">IF(OR(AY108="",N(O108)=0),"",AY108/O108-1)</f>
        <v>-0.137187230371009</v>
      </c>
      <c r="BA108" s="29" t="n">
        <f aca="false">IF(OR(AZ108="",N(O108)=0),"",AZ108+AW108/O108)</f>
        <v>-0.0757118205349437</v>
      </c>
      <c r="BB108" s="32" t="n">
        <f aca="false">IF(OR(BA108="",N(AR108)=0),"",BA108-AR108)</f>
        <v>0</v>
      </c>
      <c r="BC108" s="35" t="n">
        <f aca="false">IF(OR(BA108="",N(U108)=0),"",BA108-U108)</f>
        <v>0.0539257981018123</v>
      </c>
      <c r="BD108" s="37"/>
    </row>
    <row r="109" customFormat="false" ht="15" hidden="false" customHeight="false" outlineLevel="0" collapsed="false">
      <c r="A109" s="2" t="s">
        <v>140</v>
      </c>
      <c r="B109" s="2" t="n">
        <v>215</v>
      </c>
      <c r="C109" s="2" t="s">
        <v>339</v>
      </c>
      <c r="D109" s="2" t="s">
        <v>337</v>
      </c>
      <c r="E109" s="2" t="s">
        <v>338</v>
      </c>
      <c r="F109" s="27" t="n">
        <v>432600</v>
      </c>
      <c r="G109" s="2" t="s">
        <v>51</v>
      </c>
      <c r="H109" s="2" t="s">
        <v>60</v>
      </c>
      <c r="I109" s="2" t="s">
        <v>151</v>
      </c>
      <c r="J109" s="2" t="s">
        <v>145</v>
      </c>
      <c r="K109" s="2" t="n">
        <v>4</v>
      </c>
      <c r="L109" s="28" t="n">
        <v>25</v>
      </c>
      <c r="M109" s="29" t="n">
        <v>0.04</v>
      </c>
      <c r="N109" s="28" t="n">
        <v>1</v>
      </c>
      <c r="O109" s="28" t="n">
        <v>18.17</v>
      </c>
      <c r="P109" s="2" t="s">
        <v>146</v>
      </c>
      <c r="Q109" s="29" t="n">
        <v>0.08</v>
      </c>
      <c r="R109" s="30" t="n">
        <v>0.076</v>
      </c>
      <c r="S109" s="31" t="n">
        <v>13.1578947368421</v>
      </c>
      <c r="T109" s="30" t="n">
        <v>-0.275845088781392</v>
      </c>
      <c r="U109" s="30" t="n">
        <v>-0.220809315528778</v>
      </c>
      <c r="V109" s="29" t="n">
        <v>0</v>
      </c>
      <c r="W109" s="29" t="n">
        <f aca="false">IF(N(Q109)=0,"",Q109+IF(I109="yes",Q109*Inputs!$B$10*Inputs!$B$9,0)+V109)</f>
        <v>0.076</v>
      </c>
      <c r="X109" s="28" t="n">
        <f aca="false">IF(OR(N(W109)&lt;=0,N(N109)=0,N(L109)=0),"",MIN(L109,N109/W109))</f>
        <v>13.1578947368421</v>
      </c>
      <c r="Y109" s="29" t="n">
        <f aca="false">IF(OR(X109="",N(O109)=0),"",X109/O109-1)</f>
        <v>-0.275845088781392</v>
      </c>
      <c r="Z109" s="29" t="n">
        <f aca="false">IF(OR(Y109="",N(O109)=0),"",Y109+N109/O109)</f>
        <v>-0.220809315528778</v>
      </c>
      <c r="AA109" s="32" t="n">
        <f aca="false">IF(OR(Z109="",N(U109)=0),"",Z109-U109)</f>
        <v>0</v>
      </c>
      <c r="AB109" s="29" t="n">
        <f aca="false">IF(N(Q109)=0,"",Q109+IF(I109="yes",Q109*Inputs!$B$10*Inputs!$B$9,0)+IFERROR(INDEX(Inputs!$B$13:$B$15,MATCH(G109,Inputs!$A$13:$A$15,0)),0)+IFERROR(INDEX(Inputs!$B$18:$B$24,MATCH(H109,Inputs!$A$18:$A$24,0)),0))</f>
        <v>0.076</v>
      </c>
      <c r="AC109" s="28" t="n">
        <f aca="false">IF(OR(N(AB109)&lt;=0,N(N109)=0,N(L109)=0),"",MIN(L109,N109/AB109))</f>
        <v>13.1578947368421</v>
      </c>
      <c r="AD109" s="29" t="n">
        <f aca="false">IF(OR(AC109="",N(O109)=0),"",AC109/O109-1)</f>
        <v>-0.275845088781392</v>
      </c>
      <c r="AE109" s="29" t="n">
        <f aca="false">IF(OR(AD109="",N(O109)=0),"",AD109+N109/O109)</f>
        <v>-0.220809315528778</v>
      </c>
      <c r="AF109" s="32" t="n">
        <f aca="false">IF(OR(AE109="",N(Z109)=0),"",AE109-Z109)</f>
        <v>0</v>
      </c>
      <c r="AG109" s="28" t="n">
        <f aca="false">IF(AND(N(M109)&gt;0,N(L109)&gt;0),M109*L109,N109)</f>
        <v>1</v>
      </c>
      <c r="AH109" s="28" t="n">
        <f aca="false">IF(OR(N(AB109)&lt;=0,N(AG109)=0,N(L109)=0),"",MIN(L109,AG109/AB109))</f>
        <v>13.1578947368421</v>
      </c>
      <c r="AI109" s="29" t="n">
        <f aca="false">IF(OR(AH109="",N(O109)=0),"",AH109/O109-1)</f>
        <v>-0.275845088781392</v>
      </c>
      <c r="AJ109" s="29" t="n">
        <f aca="false">IF(OR(AI109="",N(O109)=0),"",AI109+AG109/O109)</f>
        <v>-0.220809315528778</v>
      </c>
      <c r="AK109" s="32" t="n">
        <f aca="false">IF(OR(AJ109="",N(AE109)=0),"",AJ109-AE109)</f>
        <v>0</v>
      </c>
      <c r="AL109" s="33" t="n">
        <f aca="false">IF(N(F109)=0,"",INDEX(Inputs!$B$28:$B$32,IFERROR(MATCH(F109,Inputs!$A$28:$A$32,1),0)+1))</f>
        <v>0.075</v>
      </c>
      <c r="AM109" s="34"/>
      <c r="AN109" s="33" t="n">
        <f aca="false">IF(N(AM109)&gt;0,AM109,AL109)</f>
        <v>0.075</v>
      </c>
      <c r="AO109" s="29" t="n">
        <f aca="false">IF(N(AN109)=0,"",AN109+IF(I109="yes",AN109*Inputs!$B$10*Inputs!$B$9,0)+IFERROR(INDEX(Inputs!$B$13:$B$15,MATCH(G109,Inputs!$A$13:$A$15,0)),0)+IFERROR(INDEX(Inputs!$B$18:$B$24,MATCH(H109,Inputs!$A$18:$A$24,0)),0))</f>
        <v>0.07125</v>
      </c>
      <c r="AP109" s="28" t="n">
        <f aca="false">IF(OR(N(AO109)&lt;=0,N(AG109)=0,N(L109)=0),"",MIN(L109,AG109/AO109))</f>
        <v>14.0350877192982</v>
      </c>
      <c r="AQ109" s="29" t="n">
        <f aca="false">IF(OR(AP109="",N(O109)=0),"",AP109/O109-1)</f>
        <v>-0.227568094700152</v>
      </c>
      <c r="AR109" s="29" t="n">
        <f aca="false">IF(OR(AQ109="",N(O109)=0),"",AQ109+AG109/O109)</f>
        <v>-0.172532321447537</v>
      </c>
      <c r="AS109" s="32" t="n">
        <f aca="false">IF(OR(AR109="",N(AJ109)=0),"",AR109-AJ109)</f>
        <v>0.0482769940812405</v>
      </c>
      <c r="AT109" s="28" t="n">
        <v>25</v>
      </c>
      <c r="AU109" s="28"/>
      <c r="AV109" s="28" t="n">
        <f aca="false">IF(N(AT109)&gt;0,AT109,L109)</f>
        <v>25</v>
      </c>
      <c r="AW109" s="28" t="n">
        <f aca="false">IF(AND(N(M109)&gt;0,N(AV109)&gt;0),M109*AV109,IF(N(AU109)&gt;0,AU109,N109))</f>
        <v>1</v>
      </c>
      <c r="AX109" s="29" t="n">
        <f aca="false">IF(N(AN109)=0,"",AN109+IF(I109="yes",AN109*Inputs!$B$10*Inputs!$B$9,0)+IFERROR(INDEX(Inputs!$B$13:$B$15,MATCH(G109,Inputs!$A$13:$A$15,0)),0)+IFERROR(INDEX(Inputs!$B$18:$B$24,MATCH(H109,Inputs!$A$18:$A$24,0)),0))</f>
        <v>0.07125</v>
      </c>
      <c r="AY109" s="28" t="n">
        <f aca="false">IF(OR(N(AX109)&lt;=0,N(AW109)=0,N(AV109)=0),"",MIN(AV109,AW109/AX109))</f>
        <v>14.0350877192982</v>
      </c>
      <c r="AZ109" s="29" t="n">
        <f aca="false">IF(OR(AY109="",N(O109)=0),"",AY109/O109-1)</f>
        <v>-0.227568094700152</v>
      </c>
      <c r="BA109" s="29" t="n">
        <f aca="false">IF(OR(AZ109="",N(O109)=0),"",AZ109+AW109/O109)</f>
        <v>-0.172532321447537</v>
      </c>
      <c r="BB109" s="32" t="n">
        <f aca="false">IF(OR(BA109="",N(AR109)=0),"",BA109-AR109)</f>
        <v>0</v>
      </c>
      <c r="BC109" s="35" t="n">
        <f aca="false">IF(OR(BA109="",N(U109)=0),"",BA109-U109)</f>
        <v>0.0482769940812405</v>
      </c>
      <c r="BD109" s="36" t="s">
        <v>340</v>
      </c>
    </row>
    <row r="110" customFormat="false" ht="15" hidden="false" customHeight="false" outlineLevel="0" collapsed="false">
      <c r="A110" s="2" t="s">
        <v>140</v>
      </c>
      <c r="B110" s="2" t="n">
        <v>216</v>
      </c>
      <c r="C110" s="2" t="s">
        <v>341</v>
      </c>
      <c r="D110" s="2" t="s">
        <v>337</v>
      </c>
      <c r="E110" s="2" t="s">
        <v>338</v>
      </c>
      <c r="F110" s="27" t="n">
        <v>432600</v>
      </c>
      <c r="G110" s="2" t="s">
        <v>51</v>
      </c>
      <c r="H110" s="2" t="s">
        <v>58</v>
      </c>
      <c r="I110" s="2" t="s">
        <v>151</v>
      </c>
      <c r="J110" s="2" t="s">
        <v>145</v>
      </c>
      <c r="K110" s="2" t="n">
        <v>4</v>
      </c>
      <c r="L110" s="28" t="n">
        <v>25</v>
      </c>
      <c r="M110" s="29" t="n">
        <v>0.062032</v>
      </c>
      <c r="N110" s="28" t="n">
        <v>1.5508</v>
      </c>
      <c r="O110" s="28" t="n">
        <v>23.65</v>
      </c>
      <c r="P110" s="2" t="s">
        <v>146</v>
      </c>
      <c r="Q110" s="29" t="n">
        <v>0.08</v>
      </c>
      <c r="R110" s="30" t="n">
        <v>0.076</v>
      </c>
      <c r="S110" s="31" t="n">
        <v>20.4052631578947</v>
      </c>
      <c r="T110" s="30" t="n">
        <v>-0.137198175141872</v>
      </c>
      <c r="U110" s="30" t="n">
        <v>-0.071625236452654</v>
      </c>
      <c r="V110" s="29" t="n">
        <v>0</v>
      </c>
      <c r="W110" s="29" t="n">
        <f aca="false">IF(N(Q110)=0,"",Q110+IF(I110="yes",Q110*Inputs!$B$10*Inputs!$B$9,0)+V110)</f>
        <v>0.076</v>
      </c>
      <c r="X110" s="28" t="n">
        <f aca="false">IF(OR(N(W110)&lt;=0,N(N110)=0,N(L110)=0),"",MIN(L110,N110/W110))</f>
        <v>20.4052631578947</v>
      </c>
      <c r="Y110" s="29" t="n">
        <f aca="false">IF(OR(X110="",N(O110)=0),"",X110/O110-1)</f>
        <v>-0.137198175141872</v>
      </c>
      <c r="Z110" s="29" t="n">
        <f aca="false">IF(OR(Y110="",N(O110)=0),"",Y110+N110/O110)</f>
        <v>-0.0716252364526537</v>
      </c>
      <c r="AA110" s="32" t="n">
        <f aca="false">IF(OR(Z110="",N(U110)=0),"",Z110-U110)</f>
        <v>0</v>
      </c>
      <c r="AB110" s="29" t="n">
        <f aca="false">IF(N(Q110)=0,"",Q110+IF(I110="yes",Q110*Inputs!$B$10*Inputs!$B$9,0)+IFERROR(INDEX(Inputs!$B$13:$B$15,MATCH(G110,Inputs!$A$13:$A$15,0)),0)+IFERROR(INDEX(Inputs!$B$18:$B$24,MATCH(H110,Inputs!$A$18:$A$24,0)),0))</f>
        <v>0.076</v>
      </c>
      <c r="AC110" s="28" t="n">
        <f aca="false">IF(OR(N(AB110)&lt;=0,N(N110)=0,N(L110)=0),"",MIN(L110,N110/AB110))</f>
        <v>20.4052631578947</v>
      </c>
      <c r="AD110" s="29" t="n">
        <f aca="false">IF(OR(AC110="",N(O110)=0),"",AC110/O110-1)</f>
        <v>-0.137198175141872</v>
      </c>
      <c r="AE110" s="29" t="n">
        <f aca="false">IF(OR(AD110="",N(O110)=0),"",AD110+N110/O110)</f>
        <v>-0.0716252364526537</v>
      </c>
      <c r="AF110" s="32" t="n">
        <f aca="false">IF(OR(AE110="",N(Z110)=0),"",AE110-Z110)</f>
        <v>0</v>
      </c>
      <c r="AG110" s="28" t="n">
        <f aca="false">IF(AND(N(M110)&gt;0,N(L110)&gt;0),M110*L110,N110)</f>
        <v>1.5508</v>
      </c>
      <c r="AH110" s="28" t="n">
        <f aca="false">IF(OR(N(AB110)&lt;=0,N(AG110)=0,N(L110)=0),"",MIN(L110,AG110/AB110))</f>
        <v>20.4052631578947</v>
      </c>
      <c r="AI110" s="29" t="n">
        <f aca="false">IF(OR(AH110="",N(O110)=0),"",AH110/O110-1)</f>
        <v>-0.137198175141872</v>
      </c>
      <c r="AJ110" s="29" t="n">
        <f aca="false">IF(OR(AI110="",N(O110)=0),"",AI110+AG110/O110)</f>
        <v>-0.0716252364526537</v>
      </c>
      <c r="AK110" s="32" t="n">
        <f aca="false">IF(OR(AJ110="",N(AE110)=0),"",AJ110-AE110)</f>
        <v>0</v>
      </c>
      <c r="AL110" s="33" t="n">
        <f aca="false">IF(N(F110)=0,"",INDEX(Inputs!$B$28:$B$32,IFERROR(MATCH(F110,Inputs!$A$28:$A$32,1),0)+1))</f>
        <v>0.075</v>
      </c>
      <c r="AM110" s="34"/>
      <c r="AN110" s="33" t="n">
        <f aca="false">IF(N(AM110)&gt;0,AM110,AL110)</f>
        <v>0.075</v>
      </c>
      <c r="AO110" s="29" t="n">
        <f aca="false">IF(N(AN110)=0,"",AN110+IF(I110="yes",AN110*Inputs!$B$10*Inputs!$B$9,0)+IFERROR(INDEX(Inputs!$B$13:$B$15,MATCH(G110,Inputs!$A$13:$A$15,0)),0)+IFERROR(INDEX(Inputs!$B$18:$B$24,MATCH(H110,Inputs!$A$18:$A$24,0)),0))</f>
        <v>0.07125</v>
      </c>
      <c r="AP110" s="28" t="n">
        <f aca="false">IF(OR(N(AO110)&lt;=0,N(AG110)=0,N(L110)=0),"",MIN(L110,AG110/AO110))</f>
        <v>21.7656140350877</v>
      </c>
      <c r="AQ110" s="29" t="n">
        <f aca="false">IF(OR(AP110="",N(O110)=0),"",AP110/O110-1)</f>
        <v>-0.0796780534846628</v>
      </c>
      <c r="AR110" s="29" t="n">
        <f aca="false">IF(OR(AQ110="",N(O110)=0),"",AQ110+AG110/O110)</f>
        <v>-0.0141051147954451</v>
      </c>
      <c r="AS110" s="32" t="n">
        <f aca="false">IF(OR(AR110="",N(AJ110)=0),"",AR110-AJ110)</f>
        <v>0.0575201216572087</v>
      </c>
      <c r="AT110" s="28" t="n">
        <v>25</v>
      </c>
      <c r="AU110" s="28" t="n">
        <v>1.47</v>
      </c>
      <c r="AV110" s="28" t="n">
        <f aca="false">IF(N(AT110)&gt;0,AT110,L110)</f>
        <v>25</v>
      </c>
      <c r="AW110" s="28" t="n">
        <f aca="false">IF(AND(N(M110)&gt;0,N(AV110)&gt;0),M110*AV110,IF(N(AU110)&gt;0,AU110,N110))</f>
        <v>1.5508</v>
      </c>
      <c r="AX110" s="29" t="n">
        <f aca="false">IF(N(AN110)=0,"",AN110+IF(I110="yes",AN110*Inputs!$B$10*Inputs!$B$9,0)+IFERROR(INDEX(Inputs!$B$13:$B$15,MATCH(G110,Inputs!$A$13:$A$15,0)),0)+IFERROR(INDEX(Inputs!$B$18:$B$24,MATCH(H110,Inputs!$A$18:$A$24,0)),0))</f>
        <v>0.07125</v>
      </c>
      <c r="AY110" s="28" t="n">
        <f aca="false">IF(OR(N(AX110)&lt;=0,N(AW110)=0,N(AV110)=0),"",MIN(AV110,AW110/AX110))</f>
        <v>21.7656140350877</v>
      </c>
      <c r="AZ110" s="29" t="n">
        <f aca="false">IF(OR(AY110="",N(O110)=0),"",AY110/O110-1)</f>
        <v>-0.0796780534846628</v>
      </c>
      <c r="BA110" s="29" t="n">
        <f aca="false">IF(OR(AZ110="",N(O110)=0),"",AZ110+AW110/O110)</f>
        <v>-0.0141051147954451</v>
      </c>
      <c r="BB110" s="32" t="n">
        <f aca="false">IF(OR(BA110="",N(AR110)=0),"",BA110-AR110)</f>
        <v>0</v>
      </c>
      <c r="BC110" s="35" t="n">
        <f aca="false">IF(OR(BA110="",N(U110)=0),"",BA110-U110)</f>
        <v>0.0575201216572089</v>
      </c>
      <c r="BD110" s="37"/>
    </row>
    <row r="111" customFormat="false" ht="15" hidden="false" customHeight="false" outlineLevel="0" collapsed="false">
      <c r="A111" s="2" t="s">
        <v>140</v>
      </c>
      <c r="B111" s="2" t="n">
        <v>217</v>
      </c>
      <c r="C111" s="2" t="s">
        <v>342</v>
      </c>
      <c r="D111" s="2" t="s">
        <v>337</v>
      </c>
      <c r="E111" s="2" t="s">
        <v>338</v>
      </c>
      <c r="F111" s="27" t="n">
        <v>432600</v>
      </c>
      <c r="G111" s="2" t="s">
        <v>54</v>
      </c>
      <c r="H111" s="2" t="s">
        <v>58</v>
      </c>
      <c r="I111" s="2" t="s">
        <v>151</v>
      </c>
      <c r="J111" s="2" t="s">
        <v>145</v>
      </c>
      <c r="K111" s="2" t="n">
        <v>4</v>
      </c>
      <c r="L111" s="28" t="n">
        <v>1000</v>
      </c>
      <c r="M111" s="29" t="n">
        <v>0.0725</v>
      </c>
      <c r="N111" s="28" t="n">
        <v>72.5</v>
      </c>
      <c r="O111" s="28" t="n">
        <v>1285</v>
      </c>
      <c r="P111" s="2" t="s">
        <v>146</v>
      </c>
      <c r="Q111" s="29" t="n">
        <v>0.08</v>
      </c>
      <c r="R111" s="30" t="n">
        <v>0.076</v>
      </c>
      <c r="S111" s="31" t="n">
        <v>953.947368421053</v>
      </c>
      <c r="T111" s="30" t="n">
        <v>-0.257628507065329</v>
      </c>
      <c r="U111" s="30" t="n">
        <v>-0.201208273602294</v>
      </c>
      <c r="V111" s="29" t="n">
        <v>-0.0075</v>
      </c>
      <c r="W111" s="29" t="n">
        <f aca="false">IF(N(Q111)=0,"",Q111+IF(I111="yes",Q111*Inputs!$B$10*Inputs!$B$9,0)+V111)</f>
        <v>0.0685</v>
      </c>
      <c r="X111" s="28" t="n">
        <f aca="false">IF(OR(N(W111)&lt;=0,N(N111)=0,N(L111)=0),"",MIN(L111,N111/W111))</f>
        <v>1000</v>
      </c>
      <c r="Y111" s="29" t="n">
        <f aca="false">IF(OR(X111="",N(O111)=0),"",X111/O111-1)</f>
        <v>-0.221789883268482</v>
      </c>
      <c r="Z111" s="29" t="n">
        <f aca="false">IF(OR(Y111="",N(O111)=0),"",Y111+N111/O111)</f>
        <v>-0.165369649805447</v>
      </c>
      <c r="AA111" s="32" t="n">
        <f aca="false">IF(OR(Z111="",N(U111)=0),"",Z111-U111)</f>
        <v>0.0358386237968462</v>
      </c>
      <c r="AB111" s="29" t="n">
        <f aca="false">IF(N(Q111)=0,"",Q111+IF(I111="yes",Q111*Inputs!$B$10*Inputs!$B$9,0)+IFERROR(INDEX(Inputs!$B$13:$B$15,MATCH(G111,Inputs!$A$13:$A$15,0)),0)+IFERROR(INDEX(Inputs!$B$18:$B$24,MATCH(H111,Inputs!$A$18:$A$24,0)),0))</f>
        <v>0.071</v>
      </c>
      <c r="AC111" s="28" t="n">
        <f aca="false">IF(OR(N(AB111)&lt;=0,N(N111)=0,N(L111)=0),"",MIN(L111,N111/AB111))</f>
        <v>1000</v>
      </c>
      <c r="AD111" s="29" t="n">
        <f aca="false">IF(OR(AC111="",N(O111)=0),"",AC111/O111-1)</f>
        <v>-0.221789883268482</v>
      </c>
      <c r="AE111" s="29" t="n">
        <f aca="false">IF(OR(AD111="",N(O111)=0),"",AD111+N111/O111)</f>
        <v>-0.165369649805447</v>
      </c>
      <c r="AF111" s="32" t="n">
        <f aca="false">IF(OR(AE111="",N(Z111)=0),"",AE111-Z111)</f>
        <v>0</v>
      </c>
      <c r="AG111" s="28" t="n">
        <f aca="false">IF(AND(N(M111)&gt;0,N(L111)&gt;0),M111*L111,N111)</f>
        <v>72.5</v>
      </c>
      <c r="AH111" s="28" t="n">
        <f aca="false">IF(OR(N(AB111)&lt;=0,N(AG111)=0,N(L111)=0),"",MIN(L111,AG111/AB111))</f>
        <v>1000</v>
      </c>
      <c r="AI111" s="29" t="n">
        <f aca="false">IF(OR(AH111="",N(O111)=0),"",AH111/O111-1)</f>
        <v>-0.221789883268482</v>
      </c>
      <c r="AJ111" s="29" t="n">
        <f aca="false">IF(OR(AI111="",N(O111)=0),"",AI111+AG111/O111)</f>
        <v>-0.165369649805447</v>
      </c>
      <c r="AK111" s="32" t="n">
        <f aca="false">IF(OR(AJ111="",N(AE111)=0),"",AJ111-AE111)</f>
        <v>0</v>
      </c>
      <c r="AL111" s="33" t="n">
        <f aca="false">IF(N(F111)=0,"",INDEX(Inputs!$B$28:$B$32,IFERROR(MATCH(F111,Inputs!$A$28:$A$32,1),0)+1))</f>
        <v>0.075</v>
      </c>
      <c r="AM111" s="34"/>
      <c r="AN111" s="33" t="n">
        <f aca="false">IF(N(AM111)&gt;0,AM111,AL111)</f>
        <v>0.075</v>
      </c>
      <c r="AO111" s="29" t="n">
        <f aca="false">IF(N(AN111)=0,"",AN111+IF(I111="yes",AN111*Inputs!$B$10*Inputs!$B$9,0)+IFERROR(INDEX(Inputs!$B$13:$B$15,MATCH(G111,Inputs!$A$13:$A$15,0)),0)+IFERROR(INDEX(Inputs!$B$18:$B$24,MATCH(H111,Inputs!$A$18:$A$24,0)),0))</f>
        <v>0.06625</v>
      </c>
      <c r="AP111" s="28" t="n">
        <f aca="false">IF(OR(N(AO111)&lt;=0,N(AG111)=0,N(L111)=0),"",MIN(L111,AG111/AO111))</f>
        <v>1000</v>
      </c>
      <c r="AQ111" s="29" t="n">
        <f aca="false">IF(OR(AP111="",N(O111)=0),"",AP111/O111-1)</f>
        <v>-0.221789883268482</v>
      </c>
      <c r="AR111" s="29" t="n">
        <f aca="false">IF(OR(AQ111="",N(O111)=0),"",AQ111+AG111/O111)</f>
        <v>-0.165369649805447</v>
      </c>
      <c r="AS111" s="32" t="n">
        <f aca="false">IF(OR(AR111="",N(AJ111)=0),"",AR111-AJ111)</f>
        <v>0</v>
      </c>
      <c r="AT111" s="28" t="n">
        <v>1000</v>
      </c>
      <c r="AU111" s="28" t="n">
        <v>72.5</v>
      </c>
      <c r="AV111" s="28" t="n">
        <f aca="false">IF(N(AT111)&gt;0,AT111,L111)</f>
        <v>1000</v>
      </c>
      <c r="AW111" s="28" t="n">
        <f aca="false">IF(AND(N(M111)&gt;0,N(AV111)&gt;0),M111*AV111,IF(N(AU111)&gt;0,AU111,N111))</f>
        <v>72.5</v>
      </c>
      <c r="AX111" s="29" t="n">
        <f aca="false">IF(N(AN111)=0,"",AN111+IF(I111="yes",AN111*Inputs!$B$10*Inputs!$B$9,0)+IFERROR(INDEX(Inputs!$B$13:$B$15,MATCH(G111,Inputs!$A$13:$A$15,0)),0)+IFERROR(INDEX(Inputs!$B$18:$B$24,MATCH(H111,Inputs!$A$18:$A$24,0)),0))</f>
        <v>0.06625</v>
      </c>
      <c r="AY111" s="28" t="n">
        <f aca="false">IF(OR(N(AX111)&lt;=0,N(AW111)=0,N(AV111)=0),"",MIN(AV111,AW111/AX111))</f>
        <v>1000</v>
      </c>
      <c r="AZ111" s="29" t="n">
        <f aca="false">IF(OR(AY111="",N(O111)=0),"",AY111/O111-1)</f>
        <v>-0.221789883268482</v>
      </c>
      <c r="BA111" s="29" t="n">
        <f aca="false">IF(OR(AZ111="",N(O111)=0),"",AZ111+AW111/O111)</f>
        <v>-0.165369649805447</v>
      </c>
      <c r="BB111" s="32" t="n">
        <f aca="false">IF(OR(BA111="",N(AR111)=0),"",BA111-AR111)</f>
        <v>0</v>
      </c>
      <c r="BC111" s="35" t="n">
        <f aca="false">IF(OR(BA111="",N(U111)=0),"",BA111-U111)</f>
        <v>0.0358386237968462</v>
      </c>
      <c r="BD111" s="37"/>
    </row>
    <row r="112" customFormat="false" ht="15" hidden="false" customHeight="false" outlineLevel="0" collapsed="false">
      <c r="A112" s="2" t="s">
        <v>140</v>
      </c>
      <c r="B112" s="2" t="n">
        <v>218</v>
      </c>
      <c r="C112" s="2" t="s">
        <v>343</v>
      </c>
      <c r="D112" s="2" t="s">
        <v>337</v>
      </c>
      <c r="E112" s="2" t="s">
        <v>338</v>
      </c>
      <c r="F112" s="27" t="n">
        <v>432600</v>
      </c>
      <c r="G112" s="2" t="s">
        <v>51</v>
      </c>
      <c r="H112" s="2" t="s">
        <v>58</v>
      </c>
      <c r="I112" s="2" t="s">
        <v>151</v>
      </c>
      <c r="J112" s="2" t="s">
        <v>145</v>
      </c>
      <c r="K112" s="2" t="n">
        <v>4</v>
      </c>
      <c r="L112" s="28" t="n">
        <v>25</v>
      </c>
      <c r="M112" s="29" t="n">
        <v>0.05376</v>
      </c>
      <c r="N112" s="28" t="n">
        <v>1.344</v>
      </c>
      <c r="O112" s="28" t="n">
        <v>20.78</v>
      </c>
      <c r="P112" s="2" t="s">
        <v>146</v>
      </c>
      <c r="Q112" s="29" t="n">
        <v>0.08</v>
      </c>
      <c r="R112" s="30" t="n">
        <v>0.076</v>
      </c>
      <c r="S112" s="31" t="n">
        <v>17.6842105263158</v>
      </c>
      <c r="T112" s="30" t="n">
        <v>-0.148979281697989</v>
      </c>
      <c r="U112" s="30" t="n">
        <v>-0.0843017071070361</v>
      </c>
      <c r="V112" s="29" t="n">
        <v>0</v>
      </c>
      <c r="W112" s="29" t="n">
        <f aca="false">IF(N(Q112)=0,"",Q112+IF(I112="yes",Q112*Inputs!$B$10*Inputs!$B$9,0)+V112)</f>
        <v>0.076</v>
      </c>
      <c r="X112" s="28" t="n">
        <f aca="false">IF(OR(N(W112)&lt;=0,N(N112)=0,N(L112)=0),"",MIN(L112,N112/W112))</f>
        <v>17.6842105263158</v>
      </c>
      <c r="Y112" s="29" t="n">
        <f aca="false">IF(OR(X112="",N(O112)=0),"",X112/O112-1)</f>
        <v>-0.148979281697989</v>
      </c>
      <c r="Z112" s="29" t="n">
        <f aca="false">IF(OR(Y112="",N(O112)=0),"",Y112+N112/O112)</f>
        <v>-0.0843017071070361</v>
      </c>
      <c r="AA112" s="32" t="n">
        <f aca="false">IF(OR(Z112="",N(U112)=0),"",Z112-U112)</f>
        <v>0</v>
      </c>
      <c r="AB112" s="29" t="n">
        <f aca="false">IF(N(Q112)=0,"",Q112+IF(I112="yes",Q112*Inputs!$B$10*Inputs!$B$9,0)+IFERROR(INDEX(Inputs!$B$13:$B$15,MATCH(G112,Inputs!$A$13:$A$15,0)),0)+IFERROR(INDEX(Inputs!$B$18:$B$24,MATCH(H112,Inputs!$A$18:$A$24,0)),0))</f>
        <v>0.076</v>
      </c>
      <c r="AC112" s="28" t="n">
        <f aca="false">IF(OR(N(AB112)&lt;=0,N(N112)=0,N(L112)=0),"",MIN(L112,N112/AB112))</f>
        <v>17.6842105263158</v>
      </c>
      <c r="AD112" s="29" t="n">
        <f aca="false">IF(OR(AC112="",N(O112)=0),"",AC112/O112-1)</f>
        <v>-0.148979281697989</v>
      </c>
      <c r="AE112" s="29" t="n">
        <f aca="false">IF(OR(AD112="",N(O112)=0),"",AD112+N112/O112)</f>
        <v>-0.0843017071070361</v>
      </c>
      <c r="AF112" s="32" t="n">
        <f aca="false">IF(OR(AE112="",N(Z112)=0),"",AE112-Z112)</f>
        <v>0</v>
      </c>
      <c r="AG112" s="28" t="n">
        <f aca="false">IF(AND(N(M112)&gt;0,N(L112)&gt;0),M112*L112,N112)</f>
        <v>1.344</v>
      </c>
      <c r="AH112" s="28" t="n">
        <f aca="false">IF(OR(N(AB112)&lt;=0,N(AG112)=0,N(L112)=0),"",MIN(L112,AG112/AB112))</f>
        <v>17.6842105263158</v>
      </c>
      <c r="AI112" s="29" t="n">
        <f aca="false">IF(OR(AH112="",N(O112)=0),"",AH112/O112-1)</f>
        <v>-0.148979281697989</v>
      </c>
      <c r="AJ112" s="29" t="n">
        <f aca="false">IF(OR(AI112="",N(O112)=0),"",AI112+AG112/O112)</f>
        <v>-0.0843017071070361</v>
      </c>
      <c r="AK112" s="32" t="n">
        <f aca="false">IF(OR(AJ112="",N(AE112)=0),"",AJ112-AE112)</f>
        <v>0</v>
      </c>
      <c r="AL112" s="33" t="n">
        <f aca="false">IF(N(F112)=0,"",INDEX(Inputs!$B$28:$B$32,IFERROR(MATCH(F112,Inputs!$A$28:$A$32,1),0)+1))</f>
        <v>0.075</v>
      </c>
      <c r="AM112" s="34"/>
      <c r="AN112" s="33" t="n">
        <f aca="false">IF(N(AM112)&gt;0,AM112,AL112)</f>
        <v>0.075</v>
      </c>
      <c r="AO112" s="29" t="n">
        <f aca="false">IF(N(AN112)=0,"",AN112+IF(I112="yes",AN112*Inputs!$B$10*Inputs!$B$9,0)+IFERROR(INDEX(Inputs!$B$13:$B$15,MATCH(G112,Inputs!$A$13:$A$15,0)),0)+IFERROR(INDEX(Inputs!$B$18:$B$24,MATCH(H112,Inputs!$A$18:$A$24,0)),0))</f>
        <v>0.07125</v>
      </c>
      <c r="AP112" s="28" t="n">
        <f aca="false">IF(OR(N(AO112)&lt;=0,N(AG112)=0,N(L112)=0),"",MIN(L112,AG112/AO112))</f>
        <v>18.8631578947368</v>
      </c>
      <c r="AQ112" s="29" t="n">
        <f aca="false">IF(OR(AP112="",N(O112)=0),"",AP112/O112-1)</f>
        <v>-0.0922445671445216</v>
      </c>
      <c r="AR112" s="29" t="n">
        <f aca="false">IF(OR(AQ112="",N(O112)=0),"",AQ112+AG112/O112)</f>
        <v>-0.0275669925535687</v>
      </c>
      <c r="AS112" s="32" t="n">
        <f aca="false">IF(OR(AR112="",N(AJ112)=0),"",AR112-AJ112)</f>
        <v>0.0567347145534674</v>
      </c>
      <c r="AT112" s="28" t="n">
        <v>25</v>
      </c>
      <c r="AU112" s="28" t="n">
        <v>1.34</v>
      </c>
      <c r="AV112" s="28" t="n">
        <f aca="false">IF(N(AT112)&gt;0,AT112,L112)</f>
        <v>25</v>
      </c>
      <c r="AW112" s="28" t="n">
        <f aca="false">IF(AND(N(M112)&gt;0,N(AV112)&gt;0),M112*AV112,IF(N(AU112)&gt;0,AU112,N112))</f>
        <v>1.344</v>
      </c>
      <c r="AX112" s="29" t="n">
        <f aca="false">IF(N(AN112)=0,"",AN112+IF(I112="yes",AN112*Inputs!$B$10*Inputs!$B$9,0)+IFERROR(INDEX(Inputs!$B$13:$B$15,MATCH(G112,Inputs!$A$13:$A$15,0)),0)+IFERROR(INDEX(Inputs!$B$18:$B$24,MATCH(H112,Inputs!$A$18:$A$24,0)),0))</f>
        <v>0.07125</v>
      </c>
      <c r="AY112" s="28" t="n">
        <f aca="false">IF(OR(N(AX112)&lt;=0,N(AW112)=0,N(AV112)=0),"",MIN(AV112,AW112/AX112))</f>
        <v>18.8631578947368</v>
      </c>
      <c r="AZ112" s="29" t="n">
        <f aca="false">IF(OR(AY112="",N(O112)=0),"",AY112/O112-1)</f>
        <v>-0.0922445671445216</v>
      </c>
      <c r="BA112" s="29" t="n">
        <f aca="false">IF(OR(AZ112="",N(O112)=0),"",AZ112+AW112/O112)</f>
        <v>-0.0275669925535687</v>
      </c>
      <c r="BB112" s="32" t="n">
        <f aca="false">IF(OR(BA112="",N(AR112)=0),"",BA112-AR112)</f>
        <v>0</v>
      </c>
      <c r="BC112" s="35" t="n">
        <f aca="false">IF(OR(BA112="",N(U112)=0),"",BA112-U112)</f>
        <v>0.0567347145534674</v>
      </c>
      <c r="BD112" s="37"/>
    </row>
    <row r="113" customFormat="false" ht="15" hidden="false" customHeight="false" outlineLevel="0" collapsed="false">
      <c r="A113" s="2" t="s">
        <v>140</v>
      </c>
      <c r="B113" s="2" t="n">
        <v>219</v>
      </c>
      <c r="C113" s="2" t="s">
        <v>344</v>
      </c>
      <c r="D113" s="2" t="s">
        <v>337</v>
      </c>
      <c r="E113" s="2" t="s">
        <v>338</v>
      </c>
      <c r="F113" s="27" t="n">
        <v>432600</v>
      </c>
      <c r="G113" s="2" t="s">
        <v>51</v>
      </c>
      <c r="H113" s="2" t="s">
        <v>58</v>
      </c>
      <c r="I113" s="2" t="s">
        <v>151</v>
      </c>
      <c r="J113" s="2" t="s">
        <v>145</v>
      </c>
      <c r="K113" s="2" t="n">
        <v>4</v>
      </c>
      <c r="L113" s="28" t="n">
        <v>25</v>
      </c>
      <c r="M113" s="29" t="n">
        <v>0.05</v>
      </c>
      <c r="N113" s="28" t="n">
        <v>1.25</v>
      </c>
      <c r="O113" s="28" t="n">
        <v>19.33</v>
      </c>
      <c r="P113" s="2" t="s">
        <v>146</v>
      </c>
      <c r="Q113" s="29" t="n">
        <v>0.08</v>
      </c>
      <c r="R113" s="30" t="n">
        <v>0.076</v>
      </c>
      <c r="S113" s="31" t="n">
        <v>16.4473684210526</v>
      </c>
      <c r="T113" s="30" t="n">
        <v>-0.149127345005037</v>
      </c>
      <c r="U113" s="30" t="n">
        <v>-0.0844610232254199</v>
      </c>
      <c r="V113" s="29" t="n">
        <v>0</v>
      </c>
      <c r="W113" s="29" t="n">
        <f aca="false">IF(N(Q113)=0,"",Q113+IF(I113="yes",Q113*Inputs!$B$10*Inputs!$B$9,0)+V113)</f>
        <v>0.076</v>
      </c>
      <c r="X113" s="28" t="n">
        <f aca="false">IF(OR(N(W113)&lt;=0,N(N113)=0,N(L113)=0),"",MIN(L113,N113/W113))</f>
        <v>16.4473684210526</v>
      </c>
      <c r="Y113" s="29" t="n">
        <f aca="false">IF(OR(X113="",N(O113)=0),"",X113/O113-1)</f>
        <v>-0.149127345005037</v>
      </c>
      <c r="Z113" s="29" t="n">
        <f aca="false">IF(OR(Y113="",N(O113)=0),"",Y113+N113/O113)</f>
        <v>-0.0844610232254198</v>
      </c>
      <c r="AA113" s="32" t="n">
        <f aca="false">IF(OR(Z113="",N(U113)=0),"",Z113-U113)</f>
        <v>0</v>
      </c>
      <c r="AB113" s="29" t="n">
        <f aca="false">IF(N(Q113)=0,"",Q113+IF(I113="yes",Q113*Inputs!$B$10*Inputs!$B$9,0)+IFERROR(INDEX(Inputs!$B$13:$B$15,MATCH(G113,Inputs!$A$13:$A$15,0)),0)+IFERROR(INDEX(Inputs!$B$18:$B$24,MATCH(H113,Inputs!$A$18:$A$24,0)),0))</f>
        <v>0.076</v>
      </c>
      <c r="AC113" s="28" t="n">
        <f aca="false">IF(OR(N(AB113)&lt;=0,N(N113)=0,N(L113)=0),"",MIN(L113,N113/AB113))</f>
        <v>16.4473684210526</v>
      </c>
      <c r="AD113" s="29" t="n">
        <f aca="false">IF(OR(AC113="",N(O113)=0),"",AC113/O113-1)</f>
        <v>-0.149127345005037</v>
      </c>
      <c r="AE113" s="29" t="n">
        <f aca="false">IF(OR(AD113="",N(O113)=0),"",AD113+N113/O113)</f>
        <v>-0.0844610232254198</v>
      </c>
      <c r="AF113" s="32" t="n">
        <f aca="false">IF(OR(AE113="",N(Z113)=0),"",AE113-Z113)</f>
        <v>0</v>
      </c>
      <c r="AG113" s="28" t="n">
        <f aca="false">IF(AND(N(M113)&gt;0,N(L113)&gt;0),M113*L113,N113)</f>
        <v>1.25</v>
      </c>
      <c r="AH113" s="28" t="n">
        <f aca="false">IF(OR(N(AB113)&lt;=0,N(AG113)=0,N(L113)=0),"",MIN(L113,AG113/AB113))</f>
        <v>16.4473684210526</v>
      </c>
      <c r="AI113" s="29" t="n">
        <f aca="false">IF(OR(AH113="",N(O113)=0),"",AH113/O113-1)</f>
        <v>-0.149127345005037</v>
      </c>
      <c r="AJ113" s="29" t="n">
        <f aca="false">IF(OR(AI113="",N(O113)=0),"",AI113+AG113/O113)</f>
        <v>-0.0844610232254198</v>
      </c>
      <c r="AK113" s="32" t="n">
        <f aca="false">IF(OR(AJ113="",N(AE113)=0),"",AJ113-AE113)</f>
        <v>0</v>
      </c>
      <c r="AL113" s="33" t="n">
        <f aca="false">IF(N(F113)=0,"",INDEX(Inputs!$B$28:$B$32,IFERROR(MATCH(F113,Inputs!$A$28:$A$32,1),0)+1))</f>
        <v>0.075</v>
      </c>
      <c r="AM113" s="34"/>
      <c r="AN113" s="33" t="n">
        <f aca="false">IF(N(AM113)&gt;0,AM113,AL113)</f>
        <v>0.075</v>
      </c>
      <c r="AO113" s="29" t="n">
        <f aca="false">IF(N(AN113)=0,"",AN113+IF(I113="yes",AN113*Inputs!$B$10*Inputs!$B$9,0)+IFERROR(INDEX(Inputs!$B$13:$B$15,MATCH(G113,Inputs!$A$13:$A$15,0)),0)+IFERROR(INDEX(Inputs!$B$18:$B$24,MATCH(H113,Inputs!$A$18:$A$24,0)),0))</f>
        <v>0.07125</v>
      </c>
      <c r="AP113" s="28" t="n">
        <f aca="false">IF(OR(N(AO113)&lt;=0,N(AG113)=0,N(L113)=0),"",MIN(L113,AG113/AO113))</f>
        <v>17.5438596491228</v>
      </c>
      <c r="AQ113" s="29" t="n">
        <f aca="false">IF(OR(AP113="",N(O113)=0),"",AP113/O113-1)</f>
        <v>-0.0924025013387062</v>
      </c>
      <c r="AR113" s="29" t="n">
        <f aca="false">IF(OR(AQ113="",N(O113)=0),"",AQ113+AG113/O113)</f>
        <v>-0.027736179559089</v>
      </c>
      <c r="AS113" s="32" t="n">
        <f aca="false">IF(OR(AR113="",N(AJ113)=0),"",AR113-AJ113)</f>
        <v>0.0567248436663308</v>
      </c>
      <c r="AT113" s="28" t="n">
        <v>25</v>
      </c>
      <c r="AU113" s="28" t="n">
        <v>1.25</v>
      </c>
      <c r="AV113" s="28" t="n">
        <f aca="false">IF(N(AT113)&gt;0,AT113,L113)</f>
        <v>25</v>
      </c>
      <c r="AW113" s="28" t="n">
        <f aca="false">IF(AND(N(M113)&gt;0,N(AV113)&gt;0),M113*AV113,IF(N(AU113)&gt;0,AU113,N113))</f>
        <v>1.25</v>
      </c>
      <c r="AX113" s="29" t="n">
        <f aca="false">IF(N(AN113)=0,"",AN113+IF(I113="yes",AN113*Inputs!$B$10*Inputs!$B$9,0)+IFERROR(INDEX(Inputs!$B$13:$B$15,MATCH(G113,Inputs!$A$13:$A$15,0)),0)+IFERROR(INDEX(Inputs!$B$18:$B$24,MATCH(H113,Inputs!$A$18:$A$24,0)),0))</f>
        <v>0.07125</v>
      </c>
      <c r="AY113" s="28" t="n">
        <f aca="false">IF(OR(N(AX113)&lt;=0,N(AW113)=0,N(AV113)=0),"",MIN(AV113,AW113/AX113))</f>
        <v>17.5438596491228</v>
      </c>
      <c r="AZ113" s="29" t="n">
        <f aca="false">IF(OR(AY113="",N(O113)=0),"",AY113/O113-1)</f>
        <v>-0.0924025013387062</v>
      </c>
      <c r="BA113" s="29" t="n">
        <f aca="false">IF(OR(AZ113="",N(O113)=0),"",AZ113+AW113/O113)</f>
        <v>-0.027736179559089</v>
      </c>
      <c r="BB113" s="32" t="n">
        <f aca="false">IF(OR(BA113="",N(AR113)=0),"",BA113-AR113)</f>
        <v>0</v>
      </c>
      <c r="BC113" s="35" t="n">
        <f aca="false">IF(OR(BA113="",N(U113)=0),"",BA113-U113)</f>
        <v>0.0567248436663309</v>
      </c>
      <c r="BD113" s="37"/>
    </row>
    <row r="114" customFormat="false" ht="15" hidden="false" customHeight="false" outlineLevel="0" collapsed="false">
      <c r="A114" s="2" t="s">
        <v>140</v>
      </c>
      <c r="B114" s="2" t="n">
        <v>220</v>
      </c>
      <c r="C114" s="2" t="s">
        <v>345</v>
      </c>
      <c r="D114" s="2" t="s">
        <v>337</v>
      </c>
      <c r="E114" s="2" t="s">
        <v>338</v>
      </c>
      <c r="F114" s="27" t="n">
        <v>432600</v>
      </c>
      <c r="G114" s="2" t="s">
        <v>51</v>
      </c>
      <c r="H114" s="2" t="s">
        <v>58</v>
      </c>
      <c r="I114" s="2" t="s">
        <v>151</v>
      </c>
      <c r="J114" s="2" t="s">
        <v>145</v>
      </c>
      <c r="K114" s="2" t="n">
        <v>4</v>
      </c>
      <c r="L114" s="28" t="n">
        <v>25</v>
      </c>
      <c r="M114" s="29" t="n">
        <v>0.04375</v>
      </c>
      <c r="N114" s="28" t="n">
        <v>1.09375</v>
      </c>
      <c r="O114" s="28" t="n">
        <v>16.62</v>
      </c>
      <c r="P114" s="2" t="s">
        <v>146</v>
      </c>
      <c r="Q114" s="29" t="n">
        <v>0.08</v>
      </c>
      <c r="R114" s="30" t="n">
        <v>0.076</v>
      </c>
      <c r="S114" s="31" t="n">
        <v>14.3914473684211</v>
      </c>
      <c r="T114" s="30" t="n">
        <v>-0.134088605991513</v>
      </c>
      <c r="U114" s="30" t="n">
        <v>-0.0682793400468681</v>
      </c>
      <c r="V114" s="29" t="n">
        <v>0</v>
      </c>
      <c r="W114" s="29" t="n">
        <f aca="false">IF(N(Q114)=0,"",Q114+IF(I114="yes",Q114*Inputs!$B$10*Inputs!$B$9,0)+V114)</f>
        <v>0.076</v>
      </c>
      <c r="X114" s="28" t="n">
        <f aca="false">IF(OR(N(W114)&lt;=0,N(N114)=0,N(L114)=0),"",MIN(L114,N114/W114))</f>
        <v>14.3914473684211</v>
      </c>
      <c r="Y114" s="29" t="n">
        <f aca="false">IF(OR(X114="",N(O114)=0),"",X114/O114-1)</f>
        <v>-0.134088605991513</v>
      </c>
      <c r="Z114" s="29" t="n">
        <f aca="false">IF(OR(Y114="",N(O114)=0),"",Y114+N114/O114)</f>
        <v>-0.0682793400468681</v>
      </c>
      <c r="AA114" s="32" t="n">
        <f aca="false">IF(OR(Z114="",N(U114)=0),"",Z114-U114)</f>
        <v>0</v>
      </c>
      <c r="AB114" s="29" t="n">
        <f aca="false">IF(N(Q114)=0,"",Q114+IF(I114="yes",Q114*Inputs!$B$10*Inputs!$B$9,0)+IFERROR(INDEX(Inputs!$B$13:$B$15,MATCH(G114,Inputs!$A$13:$A$15,0)),0)+IFERROR(INDEX(Inputs!$B$18:$B$24,MATCH(H114,Inputs!$A$18:$A$24,0)),0))</f>
        <v>0.076</v>
      </c>
      <c r="AC114" s="28" t="n">
        <f aca="false">IF(OR(N(AB114)&lt;=0,N(N114)=0,N(L114)=0),"",MIN(L114,N114/AB114))</f>
        <v>14.3914473684211</v>
      </c>
      <c r="AD114" s="29" t="n">
        <f aca="false">IF(OR(AC114="",N(O114)=0),"",AC114/O114-1)</f>
        <v>-0.134088605991513</v>
      </c>
      <c r="AE114" s="29" t="n">
        <f aca="false">IF(OR(AD114="",N(O114)=0),"",AD114+N114/O114)</f>
        <v>-0.0682793400468681</v>
      </c>
      <c r="AF114" s="32" t="n">
        <f aca="false">IF(OR(AE114="",N(Z114)=0),"",AE114-Z114)</f>
        <v>0</v>
      </c>
      <c r="AG114" s="28" t="n">
        <f aca="false">IF(AND(N(M114)&gt;0,N(L114)&gt;0),M114*L114,N114)</f>
        <v>1.09375</v>
      </c>
      <c r="AH114" s="28" t="n">
        <f aca="false">IF(OR(N(AB114)&lt;=0,N(AG114)=0,N(L114)=0),"",MIN(L114,AG114/AB114))</f>
        <v>14.3914473684211</v>
      </c>
      <c r="AI114" s="29" t="n">
        <f aca="false">IF(OR(AH114="",N(O114)=0),"",AH114/O114-1)</f>
        <v>-0.134088605991513</v>
      </c>
      <c r="AJ114" s="29" t="n">
        <f aca="false">IF(OR(AI114="",N(O114)=0),"",AI114+AG114/O114)</f>
        <v>-0.0682793400468681</v>
      </c>
      <c r="AK114" s="32" t="n">
        <f aca="false">IF(OR(AJ114="",N(AE114)=0),"",AJ114-AE114)</f>
        <v>0</v>
      </c>
      <c r="AL114" s="33" t="n">
        <f aca="false">IF(N(F114)=0,"",INDEX(Inputs!$B$28:$B$32,IFERROR(MATCH(F114,Inputs!$A$28:$A$32,1),0)+1))</f>
        <v>0.075</v>
      </c>
      <c r="AM114" s="34"/>
      <c r="AN114" s="33" t="n">
        <f aca="false">IF(N(AM114)&gt;0,AM114,AL114)</f>
        <v>0.075</v>
      </c>
      <c r="AO114" s="29" t="n">
        <f aca="false">IF(N(AN114)=0,"",AN114+IF(I114="yes",AN114*Inputs!$B$10*Inputs!$B$9,0)+IFERROR(INDEX(Inputs!$B$13:$B$15,MATCH(G114,Inputs!$A$13:$A$15,0)),0)+IFERROR(INDEX(Inputs!$B$18:$B$24,MATCH(H114,Inputs!$A$18:$A$24,0)),0))</f>
        <v>0.07125</v>
      </c>
      <c r="AP114" s="28" t="n">
        <f aca="false">IF(OR(N(AO114)&lt;=0,N(AG114)=0,N(L114)=0),"",MIN(L114,AG114/AO114))</f>
        <v>15.3508771929825</v>
      </c>
      <c r="AQ114" s="29" t="n">
        <f aca="false">IF(OR(AP114="",N(O114)=0),"",AP114/O114-1)</f>
        <v>-0.0763611797242806</v>
      </c>
      <c r="AR114" s="29" t="n">
        <f aca="false">IF(OR(AQ114="",N(O114)=0),"",AQ114+AG114/O114)</f>
        <v>-0.0105519137796356</v>
      </c>
      <c r="AS114" s="32" t="n">
        <f aca="false">IF(OR(AR114="",N(AJ114)=0),"",AR114-AJ114)</f>
        <v>0.0577274262672325</v>
      </c>
      <c r="AT114" s="28" t="n">
        <v>25</v>
      </c>
      <c r="AU114" s="28" t="n">
        <v>1.09375</v>
      </c>
      <c r="AV114" s="28" t="n">
        <f aca="false">IF(N(AT114)&gt;0,AT114,L114)</f>
        <v>25</v>
      </c>
      <c r="AW114" s="28" t="n">
        <f aca="false">IF(AND(N(M114)&gt;0,N(AV114)&gt;0),M114*AV114,IF(N(AU114)&gt;0,AU114,N114))</f>
        <v>1.09375</v>
      </c>
      <c r="AX114" s="29" t="n">
        <f aca="false">IF(N(AN114)=0,"",AN114+IF(I114="yes",AN114*Inputs!$B$10*Inputs!$B$9,0)+IFERROR(INDEX(Inputs!$B$13:$B$15,MATCH(G114,Inputs!$A$13:$A$15,0)),0)+IFERROR(INDEX(Inputs!$B$18:$B$24,MATCH(H114,Inputs!$A$18:$A$24,0)),0))</f>
        <v>0.07125</v>
      </c>
      <c r="AY114" s="28" t="n">
        <f aca="false">IF(OR(N(AX114)&lt;=0,N(AW114)=0,N(AV114)=0),"",MIN(AV114,AW114/AX114))</f>
        <v>15.3508771929825</v>
      </c>
      <c r="AZ114" s="29" t="n">
        <f aca="false">IF(OR(AY114="",N(O114)=0),"",AY114/O114-1)</f>
        <v>-0.0763611797242806</v>
      </c>
      <c r="BA114" s="29" t="n">
        <f aca="false">IF(OR(AZ114="",N(O114)=0),"",AZ114+AW114/O114)</f>
        <v>-0.0105519137796356</v>
      </c>
      <c r="BB114" s="32" t="n">
        <f aca="false">IF(OR(BA114="",N(AR114)=0),"",BA114-AR114)</f>
        <v>0</v>
      </c>
      <c r="BC114" s="35" t="n">
        <f aca="false">IF(OR(BA114="",N(U114)=0),"",BA114-U114)</f>
        <v>0.0577274262672325</v>
      </c>
      <c r="BD114" s="37"/>
    </row>
    <row r="115" customFormat="false" ht="15" hidden="false" customHeight="false" outlineLevel="0" collapsed="false">
      <c r="A115" s="2" t="s">
        <v>140</v>
      </c>
      <c r="B115" s="2" t="n">
        <v>221</v>
      </c>
      <c r="C115" s="2" t="s">
        <v>346</v>
      </c>
      <c r="D115" s="2" t="s">
        <v>337</v>
      </c>
      <c r="E115" s="2" t="s">
        <v>338</v>
      </c>
      <c r="F115" s="27" t="n">
        <v>432600</v>
      </c>
      <c r="G115" s="2" t="s">
        <v>51</v>
      </c>
      <c r="H115" s="2" t="s">
        <v>58</v>
      </c>
      <c r="I115" s="2" t="s">
        <v>151</v>
      </c>
      <c r="J115" s="2" t="s">
        <v>145</v>
      </c>
      <c r="K115" s="2" t="n">
        <v>4</v>
      </c>
      <c r="L115" s="28" t="n">
        <v>25</v>
      </c>
      <c r="M115" s="29" t="n">
        <v>0.04125</v>
      </c>
      <c r="N115" s="28" t="n">
        <v>1.03125</v>
      </c>
      <c r="O115" s="28" t="n">
        <v>15.93</v>
      </c>
      <c r="P115" s="2" t="s">
        <v>146</v>
      </c>
      <c r="Q115" s="29" t="n">
        <v>0.08</v>
      </c>
      <c r="R115" s="30" t="n">
        <v>0.076</v>
      </c>
      <c r="S115" s="31" t="n">
        <v>13.5690789473684</v>
      </c>
      <c r="T115" s="30" t="n">
        <v>-0.148205966894638</v>
      </c>
      <c r="U115" s="30" t="n">
        <v>-0.0834696203786302</v>
      </c>
      <c r="V115" s="29" t="n">
        <v>0</v>
      </c>
      <c r="W115" s="29" t="n">
        <f aca="false">IF(N(Q115)=0,"",Q115+IF(I115="yes",Q115*Inputs!$B$10*Inputs!$B$9,0)+V115)</f>
        <v>0.076</v>
      </c>
      <c r="X115" s="28" t="n">
        <f aca="false">IF(OR(N(W115)&lt;=0,N(N115)=0,N(L115)=0),"",MIN(L115,N115/W115))</f>
        <v>13.5690789473684</v>
      </c>
      <c r="Y115" s="29" t="n">
        <f aca="false">IF(OR(X115="",N(O115)=0),"",X115/O115-1)</f>
        <v>-0.148205966894638</v>
      </c>
      <c r="Z115" s="29" t="n">
        <f aca="false">IF(OR(Y115="",N(O115)=0),"",Y115+N115/O115)</f>
        <v>-0.0834696203786302</v>
      </c>
      <c r="AA115" s="32" t="n">
        <f aca="false">IF(OR(Z115="",N(U115)=0),"",Z115-U115)</f>
        <v>0</v>
      </c>
      <c r="AB115" s="29" t="n">
        <f aca="false">IF(N(Q115)=0,"",Q115+IF(I115="yes",Q115*Inputs!$B$10*Inputs!$B$9,0)+IFERROR(INDEX(Inputs!$B$13:$B$15,MATCH(G115,Inputs!$A$13:$A$15,0)),0)+IFERROR(INDEX(Inputs!$B$18:$B$24,MATCH(H115,Inputs!$A$18:$A$24,0)),0))</f>
        <v>0.076</v>
      </c>
      <c r="AC115" s="28" t="n">
        <f aca="false">IF(OR(N(AB115)&lt;=0,N(N115)=0,N(L115)=0),"",MIN(L115,N115/AB115))</f>
        <v>13.5690789473684</v>
      </c>
      <c r="AD115" s="29" t="n">
        <f aca="false">IF(OR(AC115="",N(O115)=0),"",AC115/O115-1)</f>
        <v>-0.148205966894638</v>
      </c>
      <c r="AE115" s="29" t="n">
        <f aca="false">IF(OR(AD115="",N(O115)=0),"",AD115+N115/O115)</f>
        <v>-0.0834696203786302</v>
      </c>
      <c r="AF115" s="32" t="n">
        <f aca="false">IF(OR(AE115="",N(Z115)=0),"",AE115-Z115)</f>
        <v>0</v>
      </c>
      <c r="AG115" s="28" t="n">
        <f aca="false">IF(AND(N(M115)&gt;0,N(L115)&gt;0),M115*L115,N115)</f>
        <v>1.03125</v>
      </c>
      <c r="AH115" s="28" t="n">
        <f aca="false">IF(OR(N(AB115)&lt;=0,N(AG115)=0,N(L115)=0),"",MIN(L115,AG115/AB115))</f>
        <v>13.5690789473684</v>
      </c>
      <c r="AI115" s="29" t="n">
        <f aca="false">IF(OR(AH115="",N(O115)=0),"",AH115/O115-1)</f>
        <v>-0.148205966894638</v>
      </c>
      <c r="AJ115" s="29" t="n">
        <f aca="false">IF(OR(AI115="",N(O115)=0),"",AI115+AG115/O115)</f>
        <v>-0.0834696203786302</v>
      </c>
      <c r="AK115" s="32" t="n">
        <f aca="false">IF(OR(AJ115="",N(AE115)=0),"",AJ115-AE115)</f>
        <v>0</v>
      </c>
      <c r="AL115" s="33" t="n">
        <f aca="false">IF(N(F115)=0,"",INDEX(Inputs!$B$28:$B$32,IFERROR(MATCH(F115,Inputs!$A$28:$A$32,1),0)+1))</f>
        <v>0.075</v>
      </c>
      <c r="AM115" s="34"/>
      <c r="AN115" s="33" t="n">
        <f aca="false">IF(N(AM115)&gt;0,AM115,AL115)</f>
        <v>0.075</v>
      </c>
      <c r="AO115" s="29" t="n">
        <f aca="false">IF(N(AN115)=0,"",AN115+IF(I115="yes",AN115*Inputs!$B$10*Inputs!$B$9,0)+IFERROR(INDEX(Inputs!$B$13:$B$15,MATCH(G115,Inputs!$A$13:$A$15,0)),0)+IFERROR(INDEX(Inputs!$B$18:$B$24,MATCH(H115,Inputs!$A$18:$A$24,0)),0))</f>
        <v>0.07125</v>
      </c>
      <c r="AP115" s="28" t="n">
        <f aca="false">IF(OR(N(AO115)&lt;=0,N(AG115)=0,N(L115)=0),"",MIN(L115,AG115/AO115))</f>
        <v>14.4736842105263</v>
      </c>
      <c r="AQ115" s="29" t="n">
        <f aca="false">IF(OR(AP115="",N(O115)=0),"",AP115/O115-1)</f>
        <v>-0.0914196980209469</v>
      </c>
      <c r="AR115" s="29" t="n">
        <f aca="false">IF(OR(AQ115="",N(O115)=0),"",AQ115+AG115/O115)</f>
        <v>-0.0266833515049393</v>
      </c>
      <c r="AS115" s="32" t="n">
        <f aca="false">IF(OR(AR115="",N(AJ115)=0),"",AR115-AJ115)</f>
        <v>0.0567862688736909</v>
      </c>
      <c r="AT115" s="28" t="n">
        <v>25</v>
      </c>
      <c r="AU115" s="28" t="n">
        <v>1.03125</v>
      </c>
      <c r="AV115" s="28" t="n">
        <f aca="false">IF(N(AT115)&gt;0,AT115,L115)</f>
        <v>25</v>
      </c>
      <c r="AW115" s="28" t="n">
        <f aca="false">IF(AND(N(M115)&gt;0,N(AV115)&gt;0),M115*AV115,IF(N(AU115)&gt;0,AU115,N115))</f>
        <v>1.03125</v>
      </c>
      <c r="AX115" s="29" t="n">
        <f aca="false">IF(N(AN115)=0,"",AN115+IF(I115="yes",AN115*Inputs!$B$10*Inputs!$B$9,0)+IFERROR(INDEX(Inputs!$B$13:$B$15,MATCH(G115,Inputs!$A$13:$A$15,0)),0)+IFERROR(INDEX(Inputs!$B$18:$B$24,MATCH(H115,Inputs!$A$18:$A$24,0)),0))</f>
        <v>0.07125</v>
      </c>
      <c r="AY115" s="28" t="n">
        <f aca="false">IF(OR(N(AX115)&lt;=0,N(AW115)=0,N(AV115)=0),"",MIN(AV115,AW115/AX115))</f>
        <v>14.4736842105263</v>
      </c>
      <c r="AZ115" s="29" t="n">
        <f aca="false">IF(OR(AY115="",N(O115)=0),"",AY115/O115-1)</f>
        <v>-0.0914196980209469</v>
      </c>
      <c r="BA115" s="29" t="n">
        <f aca="false">IF(OR(AZ115="",N(O115)=0),"",AZ115+AW115/O115)</f>
        <v>-0.0266833515049393</v>
      </c>
      <c r="BB115" s="32" t="n">
        <f aca="false">IF(OR(BA115="",N(AR115)=0),"",BA115-AR115)</f>
        <v>0</v>
      </c>
      <c r="BC115" s="35" t="n">
        <f aca="false">IF(OR(BA115="",N(U115)=0),"",BA115-U115)</f>
        <v>0.0567862688736909</v>
      </c>
      <c r="BD115" s="37"/>
    </row>
    <row r="116" customFormat="false" ht="15" hidden="false" customHeight="false" outlineLevel="0" collapsed="false">
      <c r="A116" s="2" t="s">
        <v>140</v>
      </c>
      <c r="B116" s="2" t="n">
        <v>222</v>
      </c>
      <c r="C116" s="2" t="s">
        <v>347</v>
      </c>
      <c r="D116" s="2" t="s">
        <v>337</v>
      </c>
      <c r="E116" s="2" t="s">
        <v>338</v>
      </c>
      <c r="F116" s="27" t="n">
        <v>432600</v>
      </c>
      <c r="G116" s="2" t="s">
        <v>51</v>
      </c>
      <c r="H116" s="2" t="s">
        <v>58</v>
      </c>
      <c r="I116" s="2" t="s">
        <v>151</v>
      </c>
      <c r="J116" s="2" t="s">
        <v>145</v>
      </c>
      <c r="K116" s="2" t="n">
        <v>4</v>
      </c>
      <c r="L116" s="28" t="n">
        <v>25</v>
      </c>
      <c r="M116" s="29" t="n">
        <v>0.0425</v>
      </c>
      <c r="N116" s="28" t="n">
        <v>1.0625</v>
      </c>
      <c r="O116" s="28" t="n">
        <v>16.17</v>
      </c>
      <c r="P116" s="2" t="s">
        <v>146</v>
      </c>
      <c r="Q116" s="29" t="n">
        <v>0.08</v>
      </c>
      <c r="R116" s="30" t="n">
        <v>0.076</v>
      </c>
      <c r="S116" s="31" t="n">
        <v>13.9802631578947</v>
      </c>
      <c r="T116" s="30" t="n">
        <v>-0.135419718126485</v>
      </c>
      <c r="U116" s="30" t="n">
        <v>-0.0697116167040979</v>
      </c>
      <c r="V116" s="29" t="n">
        <v>0</v>
      </c>
      <c r="W116" s="29" t="n">
        <f aca="false">IF(N(Q116)=0,"",Q116+IF(I116="yes",Q116*Inputs!$B$10*Inputs!$B$9,0)+V116)</f>
        <v>0.076</v>
      </c>
      <c r="X116" s="28" t="n">
        <f aca="false">IF(OR(N(W116)&lt;=0,N(N116)=0,N(L116)=0),"",MIN(L116,N116/W116))</f>
        <v>13.9802631578947</v>
      </c>
      <c r="Y116" s="29" t="n">
        <f aca="false">IF(OR(X116="",N(O116)=0),"",X116/O116-1)</f>
        <v>-0.135419718126485</v>
      </c>
      <c r="Z116" s="29" t="n">
        <f aca="false">IF(OR(Y116="",N(O116)=0),"",Y116+N116/O116)</f>
        <v>-0.0697116167040979</v>
      </c>
      <c r="AA116" s="32" t="n">
        <f aca="false">IF(OR(Z116="",N(U116)=0),"",Z116-U116)</f>
        <v>0</v>
      </c>
      <c r="AB116" s="29" t="n">
        <f aca="false">IF(N(Q116)=0,"",Q116+IF(I116="yes",Q116*Inputs!$B$10*Inputs!$B$9,0)+IFERROR(INDEX(Inputs!$B$13:$B$15,MATCH(G116,Inputs!$A$13:$A$15,0)),0)+IFERROR(INDEX(Inputs!$B$18:$B$24,MATCH(H116,Inputs!$A$18:$A$24,0)),0))</f>
        <v>0.076</v>
      </c>
      <c r="AC116" s="28" t="n">
        <f aca="false">IF(OR(N(AB116)&lt;=0,N(N116)=0,N(L116)=0),"",MIN(L116,N116/AB116))</f>
        <v>13.9802631578947</v>
      </c>
      <c r="AD116" s="29" t="n">
        <f aca="false">IF(OR(AC116="",N(O116)=0),"",AC116/O116-1)</f>
        <v>-0.135419718126485</v>
      </c>
      <c r="AE116" s="29" t="n">
        <f aca="false">IF(OR(AD116="",N(O116)=0),"",AD116+N116/O116)</f>
        <v>-0.0697116167040979</v>
      </c>
      <c r="AF116" s="32" t="n">
        <f aca="false">IF(OR(AE116="",N(Z116)=0),"",AE116-Z116)</f>
        <v>0</v>
      </c>
      <c r="AG116" s="28" t="n">
        <f aca="false">IF(AND(N(M116)&gt;0,N(L116)&gt;0),M116*L116,N116)</f>
        <v>1.0625</v>
      </c>
      <c r="AH116" s="28" t="n">
        <f aca="false">IF(OR(N(AB116)&lt;=0,N(AG116)=0,N(L116)=0),"",MIN(L116,AG116/AB116))</f>
        <v>13.9802631578947</v>
      </c>
      <c r="AI116" s="29" t="n">
        <f aca="false">IF(OR(AH116="",N(O116)=0),"",AH116/O116-1)</f>
        <v>-0.135419718126485</v>
      </c>
      <c r="AJ116" s="29" t="n">
        <f aca="false">IF(OR(AI116="",N(O116)=0),"",AI116+AG116/O116)</f>
        <v>-0.0697116167040979</v>
      </c>
      <c r="AK116" s="32" t="n">
        <f aca="false">IF(OR(AJ116="",N(AE116)=0),"",AJ116-AE116)</f>
        <v>0</v>
      </c>
      <c r="AL116" s="33" t="n">
        <f aca="false">IF(N(F116)=0,"",INDEX(Inputs!$B$28:$B$32,IFERROR(MATCH(F116,Inputs!$A$28:$A$32,1),0)+1))</f>
        <v>0.075</v>
      </c>
      <c r="AM116" s="34"/>
      <c r="AN116" s="33" t="n">
        <f aca="false">IF(N(AM116)&gt;0,AM116,AL116)</f>
        <v>0.075</v>
      </c>
      <c r="AO116" s="29" t="n">
        <f aca="false">IF(N(AN116)=0,"",AN116+IF(I116="yes",AN116*Inputs!$B$10*Inputs!$B$9,0)+IFERROR(INDEX(Inputs!$B$13:$B$15,MATCH(G116,Inputs!$A$13:$A$15,0)),0)+IFERROR(INDEX(Inputs!$B$18:$B$24,MATCH(H116,Inputs!$A$18:$A$24,0)),0))</f>
        <v>0.07125</v>
      </c>
      <c r="AP116" s="28" t="n">
        <f aca="false">IF(OR(N(AO116)&lt;=0,N(AG116)=0,N(L116)=0),"",MIN(L116,AG116/AO116))</f>
        <v>14.9122807017544</v>
      </c>
      <c r="AQ116" s="29" t="n">
        <f aca="false">IF(OR(AP116="",N(O116)=0),"",AP116/O116-1)</f>
        <v>-0.0777810326682508</v>
      </c>
      <c r="AR116" s="29" t="n">
        <f aca="false">IF(OR(AQ116="",N(O116)=0),"",AQ116+AG116/O116)</f>
        <v>-0.0120729312458636</v>
      </c>
      <c r="AS116" s="32" t="n">
        <f aca="false">IF(OR(AR116="",N(AJ116)=0),"",AR116-AJ116)</f>
        <v>0.0576386854582343</v>
      </c>
      <c r="AT116" s="28" t="n">
        <v>25</v>
      </c>
      <c r="AU116" s="28" t="n">
        <v>1.0625</v>
      </c>
      <c r="AV116" s="28" t="n">
        <f aca="false">IF(N(AT116)&gt;0,AT116,L116)</f>
        <v>25</v>
      </c>
      <c r="AW116" s="28" t="n">
        <f aca="false">IF(AND(N(M116)&gt;0,N(AV116)&gt;0),M116*AV116,IF(N(AU116)&gt;0,AU116,N116))</f>
        <v>1.0625</v>
      </c>
      <c r="AX116" s="29" t="n">
        <f aca="false">IF(N(AN116)=0,"",AN116+IF(I116="yes",AN116*Inputs!$B$10*Inputs!$B$9,0)+IFERROR(INDEX(Inputs!$B$13:$B$15,MATCH(G116,Inputs!$A$13:$A$15,0)),0)+IFERROR(INDEX(Inputs!$B$18:$B$24,MATCH(H116,Inputs!$A$18:$A$24,0)),0))</f>
        <v>0.07125</v>
      </c>
      <c r="AY116" s="28" t="n">
        <f aca="false">IF(OR(N(AX116)&lt;=0,N(AW116)=0,N(AV116)=0),"",MIN(AV116,AW116/AX116))</f>
        <v>14.9122807017544</v>
      </c>
      <c r="AZ116" s="29" t="n">
        <f aca="false">IF(OR(AY116="",N(O116)=0),"",AY116/O116-1)</f>
        <v>-0.0777810326682508</v>
      </c>
      <c r="BA116" s="29" t="n">
        <f aca="false">IF(OR(AZ116="",N(O116)=0),"",AZ116+AW116/O116)</f>
        <v>-0.0120729312458636</v>
      </c>
      <c r="BB116" s="32" t="n">
        <f aca="false">IF(OR(BA116="",N(AR116)=0),"",BA116-AR116)</f>
        <v>0</v>
      </c>
      <c r="BC116" s="35" t="n">
        <f aca="false">IF(OR(BA116="",N(U116)=0),"",BA116-U116)</f>
        <v>0.0576386854582343</v>
      </c>
      <c r="BD116" s="37"/>
    </row>
    <row r="117" customFormat="false" ht="15" hidden="false" customHeight="false" outlineLevel="0" collapsed="false">
      <c r="A117" s="2" t="s">
        <v>140</v>
      </c>
      <c r="B117" s="2" t="n">
        <v>223</v>
      </c>
      <c r="C117" s="2" t="s">
        <v>348</v>
      </c>
      <c r="D117" s="2" t="s">
        <v>337</v>
      </c>
      <c r="E117" s="2" t="s">
        <v>338</v>
      </c>
      <c r="F117" s="27" t="n">
        <v>432600</v>
      </c>
      <c r="G117" s="2" t="s">
        <v>51</v>
      </c>
      <c r="H117" s="2" t="s">
        <v>58</v>
      </c>
      <c r="I117" s="2" t="s">
        <v>151</v>
      </c>
      <c r="J117" s="2" t="s">
        <v>145</v>
      </c>
      <c r="K117" s="2" t="n">
        <v>4</v>
      </c>
      <c r="L117" s="28" t="n">
        <v>25</v>
      </c>
      <c r="M117" s="29" t="n">
        <v>0.0475</v>
      </c>
      <c r="N117" s="28" t="n">
        <v>1.1875</v>
      </c>
      <c r="O117" s="28" t="n">
        <v>17.96</v>
      </c>
      <c r="P117" s="2" t="s">
        <v>223</v>
      </c>
      <c r="Q117" s="29" t="n">
        <v>0.08</v>
      </c>
      <c r="R117" s="30" t="n">
        <v>0.08</v>
      </c>
      <c r="S117" s="31" t="n">
        <v>14.84375</v>
      </c>
      <c r="T117" s="30" t="n">
        <v>-0.173510579064588</v>
      </c>
      <c r="U117" s="30" t="n">
        <v>-0.107391425389755</v>
      </c>
      <c r="V117" s="29" t="n">
        <v>0</v>
      </c>
      <c r="W117" s="29" t="n">
        <f aca="false">IF(N(Q117)=0,"",Q117+IF(I117="yes",Q117*Inputs!$B$10*Inputs!$B$9,0)+V117)</f>
        <v>0.076</v>
      </c>
      <c r="X117" s="28" t="n">
        <f aca="false">IF(OR(N(W117)&lt;=0,N(N117)=0,N(L117)=0),"",MIN(L117,N117/W117))</f>
        <v>15.625</v>
      </c>
      <c r="Y117" s="29" t="n">
        <f aca="false">IF(OR(X117="",N(O117)=0),"",X117/O117-1)</f>
        <v>-0.130011135857461</v>
      </c>
      <c r="Z117" s="29" t="n">
        <f aca="false">IF(OR(Y117="",N(O117)=0),"",Y117+N117/O117)</f>
        <v>-0.0638919821826281</v>
      </c>
      <c r="AA117" s="32" t="n">
        <f aca="false">IF(OR(Z117="",N(U117)=0),"",Z117-U117)</f>
        <v>0.0434994432071269</v>
      </c>
      <c r="AB117" s="29" t="n">
        <f aca="false">IF(N(Q117)=0,"",Q117+IF(I117="yes",Q117*Inputs!$B$10*Inputs!$B$9,0)+IFERROR(INDEX(Inputs!$B$13:$B$15,MATCH(G117,Inputs!$A$13:$A$15,0)),0)+IFERROR(INDEX(Inputs!$B$18:$B$24,MATCH(H117,Inputs!$A$18:$A$24,0)),0))</f>
        <v>0.076</v>
      </c>
      <c r="AC117" s="28" t="n">
        <f aca="false">IF(OR(N(AB117)&lt;=0,N(N117)=0,N(L117)=0),"",MIN(L117,N117/AB117))</f>
        <v>15.625</v>
      </c>
      <c r="AD117" s="29" t="n">
        <f aca="false">IF(OR(AC117="",N(O117)=0),"",AC117/O117-1)</f>
        <v>-0.130011135857461</v>
      </c>
      <c r="AE117" s="29" t="n">
        <f aca="false">IF(OR(AD117="",N(O117)=0),"",AD117+N117/O117)</f>
        <v>-0.0638919821826281</v>
      </c>
      <c r="AF117" s="32" t="n">
        <f aca="false">IF(OR(AE117="",N(Z117)=0),"",AE117-Z117)</f>
        <v>0</v>
      </c>
      <c r="AG117" s="28" t="n">
        <f aca="false">IF(AND(N(M117)&gt;0,N(L117)&gt;0),M117*L117,N117)</f>
        <v>1.1875</v>
      </c>
      <c r="AH117" s="28" t="n">
        <f aca="false">IF(OR(N(AB117)&lt;=0,N(AG117)=0,N(L117)=0),"",MIN(L117,AG117/AB117))</f>
        <v>15.625</v>
      </c>
      <c r="AI117" s="29" t="n">
        <f aca="false">IF(OR(AH117="",N(O117)=0),"",AH117/O117-1)</f>
        <v>-0.130011135857461</v>
      </c>
      <c r="AJ117" s="29" t="n">
        <f aca="false">IF(OR(AI117="",N(O117)=0),"",AI117+AG117/O117)</f>
        <v>-0.0638919821826281</v>
      </c>
      <c r="AK117" s="32" t="n">
        <f aca="false">IF(OR(AJ117="",N(AE117)=0),"",AJ117-AE117)</f>
        <v>0</v>
      </c>
      <c r="AL117" s="33" t="n">
        <f aca="false">IF(N(F117)=0,"",INDEX(Inputs!$B$28:$B$32,IFERROR(MATCH(F117,Inputs!$A$28:$A$32,1),0)+1))</f>
        <v>0.075</v>
      </c>
      <c r="AM117" s="34"/>
      <c r="AN117" s="33" t="n">
        <f aca="false">IF(N(AM117)&gt;0,AM117,AL117)</f>
        <v>0.075</v>
      </c>
      <c r="AO117" s="29" t="n">
        <f aca="false">IF(N(AN117)=0,"",AN117+IF(I117="yes",AN117*Inputs!$B$10*Inputs!$B$9,0)+IFERROR(INDEX(Inputs!$B$13:$B$15,MATCH(G117,Inputs!$A$13:$A$15,0)),0)+IFERROR(INDEX(Inputs!$B$18:$B$24,MATCH(H117,Inputs!$A$18:$A$24,0)),0))</f>
        <v>0.07125</v>
      </c>
      <c r="AP117" s="28" t="n">
        <f aca="false">IF(OR(N(AO117)&lt;=0,N(AG117)=0,N(L117)=0),"",MIN(L117,AG117/AO117))</f>
        <v>16.6666666666667</v>
      </c>
      <c r="AQ117" s="29" t="n">
        <f aca="false">IF(OR(AP117="",N(O117)=0),"",AP117/O117-1)</f>
        <v>-0.0720118782479584</v>
      </c>
      <c r="AR117" s="29" t="n">
        <f aca="false">IF(OR(AQ117="",N(O117)=0),"",AQ117+AG117/O117)</f>
        <v>-0.00589272457312545</v>
      </c>
      <c r="AS117" s="32" t="n">
        <f aca="false">IF(OR(AR117="",N(AJ117)=0),"",AR117-AJ117)</f>
        <v>0.0579992576095026</v>
      </c>
      <c r="AT117" s="28" t="n">
        <v>25</v>
      </c>
      <c r="AU117" s="28" t="n">
        <v>1.1875</v>
      </c>
      <c r="AV117" s="28" t="n">
        <f aca="false">IF(N(AT117)&gt;0,AT117,L117)</f>
        <v>25</v>
      </c>
      <c r="AW117" s="28" t="n">
        <f aca="false">IF(AND(N(M117)&gt;0,N(AV117)&gt;0),M117*AV117,IF(N(AU117)&gt;0,AU117,N117))</f>
        <v>1.1875</v>
      </c>
      <c r="AX117" s="29" t="n">
        <f aca="false">IF(N(AN117)=0,"",AN117+IF(I117="yes",AN117*Inputs!$B$10*Inputs!$B$9,0)+IFERROR(INDEX(Inputs!$B$13:$B$15,MATCH(G117,Inputs!$A$13:$A$15,0)),0)+IFERROR(INDEX(Inputs!$B$18:$B$24,MATCH(H117,Inputs!$A$18:$A$24,0)),0))</f>
        <v>0.07125</v>
      </c>
      <c r="AY117" s="28" t="n">
        <f aca="false">IF(OR(N(AX117)&lt;=0,N(AW117)=0,N(AV117)=0),"",MIN(AV117,AW117/AX117))</f>
        <v>16.6666666666667</v>
      </c>
      <c r="AZ117" s="29" t="n">
        <f aca="false">IF(OR(AY117="",N(O117)=0),"",AY117/O117-1)</f>
        <v>-0.0720118782479584</v>
      </c>
      <c r="BA117" s="29" t="n">
        <f aca="false">IF(OR(AZ117="",N(O117)=0),"",AZ117+AW117/O117)</f>
        <v>-0.00589272457312545</v>
      </c>
      <c r="BB117" s="32" t="n">
        <f aca="false">IF(OR(BA117="",N(AR117)=0),"",BA117-AR117)</f>
        <v>0</v>
      </c>
      <c r="BC117" s="35" t="n">
        <f aca="false">IF(OR(BA117="",N(U117)=0),"",BA117-U117)</f>
        <v>0.10149870081663</v>
      </c>
      <c r="BD117" s="36" t="s">
        <v>224</v>
      </c>
    </row>
    <row r="118" customFormat="false" ht="15" hidden="false" customHeight="false" outlineLevel="0" collapsed="false">
      <c r="A118" s="2" t="s">
        <v>140</v>
      </c>
      <c r="B118" s="2" t="n">
        <v>224</v>
      </c>
      <c r="C118" s="2" t="s">
        <v>349</v>
      </c>
      <c r="D118" s="2" t="s">
        <v>337</v>
      </c>
      <c r="E118" s="2" t="s">
        <v>338</v>
      </c>
      <c r="F118" s="27" t="n">
        <v>432600</v>
      </c>
      <c r="G118" s="2" t="s">
        <v>51</v>
      </c>
      <c r="H118" s="2" t="s">
        <v>60</v>
      </c>
      <c r="I118" s="2" t="s">
        <v>151</v>
      </c>
      <c r="J118" s="2" t="s">
        <v>145</v>
      </c>
      <c r="K118" s="2" t="n">
        <v>4</v>
      </c>
      <c r="L118" s="28" t="n">
        <v>25</v>
      </c>
      <c r="M118" s="29" t="n">
        <v>0.015</v>
      </c>
      <c r="N118" s="28" t="n">
        <v>0.375</v>
      </c>
      <c r="O118" s="28" t="n">
        <v>18.46</v>
      </c>
      <c r="P118" s="2" t="s">
        <v>146</v>
      </c>
      <c r="Q118" s="29" t="n">
        <v>0.08</v>
      </c>
      <c r="R118" s="30" t="n">
        <v>0.076</v>
      </c>
      <c r="S118" s="31" t="n">
        <v>4.93421052631579</v>
      </c>
      <c r="T118" s="30" t="n">
        <v>-0.73270798882363</v>
      </c>
      <c r="U118" s="30" t="n">
        <v>-0.712393795974226</v>
      </c>
      <c r="V118" s="29" t="n">
        <v>0</v>
      </c>
      <c r="W118" s="29" t="n">
        <f aca="false">IF(N(Q118)=0,"",Q118+IF(I118="yes",Q118*Inputs!$B$10*Inputs!$B$9,0)+V118)</f>
        <v>0.076</v>
      </c>
      <c r="X118" s="28" t="n">
        <f aca="false">IF(OR(N(W118)&lt;=0,N(N118)=0,N(L118)=0),"",MIN(L118,N118/W118))</f>
        <v>4.93421052631579</v>
      </c>
      <c r="Y118" s="29" t="n">
        <f aca="false">IF(OR(X118="",N(O118)=0),"",X118/O118-1)</f>
        <v>-0.73270798882363</v>
      </c>
      <c r="Z118" s="29" t="n">
        <f aca="false">IF(OR(Y118="",N(O118)=0),"",Y118+N118/O118)</f>
        <v>-0.712393795974226</v>
      </c>
      <c r="AA118" s="32" t="n">
        <f aca="false">IF(OR(Z118="",N(U118)=0),"",Z118-U118)</f>
        <v>0</v>
      </c>
      <c r="AB118" s="29" t="n">
        <f aca="false">IF(N(Q118)=0,"",Q118+IF(I118="yes",Q118*Inputs!$B$10*Inputs!$B$9,0)+IFERROR(INDEX(Inputs!$B$13:$B$15,MATCH(G118,Inputs!$A$13:$A$15,0)),0)+IFERROR(INDEX(Inputs!$B$18:$B$24,MATCH(H118,Inputs!$A$18:$A$24,0)),0))</f>
        <v>0.076</v>
      </c>
      <c r="AC118" s="28" t="n">
        <f aca="false">IF(OR(N(AB118)&lt;=0,N(N118)=0,N(L118)=0),"",MIN(L118,N118/AB118))</f>
        <v>4.93421052631579</v>
      </c>
      <c r="AD118" s="29" t="n">
        <f aca="false">IF(OR(AC118="",N(O118)=0),"",AC118/O118-1)</f>
        <v>-0.73270798882363</v>
      </c>
      <c r="AE118" s="29" t="n">
        <f aca="false">IF(OR(AD118="",N(O118)=0),"",AD118+N118/O118)</f>
        <v>-0.712393795974226</v>
      </c>
      <c r="AF118" s="32" t="n">
        <f aca="false">IF(OR(AE118="",N(Z118)=0),"",AE118-Z118)</f>
        <v>0</v>
      </c>
      <c r="AG118" s="28" t="n">
        <f aca="false">IF(AND(N(M118)&gt;0,N(L118)&gt;0),M118*L118,N118)</f>
        <v>0.375</v>
      </c>
      <c r="AH118" s="28" t="n">
        <f aca="false">IF(OR(N(AB118)&lt;=0,N(AG118)=0,N(L118)=0),"",MIN(L118,AG118/AB118))</f>
        <v>4.93421052631579</v>
      </c>
      <c r="AI118" s="29" t="n">
        <f aca="false">IF(OR(AH118="",N(O118)=0),"",AH118/O118-1)</f>
        <v>-0.73270798882363</v>
      </c>
      <c r="AJ118" s="29" t="n">
        <f aca="false">IF(OR(AI118="",N(O118)=0),"",AI118+AG118/O118)</f>
        <v>-0.712393795974226</v>
      </c>
      <c r="AK118" s="32" t="n">
        <f aca="false">IF(OR(AJ118="",N(AE118)=0),"",AJ118-AE118)</f>
        <v>0</v>
      </c>
      <c r="AL118" s="33" t="n">
        <f aca="false">IF(N(F118)=0,"",INDEX(Inputs!$B$28:$B$32,IFERROR(MATCH(F118,Inputs!$A$28:$A$32,1),0)+1))</f>
        <v>0.075</v>
      </c>
      <c r="AM118" s="34"/>
      <c r="AN118" s="33" t="n">
        <f aca="false">IF(N(AM118)&gt;0,AM118,AL118)</f>
        <v>0.075</v>
      </c>
      <c r="AO118" s="29" t="n">
        <f aca="false">IF(N(AN118)=0,"",AN118+IF(I118="yes",AN118*Inputs!$B$10*Inputs!$B$9,0)+IFERROR(INDEX(Inputs!$B$13:$B$15,MATCH(G118,Inputs!$A$13:$A$15,0)),0)+IFERROR(INDEX(Inputs!$B$18:$B$24,MATCH(H118,Inputs!$A$18:$A$24,0)),0))</f>
        <v>0.07125</v>
      </c>
      <c r="AP118" s="28" t="n">
        <f aca="false">IF(OR(N(AO118)&lt;=0,N(AG118)=0,N(L118)=0),"",MIN(L118,AG118/AO118))</f>
        <v>5.26315789473684</v>
      </c>
      <c r="AQ118" s="29" t="n">
        <f aca="false">IF(OR(AP118="",N(O118)=0),"",AP118/O118-1)</f>
        <v>-0.714888521411872</v>
      </c>
      <c r="AR118" s="29" t="n">
        <f aca="false">IF(OR(AQ118="",N(O118)=0),"",AQ118+AG118/O118)</f>
        <v>-0.694574328562468</v>
      </c>
      <c r="AS118" s="32" t="n">
        <f aca="false">IF(OR(AR118="",N(AJ118)=0),"",AR118-AJ118)</f>
        <v>0.017819467411758</v>
      </c>
      <c r="AT118" s="28" t="n">
        <v>25</v>
      </c>
      <c r="AU118" s="28"/>
      <c r="AV118" s="28" t="n">
        <f aca="false">IF(N(AT118)&gt;0,AT118,L118)</f>
        <v>25</v>
      </c>
      <c r="AW118" s="28" t="n">
        <f aca="false">IF(AND(N(M118)&gt;0,N(AV118)&gt;0),M118*AV118,IF(N(AU118)&gt;0,AU118,N118))</f>
        <v>0.375</v>
      </c>
      <c r="AX118" s="29" t="n">
        <f aca="false">IF(N(AN118)=0,"",AN118+IF(I118="yes",AN118*Inputs!$B$10*Inputs!$B$9,0)+IFERROR(INDEX(Inputs!$B$13:$B$15,MATCH(G118,Inputs!$A$13:$A$15,0)),0)+IFERROR(INDEX(Inputs!$B$18:$B$24,MATCH(H118,Inputs!$A$18:$A$24,0)),0))</f>
        <v>0.07125</v>
      </c>
      <c r="AY118" s="28" t="n">
        <f aca="false">IF(OR(N(AX118)&lt;=0,N(AW118)=0,N(AV118)=0),"",MIN(AV118,AW118/AX118))</f>
        <v>5.26315789473684</v>
      </c>
      <c r="AZ118" s="29" t="n">
        <f aca="false">IF(OR(AY118="",N(O118)=0),"",AY118/O118-1)</f>
        <v>-0.714888521411872</v>
      </c>
      <c r="BA118" s="29" t="n">
        <f aca="false">IF(OR(AZ118="",N(O118)=0),"",AZ118+AW118/O118)</f>
        <v>-0.694574328562468</v>
      </c>
      <c r="BB118" s="32" t="n">
        <f aca="false">IF(OR(BA118="",N(AR118)=0),"",BA118-AR118)</f>
        <v>0</v>
      </c>
      <c r="BC118" s="35" t="n">
        <f aca="false">IF(OR(BA118="",N(U118)=0),"",BA118-U118)</f>
        <v>0.017819467411758</v>
      </c>
      <c r="BD118" s="36" t="s">
        <v>340</v>
      </c>
    </row>
    <row r="119" customFormat="false" ht="15" hidden="false" customHeight="false" outlineLevel="0" collapsed="false">
      <c r="A119" s="2" t="s">
        <v>140</v>
      </c>
      <c r="B119" s="2" t="n">
        <v>225</v>
      </c>
      <c r="C119" s="2" t="s">
        <v>350</v>
      </c>
      <c r="D119" s="2" t="s">
        <v>337</v>
      </c>
      <c r="E119" s="2" t="s">
        <v>338</v>
      </c>
      <c r="F119" s="27" t="n">
        <v>432600</v>
      </c>
      <c r="G119" s="2" t="s">
        <v>51</v>
      </c>
      <c r="H119" s="2" t="s">
        <v>60</v>
      </c>
      <c r="I119" s="2" t="s">
        <v>151</v>
      </c>
      <c r="J119" s="2" t="s">
        <v>145</v>
      </c>
      <c r="K119" s="2" t="n">
        <v>4</v>
      </c>
      <c r="L119" s="28" t="n">
        <v>25</v>
      </c>
      <c r="M119" s="29" t="n">
        <v>0.014</v>
      </c>
      <c r="N119" s="28" t="n">
        <v>0.35</v>
      </c>
      <c r="O119" s="28" t="n">
        <v>18.42</v>
      </c>
      <c r="P119" s="2" t="s">
        <v>146</v>
      </c>
      <c r="Q119" s="29" t="n">
        <v>0.08</v>
      </c>
      <c r="R119" s="30" t="n">
        <v>0.076</v>
      </c>
      <c r="S119" s="31" t="n">
        <v>4.60526315789474</v>
      </c>
      <c r="T119" s="30" t="n">
        <v>-0.749985713469341</v>
      </c>
      <c r="U119" s="30" t="n">
        <v>-0.730984627693011</v>
      </c>
      <c r="V119" s="29" t="n">
        <v>0</v>
      </c>
      <c r="W119" s="29" t="n">
        <f aca="false">IF(N(Q119)=0,"",Q119+IF(I119="yes",Q119*Inputs!$B$10*Inputs!$B$9,0)+V119)</f>
        <v>0.076</v>
      </c>
      <c r="X119" s="28" t="n">
        <f aca="false">IF(OR(N(W119)&lt;=0,N(N119)=0,N(L119)=0),"",MIN(L119,N119/W119))</f>
        <v>4.60526315789474</v>
      </c>
      <c r="Y119" s="29" t="n">
        <f aca="false">IF(OR(X119="",N(O119)=0),"",X119/O119-1)</f>
        <v>-0.749985713469341</v>
      </c>
      <c r="Z119" s="29" t="n">
        <f aca="false">IF(OR(Y119="",N(O119)=0),"",Y119+N119/O119)</f>
        <v>-0.730984627693011</v>
      </c>
      <c r="AA119" s="32" t="n">
        <f aca="false">IF(OR(Z119="",N(U119)=0),"",Z119-U119)</f>
        <v>0</v>
      </c>
      <c r="AB119" s="29" t="n">
        <f aca="false">IF(N(Q119)=0,"",Q119+IF(I119="yes",Q119*Inputs!$B$10*Inputs!$B$9,0)+IFERROR(INDEX(Inputs!$B$13:$B$15,MATCH(G119,Inputs!$A$13:$A$15,0)),0)+IFERROR(INDEX(Inputs!$B$18:$B$24,MATCH(H119,Inputs!$A$18:$A$24,0)),0))</f>
        <v>0.076</v>
      </c>
      <c r="AC119" s="28" t="n">
        <f aca="false">IF(OR(N(AB119)&lt;=0,N(N119)=0,N(L119)=0),"",MIN(L119,N119/AB119))</f>
        <v>4.60526315789474</v>
      </c>
      <c r="AD119" s="29" t="n">
        <f aca="false">IF(OR(AC119="",N(O119)=0),"",AC119/O119-1)</f>
        <v>-0.749985713469341</v>
      </c>
      <c r="AE119" s="29" t="n">
        <f aca="false">IF(OR(AD119="",N(O119)=0),"",AD119+N119/O119)</f>
        <v>-0.730984627693011</v>
      </c>
      <c r="AF119" s="32" t="n">
        <f aca="false">IF(OR(AE119="",N(Z119)=0),"",AE119-Z119)</f>
        <v>0</v>
      </c>
      <c r="AG119" s="28" t="n">
        <f aca="false">IF(AND(N(M119)&gt;0,N(L119)&gt;0),M119*L119,N119)</f>
        <v>0.35</v>
      </c>
      <c r="AH119" s="28" t="n">
        <f aca="false">IF(OR(N(AB119)&lt;=0,N(AG119)=0,N(L119)=0),"",MIN(L119,AG119/AB119))</f>
        <v>4.60526315789474</v>
      </c>
      <c r="AI119" s="29" t="n">
        <f aca="false">IF(OR(AH119="",N(O119)=0),"",AH119/O119-1)</f>
        <v>-0.749985713469341</v>
      </c>
      <c r="AJ119" s="29" t="n">
        <f aca="false">IF(OR(AI119="",N(O119)=0),"",AI119+AG119/O119)</f>
        <v>-0.730984627693011</v>
      </c>
      <c r="AK119" s="32" t="n">
        <f aca="false">IF(OR(AJ119="",N(AE119)=0),"",AJ119-AE119)</f>
        <v>0</v>
      </c>
      <c r="AL119" s="33" t="n">
        <f aca="false">IF(N(F119)=0,"",INDEX(Inputs!$B$28:$B$32,IFERROR(MATCH(F119,Inputs!$A$28:$A$32,1),0)+1))</f>
        <v>0.075</v>
      </c>
      <c r="AM119" s="34"/>
      <c r="AN119" s="33" t="n">
        <f aca="false">IF(N(AM119)&gt;0,AM119,AL119)</f>
        <v>0.075</v>
      </c>
      <c r="AO119" s="29" t="n">
        <f aca="false">IF(N(AN119)=0,"",AN119+IF(I119="yes",AN119*Inputs!$B$10*Inputs!$B$9,0)+IFERROR(INDEX(Inputs!$B$13:$B$15,MATCH(G119,Inputs!$A$13:$A$15,0)),0)+IFERROR(INDEX(Inputs!$B$18:$B$24,MATCH(H119,Inputs!$A$18:$A$24,0)),0))</f>
        <v>0.07125</v>
      </c>
      <c r="AP119" s="28" t="n">
        <f aca="false">IF(OR(N(AO119)&lt;=0,N(AG119)=0,N(L119)=0),"",MIN(L119,AG119/AO119))</f>
        <v>4.91228070175439</v>
      </c>
      <c r="AQ119" s="29" t="n">
        <f aca="false">IF(OR(AP119="",N(O119)=0),"",AP119/O119-1)</f>
        <v>-0.733318094367297</v>
      </c>
      <c r="AR119" s="29" t="n">
        <f aca="false">IF(OR(AQ119="",N(O119)=0),"",AQ119+AG119/O119)</f>
        <v>-0.714317008590967</v>
      </c>
      <c r="AS119" s="32" t="n">
        <f aca="false">IF(OR(AR119="",N(AJ119)=0),"",AR119-AJ119)</f>
        <v>0.0166676191020438</v>
      </c>
      <c r="AT119" s="28" t="n">
        <v>25</v>
      </c>
      <c r="AU119" s="28"/>
      <c r="AV119" s="28" t="n">
        <f aca="false">IF(N(AT119)&gt;0,AT119,L119)</f>
        <v>25</v>
      </c>
      <c r="AW119" s="28" t="n">
        <f aca="false">IF(AND(N(M119)&gt;0,N(AV119)&gt;0),M119*AV119,IF(N(AU119)&gt;0,AU119,N119))</f>
        <v>0.35</v>
      </c>
      <c r="AX119" s="29" t="n">
        <f aca="false">IF(N(AN119)=0,"",AN119+IF(I119="yes",AN119*Inputs!$B$10*Inputs!$B$9,0)+IFERROR(INDEX(Inputs!$B$13:$B$15,MATCH(G119,Inputs!$A$13:$A$15,0)),0)+IFERROR(INDEX(Inputs!$B$18:$B$24,MATCH(H119,Inputs!$A$18:$A$24,0)),0))</f>
        <v>0.07125</v>
      </c>
      <c r="AY119" s="28" t="n">
        <f aca="false">IF(OR(N(AX119)&lt;=0,N(AW119)=0,N(AV119)=0),"",MIN(AV119,AW119/AX119))</f>
        <v>4.91228070175439</v>
      </c>
      <c r="AZ119" s="29" t="n">
        <f aca="false">IF(OR(AY119="",N(O119)=0),"",AY119/O119-1)</f>
        <v>-0.733318094367297</v>
      </c>
      <c r="BA119" s="29" t="n">
        <f aca="false">IF(OR(AZ119="",N(O119)=0),"",AZ119+AW119/O119)</f>
        <v>-0.714317008590967</v>
      </c>
      <c r="BB119" s="32" t="n">
        <f aca="false">IF(OR(BA119="",N(AR119)=0),"",BA119-AR119)</f>
        <v>0</v>
      </c>
      <c r="BC119" s="35" t="n">
        <f aca="false">IF(OR(BA119="",N(U119)=0),"",BA119-U119)</f>
        <v>0.0166676191020438</v>
      </c>
      <c r="BD119" s="36" t="s">
        <v>340</v>
      </c>
    </row>
    <row r="120" customFormat="false" ht="15" hidden="false" customHeight="false" outlineLevel="0" collapsed="false">
      <c r="A120" s="2" t="s">
        <v>140</v>
      </c>
      <c r="B120" s="2" t="n">
        <v>226</v>
      </c>
      <c r="C120" s="2" t="s">
        <v>351</v>
      </c>
      <c r="D120" s="2" t="s">
        <v>337</v>
      </c>
      <c r="E120" s="2" t="s">
        <v>338</v>
      </c>
      <c r="F120" s="27" t="n">
        <v>432600</v>
      </c>
      <c r="G120" s="2" t="s">
        <v>51</v>
      </c>
      <c r="H120" s="2" t="s">
        <v>60</v>
      </c>
      <c r="I120" s="2" t="s">
        <v>151</v>
      </c>
      <c r="J120" s="2" t="s">
        <v>145</v>
      </c>
      <c r="K120" s="2" t="n">
        <v>4</v>
      </c>
      <c r="L120" s="28" t="n">
        <v>25</v>
      </c>
      <c r="M120" s="29" t="n">
        <v>0.015</v>
      </c>
      <c r="N120" s="28" t="n">
        <v>0.375</v>
      </c>
      <c r="O120" s="28" t="n">
        <v>19.07</v>
      </c>
      <c r="P120" s="2" t="s">
        <v>146</v>
      </c>
      <c r="Q120" s="29" t="n">
        <v>0.08</v>
      </c>
      <c r="R120" s="30" t="n">
        <v>0.076</v>
      </c>
      <c r="S120" s="31" t="n">
        <v>4.93421052631579</v>
      </c>
      <c r="T120" s="30" t="n">
        <v>-0.741257969254547</v>
      </c>
      <c r="U120" s="30" t="n">
        <v>-0.721593574917892</v>
      </c>
      <c r="V120" s="29" t="n">
        <v>0</v>
      </c>
      <c r="W120" s="29" t="n">
        <f aca="false">IF(N(Q120)=0,"",Q120+IF(I120="yes",Q120*Inputs!$B$10*Inputs!$B$9,0)+V120)</f>
        <v>0.076</v>
      </c>
      <c r="X120" s="28" t="n">
        <f aca="false">IF(OR(N(W120)&lt;=0,N(N120)=0,N(L120)=0),"",MIN(L120,N120/W120))</f>
        <v>4.93421052631579</v>
      </c>
      <c r="Y120" s="29" t="n">
        <f aca="false">IF(OR(X120="",N(O120)=0),"",X120/O120-1)</f>
        <v>-0.741257969254547</v>
      </c>
      <c r="Z120" s="29" t="n">
        <f aca="false">IF(OR(Y120="",N(O120)=0),"",Y120+N120/O120)</f>
        <v>-0.721593574917892</v>
      </c>
      <c r="AA120" s="32" t="n">
        <f aca="false">IF(OR(Z120="",N(U120)=0),"",Z120-U120)</f>
        <v>0</v>
      </c>
      <c r="AB120" s="29" t="n">
        <f aca="false">IF(N(Q120)=0,"",Q120+IF(I120="yes",Q120*Inputs!$B$10*Inputs!$B$9,0)+IFERROR(INDEX(Inputs!$B$13:$B$15,MATCH(G120,Inputs!$A$13:$A$15,0)),0)+IFERROR(INDEX(Inputs!$B$18:$B$24,MATCH(H120,Inputs!$A$18:$A$24,0)),0))</f>
        <v>0.076</v>
      </c>
      <c r="AC120" s="28" t="n">
        <f aca="false">IF(OR(N(AB120)&lt;=0,N(N120)=0,N(L120)=0),"",MIN(L120,N120/AB120))</f>
        <v>4.93421052631579</v>
      </c>
      <c r="AD120" s="29" t="n">
        <f aca="false">IF(OR(AC120="",N(O120)=0),"",AC120/O120-1)</f>
        <v>-0.741257969254547</v>
      </c>
      <c r="AE120" s="29" t="n">
        <f aca="false">IF(OR(AD120="",N(O120)=0),"",AD120+N120/O120)</f>
        <v>-0.721593574917892</v>
      </c>
      <c r="AF120" s="32" t="n">
        <f aca="false">IF(OR(AE120="",N(Z120)=0),"",AE120-Z120)</f>
        <v>0</v>
      </c>
      <c r="AG120" s="28" t="n">
        <f aca="false">IF(AND(N(M120)&gt;0,N(L120)&gt;0),M120*L120,N120)</f>
        <v>0.375</v>
      </c>
      <c r="AH120" s="28" t="n">
        <f aca="false">IF(OR(N(AB120)&lt;=0,N(AG120)=0,N(L120)=0),"",MIN(L120,AG120/AB120))</f>
        <v>4.93421052631579</v>
      </c>
      <c r="AI120" s="29" t="n">
        <f aca="false">IF(OR(AH120="",N(O120)=0),"",AH120/O120-1)</f>
        <v>-0.741257969254547</v>
      </c>
      <c r="AJ120" s="29" t="n">
        <f aca="false">IF(OR(AI120="",N(O120)=0),"",AI120+AG120/O120)</f>
        <v>-0.721593574917892</v>
      </c>
      <c r="AK120" s="32" t="n">
        <f aca="false">IF(OR(AJ120="",N(AE120)=0),"",AJ120-AE120)</f>
        <v>0</v>
      </c>
      <c r="AL120" s="33" t="n">
        <f aca="false">IF(N(F120)=0,"",INDEX(Inputs!$B$28:$B$32,IFERROR(MATCH(F120,Inputs!$A$28:$A$32,1),0)+1))</f>
        <v>0.075</v>
      </c>
      <c r="AM120" s="34"/>
      <c r="AN120" s="33" t="n">
        <f aca="false">IF(N(AM120)&gt;0,AM120,AL120)</f>
        <v>0.075</v>
      </c>
      <c r="AO120" s="29" t="n">
        <f aca="false">IF(N(AN120)=0,"",AN120+IF(I120="yes",AN120*Inputs!$B$10*Inputs!$B$9,0)+IFERROR(INDEX(Inputs!$B$13:$B$15,MATCH(G120,Inputs!$A$13:$A$15,0)),0)+IFERROR(INDEX(Inputs!$B$18:$B$24,MATCH(H120,Inputs!$A$18:$A$24,0)),0))</f>
        <v>0.07125</v>
      </c>
      <c r="AP120" s="28" t="n">
        <f aca="false">IF(OR(N(AO120)&lt;=0,N(AG120)=0,N(L120)=0),"",MIN(L120,AG120/AO120))</f>
        <v>5.26315789473684</v>
      </c>
      <c r="AQ120" s="29" t="n">
        <f aca="false">IF(OR(AP120="",N(O120)=0),"",AP120/O120-1)</f>
        <v>-0.724008500538183</v>
      </c>
      <c r="AR120" s="29" t="n">
        <f aca="false">IF(OR(AQ120="",N(O120)=0),"",AQ120+AG120/O120)</f>
        <v>-0.704344106201529</v>
      </c>
      <c r="AS120" s="32" t="n">
        <f aca="false">IF(OR(AR120="",N(AJ120)=0),"",AR120-AJ120)</f>
        <v>0.0172494687163636</v>
      </c>
      <c r="AT120" s="28" t="n">
        <v>25</v>
      </c>
      <c r="AU120" s="28"/>
      <c r="AV120" s="28" t="n">
        <f aca="false">IF(N(AT120)&gt;0,AT120,L120)</f>
        <v>25</v>
      </c>
      <c r="AW120" s="28" t="n">
        <f aca="false">IF(AND(N(M120)&gt;0,N(AV120)&gt;0),M120*AV120,IF(N(AU120)&gt;0,AU120,N120))</f>
        <v>0.375</v>
      </c>
      <c r="AX120" s="29" t="n">
        <f aca="false">IF(N(AN120)=0,"",AN120+IF(I120="yes",AN120*Inputs!$B$10*Inputs!$B$9,0)+IFERROR(INDEX(Inputs!$B$13:$B$15,MATCH(G120,Inputs!$A$13:$A$15,0)),0)+IFERROR(INDEX(Inputs!$B$18:$B$24,MATCH(H120,Inputs!$A$18:$A$24,0)),0))</f>
        <v>0.07125</v>
      </c>
      <c r="AY120" s="28" t="n">
        <f aca="false">IF(OR(N(AX120)&lt;=0,N(AW120)=0,N(AV120)=0),"",MIN(AV120,AW120/AX120))</f>
        <v>5.26315789473684</v>
      </c>
      <c r="AZ120" s="29" t="n">
        <f aca="false">IF(OR(AY120="",N(O120)=0),"",AY120/O120-1)</f>
        <v>-0.724008500538183</v>
      </c>
      <c r="BA120" s="29" t="n">
        <f aca="false">IF(OR(AZ120="",N(O120)=0),"",AZ120+AW120/O120)</f>
        <v>-0.704344106201529</v>
      </c>
      <c r="BB120" s="32" t="n">
        <f aca="false">IF(OR(BA120="",N(AR120)=0),"",BA120-AR120)</f>
        <v>0</v>
      </c>
      <c r="BC120" s="35" t="n">
        <f aca="false">IF(OR(BA120="",N(U120)=0),"",BA120-U120)</f>
        <v>0.0172494687163636</v>
      </c>
      <c r="BD120" s="36" t="s">
        <v>340</v>
      </c>
    </row>
    <row r="121" customFormat="false" ht="15" hidden="false" customHeight="false" outlineLevel="0" collapsed="false">
      <c r="A121" s="2" t="s">
        <v>140</v>
      </c>
      <c r="B121" s="2" t="n">
        <v>227</v>
      </c>
      <c r="C121" s="2" t="s">
        <v>352</v>
      </c>
      <c r="D121" s="2" t="s">
        <v>337</v>
      </c>
      <c r="E121" s="2" t="s">
        <v>338</v>
      </c>
      <c r="F121" s="27" t="n">
        <v>432600</v>
      </c>
      <c r="G121" s="2" t="s">
        <v>51</v>
      </c>
      <c r="H121" s="2" t="s">
        <v>60</v>
      </c>
      <c r="I121" s="2" t="s">
        <v>151</v>
      </c>
      <c r="J121" s="2" t="s">
        <v>145</v>
      </c>
      <c r="K121" s="2" t="n">
        <v>4</v>
      </c>
      <c r="L121" s="28" t="n">
        <v>25</v>
      </c>
      <c r="M121" s="29" t="n">
        <v>0.0125</v>
      </c>
      <c r="N121" s="28" t="n">
        <v>0.3125</v>
      </c>
      <c r="O121" s="28" t="n">
        <v>19.13</v>
      </c>
      <c r="P121" s="2" t="s">
        <v>146</v>
      </c>
      <c r="Q121" s="29" t="n">
        <v>0.08</v>
      </c>
      <c r="R121" s="30" t="n">
        <v>0.076</v>
      </c>
      <c r="S121" s="31" t="n">
        <v>4.11184210526316</v>
      </c>
      <c r="T121" s="30" t="n">
        <v>-0.785057913995653</v>
      </c>
      <c r="U121" s="30" t="n">
        <v>-0.768722315459323</v>
      </c>
      <c r="V121" s="29" t="n">
        <v>0</v>
      </c>
      <c r="W121" s="29" t="n">
        <f aca="false">IF(N(Q121)=0,"",Q121+IF(I121="yes",Q121*Inputs!$B$10*Inputs!$B$9,0)+V121)</f>
        <v>0.076</v>
      </c>
      <c r="X121" s="28" t="n">
        <f aca="false">IF(OR(N(W121)&lt;=0,N(N121)=0,N(L121)=0),"",MIN(L121,N121/W121))</f>
        <v>4.11184210526316</v>
      </c>
      <c r="Y121" s="29" t="n">
        <f aca="false">IF(OR(X121="",N(O121)=0),"",X121/O121-1)</f>
        <v>-0.785057913995653</v>
      </c>
      <c r="Z121" s="29" t="n">
        <f aca="false">IF(OR(Y121="",N(O121)=0),"",Y121+N121/O121)</f>
        <v>-0.768722315459323</v>
      </c>
      <c r="AA121" s="32" t="n">
        <f aca="false">IF(OR(Z121="",N(U121)=0),"",Z121-U121)</f>
        <v>0</v>
      </c>
      <c r="AB121" s="29" t="n">
        <f aca="false">IF(N(Q121)=0,"",Q121+IF(I121="yes",Q121*Inputs!$B$10*Inputs!$B$9,0)+IFERROR(INDEX(Inputs!$B$13:$B$15,MATCH(G121,Inputs!$A$13:$A$15,0)),0)+IFERROR(INDEX(Inputs!$B$18:$B$24,MATCH(H121,Inputs!$A$18:$A$24,0)),0))</f>
        <v>0.076</v>
      </c>
      <c r="AC121" s="28" t="n">
        <f aca="false">IF(OR(N(AB121)&lt;=0,N(N121)=0,N(L121)=0),"",MIN(L121,N121/AB121))</f>
        <v>4.11184210526316</v>
      </c>
      <c r="AD121" s="29" t="n">
        <f aca="false">IF(OR(AC121="",N(O121)=0),"",AC121/O121-1)</f>
        <v>-0.785057913995653</v>
      </c>
      <c r="AE121" s="29" t="n">
        <f aca="false">IF(OR(AD121="",N(O121)=0),"",AD121+N121/O121)</f>
        <v>-0.768722315459323</v>
      </c>
      <c r="AF121" s="32" t="n">
        <f aca="false">IF(OR(AE121="",N(Z121)=0),"",AE121-Z121)</f>
        <v>0</v>
      </c>
      <c r="AG121" s="28" t="n">
        <f aca="false">IF(AND(N(M121)&gt;0,N(L121)&gt;0),M121*L121,N121)</f>
        <v>0.3125</v>
      </c>
      <c r="AH121" s="28" t="n">
        <f aca="false">IF(OR(N(AB121)&lt;=0,N(AG121)=0,N(L121)=0),"",MIN(L121,AG121/AB121))</f>
        <v>4.11184210526316</v>
      </c>
      <c r="AI121" s="29" t="n">
        <f aca="false">IF(OR(AH121="",N(O121)=0),"",AH121/O121-1)</f>
        <v>-0.785057913995653</v>
      </c>
      <c r="AJ121" s="29" t="n">
        <f aca="false">IF(OR(AI121="",N(O121)=0),"",AI121+AG121/O121)</f>
        <v>-0.768722315459323</v>
      </c>
      <c r="AK121" s="32" t="n">
        <f aca="false">IF(OR(AJ121="",N(AE121)=0),"",AJ121-AE121)</f>
        <v>0</v>
      </c>
      <c r="AL121" s="33" t="n">
        <f aca="false">IF(N(F121)=0,"",INDEX(Inputs!$B$28:$B$32,IFERROR(MATCH(F121,Inputs!$A$28:$A$32,1),0)+1))</f>
        <v>0.075</v>
      </c>
      <c r="AM121" s="34"/>
      <c r="AN121" s="33" t="n">
        <f aca="false">IF(N(AM121)&gt;0,AM121,AL121)</f>
        <v>0.075</v>
      </c>
      <c r="AO121" s="29" t="n">
        <f aca="false">IF(N(AN121)=0,"",AN121+IF(I121="yes",AN121*Inputs!$B$10*Inputs!$B$9,0)+IFERROR(INDEX(Inputs!$B$13:$B$15,MATCH(G121,Inputs!$A$13:$A$15,0)),0)+IFERROR(INDEX(Inputs!$B$18:$B$24,MATCH(H121,Inputs!$A$18:$A$24,0)),0))</f>
        <v>0.07125</v>
      </c>
      <c r="AP121" s="28" t="n">
        <f aca="false">IF(OR(N(AO121)&lt;=0,N(AG121)=0,N(L121)=0),"",MIN(L121,AG121/AO121))</f>
        <v>4.3859649122807</v>
      </c>
      <c r="AQ121" s="29" t="n">
        <f aca="false">IF(OR(AP121="",N(O121)=0),"",AP121/O121-1)</f>
        <v>-0.770728441595363</v>
      </c>
      <c r="AR121" s="29" t="n">
        <f aca="false">IF(OR(AQ121="",N(O121)=0),"",AQ121+AG121/O121)</f>
        <v>-0.754392843059033</v>
      </c>
      <c r="AS121" s="32" t="n">
        <f aca="false">IF(OR(AR121="",N(AJ121)=0),"",AR121-AJ121)</f>
        <v>0.0143294724002897</v>
      </c>
      <c r="AT121" s="28" t="n">
        <v>25</v>
      </c>
      <c r="AU121" s="28"/>
      <c r="AV121" s="28" t="n">
        <f aca="false">IF(N(AT121)&gt;0,AT121,L121)</f>
        <v>25</v>
      </c>
      <c r="AW121" s="28" t="n">
        <f aca="false">IF(AND(N(M121)&gt;0,N(AV121)&gt;0),M121*AV121,IF(N(AU121)&gt;0,AU121,N121))</f>
        <v>0.3125</v>
      </c>
      <c r="AX121" s="29" t="n">
        <f aca="false">IF(N(AN121)=0,"",AN121+IF(I121="yes",AN121*Inputs!$B$10*Inputs!$B$9,0)+IFERROR(INDEX(Inputs!$B$13:$B$15,MATCH(G121,Inputs!$A$13:$A$15,0)),0)+IFERROR(INDEX(Inputs!$B$18:$B$24,MATCH(H121,Inputs!$A$18:$A$24,0)),0))</f>
        <v>0.07125</v>
      </c>
      <c r="AY121" s="28" t="n">
        <f aca="false">IF(OR(N(AX121)&lt;=0,N(AW121)=0,N(AV121)=0),"",MIN(AV121,AW121/AX121))</f>
        <v>4.3859649122807</v>
      </c>
      <c r="AZ121" s="29" t="n">
        <f aca="false">IF(OR(AY121="",N(O121)=0),"",AY121/O121-1)</f>
        <v>-0.770728441595363</v>
      </c>
      <c r="BA121" s="29" t="n">
        <f aca="false">IF(OR(AZ121="",N(O121)=0),"",AZ121+AW121/O121)</f>
        <v>-0.754392843059033</v>
      </c>
      <c r="BB121" s="32" t="n">
        <f aca="false">IF(OR(BA121="",N(AR121)=0),"",BA121-AR121)</f>
        <v>0</v>
      </c>
      <c r="BC121" s="35" t="n">
        <f aca="false">IF(OR(BA121="",N(U121)=0),"",BA121-U121)</f>
        <v>0.0143294724002897</v>
      </c>
      <c r="BD121" s="36" t="s">
        <v>340</v>
      </c>
    </row>
    <row r="122" customFormat="false" ht="15" hidden="false" customHeight="false" outlineLevel="0" collapsed="false">
      <c r="A122" s="2" t="s">
        <v>140</v>
      </c>
      <c r="B122" s="2" t="n">
        <v>228</v>
      </c>
      <c r="C122" s="2" t="s">
        <v>353</v>
      </c>
      <c r="D122" s="2" t="s">
        <v>337</v>
      </c>
      <c r="E122" s="2" t="s">
        <v>338</v>
      </c>
      <c r="F122" s="27" t="n">
        <v>432600</v>
      </c>
      <c r="G122" s="2" t="s">
        <v>51</v>
      </c>
      <c r="H122" s="2" t="s">
        <v>58</v>
      </c>
      <c r="I122" s="2" t="s">
        <v>151</v>
      </c>
      <c r="J122" s="2" t="s">
        <v>145</v>
      </c>
      <c r="K122" s="2" t="n">
        <v>4</v>
      </c>
      <c r="L122" s="28" t="n">
        <v>100</v>
      </c>
      <c r="M122" s="29" t="n">
        <v>0.07</v>
      </c>
      <c r="N122" s="28" t="n">
        <v>7</v>
      </c>
      <c r="O122" s="28" t="n">
        <v>302</v>
      </c>
      <c r="P122" s="2" t="s">
        <v>146</v>
      </c>
      <c r="Q122" s="29" t="n">
        <v>0.08</v>
      </c>
      <c r="R122" s="30" t="n">
        <v>0.076</v>
      </c>
      <c r="S122" s="31" t="n">
        <v>92.1052631578948</v>
      </c>
      <c r="T122" s="30" t="n">
        <v>-0.695015684907633</v>
      </c>
      <c r="U122" s="30" t="n">
        <v>-0.671836876960613</v>
      </c>
      <c r="V122" s="29" t="n">
        <v>0</v>
      </c>
      <c r="W122" s="29" t="n">
        <f aca="false">IF(N(Q122)=0,"",Q122+IF(I122="yes",Q122*Inputs!$B$10*Inputs!$B$9,0)+V122)</f>
        <v>0.076</v>
      </c>
      <c r="X122" s="28" t="n">
        <f aca="false">IF(OR(N(W122)&lt;=0,N(N122)=0,N(L122)=0),"",MIN(L122,N122/W122))</f>
        <v>92.1052631578948</v>
      </c>
      <c r="Y122" s="29" t="n">
        <f aca="false">IF(OR(X122="",N(O122)=0),"",X122/O122-1)</f>
        <v>-0.695015684907633</v>
      </c>
      <c r="Z122" s="29" t="n">
        <f aca="false">IF(OR(Y122="",N(O122)=0),"",Y122+N122/O122)</f>
        <v>-0.671836876960613</v>
      </c>
      <c r="AA122" s="32" t="n">
        <f aca="false">IF(OR(Z122="",N(U122)=0),"",Z122-U122)</f>
        <v>0</v>
      </c>
      <c r="AB122" s="29" t="n">
        <f aca="false">IF(N(Q122)=0,"",Q122+IF(I122="yes",Q122*Inputs!$B$10*Inputs!$B$9,0)+IFERROR(INDEX(Inputs!$B$13:$B$15,MATCH(G122,Inputs!$A$13:$A$15,0)),0)+IFERROR(INDEX(Inputs!$B$18:$B$24,MATCH(H122,Inputs!$A$18:$A$24,0)),0))</f>
        <v>0.076</v>
      </c>
      <c r="AC122" s="28" t="n">
        <f aca="false">IF(OR(N(AB122)&lt;=0,N(N122)=0,N(L122)=0),"",MIN(L122,N122/AB122))</f>
        <v>92.1052631578948</v>
      </c>
      <c r="AD122" s="29" t="n">
        <f aca="false">IF(OR(AC122="",N(O122)=0),"",AC122/O122-1)</f>
        <v>-0.695015684907633</v>
      </c>
      <c r="AE122" s="29" t="n">
        <f aca="false">IF(OR(AD122="",N(O122)=0),"",AD122+N122/O122)</f>
        <v>-0.671836876960613</v>
      </c>
      <c r="AF122" s="32" t="n">
        <f aca="false">IF(OR(AE122="",N(Z122)=0),"",AE122-Z122)</f>
        <v>0</v>
      </c>
      <c r="AG122" s="28" t="n">
        <f aca="false">IF(AND(N(M122)&gt;0,N(L122)&gt;0),M122*L122,N122)</f>
        <v>7</v>
      </c>
      <c r="AH122" s="28" t="n">
        <f aca="false">IF(OR(N(AB122)&lt;=0,N(AG122)=0,N(L122)=0),"",MIN(L122,AG122/AB122))</f>
        <v>92.1052631578948</v>
      </c>
      <c r="AI122" s="29" t="n">
        <f aca="false">IF(OR(AH122="",N(O122)=0),"",AH122/O122-1)</f>
        <v>-0.695015684907633</v>
      </c>
      <c r="AJ122" s="29" t="n">
        <f aca="false">IF(OR(AI122="",N(O122)=0),"",AI122+AG122/O122)</f>
        <v>-0.671836876960613</v>
      </c>
      <c r="AK122" s="32" t="n">
        <f aca="false">IF(OR(AJ122="",N(AE122)=0),"",AJ122-AE122)</f>
        <v>0</v>
      </c>
      <c r="AL122" s="33" t="n">
        <f aca="false">IF(N(F122)=0,"",INDEX(Inputs!$B$28:$B$32,IFERROR(MATCH(F122,Inputs!$A$28:$A$32,1),0)+1))</f>
        <v>0.075</v>
      </c>
      <c r="AM122" s="34"/>
      <c r="AN122" s="33" t="n">
        <f aca="false">IF(N(AM122)&gt;0,AM122,AL122)</f>
        <v>0.075</v>
      </c>
      <c r="AO122" s="29" t="n">
        <f aca="false">IF(N(AN122)=0,"",AN122+IF(I122="yes",AN122*Inputs!$B$10*Inputs!$B$9,0)+IFERROR(INDEX(Inputs!$B$13:$B$15,MATCH(G122,Inputs!$A$13:$A$15,0)),0)+IFERROR(INDEX(Inputs!$B$18:$B$24,MATCH(H122,Inputs!$A$18:$A$24,0)),0))</f>
        <v>0.07125</v>
      </c>
      <c r="AP122" s="28" t="n">
        <f aca="false">IF(OR(N(AO122)&lt;=0,N(AG122)=0,N(L122)=0),"",MIN(L122,AG122/AO122))</f>
        <v>98.2456140350877</v>
      </c>
      <c r="AQ122" s="29" t="n">
        <f aca="false">IF(OR(AP122="",N(O122)=0),"",AP122/O122-1)</f>
        <v>-0.674683397234809</v>
      </c>
      <c r="AR122" s="29" t="n">
        <f aca="false">IF(OR(AQ122="",N(O122)=0),"",AQ122+AG122/O122)</f>
        <v>-0.651504589287789</v>
      </c>
      <c r="AS122" s="32" t="n">
        <f aca="false">IF(OR(AR122="",N(AJ122)=0),"",AR122-AJ122)</f>
        <v>0.0203322876728245</v>
      </c>
      <c r="AT122" s="28" t="n">
        <v>100</v>
      </c>
      <c r="AU122" s="28" t="n">
        <v>7</v>
      </c>
      <c r="AV122" s="28" t="n">
        <f aca="false">IF(N(AT122)&gt;0,AT122,L122)</f>
        <v>100</v>
      </c>
      <c r="AW122" s="28" t="n">
        <f aca="false">IF(AND(N(M122)&gt;0,N(AV122)&gt;0),M122*AV122,IF(N(AU122)&gt;0,AU122,N122))</f>
        <v>7</v>
      </c>
      <c r="AX122" s="29" t="n">
        <f aca="false">IF(N(AN122)=0,"",AN122+IF(I122="yes",AN122*Inputs!$B$10*Inputs!$B$9,0)+IFERROR(INDEX(Inputs!$B$13:$B$15,MATCH(G122,Inputs!$A$13:$A$15,0)),0)+IFERROR(INDEX(Inputs!$B$18:$B$24,MATCH(H122,Inputs!$A$18:$A$24,0)),0))</f>
        <v>0.07125</v>
      </c>
      <c r="AY122" s="28" t="n">
        <f aca="false">IF(OR(N(AX122)&lt;=0,N(AW122)=0,N(AV122)=0),"",MIN(AV122,AW122/AX122))</f>
        <v>98.2456140350877</v>
      </c>
      <c r="AZ122" s="29" t="n">
        <f aca="false">IF(OR(AY122="",N(O122)=0),"",AY122/O122-1)</f>
        <v>-0.674683397234809</v>
      </c>
      <c r="BA122" s="29" t="n">
        <f aca="false">IF(OR(AZ122="",N(O122)=0),"",AZ122+AW122/O122)</f>
        <v>-0.651504589287789</v>
      </c>
      <c r="BB122" s="32" t="n">
        <f aca="false">IF(OR(BA122="",N(AR122)=0),"",BA122-AR122)</f>
        <v>0</v>
      </c>
      <c r="BC122" s="35" t="n">
        <f aca="false">IF(OR(BA122="",N(U122)=0),"",BA122-U122)</f>
        <v>0.0203322876728245</v>
      </c>
      <c r="BD122" s="37"/>
    </row>
    <row r="123" customFormat="false" ht="15" hidden="false" customHeight="false" outlineLevel="0" collapsed="false">
      <c r="A123" s="2" t="s">
        <v>140</v>
      </c>
      <c r="B123" s="2" t="n">
        <v>229</v>
      </c>
      <c r="C123" s="2" t="s">
        <v>354</v>
      </c>
      <c r="D123" s="2" t="s">
        <v>337</v>
      </c>
      <c r="E123" s="2" t="s">
        <v>338</v>
      </c>
      <c r="F123" s="27" t="n">
        <v>432600</v>
      </c>
      <c r="G123" s="2" t="s">
        <v>54</v>
      </c>
      <c r="H123" s="2" t="s">
        <v>58</v>
      </c>
      <c r="I123" s="2" t="s">
        <v>144</v>
      </c>
      <c r="J123" s="2" t="s">
        <v>145</v>
      </c>
      <c r="K123" s="2" t="n">
        <v>4</v>
      </c>
      <c r="L123" s="28" t="n">
        <v>25</v>
      </c>
      <c r="M123" s="29" t="n">
        <v>0.060518</v>
      </c>
      <c r="N123" s="28" t="n">
        <v>1.51295</v>
      </c>
      <c r="O123" s="28" t="n">
        <v>25.22</v>
      </c>
      <c r="P123" s="2" t="s">
        <v>146</v>
      </c>
      <c r="Q123" s="29" t="n">
        <v>0.08</v>
      </c>
      <c r="R123" s="30" t="n">
        <v>0.08</v>
      </c>
      <c r="S123" s="31" t="n">
        <v>18.911875</v>
      </c>
      <c r="T123" s="30" t="n">
        <v>-0.250123909595559</v>
      </c>
      <c r="U123" s="30" t="n">
        <v>-0.190133822363204</v>
      </c>
      <c r="V123" s="29" t="n">
        <v>-0.0075</v>
      </c>
      <c r="W123" s="29" t="n">
        <f aca="false">IF(N(Q123)=0,"",Q123+IF(I123="yes",Q123*Inputs!$B$10*Inputs!$B$9,0)+V123)</f>
        <v>0.0725</v>
      </c>
      <c r="X123" s="28" t="n">
        <f aca="false">IF(OR(N(W123)&lt;=0,N(N123)=0,N(L123)=0),"",MIN(L123,N123/W123))</f>
        <v>20.868275862069</v>
      </c>
      <c r="Y123" s="29" t="n">
        <f aca="false">IF(OR(X123="",N(O123)=0),"",X123/O123-1)</f>
        <v>-0.172550520933031</v>
      </c>
      <c r="Z123" s="29" t="n">
        <f aca="false">IF(OR(Y123="",N(O123)=0),"",Y123+N123/O123)</f>
        <v>-0.112560433700676</v>
      </c>
      <c r="AA123" s="32" t="n">
        <f aca="false">IF(OR(Z123="",N(U123)=0),"",Z123-U123)</f>
        <v>0.0775733886625283</v>
      </c>
      <c r="AB123" s="29" t="n">
        <f aca="false">IF(N(Q123)=0,"",Q123+IF(I123="yes",Q123*Inputs!$B$10*Inputs!$B$9,0)+IFERROR(INDEX(Inputs!$B$13:$B$15,MATCH(G123,Inputs!$A$13:$A$15,0)),0)+IFERROR(INDEX(Inputs!$B$18:$B$24,MATCH(H123,Inputs!$A$18:$A$24,0)),0))</f>
        <v>0.075</v>
      </c>
      <c r="AC123" s="28" t="n">
        <f aca="false">IF(OR(N(AB123)&lt;=0,N(N123)=0,N(L123)=0),"",MIN(L123,N123/AB123))</f>
        <v>20.1726666666667</v>
      </c>
      <c r="AD123" s="29" t="n">
        <f aca="false">IF(OR(AC123="",N(O123)=0),"",AC123/O123-1)</f>
        <v>-0.200132170235263</v>
      </c>
      <c r="AE123" s="29" t="n">
        <f aca="false">IF(OR(AD123="",N(O123)=0),"",AD123+N123/O123)</f>
        <v>-0.140142083002908</v>
      </c>
      <c r="AF123" s="32" t="n">
        <f aca="false">IF(OR(AE123="",N(Z123)=0),"",AE123-Z123)</f>
        <v>-0.0275816493022322</v>
      </c>
      <c r="AG123" s="28" t="n">
        <f aca="false">IF(AND(N(M123)&gt;0,N(L123)&gt;0),M123*L123,N123)</f>
        <v>1.51295</v>
      </c>
      <c r="AH123" s="28" t="n">
        <f aca="false">IF(OR(N(AB123)&lt;=0,N(AG123)=0,N(L123)=0),"",MIN(L123,AG123/AB123))</f>
        <v>20.1726666666667</v>
      </c>
      <c r="AI123" s="29" t="n">
        <f aca="false">IF(OR(AH123="",N(O123)=0),"",AH123/O123-1)</f>
        <v>-0.200132170235263</v>
      </c>
      <c r="AJ123" s="29" t="n">
        <f aca="false">IF(OR(AI123="",N(O123)=0),"",AI123+AG123/O123)</f>
        <v>-0.140142083002908</v>
      </c>
      <c r="AK123" s="32" t="n">
        <f aca="false">IF(OR(AJ123="",N(AE123)=0),"",AJ123-AE123)</f>
        <v>0</v>
      </c>
      <c r="AL123" s="33" t="n">
        <f aca="false">IF(N(F123)=0,"",INDEX(Inputs!$B$28:$B$32,IFERROR(MATCH(F123,Inputs!$A$28:$A$32,1),0)+1))</f>
        <v>0.075</v>
      </c>
      <c r="AM123" s="34"/>
      <c r="AN123" s="33" t="n">
        <f aca="false">IF(N(AM123)&gt;0,AM123,AL123)</f>
        <v>0.075</v>
      </c>
      <c r="AO123" s="29" t="n">
        <f aca="false">IF(N(AN123)=0,"",AN123+IF(I123="yes",AN123*Inputs!$B$10*Inputs!$B$9,0)+IFERROR(INDEX(Inputs!$B$13:$B$15,MATCH(G123,Inputs!$A$13:$A$15,0)),0)+IFERROR(INDEX(Inputs!$B$18:$B$24,MATCH(H123,Inputs!$A$18:$A$24,0)),0))</f>
        <v>0.07</v>
      </c>
      <c r="AP123" s="28" t="n">
        <f aca="false">IF(OR(N(AO123)&lt;=0,N(AG123)=0,N(L123)=0),"",MIN(L123,AG123/AO123))</f>
        <v>21.6135714285714</v>
      </c>
      <c r="AQ123" s="29" t="n">
        <f aca="false">IF(OR(AP123="",N(O123)=0),"",AP123/O123-1)</f>
        <v>-0.142998753823496</v>
      </c>
      <c r="AR123" s="29" t="n">
        <f aca="false">IF(OR(AQ123="",N(O123)=0),"",AQ123+AG123/O123)</f>
        <v>-0.0830086665911408</v>
      </c>
      <c r="AS123" s="32" t="n">
        <f aca="false">IF(OR(AR123="",N(AJ123)=0),"",AR123-AJ123)</f>
        <v>0.0571334164117669</v>
      </c>
      <c r="AT123" s="28" t="n">
        <v>25</v>
      </c>
      <c r="AU123" s="28" t="n">
        <v>1.51</v>
      </c>
      <c r="AV123" s="28" t="n">
        <f aca="false">IF(N(AT123)&gt;0,AT123,L123)</f>
        <v>25</v>
      </c>
      <c r="AW123" s="28" t="n">
        <f aca="false">IF(AND(N(M123)&gt;0,N(AV123)&gt;0),M123*AV123,IF(N(AU123)&gt;0,AU123,N123))</f>
        <v>1.51295</v>
      </c>
      <c r="AX123" s="29" t="n">
        <f aca="false">IF(N(AN123)=0,"",AN123+IF(I123="yes",AN123*Inputs!$B$10*Inputs!$B$9,0)+IFERROR(INDEX(Inputs!$B$13:$B$15,MATCH(G123,Inputs!$A$13:$A$15,0)),0)+IFERROR(INDEX(Inputs!$B$18:$B$24,MATCH(H123,Inputs!$A$18:$A$24,0)),0))</f>
        <v>0.07</v>
      </c>
      <c r="AY123" s="28" t="n">
        <f aca="false">IF(OR(N(AX123)&lt;=0,N(AW123)=0,N(AV123)=0),"",MIN(AV123,AW123/AX123))</f>
        <v>21.6135714285714</v>
      </c>
      <c r="AZ123" s="29" t="n">
        <f aca="false">IF(OR(AY123="",N(O123)=0),"",AY123/O123-1)</f>
        <v>-0.142998753823496</v>
      </c>
      <c r="BA123" s="29" t="n">
        <f aca="false">IF(OR(AZ123="",N(O123)=0),"",AZ123+AW123/O123)</f>
        <v>-0.0830086665911408</v>
      </c>
      <c r="BB123" s="32" t="n">
        <f aca="false">IF(OR(BA123="",N(AR123)=0),"",BA123-AR123)</f>
        <v>0</v>
      </c>
      <c r="BC123" s="35" t="n">
        <f aca="false">IF(OR(BA123="",N(U123)=0),"",BA123-U123)</f>
        <v>0.107125155772063</v>
      </c>
      <c r="BD123" s="37"/>
    </row>
    <row r="124" customFormat="false" ht="15" hidden="false" customHeight="false" outlineLevel="0" collapsed="false">
      <c r="A124" s="2" t="s">
        <v>140</v>
      </c>
      <c r="B124" s="2" t="n">
        <v>230</v>
      </c>
      <c r="C124" s="2" t="s">
        <v>355</v>
      </c>
      <c r="D124" s="2" t="s">
        <v>337</v>
      </c>
      <c r="E124" s="2" t="s">
        <v>338</v>
      </c>
      <c r="F124" s="27" t="n">
        <v>432600</v>
      </c>
      <c r="G124" s="2" t="s">
        <v>54</v>
      </c>
      <c r="H124" s="2" t="s">
        <v>58</v>
      </c>
      <c r="I124" s="2" t="s">
        <v>144</v>
      </c>
      <c r="J124" s="2" t="s">
        <v>145</v>
      </c>
      <c r="K124" s="2" t="n">
        <v>4</v>
      </c>
      <c r="L124" s="28" t="n">
        <v>25</v>
      </c>
      <c r="M124" s="29" t="n">
        <v>0.0645</v>
      </c>
      <c r="N124" s="28" t="n">
        <v>1.6125</v>
      </c>
      <c r="O124" s="28" t="n">
        <v>25.08</v>
      </c>
      <c r="P124" s="2" t="s">
        <v>146</v>
      </c>
      <c r="Q124" s="29" t="n">
        <v>0.08</v>
      </c>
      <c r="R124" s="30" t="n">
        <v>0.08</v>
      </c>
      <c r="S124" s="31" t="n">
        <v>20.15625</v>
      </c>
      <c r="T124" s="30" t="n">
        <v>-0.196321770334928</v>
      </c>
      <c r="U124" s="30" t="n">
        <v>-0.132027511961723</v>
      </c>
      <c r="V124" s="29" t="n">
        <v>-0.0075</v>
      </c>
      <c r="W124" s="29" t="n">
        <f aca="false">IF(N(Q124)=0,"",Q124+IF(I124="yes",Q124*Inputs!$B$10*Inputs!$B$9,0)+V124)</f>
        <v>0.0725</v>
      </c>
      <c r="X124" s="28" t="n">
        <f aca="false">IF(OR(N(W124)&lt;=0,N(N124)=0,N(L124)=0),"",MIN(L124,N124/W124))</f>
        <v>22.2413793103448</v>
      </c>
      <c r="Y124" s="29" t="n">
        <f aca="false">IF(OR(X124="",N(O124)=0),"",X124/O124-1)</f>
        <v>-0.113182643128197</v>
      </c>
      <c r="Z124" s="29" t="n">
        <f aca="false">IF(OR(Y124="",N(O124)=0),"",Y124+N124/O124)</f>
        <v>-0.048888384754991</v>
      </c>
      <c r="AA124" s="32" t="n">
        <f aca="false">IF(OR(Z124="",N(U124)=0),"",Z124-U124)</f>
        <v>0.0831391272067315</v>
      </c>
      <c r="AB124" s="29" t="n">
        <f aca="false">IF(N(Q124)=0,"",Q124+IF(I124="yes",Q124*Inputs!$B$10*Inputs!$B$9,0)+IFERROR(INDEX(Inputs!$B$13:$B$15,MATCH(G124,Inputs!$A$13:$A$15,0)),0)+IFERROR(INDEX(Inputs!$B$18:$B$24,MATCH(H124,Inputs!$A$18:$A$24,0)),0))</f>
        <v>0.075</v>
      </c>
      <c r="AC124" s="28" t="n">
        <f aca="false">IF(OR(N(AB124)&lt;=0,N(N124)=0,N(L124)=0),"",MIN(L124,N124/AB124))</f>
        <v>21.5</v>
      </c>
      <c r="AD124" s="29" t="n">
        <f aca="false">IF(OR(AC124="",N(O124)=0),"",AC124/O124-1)</f>
        <v>-0.14274322169059</v>
      </c>
      <c r="AE124" s="29" t="n">
        <f aca="false">IF(OR(AD124="",N(O124)=0),"",AD124+N124/O124)</f>
        <v>-0.0784489633173843</v>
      </c>
      <c r="AF124" s="32" t="n">
        <f aca="false">IF(OR(AE124="",N(Z124)=0),"",AE124-Z124)</f>
        <v>-0.0295605785623934</v>
      </c>
      <c r="AG124" s="28" t="n">
        <f aca="false">IF(AND(N(M124)&gt;0,N(L124)&gt;0),M124*L124,N124)</f>
        <v>1.6125</v>
      </c>
      <c r="AH124" s="28" t="n">
        <f aca="false">IF(OR(N(AB124)&lt;=0,N(AG124)=0,N(L124)=0),"",MIN(L124,AG124/AB124))</f>
        <v>21.5</v>
      </c>
      <c r="AI124" s="29" t="n">
        <f aca="false">IF(OR(AH124="",N(O124)=0),"",AH124/O124-1)</f>
        <v>-0.14274322169059</v>
      </c>
      <c r="AJ124" s="29" t="n">
        <f aca="false">IF(OR(AI124="",N(O124)=0),"",AI124+AG124/O124)</f>
        <v>-0.0784489633173843</v>
      </c>
      <c r="AK124" s="32" t="n">
        <f aca="false">IF(OR(AJ124="",N(AE124)=0),"",AJ124-AE124)</f>
        <v>0</v>
      </c>
      <c r="AL124" s="33" t="n">
        <f aca="false">IF(N(F124)=0,"",INDEX(Inputs!$B$28:$B$32,IFERROR(MATCH(F124,Inputs!$A$28:$A$32,1),0)+1))</f>
        <v>0.075</v>
      </c>
      <c r="AM124" s="34"/>
      <c r="AN124" s="33" t="n">
        <f aca="false">IF(N(AM124)&gt;0,AM124,AL124)</f>
        <v>0.075</v>
      </c>
      <c r="AO124" s="29" t="n">
        <f aca="false">IF(N(AN124)=0,"",AN124+IF(I124="yes",AN124*Inputs!$B$10*Inputs!$B$9,0)+IFERROR(INDEX(Inputs!$B$13:$B$15,MATCH(G124,Inputs!$A$13:$A$15,0)),0)+IFERROR(INDEX(Inputs!$B$18:$B$24,MATCH(H124,Inputs!$A$18:$A$24,0)),0))</f>
        <v>0.07</v>
      </c>
      <c r="AP124" s="28" t="n">
        <f aca="false">IF(OR(N(AO124)&lt;=0,N(AG124)=0,N(L124)=0),"",MIN(L124,AG124/AO124))</f>
        <v>23.0357142857143</v>
      </c>
      <c r="AQ124" s="29" t="n">
        <f aca="false">IF(OR(AP124="",N(O124)=0),"",AP124/O124-1)</f>
        <v>-0.0815105946684892</v>
      </c>
      <c r="AR124" s="29" t="n">
        <f aca="false">IF(OR(AQ124="",N(O124)=0),"",AQ124+AG124/O124)</f>
        <v>-0.0172163362952835</v>
      </c>
      <c r="AS124" s="32" t="n">
        <f aca="false">IF(OR(AR124="",N(AJ124)=0),"",AR124-AJ124)</f>
        <v>0.0612326270221009</v>
      </c>
      <c r="AT124" s="28" t="n">
        <v>25</v>
      </c>
      <c r="AU124" s="28" t="n">
        <v>1.61</v>
      </c>
      <c r="AV124" s="28" t="n">
        <f aca="false">IF(N(AT124)&gt;0,AT124,L124)</f>
        <v>25</v>
      </c>
      <c r="AW124" s="28" t="n">
        <f aca="false">IF(AND(N(M124)&gt;0,N(AV124)&gt;0),M124*AV124,IF(N(AU124)&gt;0,AU124,N124))</f>
        <v>1.6125</v>
      </c>
      <c r="AX124" s="29" t="n">
        <f aca="false">IF(N(AN124)=0,"",AN124+IF(I124="yes",AN124*Inputs!$B$10*Inputs!$B$9,0)+IFERROR(INDEX(Inputs!$B$13:$B$15,MATCH(G124,Inputs!$A$13:$A$15,0)),0)+IFERROR(INDEX(Inputs!$B$18:$B$24,MATCH(H124,Inputs!$A$18:$A$24,0)),0))</f>
        <v>0.07</v>
      </c>
      <c r="AY124" s="28" t="n">
        <f aca="false">IF(OR(N(AX124)&lt;=0,N(AW124)=0,N(AV124)=0),"",MIN(AV124,AW124/AX124))</f>
        <v>23.0357142857143</v>
      </c>
      <c r="AZ124" s="29" t="n">
        <f aca="false">IF(OR(AY124="",N(O124)=0),"",AY124/O124-1)</f>
        <v>-0.0815105946684892</v>
      </c>
      <c r="BA124" s="29" t="n">
        <f aca="false">IF(OR(AZ124="",N(O124)=0),"",AZ124+AW124/O124)</f>
        <v>-0.0172163362952835</v>
      </c>
      <c r="BB124" s="32" t="n">
        <f aca="false">IF(OR(BA124="",N(AR124)=0),"",BA124-AR124)</f>
        <v>0</v>
      </c>
      <c r="BC124" s="35" t="n">
        <f aca="false">IF(OR(BA124="",N(U124)=0),"",BA124-U124)</f>
        <v>0.114811175666439</v>
      </c>
      <c r="BD124" s="37"/>
    </row>
    <row r="125" customFormat="false" ht="15" hidden="false" customHeight="false" outlineLevel="0" collapsed="false">
      <c r="A125" s="2" t="s">
        <v>140</v>
      </c>
      <c r="B125" s="2" t="n">
        <v>233</v>
      </c>
      <c r="C125" s="2" t="s">
        <v>356</v>
      </c>
      <c r="D125" s="2" t="s">
        <v>357</v>
      </c>
      <c r="E125" s="2" t="s">
        <v>358</v>
      </c>
      <c r="F125" s="27" t="n">
        <v>3800</v>
      </c>
      <c r="G125" s="2" t="s">
        <v>54</v>
      </c>
      <c r="H125" s="2" t="s">
        <v>58</v>
      </c>
      <c r="I125" s="2" t="s">
        <v>144</v>
      </c>
      <c r="J125" s="2" t="s">
        <v>145</v>
      </c>
      <c r="K125" s="2" t="n">
        <v>4</v>
      </c>
      <c r="L125" s="28" t="n">
        <v>25</v>
      </c>
      <c r="M125" s="29" t="n">
        <v>0.072</v>
      </c>
      <c r="N125" s="28" t="n">
        <v>1.8</v>
      </c>
      <c r="O125" s="28" t="n">
        <v>27.69</v>
      </c>
      <c r="P125" s="2" t="s">
        <v>146</v>
      </c>
      <c r="Q125" s="29" t="n">
        <v>0.08</v>
      </c>
      <c r="R125" s="30" t="n">
        <v>0.08</v>
      </c>
      <c r="S125" s="31" t="n">
        <v>22.5</v>
      </c>
      <c r="T125" s="30" t="n">
        <v>-0.187432286023835</v>
      </c>
      <c r="U125" s="30" t="n">
        <v>-0.122426868905742</v>
      </c>
      <c r="V125" s="29" t="n">
        <v>-0.0075</v>
      </c>
      <c r="W125" s="29" t="n">
        <f aca="false">IF(N(Q125)=0,"",Q125+IF(I125="yes",Q125*Inputs!$B$10*Inputs!$B$9,0)+V125)</f>
        <v>0.0725</v>
      </c>
      <c r="X125" s="28" t="n">
        <f aca="false">IF(OR(N(W125)&lt;=0,N(N125)=0,N(L125)=0),"",MIN(L125,N125/W125))</f>
        <v>24.8275862068965</v>
      </c>
      <c r="Y125" s="29" t="n">
        <f aca="false">IF(OR(X125="",N(O125)=0),"",X125/O125-1)</f>
        <v>-0.103373556991819</v>
      </c>
      <c r="Z125" s="29" t="n">
        <f aca="false">IF(OR(Y125="",N(O125)=0),"",Y125+N125/O125)</f>
        <v>-0.0383681398737253</v>
      </c>
      <c r="AA125" s="32" t="n">
        <f aca="false">IF(OR(Z125="",N(U125)=0),"",Z125-U125)</f>
        <v>0.0840587290320169</v>
      </c>
      <c r="AB125" s="29" t="n">
        <f aca="false">IF(N(Q125)=0,"",Q125+IF(I125="yes",Q125*Inputs!$B$10*Inputs!$B$9,0)+IFERROR(INDEX(Inputs!$B$13:$B$15,MATCH(G125,Inputs!$A$13:$A$15,0)),0)+IFERROR(INDEX(Inputs!$B$18:$B$24,MATCH(H125,Inputs!$A$18:$A$24,0)),0))</f>
        <v>0.075</v>
      </c>
      <c r="AC125" s="28" t="n">
        <f aca="false">IF(OR(N(AB125)&lt;=0,N(N125)=0,N(L125)=0),"",MIN(L125,N125/AB125))</f>
        <v>24</v>
      </c>
      <c r="AD125" s="29" t="n">
        <f aca="false">IF(OR(AC125="",N(O125)=0),"",AC125/O125-1)</f>
        <v>-0.133261105092091</v>
      </c>
      <c r="AE125" s="29" t="n">
        <f aca="false">IF(OR(AD125="",N(O125)=0),"",AD125+N125/O125)</f>
        <v>-0.0682556879739978</v>
      </c>
      <c r="AF125" s="32" t="n">
        <f aca="false">IF(OR(AE125="",N(Z125)=0),"",AE125-Z125)</f>
        <v>-0.0298875481002725</v>
      </c>
      <c r="AG125" s="28" t="n">
        <f aca="false">IF(AND(N(M125)&gt;0,N(L125)&gt;0),M125*L125,N125)</f>
        <v>1.8</v>
      </c>
      <c r="AH125" s="28" t="n">
        <f aca="false">IF(OR(N(AB125)&lt;=0,N(AG125)=0,N(L125)=0),"",MIN(L125,AG125/AB125))</f>
        <v>24</v>
      </c>
      <c r="AI125" s="29" t="n">
        <f aca="false">IF(OR(AH125="",N(O125)=0),"",AH125/O125-1)</f>
        <v>-0.133261105092091</v>
      </c>
      <c r="AJ125" s="29" t="n">
        <f aca="false">IF(OR(AI125="",N(O125)=0),"",AI125+AG125/O125)</f>
        <v>-0.0682556879739977</v>
      </c>
      <c r="AK125" s="32" t="n">
        <f aca="false">IF(OR(AJ125="",N(AE125)=0),"",AJ125-AE125)</f>
        <v>0</v>
      </c>
      <c r="AL125" s="33" t="n">
        <f aca="false">IF(N(F125)=0,"",INDEX(Inputs!$B$28:$B$32,IFERROR(MATCH(F125,Inputs!$A$28:$A$32,1),0)+1))</f>
        <v>0.085</v>
      </c>
      <c r="AM125" s="34"/>
      <c r="AN125" s="33" t="n">
        <f aca="false">IF(N(AM125)&gt;0,AM125,AL125)</f>
        <v>0.085</v>
      </c>
      <c r="AO125" s="29" t="n">
        <f aca="false">IF(N(AN125)=0,"",AN125+IF(I125="yes",AN125*Inputs!$B$10*Inputs!$B$9,0)+IFERROR(INDEX(Inputs!$B$13:$B$15,MATCH(G125,Inputs!$A$13:$A$15,0)),0)+IFERROR(INDEX(Inputs!$B$18:$B$24,MATCH(H125,Inputs!$A$18:$A$24,0)),0))</f>
        <v>0.08</v>
      </c>
      <c r="AP125" s="28" t="n">
        <f aca="false">IF(OR(N(AO125)&lt;=0,N(AG125)=0,N(L125)=0),"",MIN(L125,AG125/AO125))</f>
        <v>22.5</v>
      </c>
      <c r="AQ125" s="29" t="n">
        <f aca="false">IF(OR(AP125="",N(O125)=0),"",AP125/O125-1)</f>
        <v>-0.187432286023835</v>
      </c>
      <c r="AR125" s="29" t="n">
        <f aca="false">IF(OR(AQ125="",N(O125)=0),"",AQ125+AG125/O125)</f>
        <v>-0.122426868905742</v>
      </c>
      <c r="AS125" s="32" t="n">
        <f aca="false">IF(OR(AR125="",N(AJ125)=0),"",AR125-AJ125)</f>
        <v>-0.0541711809317443</v>
      </c>
      <c r="AT125" s="28" t="n">
        <v>25</v>
      </c>
      <c r="AU125" s="28" t="n">
        <v>1.8</v>
      </c>
      <c r="AV125" s="28" t="n">
        <f aca="false">IF(N(AT125)&gt;0,AT125,L125)</f>
        <v>25</v>
      </c>
      <c r="AW125" s="28" t="n">
        <f aca="false">IF(AND(N(M125)&gt;0,N(AV125)&gt;0),M125*AV125,IF(N(AU125)&gt;0,AU125,N125))</f>
        <v>1.8</v>
      </c>
      <c r="AX125" s="29" t="n">
        <f aca="false">IF(N(AN125)=0,"",AN125+IF(I125="yes",AN125*Inputs!$B$10*Inputs!$B$9,0)+IFERROR(INDEX(Inputs!$B$13:$B$15,MATCH(G125,Inputs!$A$13:$A$15,0)),0)+IFERROR(INDEX(Inputs!$B$18:$B$24,MATCH(H125,Inputs!$A$18:$A$24,0)),0))</f>
        <v>0.08</v>
      </c>
      <c r="AY125" s="28" t="n">
        <f aca="false">IF(OR(N(AX125)&lt;=0,N(AW125)=0,N(AV125)=0),"",MIN(AV125,AW125/AX125))</f>
        <v>22.5</v>
      </c>
      <c r="AZ125" s="29" t="n">
        <f aca="false">IF(OR(AY125="",N(O125)=0),"",AY125/O125-1)</f>
        <v>-0.187432286023835</v>
      </c>
      <c r="BA125" s="29" t="n">
        <f aca="false">IF(OR(AZ125="",N(O125)=0),"",AZ125+AW125/O125)</f>
        <v>-0.122426868905742</v>
      </c>
      <c r="BB125" s="32" t="n">
        <f aca="false">IF(OR(BA125="",N(AR125)=0),"",BA125-AR125)</f>
        <v>0</v>
      </c>
      <c r="BC125" s="35" t="n">
        <f aca="false">IF(OR(BA125="",N(U125)=0),"",BA125-U125)</f>
        <v>0</v>
      </c>
      <c r="BD125" s="37"/>
    </row>
    <row r="126" customFormat="false" ht="15" hidden="false" customHeight="false" outlineLevel="0" collapsed="false">
      <c r="A126" s="2" t="s">
        <v>140</v>
      </c>
      <c r="B126" s="2" t="n">
        <v>237</v>
      </c>
      <c r="C126" s="2" t="s">
        <v>359</v>
      </c>
      <c r="D126" s="2" t="s">
        <v>360</v>
      </c>
      <c r="E126" s="2" t="s">
        <v>361</v>
      </c>
      <c r="F126" s="27" t="n">
        <v>5300</v>
      </c>
      <c r="G126" s="2" t="s">
        <v>52</v>
      </c>
      <c r="H126" s="2" t="s">
        <v>58</v>
      </c>
      <c r="I126" s="2" t="s">
        <v>144</v>
      </c>
      <c r="J126" s="2" t="s">
        <v>145</v>
      </c>
      <c r="K126" s="2" t="n">
        <v>4</v>
      </c>
      <c r="L126" s="28" t="n">
        <v>25</v>
      </c>
      <c r="M126" s="29" t="n">
        <v>0.065</v>
      </c>
      <c r="N126" s="28" t="n">
        <v>1.625</v>
      </c>
      <c r="O126" s="28" t="n">
        <v>0</v>
      </c>
      <c r="P126" s="2" t="s">
        <v>362</v>
      </c>
      <c r="Q126" s="29" t="n">
        <v>0.08</v>
      </c>
      <c r="R126" s="30"/>
      <c r="S126" s="31"/>
      <c r="T126" s="30"/>
      <c r="U126" s="30"/>
      <c r="V126" s="29" t="n">
        <v>-0.0075</v>
      </c>
      <c r="W126" s="29" t="n">
        <f aca="false">IF(N(Q126)=0,"",Q126+IF(I126="yes",Q126*Inputs!$B$10*Inputs!$B$9,0)+V126)</f>
        <v>0.0725</v>
      </c>
      <c r="X126" s="28" t="n">
        <f aca="false">IF(OR(N(W126)&lt;=0,N(N126)=0,N(L126)=0),"",MIN(L126,N126/W126))</f>
        <v>22.4137931034483</v>
      </c>
      <c r="Y126" s="29" t="str">
        <f aca="false">IF(OR(X126="",N(O126)=0),"",X126/O126-1)</f>
        <v/>
      </c>
      <c r="Z126" s="29" t="str">
        <f aca="false">IF(OR(Y126="",N(O126)=0),"",Y126+N126/O126)</f>
        <v/>
      </c>
      <c r="AA126" s="32" t="str">
        <f aca="false">IF(OR(Z126="",N(U126)=0),"",Z126-U126)</f>
        <v/>
      </c>
      <c r="AB126" s="29" t="n">
        <f aca="false">IF(N(Q126)=0,"",Q126+IF(I126="yes",Q126*Inputs!$B$10*Inputs!$B$9,0)+IFERROR(INDEX(Inputs!$B$13:$B$15,MATCH(G126,Inputs!$A$13:$A$15,0)),0)+IFERROR(INDEX(Inputs!$B$18:$B$24,MATCH(H126,Inputs!$A$18:$A$24,0)),0))</f>
        <v>0.075</v>
      </c>
      <c r="AC126" s="28" t="n">
        <f aca="false">IF(OR(N(AB126)&lt;=0,N(N126)=0,N(L126)=0),"",MIN(L126,N126/AB126))</f>
        <v>21.6666666666667</v>
      </c>
      <c r="AD126" s="29" t="str">
        <f aca="false">IF(OR(AC126="",N(O126)=0),"",AC126/O126-1)</f>
        <v/>
      </c>
      <c r="AE126" s="29" t="str">
        <f aca="false">IF(OR(AD126="",N(O126)=0),"",AD126+N126/O126)</f>
        <v/>
      </c>
      <c r="AF126" s="32" t="str">
        <f aca="false">IF(OR(AE126="",N(Z126)=0),"",AE126-Z126)</f>
        <v/>
      </c>
      <c r="AG126" s="28" t="n">
        <f aca="false">IF(AND(N(M126)&gt;0,N(L126)&gt;0),M126*L126,N126)</f>
        <v>1.625</v>
      </c>
      <c r="AH126" s="28" t="n">
        <f aca="false">IF(OR(N(AB126)&lt;=0,N(AG126)=0,N(L126)=0),"",MIN(L126,AG126/AB126))</f>
        <v>21.6666666666667</v>
      </c>
      <c r="AI126" s="29" t="str">
        <f aca="false">IF(OR(AH126="",N(O126)=0),"",AH126/O126-1)</f>
        <v/>
      </c>
      <c r="AJ126" s="29" t="str">
        <f aca="false">IF(OR(AI126="",N(O126)=0),"",AI126+AG126/O126)</f>
        <v/>
      </c>
      <c r="AK126" s="32" t="str">
        <f aca="false">IF(OR(AJ126="",N(AE126)=0),"",AJ126-AE126)</f>
        <v/>
      </c>
      <c r="AL126" s="33" t="n">
        <f aca="false">IF(N(F126)=0,"",INDEX(Inputs!$B$28:$B$32,IFERROR(MATCH(F126,Inputs!$A$28:$A$32,1),0)+1))</f>
        <v>0.08</v>
      </c>
      <c r="AM126" s="34"/>
      <c r="AN126" s="33" t="n">
        <f aca="false">IF(N(AM126)&gt;0,AM126,AL126)</f>
        <v>0.08</v>
      </c>
      <c r="AO126" s="29" t="n">
        <f aca="false">IF(N(AN126)=0,"",AN126+IF(I126="yes",AN126*Inputs!$B$10*Inputs!$B$9,0)+IFERROR(INDEX(Inputs!$B$13:$B$15,MATCH(G126,Inputs!$A$13:$A$15,0)),0)+IFERROR(INDEX(Inputs!$B$18:$B$24,MATCH(H126,Inputs!$A$18:$A$24,0)),0))</f>
        <v>0.075</v>
      </c>
      <c r="AP126" s="28" t="n">
        <f aca="false">IF(OR(N(AO126)&lt;=0,N(AG126)=0,N(L126)=0),"",MIN(L126,AG126/AO126))</f>
        <v>21.6666666666667</v>
      </c>
      <c r="AQ126" s="29" t="str">
        <f aca="false">IF(OR(AP126="",N(O126)=0),"",AP126/O126-1)</f>
        <v/>
      </c>
      <c r="AR126" s="29" t="str">
        <f aca="false">IF(OR(AQ126="",N(O126)=0),"",AQ126+AG126/O126)</f>
        <v/>
      </c>
      <c r="AS126" s="32" t="str">
        <f aca="false">IF(OR(AR126="",N(AJ126)=0),"",AR126-AJ126)</f>
        <v/>
      </c>
      <c r="AT126" s="28" t="n">
        <v>25</v>
      </c>
      <c r="AU126" s="28" t="n">
        <v>1.63</v>
      </c>
      <c r="AV126" s="28" t="n">
        <f aca="false">IF(N(AT126)&gt;0,AT126,L126)</f>
        <v>25</v>
      </c>
      <c r="AW126" s="28" t="n">
        <f aca="false">IF(AND(N(M126)&gt;0,N(AV126)&gt;0),M126*AV126,IF(N(AU126)&gt;0,AU126,N126))</f>
        <v>1.625</v>
      </c>
      <c r="AX126" s="29" t="n">
        <f aca="false">IF(N(AN126)=0,"",AN126+IF(I126="yes",AN126*Inputs!$B$10*Inputs!$B$9,0)+IFERROR(INDEX(Inputs!$B$13:$B$15,MATCH(G126,Inputs!$A$13:$A$15,0)),0)+IFERROR(INDEX(Inputs!$B$18:$B$24,MATCH(H126,Inputs!$A$18:$A$24,0)),0))</f>
        <v>0.075</v>
      </c>
      <c r="AY126" s="28" t="n">
        <f aca="false">IF(OR(N(AX126)&lt;=0,N(AW126)=0,N(AV126)=0),"",MIN(AV126,AW126/AX126))</f>
        <v>21.6666666666667</v>
      </c>
      <c r="AZ126" s="29" t="str">
        <f aca="false">IF(OR(AY126="",N(O126)=0),"",AY126/O126-1)</f>
        <v/>
      </c>
      <c r="BA126" s="29" t="str">
        <f aca="false">IF(OR(AZ126="",N(O126)=0),"",AZ126+AW126/O126)</f>
        <v/>
      </c>
      <c r="BB126" s="32" t="str">
        <f aca="false">IF(OR(BA126="",N(AR126)=0),"",BA126-AR126)</f>
        <v/>
      </c>
      <c r="BC126" s="35" t="str">
        <f aca="false">IF(OR(BA126="",N(U126)=0),"",BA126-U126)</f>
        <v/>
      </c>
      <c r="BD126" s="36" t="s">
        <v>363</v>
      </c>
    </row>
    <row r="127" customFormat="false" ht="15" hidden="false" customHeight="false" outlineLevel="0" collapsed="false">
      <c r="A127" s="2" t="s">
        <v>140</v>
      </c>
      <c r="B127" s="2" t="n">
        <v>238</v>
      </c>
      <c r="C127" s="2" t="s">
        <v>364</v>
      </c>
      <c r="D127" s="2" t="s">
        <v>360</v>
      </c>
      <c r="E127" s="2" t="s">
        <v>361</v>
      </c>
      <c r="F127" s="27" t="n">
        <v>5300</v>
      </c>
      <c r="G127" s="2" t="s">
        <v>52</v>
      </c>
      <c r="H127" s="2" t="s">
        <v>58</v>
      </c>
      <c r="I127" s="2" t="s">
        <v>144</v>
      </c>
      <c r="J127" s="2" t="s">
        <v>145</v>
      </c>
      <c r="K127" s="2" t="n">
        <v>4</v>
      </c>
      <c r="L127" s="28" t="n">
        <v>25</v>
      </c>
      <c r="M127" s="29" t="n">
        <v>0.06625</v>
      </c>
      <c r="N127" s="28" t="n">
        <v>1.65625</v>
      </c>
      <c r="O127" s="28" t="n">
        <v>0</v>
      </c>
      <c r="P127" s="2" t="s">
        <v>146</v>
      </c>
      <c r="Q127" s="29" t="n">
        <v>0.08</v>
      </c>
      <c r="R127" s="30" t="n">
        <v>0.075</v>
      </c>
      <c r="S127" s="31" t="n">
        <v>22.0833333333333</v>
      </c>
      <c r="T127" s="30"/>
      <c r="U127" s="30"/>
      <c r="V127" s="29" t="n">
        <v>-0.005</v>
      </c>
      <c r="W127" s="29" t="n">
        <f aca="false">IF(N(Q127)=0,"",Q127+IF(I127="yes",Q127*Inputs!$B$10*Inputs!$B$9,0)+V127)</f>
        <v>0.075</v>
      </c>
      <c r="X127" s="28" t="n">
        <f aca="false">IF(OR(N(W127)&lt;=0,N(N127)=0,N(L127)=0),"",MIN(L127,N127/W127))</f>
        <v>22.0833333333333</v>
      </c>
      <c r="Y127" s="29" t="str">
        <f aca="false">IF(OR(X127="",N(O127)=0),"",X127/O127-1)</f>
        <v/>
      </c>
      <c r="Z127" s="29" t="str">
        <f aca="false">IF(OR(Y127="",N(O127)=0),"",Y127+N127/O127)</f>
        <v/>
      </c>
      <c r="AA127" s="32" t="str">
        <f aca="false">IF(OR(Z127="",N(U127)=0),"",Z127-U127)</f>
        <v/>
      </c>
      <c r="AB127" s="29" t="n">
        <f aca="false">IF(N(Q127)=0,"",Q127+IF(I127="yes",Q127*Inputs!$B$10*Inputs!$B$9,0)+IFERROR(INDEX(Inputs!$B$13:$B$15,MATCH(G127,Inputs!$A$13:$A$15,0)),0)+IFERROR(INDEX(Inputs!$B$18:$B$24,MATCH(H127,Inputs!$A$18:$A$24,0)),0))</f>
        <v>0.075</v>
      </c>
      <c r="AC127" s="28" t="n">
        <f aca="false">IF(OR(N(AB127)&lt;=0,N(N127)=0,N(L127)=0),"",MIN(L127,N127/AB127))</f>
        <v>22.0833333333333</v>
      </c>
      <c r="AD127" s="29" t="str">
        <f aca="false">IF(OR(AC127="",N(O127)=0),"",AC127/O127-1)</f>
        <v/>
      </c>
      <c r="AE127" s="29" t="str">
        <f aca="false">IF(OR(AD127="",N(O127)=0),"",AD127+N127/O127)</f>
        <v/>
      </c>
      <c r="AF127" s="32" t="str">
        <f aca="false">IF(OR(AE127="",N(Z127)=0),"",AE127-Z127)</f>
        <v/>
      </c>
      <c r="AG127" s="28" t="n">
        <f aca="false">IF(AND(N(M127)&gt;0,N(L127)&gt;0),M127*L127,N127)</f>
        <v>1.65625</v>
      </c>
      <c r="AH127" s="28" t="n">
        <f aca="false">IF(OR(N(AB127)&lt;=0,N(AG127)=0,N(L127)=0),"",MIN(L127,AG127/AB127))</f>
        <v>22.0833333333333</v>
      </c>
      <c r="AI127" s="29" t="str">
        <f aca="false">IF(OR(AH127="",N(O127)=0),"",AH127/O127-1)</f>
        <v/>
      </c>
      <c r="AJ127" s="29" t="str">
        <f aca="false">IF(OR(AI127="",N(O127)=0),"",AI127+AG127/O127)</f>
        <v/>
      </c>
      <c r="AK127" s="32" t="str">
        <f aca="false">IF(OR(AJ127="",N(AE127)=0),"",AJ127-AE127)</f>
        <v/>
      </c>
      <c r="AL127" s="33" t="n">
        <f aca="false">IF(N(F127)=0,"",INDEX(Inputs!$B$28:$B$32,IFERROR(MATCH(F127,Inputs!$A$28:$A$32,1),0)+1))</f>
        <v>0.08</v>
      </c>
      <c r="AM127" s="34"/>
      <c r="AN127" s="33" t="n">
        <f aca="false">IF(N(AM127)&gt;0,AM127,AL127)</f>
        <v>0.08</v>
      </c>
      <c r="AO127" s="29" t="n">
        <f aca="false">IF(N(AN127)=0,"",AN127+IF(I127="yes",AN127*Inputs!$B$10*Inputs!$B$9,0)+IFERROR(INDEX(Inputs!$B$13:$B$15,MATCH(G127,Inputs!$A$13:$A$15,0)),0)+IFERROR(INDEX(Inputs!$B$18:$B$24,MATCH(H127,Inputs!$A$18:$A$24,0)),0))</f>
        <v>0.075</v>
      </c>
      <c r="AP127" s="28" t="n">
        <f aca="false">IF(OR(N(AO127)&lt;=0,N(AG127)=0,N(L127)=0),"",MIN(L127,AG127/AO127))</f>
        <v>22.0833333333333</v>
      </c>
      <c r="AQ127" s="29" t="str">
        <f aca="false">IF(OR(AP127="",N(O127)=0),"",AP127/O127-1)</f>
        <v/>
      </c>
      <c r="AR127" s="29" t="str">
        <f aca="false">IF(OR(AQ127="",N(O127)=0),"",AQ127+AG127/O127)</f>
        <v/>
      </c>
      <c r="AS127" s="32" t="str">
        <f aca="false">IF(OR(AR127="",N(AJ127)=0),"",AR127-AJ127)</f>
        <v/>
      </c>
      <c r="AT127" s="28"/>
      <c r="AU127" s="28"/>
      <c r="AV127" s="28" t="n">
        <f aca="false">IF(N(AT127)&gt;0,AT127,L127)</f>
        <v>25</v>
      </c>
      <c r="AW127" s="28" t="n">
        <f aca="false">IF(AND(N(M127)&gt;0,N(AV127)&gt;0),M127*AV127,IF(N(AU127)&gt;0,AU127,N127))</f>
        <v>1.65625</v>
      </c>
      <c r="AX127" s="29" t="n">
        <f aca="false">IF(N(AN127)=0,"",AN127+IF(I127="yes",AN127*Inputs!$B$10*Inputs!$B$9,0)+IFERROR(INDEX(Inputs!$B$13:$B$15,MATCH(G127,Inputs!$A$13:$A$15,0)),0)+IFERROR(INDEX(Inputs!$B$18:$B$24,MATCH(H127,Inputs!$A$18:$A$24,0)),0))</f>
        <v>0.075</v>
      </c>
      <c r="AY127" s="28" t="n">
        <f aca="false">IF(OR(N(AX127)&lt;=0,N(AW127)=0,N(AV127)=0),"",MIN(AV127,AW127/AX127))</f>
        <v>22.0833333333333</v>
      </c>
      <c r="AZ127" s="29" t="str">
        <f aca="false">IF(OR(AY127="",N(O127)=0),"",AY127/O127-1)</f>
        <v/>
      </c>
      <c r="BA127" s="29" t="str">
        <f aca="false">IF(OR(AZ127="",N(O127)=0),"",AZ127+AW127/O127)</f>
        <v/>
      </c>
      <c r="BB127" s="32" t="str">
        <f aca="false">IF(OR(BA127="",N(AR127)=0),"",BA127-AR127)</f>
        <v/>
      </c>
      <c r="BC127" s="35" t="str">
        <f aca="false">IF(OR(BA127="",N(U127)=0),"",BA127-U127)</f>
        <v/>
      </c>
      <c r="BD127" s="36" t="s">
        <v>198</v>
      </c>
    </row>
    <row r="128" customFormat="false" ht="15" hidden="false" customHeight="false" outlineLevel="0" collapsed="false">
      <c r="A128" s="2" t="s">
        <v>140</v>
      </c>
      <c r="B128" s="2" t="n">
        <v>239</v>
      </c>
      <c r="C128" s="2" t="s">
        <v>365</v>
      </c>
      <c r="D128" s="2" t="s">
        <v>360</v>
      </c>
      <c r="E128" s="2" t="s">
        <v>361</v>
      </c>
      <c r="F128" s="27" t="n">
        <v>5300</v>
      </c>
      <c r="G128" s="2" t="s">
        <v>52</v>
      </c>
      <c r="H128" s="2" t="s">
        <v>58</v>
      </c>
      <c r="I128" s="2" t="s">
        <v>144</v>
      </c>
      <c r="J128" s="2" t="s">
        <v>145</v>
      </c>
      <c r="K128" s="2" t="n">
        <v>4</v>
      </c>
      <c r="L128" s="28" t="n">
        <v>25</v>
      </c>
      <c r="M128" s="29" t="n">
        <v>0.06159</v>
      </c>
      <c r="N128" s="28" t="n">
        <v>1.53975</v>
      </c>
      <c r="O128" s="28" t="n">
        <v>24.01</v>
      </c>
      <c r="P128" s="2" t="s">
        <v>146</v>
      </c>
      <c r="Q128" s="29" t="n">
        <v>0.08</v>
      </c>
      <c r="R128" s="30" t="n">
        <v>0.075</v>
      </c>
      <c r="S128" s="31" t="n">
        <v>20.53</v>
      </c>
      <c r="T128" s="30" t="n">
        <v>-0.14493960849646</v>
      </c>
      <c r="U128" s="30" t="n">
        <v>-0.0808100791336943</v>
      </c>
      <c r="V128" s="29" t="n">
        <v>-0.005</v>
      </c>
      <c r="W128" s="29" t="n">
        <f aca="false">IF(N(Q128)=0,"",Q128+IF(I128="yes",Q128*Inputs!$B$10*Inputs!$B$9,0)+V128)</f>
        <v>0.075</v>
      </c>
      <c r="X128" s="28" t="n">
        <f aca="false">IF(OR(N(W128)&lt;=0,N(N128)=0,N(L128)=0),"",MIN(L128,N128/W128))</f>
        <v>20.53</v>
      </c>
      <c r="Y128" s="29" t="n">
        <f aca="false">IF(OR(X128="",N(O128)=0),"",X128/O128-1)</f>
        <v>-0.14493960849646</v>
      </c>
      <c r="Z128" s="29" t="n">
        <f aca="false">IF(OR(Y128="",N(O128)=0),"",Y128+N128/O128)</f>
        <v>-0.0808100791336943</v>
      </c>
      <c r="AA128" s="32" t="n">
        <f aca="false">IF(OR(Z128="",N(U128)=0),"",Z128-U128)</f>
        <v>0</v>
      </c>
      <c r="AB128" s="29" t="n">
        <f aca="false">IF(N(Q128)=0,"",Q128+IF(I128="yes",Q128*Inputs!$B$10*Inputs!$B$9,0)+IFERROR(INDEX(Inputs!$B$13:$B$15,MATCH(G128,Inputs!$A$13:$A$15,0)),0)+IFERROR(INDEX(Inputs!$B$18:$B$24,MATCH(H128,Inputs!$A$18:$A$24,0)),0))</f>
        <v>0.075</v>
      </c>
      <c r="AC128" s="28" t="n">
        <f aca="false">IF(OR(N(AB128)&lt;=0,N(N128)=0,N(L128)=0),"",MIN(L128,N128/AB128))</f>
        <v>20.53</v>
      </c>
      <c r="AD128" s="29" t="n">
        <f aca="false">IF(OR(AC128="",N(O128)=0),"",AC128/O128-1)</f>
        <v>-0.14493960849646</v>
      </c>
      <c r="AE128" s="29" t="n">
        <f aca="false">IF(OR(AD128="",N(O128)=0),"",AD128+N128/O128)</f>
        <v>-0.0808100791336943</v>
      </c>
      <c r="AF128" s="32" t="n">
        <f aca="false">IF(OR(AE128="",N(Z128)=0),"",AE128-Z128)</f>
        <v>0</v>
      </c>
      <c r="AG128" s="28" t="n">
        <f aca="false">IF(AND(N(M128)&gt;0,N(L128)&gt;0),M128*L128,N128)</f>
        <v>1.53975</v>
      </c>
      <c r="AH128" s="28" t="n">
        <f aca="false">IF(OR(N(AB128)&lt;=0,N(AG128)=0,N(L128)=0),"",MIN(L128,AG128/AB128))</f>
        <v>20.53</v>
      </c>
      <c r="AI128" s="29" t="n">
        <f aca="false">IF(OR(AH128="",N(O128)=0),"",AH128/O128-1)</f>
        <v>-0.14493960849646</v>
      </c>
      <c r="AJ128" s="29" t="n">
        <f aca="false">IF(OR(AI128="",N(O128)=0),"",AI128+AG128/O128)</f>
        <v>-0.0808100791336943</v>
      </c>
      <c r="AK128" s="32" t="n">
        <f aca="false">IF(OR(AJ128="",N(AE128)=0),"",AJ128-AE128)</f>
        <v>0</v>
      </c>
      <c r="AL128" s="33" t="n">
        <f aca="false">IF(N(F128)=0,"",INDEX(Inputs!$B$28:$B$32,IFERROR(MATCH(F128,Inputs!$A$28:$A$32,1),0)+1))</f>
        <v>0.08</v>
      </c>
      <c r="AM128" s="34"/>
      <c r="AN128" s="33" t="n">
        <f aca="false">IF(N(AM128)&gt;0,AM128,AL128)</f>
        <v>0.08</v>
      </c>
      <c r="AO128" s="29" t="n">
        <f aca="false">IF(N(AN128)=0,"",AN128+IF(I128="yes",AN128*Inputs!$B$10*Inputs!$B$9,0)+IFERROR(INDEX(Inputs!$B$13:$B$15,MATCH(G128,Inputs!$A$13:$A$15,0)),0)+IFERROR(INDEX(Inputs!$B$18:$B$24,MATCH(H128,Inputs!$A$18:$A$24,0)),0))</f>
        <v>0.075</v>
      </c>
      <c r="AP128" s="28" t="n">
        <f aca="false">IF(OR(N(AO128)&lt;=0,N(AG128)=0,N(L128)=0),"",MIN(L128,AG128/AO128))</f>
        <v>20.53</v>
      </c>
      <c r="AQ128" s="29" t="n">
        <f aca="false">IF(OR(AP128="",N(O128)=0),"",AP128/O128-1)</f>
        <v>-0.14493960849646</v>
      </c>
      <c r="AR128" s="29" t="n">
        <f aca="false">IF(OR(AQ128="",N(O128)=0),"",AQ128+AG128/O128)</f>
        <v>-0.0808100791336943</v>
      </c>
      <c r="AS128" s="32" t="n">
        <f aca="false">IF(OR(AR128="",N(AJ128)=0),"",AR128-AJ128)</f>
        <v>0</v>
      </c>
      <c r="AT128" s="28" t="n">
        <v>25</v>
      </c>
      <c r="AU128" s="28" t="n">
        <v>1.59</v>
      </c>
      <c r="AV128" s="28" t="n">
        <f aca="false">IF(N(AT128)&gt;0,AT128,L128)</f>
        <v>25</v>
      </c>
      <c r="AW128" s="28" t="n">
        <f aca="false">IF(AND(N(M128)&gt;0,N(AV128)&gt;0),M128*AV128,IF(N(AU128)&gt;0,AU128,N128))</f>
        <v>1.53975</v>
      </c>
      <c r="AX128" s="29" t="n">
        <f aca="false">IF(N(AN128)=0,"",AN128+IF(I128="yes",AN128*Inputs!$B$10*Inputs!$B$9,0)+IFERROR(INDEX(Inputs!$B$13:$B$15,MATCH(G128,Inputs!$A$13:$A$15,0)),0)+IFERROR(INDEX(Inputs!$B$18:$B$24,MATCH(H128,Inputs!$A$18:$A$24,0)),0))</f>
        <v>0.075</v>
      </c>
      <c r="AY128" s="28" t="n">
        <f aca="false">IF(OR(N(AX128)&lt;=0,N(AW128)=0,N(AV128)=0),"",MIN(AV128,AW128/AX128))</f>
        <v>20.53</v>
      </c>
      <c r="AZ128" s="29" t="n">
        <f aca="false">IF(OR(AY128="",N(O128)=0),"",AY128/O128-1)</f>
        <v>-0.14493960849646</v>
      </c>
      <c r="BA128" s="29" t="n">
        <f aca="false">IF(OR(AZ128="",N(O128)=0),"",AZ128+AW128/O128)</f>
        <v>-0.0808100791336943</v>
      </c>
      <c r="BB128" s="32" t="n">
        <f aca="false">IF(OR(BA128="",N(AR128)=0),"",BA128-AR128)</f>
        <v>0</v>
      </c>
      <c r="BC128" s="35" t="n">
        <f aca="false">IF(OR(BA128="",N(U128)=0),"",BA128-U128)</f>
        <v>0</v>
      </c>
      <c r="BD128" s="37"/>
    </row>
    <row r="129" customFormat="false" ht="15" hidden="false" customHeight="false" outlineLevel="0" collapsed="false">
      <c r="A129" s="2" t="s">
        <v>140</v>
      </c>
      <c r="B129" s="2" t="n">
        <v>242</v>
      </c>
      <c r="C129" s="2" t="s">
        <v>366</v>
      </c>
      <c r="D129" s="2" t="s">
        <v>367</v>
      </c>
      <c r="E129" s="2" t="s">
        <v>368</v>
      </c>
      <c r="F129" s="27" t="n">
        <v>144</v>
      </c>
      <c r="G129" s="2" t="s">
        <v>51</v>
      </c>
      <c r="H129" s="2" t="s">
        <v>58</v>
      </c>
      <c r="I129" s="2" t="s">
        <v>151</v>
      </c>
      <c r="J129" s="2" t="s">
        <v>145</v>
      </c>
      <c r="K129" s="2" t="n">
        <v>4</v>
      </c>
      <c r="L129" s="28" t="n">
        <v>25</v>
      </c>
      <c r="M129" s="29" t="n">
        <v>0.05375</v>
      </c>
      <c r="N129" s="28" t="n">
        <v>1.34375</v>
      </c>
      <c r="O129" s="28" t="n">
        <v>20.24</v>
      </c>
      <c r="P129" s="2" t="s">
        <v>146</v>
      </c>
      <c r="Q129" s="29" t="n">
        <v>0.08</v>
      </c>
      <c r="R129" s="30" t="n">
        <v>0.076</v>
      </c>
      <c r="S129" s="31" t="n">
        <v>17.6809210526316</v>
      </c>
      <c r="T129" s="30" t="n">
        <v>-0.126436706885792</v>
      </c>
      <c r="U129" s="30" t="n">
        <v>-0.0600458966091118</v>
      </c>
      <c r="V129" s="29" t="n">
        <v>0</v>
      </c>
      <c r="W129" s="29" t="n">
        <f aca="false">IF(N(Q129)=0,"",Q129+IF(I129="yes",Q129*Inputs!$B$10*Inputs!$B$9,0)+V129)</f>
        <v>0.076</v>
      </c>
      <c r="X129" s="28" t="n">
        <f aca="false">IF(OR(N(W129)&lt;=0,N(N129)=0,N(L129)=0),"",MIN(L129,N129/W129))</f>
        <v>17.6809210526316</v>
      </c>
      <c r="Y129" s="29" t="n">
        <f aca="false">IF(OR(X129="",N(O129)=0),"",X129/O129-1)</f>
        <v>-0.126436706885791</v>
      </c>
      <c r="Z129" s="29" t="n">
        <f aca="false">IF(OR(Y129="",N(O129)=0),"",Y129+N129/O129)</f>
        <v>-0.0600458966091116</v>
      </c>
      <c r="AA129" s="32" t="n">
        <f aca="false">IF(OR(Z129="",N(U129)=0),"",Z129-U129)</f>
        <v>2.22044604925031E-016</v>
      </c>
      <c r="AB129" s="29" t="n">
        <f aca="false">IF(N(Q129)=0,"",Q129+IF(I129="yes",Q129*Inputs!$B$10*Inputs!$B$9,0)+IFERROR(INDEX(Inputs!$B$13:$B$15,MATCH(G129,Inputs!$A$13:$A$15,0)),0)+IFERROR(INDEX(Inputs!$B$18:$B$24,MATCH(H129,Inputs!$A$18:$A$24,0)),0))</f>
        <v>0.076</v>
      </c>
      <c r="AC129" s="28" t="n">
        <f aca="false">IF(OR(N(AB129)&lt;=0,N(N129)=0,N(L129)=0),"",MIN(L129,N129/AB129))</f>
        <v>17.6809210526316</v>
      </c>
      <c r="AD129" s="29" t="n">
        <f aca="false">IF(OR(AC129="",N(O129)=0),"",AC129/O129-1)</f>
        <v>-0.126436706885791</v>
      </c>
      <c r="AE129" s="29" t="n">
        <f aca="false">IF(OR(AD129="",N(O129)=0),"",AD129+N129/O129)</f>
        <v>-0.0600458966091116</v>
      </c>
      <c r="AF129" s="32" t="n">
        <f aca="false">IF(OR(AE129="",N(Z129)=0),"",AE129-Z129)</f>
        <v>0</v>
      </c>
      <c r="AG129" s="28" t="n">
        <f aca="false">IF(AND(N(M129)&gt;0,N(L129)&gt;0),M129*L129,N129)</f>
        <v>1.34375</v>
      </c>
      <c r="AH129" s="28" t="n">
        <f aca="false">IF(OR(N(AB129)&lt;=0,N(AG129)=0,N(L129)=0),"",MIN(L129,AG129/AB129))</f>
        <v>17.6809210526316</v>
      </c>
      <c r="AI129" s="29" t="n">
        <f aca="false">IF(OR(AH129="",N(O129)=0),"",AH129/O129-1)</f>
        <v>-0.126436706885791</v>
      </c>
      <c r="AJ129" s="29" t="n">
        <f aca="false">IF(OR(AI129="",N(O129)=0),"",AI129+AG129/O129)</f>
        <v>-0.0600458966091116</v>
      </c>
      <c r="AK129" s="32" t="n">
        <f aca="false">IF(OR(AJ129="",N(AE129)=0),"",AJ129-AE129)</f>
        <v>0</v>
      </c>
      <c r="AL129" s="33" t="n">
        <f aca="false">IF(N(F129)=0,"",INDEX(Inputs!$B$28:$B$32,IFERROR(MATCH(F129,Inputs!$A$28:$A$32,1),0)+1))</f>
        <v>0.1</v>
      </c>
      <c r="AM129" s="34"/>
      <c r="AN129" s="33" t="n">
        <f aca="false">IF(N(AM129)&gt;0,AM129,AL129)</f>
        <v>0.1</v>
      </c>
      <c r="AO129" s="29" t="n">
        <f aca="false">IF(N(AN129)=0,"",AN129+IF(I129="yes",AN129*Inputs!$B$10*Inputs!$B$9,0)+IFERROR(INDEX(Inputs!$B$13:$B$15,MATCH(G129,Inputs!$A$13:$A$15,0)),0)+IFERROR(INDEX(Inputs!$B$18:$B$24,MATCH(H129,Inputs!$A$18:$A$24,0)),0))</f>
        <v>0.095</v>
      </c>
      <c r="AP129" s="28" t="n">
        <f aca="false">IF(OR(N(AO129)&lt;=0,N(AG129)=0,N(L129)=0),"",MIN(L129,AG129/AO129))</f>
        <v>14.1447368421053</v>
      </c>
      <c r="AQ129" s="29" t="n">
        <f aca="false">IF(OR(AP129="",N(O129)=0),"",AP129/O129-1)</f>
        <v>-0.301149365508633</v>
      </c>
      <c r="AR129" s="29" t="n">
        <f aca="false">IF(OR(AQ129="",N(O129)=0),"",AQ129+AG129/O129)</f>
        <v>-0.234758555231953</v>
      </c>
      <c r="AS129" s="32" t="n">
        <f aca="false">IF(OR(AR129="",N(AJ129)=0),"",AR129-AJ129)</f>
        <v>-0.174712658622842</v>
      </c>
      <c r="AT129" s="28" t="n">
        <v>25</v>
      </c>
      <c r="AU129" s="28" t="n">
        <v>1.34</v>
      </c>
      <c r="AV129" s="28" t="n">
        <f aca="false">IF(N(AT129)&gt;0,AT129,L129)</f>
        <v>25</v>
      </c>
      <c r="AW129" s="28" t="n">
        <f aca="false">IF(AND(N(M129)&gt;0,N(AV129)&gt;0),M129*AV129,IF(N(AU129)&gt;0,AU129,N129))</f>
        <v>1.34375</v>
      </c>
      <c r="AX129" s="29" t="n">
        <f aca="false">IF(N(AN129)=0,"",AN129+IF(I129="yes",AN129*Inputs!$B$10*Inputs!$B$9,0)+IFERROR(INDEX(Inputs!$B$13:$B$15,MATCH(G129,Inputs!$A$13:$A$15,0)),0)+IFERROR(INDEX(Inputs!$B$18:$B$24,MATCH(H129,Inputs!$A$18:$A$24,0)),0))</f>
        <v>0.095</v>
      </c>
      <c r="AY129" s="28" t="n">
        <f aca="false">IF(OR(N(AX129)&lt;=0,N(AW129)=0,N(AV129)=0),"",MIN(AV129,AW129/AX129))</f>
        <v>14.1447368421053</v>
      </c>
      <c r="AZ129" s="29" t="n">
        <f aca="false">IF(OR(AY129="",N(O129)=0),"",AY129/O129-1)</f>
        <v>-0.301149365508633</v>
      </c>
      <c r="BA129" s="29" t="n">
        <f aca="false">IF(OR(AZ129="",N(O129)=0),"",AZ129+AW129/O129)</f>
        <v>-0.234758555231953</v>
      </c>
      <c r="BB129" s="32" t="n">
        <f aca="false">IF(OR(BA129="",N(AR129)=0),"",BA129-AR129)</f>
        <v>0</v>
      </c>
      <c r="BC129" s="35" t="n">
        <f aca="false">IF(OR(BA129="",N(U129)=0),"",BA129-U129)</f>
        <v>-0.174712658622841</v>
      </c>
      <c r="BD129" s="37"/>
    </row>
    <row r="130" customFormat="false" ht="15" hidden="false" customHeight="false" outlineLevel="0" collapsed="false">
      <c r="A130" s="2" t="s">
        <v>140</v>
      </c>
      <c r="B130" s="2" t="n">
        <v>246</v>
      </c>
      <c r="C130" s="2" t="s">
        <v>369</v>
      </c>
      <c r="D130" s="2" t="s">
        <v>370</v>
      </c>
      <c r="E130" s="2" t="s">
        <v>371</v>
      </c>
      <c r="F130" s="27" t="n">
        <v>9900</v>
      </c>
      <c r="G130" s="2" t="s">
        <v>51</v>
      </c>
      <c r="H130" s="2" t="s">
        <v>58</v>
      </c>
      <c r="I130" s="2" t="s">
        <v>151</v>
      </c>
      <c r="J130" s="2" t="s">
        <v>145</v>
      </c>
      <c r="K130" s="2" t="n">
        <v>4</v>
      </c>
      <c r="L130" s="28" t="n">
        <v>25</v>
      </c>
      <c r="M130" s="29" t="n">
        <v>0.0525</v>
      </c>
      <c r="N130" s="28" t="n">
        <v>1.3125</v>
      </c>
      <c r="O130" s="28" t="n">
        <v>16.53</v>
      </c>
      <c r="P130" s="2" t="s">
        <v>146</v>
      </c>
      <c r="Q130" s="29" t="n">
        <v>0.08</v>
      </c>
      <c r="R130" s="30" t="n">
        <v>0.076</v>
      </c>
      <c r="S130" s="31" t="n">
        <v>17.2697368421053</v>
      </c>
      <c r="T130" s="30" t="n">
        <v>0.0447511701213106</v>
      </c>
      <c r="U130" s="30" t="n">
        <v>0.12415225905053</v>
      </c>
      <c r="V130" s="29" t="n">
        <v>0</v>
      </c>
      <c r="W130" s="29" t="n">
        <f aca="false">IF(N(Q130)=0,"",Q130+IF(I130="yes",Q130*Inputs!$B$10*Inputs!$B$9,0)+V130)</f>
        <v>0.076</v>
      </c>
      <c r="X130" s="28" t="n">
        <f aca="false">IF(OR(N(W130)&lt;=0,N(N130)=0,N(L130)=0),"",MIN(L130,N130/W130))</f>
        <v>17.2697368421053</v>
      </c>
      <c r="Y130" s="29" t="n">
        <f aca="false">IF(OR(X130="",N(O130)=0),"",X130/O130-1)</f>
        <v>0.0447511701213106</v>
      </c>
      <c r="Z130" s="29" t="n">
        <f aca="false">IF(OR(Y130="",N(O130)=0),"",Y130+N130/O130)</f>
        <v>0.12415225905053</v>
      </c>
      <c r="AA130" s="32" t="n">
        <f aca="false">IF(OR(Z130="",N(U130)=0),"",Z130-U130)</f>
        <v>0</v>
      </c>
      <c r="AB130" s="29" t="n">
        <f aca="false">IF(N(Q130)=0,"",Q130+IF(I130="yes",Q130*Inputs!$B$10*Inputs!$B$9,0)+IFERROR(INDEX(Inputs!$B$13:$B$15,MATCH(G130,Inputs!$A$13:$A$15,0)),0)+IFERROR(INDEX(Inputs!$B$18:$B$24,MATCH(H130,Inputs!$A$18:$A$24,0)),0))</f>
        <v>0.076</v>
      </c>
      <c r="AC130" s="28" t="n">
        <f aca="false">IF(OR(N(AB130)&lt;=0,N(N130)=0,N(L130)=0),"",MIN(L130,N130/AB130))</f>
        <v>17.2697368421053</v>
      </c>
      <c r="AD130" s="29" t="n">
        <f aca="false">IF(OR(AC130="",N(O130)=0),"",AC130/O130-1)</f>
        <v>0.0447511701213106</v>
      </c>
      <c r="AE130" s="29" t="n">
        <f aca="false">IF(OR(AD130="",N(O130)=0),"",AD130+N130/O130)</f>
        <v>0.12415225905053</v>
      </c>
      <c r="AF130" s="32" t="n">
        <f aca="false">IF(OR(AE130="",N(Z130)=0),"",AE130-Z130)</f>
        <v>0</v>
      </c>
      <c r="AG130" s="28" t="n">
        <f aca="false">IF(AND(N(M130)&gt;0,N(L130)&gt;0),M130*L130,N130)</f>
        <v>1.3125</v>
      </c>
      <c r="AH130" s="28" t="n">
        <f aca="false">IF(OR(N(AB130)&lt;=0,N(AG130)=0,N(L130)=0),"",MIN(L130,AG130/AB130))</f>
        <v>17.2697368421053</v>
      </c>
      <c r="AI130" s="29" t="n">
        <f aca="false">IF(OR(AH130="",N(O130)=0),"",AH130/O130-1)</f>
        <v>0.0447511701213106</v>
      </c>
      <c r="AJ130" s="29" t="n">
        <f aca="false">IF(OR(AI130="",N(O130)=0),"",AI130+AG130/O130)</f>
        <v>0.12415225905053</v>
      </c>
      <c r="AK130" s="32" t="n">
        <f aca="false">IF(OR(AJ130="",N(AE130)=0),"",AJ130-AE130)</f>
        <v>0</v>
      </c>
      <c r="AL130" s="33" t="n">
        <f aca="false">IF(N(F130)=0,"",INDEX(Inputs!$B$28:$B$32,IFERROR(MATCH(F130,Inputs!$A$28:$A$32,1),0)+1))</f>
        <v>0.08</v>
      </c>
      <c r="AM130" s="34"/>
      <c r="AN130" s="33" t="n">
        <f aca="false">IF(N(AM130)&gt;0,AM130,AL130)</f>
        <v>0.08</v>
      </c>
      <c r="AO130" s="29" t="n">
        <f aca="false">IF(N(AN130)=0,"",AN130+IF(I130="yes",AN130*Inputs!$B$10*Inputs!$B$9,0)+IFERROR(INDEX(Inputs!$B$13:$B$15,MATCH(G130,Inputs!$A$13:$A$15,0)),0)+IFERROR(INDEX(Inputs!$B$18:$B$24,MATCH(H130,Inputs!$A$18:$A$24,0)),0))</f>
        <v>0.076</v>
      </c>
      <c r="AP130" s="28" t="n">
        <f aca="false">IF(OR(N(AO130)&lt;=0,N(AG130)=0,N(L130)=0),"",MIN(L130,AG130/AO130))</f>
        <v>17.2697368421053</v>
      </c>
      <c r="AQ130" s="29" t="n">
        <f aca="false">IF(OR(AP130="",N(O130)=0),"",AP130/O130-1)</f>
        <v>0.0447511701213106</v>
      </c>
      <c r="AR130" s="29" t="n">
        <f aca="false">IF(OR(AQ130="",N(O130)=0),"",AQ130+AG130/O130)</f>
        <v>0.12415225905053</v>
      </c>
      <c r="AS130" s="32" t="n">
        <f aca="false">IF(OR(AR130="",N(AJ130)=0),"",AR130-AJ130)</f>
        <v>0</v>
      </c>
      <c r="AT130" s="28" t="n">
        <v>25</v>
      </c>
      <c r="AU130" s="28" t="n">
        <v>1.3125</v>
      </c>
      <c r="AV130" s="28" t="n">
        <f aca="false">IF(N(AT130)&gt;0,AT130,L130)</f>
        <v>25</v>
      </c>
      <c r="AW130" s="28" t="n">
        <f aca="false">IF(AND(N(M130)&gt;0,N(AV130)&gt;0),M130*AV130,IF(N(AU130)&gt;0,AU130,N130))</f>
        <v>1.3125</v>
      </c>
      <c r="AX130" s="29" t="n">
        <f aca="false">IF(N(AN130)=0,"",AN130+IF(I130="yes",AN130*Inputs!$B$10*Inputs!$B$9,0)+IFERROR(INDEX(Inputs!$B$13:$B$15,MATCH(G130,Inputs!$A$13:$A$15,0)),0)+IFERROR(INDEX(Inputs!$B$18:$B$24,MATCH(H130,Inputs!$A$18:$A$24,0)),0))</f>
        <v>0.076</v>
      </c>
      <c r="AY130" s="28" t="n">
        <f aca="false">IF(OR(N(AX130)&lt;=0,N(AW130)=0,N(AV130)=0),"",MIN(AV130,AW130/AX130))</f>
        <v>17.2697368421053</v>
      </c>
      <c r="AZ130" s="29" t="n">
        <f aca="false">IF(OR(AY130="",N(O130)=0),"",AY130/O130-1)</f>
        <v>0.0447511701213106</v>
      </c>
      <c r="BA130" s="29" t="n">
        <f aca="false">IF(OR(AZ130="",N(O130)=0),"",AZ130+AW130/O130)</f>
        <v>0.12415225905053</v>
      </c>
      <c r="BB130" s="32" t="n">
        <f aca="false">IF(OR(BA130="",N(AR130)=0),"",BA130-AR130)</f>
        <v>0</v>
      </c>
      <c r="BC130" s="35" t="n">
        <f aca="false">IF(OR(BA130="",N(U130)=0),"",BA130-U130)</f>
        <v>0</v>
      </c>
      <c r="BD130" s="37"/>
    </row>
    <row r="131" customFormat="false" ht="15" hidden="false" customHeight="false" outlineLevel="0" collapsed="false">
      <c r="A131" s="2" t="s">
        <v>140</v>
      </c>
      <c r="B131" s="2" t="n">
        <v>247</v>
      </c>
      <c r="C131" s="2" t="s">
        <v>372</v>
      </c>
      <c r="D131" s="2" t="s">
        <v>370</v>
      </c>
      <c r="E131" s="2" t="s">
        <v>371</v>
      </c>
      <c r="F131" s="27" t="n">
        <v>9900</v>
      </c>
      <c r="G131" s="2" t="s">
        <v>52</v>
      </c>
      <c r="H131" s="2" t="s">
        <v>58</v>
      </c>
      <c r="I131" s="2" t="s">
        <v>144</v>
      </c>
      <c r="J131" s="2" t="s">
        <v>145</v>
      </c>
      <c r="K131" s="2" t="n">
        <v>4</v>
      </c>
      <c r="L131" s="28" t="n">
        <v>25</v>
      </c>
      <c r="M131" s="29" t="n">
        <v>0.04625</v>
      </c>
      <c r="N131" s="28" t="n">
        <v>1.15625</v>
      </c>
      <c r="O131" s="28" t="n">
        <v>15.21</v>
      </c>
      <c r="P131" s="2" t="s">
        <v>146</v>
      </c>
      <c r="Q131" s="29" t="n">
        <v>0.08</v>
      </c>
      <c r="R131" s="30" t="n">
        <v>0.075</v>
      </c>
      <c r="S131" s="31" t="n">
        <v>15.4166666666667</v>
      </c>
      <c r="T131" s="30" t="n">
        <v>0.0135875520490905</v>
      </c>
      <c r="U131" s="30" t="n">
        <v>0.0896066184527722</v>
      </c>
      <c r="V131" s="29" t="n">
        <v>-0.005</v>
      </c>
      <c r="W131" s="29" t="n">
        <f aca="false">IF(N(Q131)=0,"",Q131+IF(I131="yes",Q131*Inputs!$B$10*Inputs!$B$9,0)+V131)</f>
        <v>0.075</v>
      </c>
      <c r="X131" s="28" t="n">
        <f aca="false">IF(OR(N(W131)&lt;=0,N(N131)=0,N(L131)=0),"",MIN(L131,N131/W131))</f>
        <v>15.4166666666667</v>
      </c>
      <c r="Y131" s="29" t="n">
        <f aca="false">IF(OR(X131="",N(O131)=0),"",X131/O131-1)</f>
        <v>0.0135875520490905</v>
      </c>
      <c r="Z131" s="29" t="n">
        <f aca="false">IF(OR(Y131="",N(O131)=0),"",Y131+N131/O131)</f>
        <v>0.0896066184527722</v>
      </c>
      <c r="AA131" s="32" t="n">
        <f aca="false">IF(OR(Z131="",N(U131)=0),"",Z131-U131)</f>
        <v>0</v>
      </c>
      <c r="AB131" s="29" t="n">
        <f aca="false">IF(N(Q131)=0,"",Q131+IF(I131="yes",Q131*Inputs!$B$10*Inputs!$B$9,0)+IFERROR(INDEX(Inputs!$B$13:$B$15,MATCH(G131,Inputs!$A$13:$A$15,0)),0)+IFERROR(INDEX(Inputs!$B$18:$B$24,MATCH(H131,Inputs!$A$18:$A$24,0)),0))</f>
        <v>0.075</v>
      </c>
      <c r="AC131" s="28" t="n">
        <f aca="false">IF(OR(N(AB131)&lt;=0,N(N131)=0,N(L131)=0),"",MIN(L131,N131/AB131))</f>
        <v>15.4166666666667</v>
      </c>
      <c r="AD131" s="29" t="n">
        <f aca="false">IF(OR(AC131="",N(O131)=0),"",AC131/O131-1)</f>
        <v>0.0135875520490905</v>
      </c>
      <c r="AE131" s="29" t="n">
        <f aca="false">IF(OR(AD131="",N(O131)=0),"",AD131+N131/O131)</f>
        <v>0.0896066184527722</v>
      </c>
      <c r="AF131" s="32" t="n">
        <f aca="false">IF(OR(AE131="",N(Z131)=0),"",AE131-Z131)</f>
        <v>0</v>
      </c>
      <c r="AG131" s="28" t="n">
        <f aca="false">IF(AND(N(M131)&gt;0,N(L131)&gt;0),M131*L131,N131)</f>
        <v>1.15625</v>
      </c>
      <c r="AH131" s="28" t="n">
        <f aca="false">IF(OR(N(AB131)&lt;=0,N(AG131)=0,N(L131)=0),"",MIN(L131,AG131/AB131))</f>
        <v>15.4166666666667</v>
      </c>
      <c r="AI131" s="29" t="n">
        <f aca="false">IF(OR(AH131="",N(O131)=0),"",AH131/O131-1)</f>
        <v>0.0135875520490905</v>
      </c>
      <c r="AJ131" s="29" t="n">
        <f aca="false">IF(OR(AI131="",N(O131)=0),"",AI131+AG131/O131)</f>
        <v>0.0896066184527722</v>
      </c>
      <c r="AK131" s="32" t="n">
        <f aca="false">IF(OR(AJ131="",N(AE131)=0),"",AJ131-AE131)</f>
        <v>0</v>
      </c>
      <c r="AL131" s="33" t="n">
        <f aca="false">IF(N(F131)=0,"",INDEX(Inputs!$B$28:$B$32,IFERROR(MATCH(F131,Inputs!$A$28:$A$32,1),0)+1))</f>
        <v>0.08</v>
      </c>
      <c r="AM131" s="34"/>
      <c r="AN131" s="33" t="n">
        <f aca="false">IF(N(AM131)&gt;0,AM131,AL131)</f>
        <v>0.08</v>
      </c>
      <c r="AO131" s="29" t="n">
        <f aca="false">IF(N(AN131)=0,"",AN131+IF(I131="yes",AN131*Inputs!$B$10*Inputs!$B$9,0)+IFERROR(INDEX(Inputs!$B$13:$B$15,MATCH(G131,Inputs!$A$13:$A$15,0)),0)+IFERROR(INDEX(Inputs!$B$18:$B$24,MATCH(H131,Inputs!$A$18:$A$24,0)),0))</f>
        <v>0.075</v>
      </c>
      <c r="AP131" s="28" t="n">
        <f aca="false">IF(OR(N(AO131)&lt;=0,N(AG131)=0,N(L131)=0),"",MIN(L131,AG131/AO131))</f>
        <v>15.4166666666667</v>
      </c>
      <c r="AQ131" s="29" t="n">
        <f aca="false">IF(OR(AP131="",N(O131)=0),"",AP131/O131-1)</f>
        <v>0.0135875520490905</v>
      </c>
      <c r="AR131" s="29" t="n">
        <f aca="false">IF(OR(AQ131="",N(O131)=0),"",AQ131+AG131/O131)</f>
        <v>0.0896066184527722</v>
      </c>
      <c r="AS131" s="32" t="n">
        <f aca="false">IF(OR(AR131="",N(AJ131)=0),"",AR131-AJ131)</f>
        <v>0</v>
      </c>
      <c r="AT131" s="28" t="n">
        <v>25</v>
      </c>
      <c r="AU131" s="28" t="n">
        <v>1.15625</v>
      </c>
      <c r="AV131" s="28" t="n">
        <f aca="false">IF(N(AT131)&gt;0,AT131,L131)</f>
        <v>25</v>
      </c>
      <c r="AW131" s="28" t="n">
        <f aca="false">IF(AND(N(M131)&gt;0,N(AV131)&gt;0),M131*AV131,IF(N(AU131)&gt;0,AU131,N131))</f>
        <v>1.15625</v>
      </c>
      <c r="AX131" s="29" t="n">
        <f aca="false">IF(N(AN131)=0,"",AN131+IF(I131="yes",AN131*Inputs!$B$10*Inputs!$B$9,0)+IFERROR(INDEX(Inputs!$B$13:$B$15,MATCH(G131,Inputs!$A$13:$A$15,0)),0)+IFERROR(INDEX(Inputs!$B$18:$B$24,MATCH(H131,Inputs!$A$18:$A$24,0)),0))</f>
        <v>0.075</v>
      </c>
      <c r="AY131" s="28" t="n">
        <f aca="false">IF(OR(N(AX131)&lt;=0,N(AW131)=0,N(AV131)=0),"",MIN(AV131,AW131/AX131))</f>
        <v>15.4166666666667</v>
      </c>
      <c r="AZ131" s="29" t="n">
        <f aca="false">IF(OR(AY131="",N(O131)=0),"",AY131/O131-1)</f>
        <v>0.0135875520490905</v>
      </c>
      <c r="BA131" s="29" t="n">
        <f aca="false">IF(OR(AZ131="",N(O131)=0),"",AZ131+AW131/O131)</f>
        <v>0.0896066184527722</v>
      </c>
      <c r="BB131" s="32" t="n">
        <f aca="false">IF(OR(BA131="",N(AR131)=0),"",BA131-AR131)</f>
        <v>0</v>
      </c>
      <c r="BC131" s="35" t="n">
        <f aca="false">IF(OR(BA131="",N(U131)=0),"",BA131-U131)</f>
        <v>0</v>
      </c>
      <c r="BD131" s="37"/>
    </row>
    <row r="132" customFormat="false" ht="15" hidden="false" customHeight="false" outlineLevel="0" collapsed="false">
      <c r="A132" s="2" t="s">
        <v>140</v>
      </c>
      <c r="B132" s="2" t="n">
        <v>248</v>
      </c>
      <c r="C132" s="2" t="s">
        <v>373</v>
      </c>
      <c r="D132" s="2" t="s">
        <v>370</v>
      </c>
      <c r="E132" s="2" t="s">
        <v>371</v>
      </c>
      <c r="F132" s="27" t="n">
        <v>9900</v>
      </c>
      <c r="G132" s="2" t="s">
        <v>52</v>
      </c>
      <c r="H132" s="2" t="s">
        <v>58</v>
      </c>
      <c r="I132" s="2" t="s">
        <v>151</v>
      </c>
      <c r="J132" s="2" t="s">
        <v>145</v>
      </c>
      <c r="K132" s="2" t="n">
        <v>4</v>
      </c>
      <c r="L132" s="28" t="n">
        <v>25</v>
      </c>
      <c r="M132" s="29" t="n">
        <v>0.04875</v>
      </c>
      <c r="N132" s="28" t="n">
        <v>1.21875</v>
      </c>
      <c r="O132" s="28" t="n">
        <v>16.18</v>
      </c>
      <c r="P132" s="2" t="s">
        <v>223</v>
      </c>
      <c r="Q132" s="29" t="n">
        <v>0.08</v>
      </c>
      <c r="R132" s="30" t="n">
        <v>0.08</v>
      </c>
      <c r="S132" s="31" t="n">
        <v>15.234375</v>
      </c>
      <c r="T132" s="30" t="n">
        <v>-0.0584440667490729</v>
      </c>
      <c r="U132" s="30" t="n">
        <v>0.0168804079110013</v>
      </c>
      <c r="V132" s="29" t="n">
        <v>-0.005</v>
      </c>
      <c r="W132" s="29" t="n">
        <f aca="false">IF(N(Q132)=0,"",Q132+IF(I132="yes",Q132*Inputs!$B$10*Inputs!$B$9,0)+V132)</f>
        <v>0.071</v>
      </c>
      <c r="X132" s="28" t="n">
        <f aca="false">IF(OR(N(W132)&lt;=0,N(N132)=0,N(L132)=0),"",MIN(L132,N132/W132))</f>
        <v>17.1654929577465</v>
      </c>
      <c r="Y132" s="29" t="n">
        <f aca="false">IF(OR(X132="",N(O132)=0),"",X132/O132-1)</f>
        <v>0.0609080938038615</v>
      </c>
      <c r="Z132" s="29" t="n">
        <f aca="false">IF(OR(Y132="",N(O132)=0),"",Y132+N132/O132)</f>
        <v>0.136232568463936</v>
      </c>
      <c r="AA132" s="32" t="n">
        <f aca="false">IF(OR(Z132="",N(U132)=0),"",Z132-U132)</f>
        <v>0.119352160552934</v>
      </c>
      <c r="AB132" s="29" t="n">
        <f aca="false">IF(N(Q132)=0,"",Q132+IF(I132="yes",Q132*Inputs!$B$10*Inputs!$B$9,0)+IFERROR(INDEX(Inputs!$B$13:$B$15,MATCH(G132,Inputs!$A$13:$A$15,0)),0)+IFERROR(INDEX(Inputs!$B$18:$B$24,MATCH(H132,Inputs!$A$18:$A$24,0)),0))</f>
        <v>0.071</v>
      </c>
      <c r="AC132" s="28" t="n">
        <f aca="false">IF(OR(N(AB132)&lt;=0,N(N132)=0,N(L132)=0),"",MIN(L132,N132/AB132))</f>
        <v>17.1654929577465</v>
      </c>
      <c r="AD132" s="29" t="n">
        <f aca="false">IF(OR(AC132="",N(O132)=0),"",AC132/O132-1)</f>
        <v>0.0609080938038615</v>
      </c>
      <c r="AE132" s="29" t="n">
        <f aca="false">IF(OR(AD132="",N(O132)=0),"",AD132+N132/O132)</f>
        <v>0.136232568463936</v>
      </c>
      <c r="AF132" s="32" t="n">
        <f aca="false">IF(OR(AE132="",N(Z132)=0),"",AE132-Z132)</f>
        <v>0</v>
      </c>
      <c r="AG132" s="28" t="n">
        <f aca="false">IF(AND(N(M132)&gt;0,N(L132)&gt;0),M132*L132,N132)</f>
        <v>1.21875</v>
      </c>
      <c r="AH132" s="28" t="n">
        <f aca="false">IF(OR(N(AB132)&lt;=0,N(AG132)=0,N(L132)=0),"",MIN(L132,AG132/AB132))</f>
        <v>17.1654929577465</v>
      </c>
      <c r="AI132" s="29" t="n">
        <f aca="false">IF(OR(AH132="",N(O132)=0),"",AH132/O132-1)</f>
        <v>0.0609080938038615</v>
      </c>
      <c r="AJ132" s="29" t="n">
        <f aca="false">IF(OR(AI132="",N(O132)=0),"",AI132+AG132/O132)</f>
        <v>0.136232568463936</v>
      </c>
      <c r="AK132" s="32" t="n">
        <f aca="false">IF(OR(AJ132="",N(AE132)=0),"",AJ132-AE132)</f>
        <v>0</v>
      </c>
      <c r="AL132" s="33" t="n">
        <f aca="false">IF(N(F132)=0,"",INDEX(Inputs!$B$28:$B$32,IFERROR(MATCH(F132,Inputs!$A$28:$A$32,1),0)+1))</f>
        <v>0.08</v>
      </c>
      <c r="AM132" s="34"/>
      <c r="AN132" s="33" t="n">
        <f aca="false">IF(N(AM132)&gt;0,AM132,AL132)</f>
        <v>0.08</v>
      </c>
      <c r="AO132" s="29" t="n">
        <f aca="false">IF(N(AN132)=0,"",AN132+IF(I132="yes",AN132*Inputs!$B$10*Inputs!$B$9,0)+IFERROR(INDEX(Inputs!$B$13:$B$15,MATCH(G132,Inputs!$A$13:$A$15,0)),0)+IFERROR(INDEX(Inputs!$B$18:$B$24,MATCH(H132,Inputs!$A$18:$A$24,0)),0))</f>
        <v>0.071</v>
      </c>
      <c r="AP132" s="28" t="n">
        <f aca="false">IF(OR(N(AO132)&lt;=0,N(AG132)=0,N(L132)=0),"",MIN(L132,AG132/AO132))</f>
        <v>17.1654929577465</v>
      </c>
      <c r="AQ132" s="29" t="n">
        <f aca="false">IF(OR(AP132="",N(O132)=0),"",AP132/O132-1)</f>
        <v>0.0609080938038615</v>
      </c>
      <c r="AR132" s="29" t="n">
        <f aca="false">IF(OR(AQ132="",N(O132)=0),"",AQ132+AG132/O132)</f>
        <v>0.136232568463936</v>
      </c>
      <c r="AS132" s="32" t="n">
        <f aca="false">IF(OR(AR132="",N(AJ132)=0),"",AR132-AJ132)</f>
        <v>0</v>
      </c>
      <c r="AT132" s="28" t="n">
        <v>25</v>
      </c>
      <c r="AU132" s="28" t="n">
        <v>1.21875</v>
      </c>
      <c r="AV132" s="28" t="n">
        <f aca="false">IF(N(AT132)&gt;0,AT132,L132)</f>
        <v>25</v>
      </c>
      <c r="AW132" s="28" t="n">
        <f aca="false">IF(AND(N(M132)&gt;0,N(AV132)&gt;0),M132*AV132,IF(N(AU132)&gt;0,AU132,N132))</f>
        <v>1.21875</v>
      </c>
      <c r="AX132" s="29" t="n">
        <f aca="false">IF(N(AN132)=0,"",AN132+IF(I132="yes",AN132*Inputs!$B$10*Inputs!$B$9,0)+IFERROR(INDEX(Inputs!$B$13:$B$15,MATCH(G132,Inputs!$A$13:$A$15,0)),0)+IFERROR(INDEX(Inputs!$B$18:$B$24,MATCH(H132,Inputs!$A$18:$A$24,0)),0))</f>
        <v>0.071</v>
      </c>
      <c r="AY132" s="28" t="n">
        <f aca="false">IF(OR(N(AX132)&lt;=0,N(AW132)=0,N(AV132)=0),"",MIN(AV132,AW132/AX132))</f>
        <v>17.1654929577465</v>
      </c>
      <c r="AZ132" s="29" t="n">
        <f aca="false">IF(OR(AY132="",N(O132)=0),"",AY132/O132-1)</f>
        <v>0.0609080938038615</v>
      </c>
      <c r="BA132" s="29" t="n">
        <f aca="false">IF(OR(AZ132="",N(O132)=0),"",AZ132+AW132/O132)</f>
        <v>0.136232568463936</v>
      </c>
      <c r="BB132" s="32" t="n">
        <f aca="false">IF(OR(BA132="",N(AR132)=0),"",BA132-AR132)</f>
        <v>0</v>
      </c>
      <c r="BC132" s="35" t="n">
        <f aca="false">IF(OR(BA132="",N(U132)=0),"",BA132-U132)</f>
        <v>0.119352160552934</v>
      </c>
      <c r="BD132" s="36" t="s">
        <v>224</v>
      </c>
    </row>
    <row r="133" customFormat="false" ht="15" hidden="false" customHeight="false" outlineLevel="0" collapsed="false">
      <c r="A133" s="2" t="s">
        <v>140</v>
      </c>
      <c r="B133" s="2" t="n">
        <v>251</v>
      </c>
      <c r="C133" s="2" t="s">
        <v>374</v>
      </c>
      <c r="D133" s="2" t="s">
        <v>375</v>
      </c>
      <c r="E133" s="2" t="s">
        <v>376</v>
      </c>
      <c r="F133" s="27" t="n">
        <v>840</v>
      </c>
      <c r="G133" s="2" t="s">
        <v>51</v>
      </c>
      <c r="H133" s="2" t="s">
        <v>58</v>
      </c>
      <c r="I133" s="2" t="s">
        <v>144</v>
      </c>
      <c r="J133" s="2" t="s">
        <v>145</v>
      </c>
      <c r="K133" s="2" t="n">
        <v>4</v>
      </c>
      <c r="L133" s="28" t="n">
        <v>25</v>
      </c>
      <c r="M133" s="29" t="n">
        <v>0.06125</v>
      </c>
      <c r="N133" s="28" t="n">
        <v>1.53125</v>
      </c>
      <c r="O133" s="28" t="n">
        <v>20.86</v>
      </c>
      <c r="P133" s="2" t="s">
        <v>146</v>
      </c>
      <c r="Q133" s="29" t="n">
        <v>0.08</v>
      </c>
      <c r="R133" s="30" t="n">
        <v>0.08</v>
      </c>
      <c r="S133" s="31" t="n">
        <v>19.140625</v>
      </c>
      <c r="T133" s="30" t="n">
        <v>-0.0824244966442953</v>
      </c>
      <c r="U133" s="30" t="n">
        <v>-0.00901845637583892</v>
      </c>
      <c r="V133" s="29" t="n">
        <v>0</v>
      </c>
      <c r="W133" s="29" t="n">
        <f aca="false">IF(N(Q133)=0,"",Q133+IF(I133="yes",Q133*Inputs!$B$10*Inputs!$B$9,0)+V133)</f>
        <v>0.08</v>
      </c>
      <c r="X133" s="28" t="n">
        <f aca="false">IF(OR(N(W133)&lt;=0,N(N133)=0,N(L133)=0),"",MIN(L133,N133/W133))</f>
        <v>19.140625</v>
      </c>
      <c r="Y133" s="29" t="n">
        <f aca="false">IF(OR(X133="",N(O133)=0),"",X133/O133-1)</f>
        <v>-0.0824244966442953</v>
      </c>
      <c r="Z133" s="29" t="n">
        <f aca="false">IF(OR(Y133="",N(O133)=0),"",Y133+N133/O133)</f>
        <v>-0.00901845637583892</v>
      </c>
      <c r="AA133" s="32" t="n">
        <f aca="false">IF(OR(Z133="",N(U133)=0),"",Z133-U133)</f>
        <v>0</v>
      </c>
      <c r="AB133" s="29" t="n">
        <f aca="false">IF(N(Q133)=0,"",Q133+IF(I133="yes",Q133*Inputs!$B$10*Inputs!$B$9,0)+IFERROR(INDEX(Inputs!$B$13:$B$15,MATCH(G133,Inputs!$A$13:$A$15,0)),0)+IFERROR(INDEX(Inputs!$B$18:$B$24,MATCH(H133,Inputs!$A$18:$A$24,0)),0))</f>
        <v>0.08</v>
      </c>
      <c r="AC133" s="28" t="n">
        <f aca="false">IF(OR(N(AB133)&lt;=0,N(N133)=0,N(L133)=0),"",MIN(L133,N133/AB133))</f>
        <v>19.140625</v>
      </c>
      <c r="AD133" s="29" t="n">
        <f aca="false">IF(OR(AC133="",N(O133)=0),"",AC133/O133-1)</f>
        <v>-0.0824244966442953</v>
      </c>
      <c r="AE133" s="29" t="n">
        <f aca="false">IF(OR(AD133="",N(O133)=0),"",AD133+N133/O133)</f>
        <v>-0.00901845637583892</v>
      </c>
      <c r="AF133" s="32" t="n">
        <f aca="false">IF(OR(AE133="",N(Z133)=0),"",AE133-Z133)</f>
        <v>0</v>
      </c>
      <c r="AG133" s="28" t="n">
        <f aca="false">IF(AND(N(M133)&gt;0,N(L133)&gt;0),M133*L133,N133)</f>
        <v>1.53125</v>
      </c>
      <c r="AH133" s="28" t="n">
        <f aca="false">IF(OR(N(AB133)&lt;=0,N(AG133)=0,N(L133)=0),"",MIN(L133,AG133/AB133))</f>
        <v>19.140625</v>
      </c>
      <c r="AI133" s="29" t="n">
        <f aca="false">IF(OR(AH133="",N(O133)=0),"",AH133/O133-1)</f>
        <v>-0.0824244966442953</v>
      </c>
      <c r="AJ133" s="29" t="n">
        <f aca="false">IF(OR(AI133="",N(O133)=0),"",AI133+AG133/O133)</f>
        <v>-0.00901845637583892</v>
      </c>
      <c r="AK133" s="32" t="n">
        <f aca="false">IF(OR(AJ133="",N(AE133)=0),"",AJ133-AE133)</f>
        <v>0</v>
      </c>
      <c r="AL133" s="33" t="n">
        <f aca="false">IF(N(F133)=0,"",INDEX(Inputs!$B$28:$B$32,IFERROR(MATCH(F133,Inputs!$A$28:$A$32,1),0)+1))</f>
        <v>0.09</v>
      </c>
      <c r="AM133" s="34"/>
      <c r="AN133" s="33" t="n">
        <f aca="false">IF(N(AM133)&gt;0,AM133,AL133)</f>
        <v>0.09</v>
      </c>
      <c r="AO133" s="29" t="n">
        <f aca="false">IF(N(AN133)=0,"",AN133+IF(I133="yes",AN133*Inputs!$B$10*Inputs!$B$9,0)+IFERROR(INDEX(Inputs!$B$13:$B$15,MATCH(G133,Inputs!$A$13:$A$15,0)),0)+IFERROR(INDEX(Inputs!$B$18:$B$24,MATCH(H133,Inputs!$A$18:$A$24,0)),0))</f>
        <v>0.09</v>
      </c>
      <c r="AP133" s="28" t="n">
        <f aca="false">IF(OR(N(AO133)&lt;=0,N(AG133)=0,N(L133)=0),"",MIN(L133,AG133/AO133))</f>
        <v>17.0138888888889</v>
      </c>
      <c r="AQ133" s="29" t="n">
        <f aca="false">IF(OR(AP133="",N(O133)=0),"",AP133/O133-1)</f>
        <v>-0.184377330350485</v>
      </c>
      <c r="AR133" s="29" t="n">
        <f aca="false">IF(OR(AQ133="",N(O133)=0),"",AQ133+AG133/O133)</f>
        <v>-0.110971290082028</v>
      </c>
      <c r="AS133" s="32" t="n">
        <f aca="false">IF(OR(AR133="",N(AJ133)=0),"",AR133-AJ133)</f>
        <v>-0.101952833706189</v>
      </c>
      <c r="AT133" s="28" t="n">
        <v>25</v>
      </c>
      <c r="AU133" s="28" t="n">
        <v>1.53</v>
      </c>
      <c r="AV133" s="28" t="n">
        <f aca="false">IF(N(AT133)&gt;0,AT133,L133)</f>
        <v>25</v>
      </c>
      <c r="AW133" s="28" t="n">
        <f aca="false">IF(AND(N(M133)&gt;0,N(AV133)&gt;0),M133*AV133,IF(N(AU133)&gt;0,AU133,N133))</f>
        <v>1.53125</v>
      </c>
      <c r="AX133" s="29" t="n">
        <f aca="false">IF(N(AN133)=0,"",AN133+IF(I133="yes",AN133*Inputs!$B$10*Inputs!$B$9,0)+IFERROR(INDEX(Inputs!$B$13:$B$15,MATCH(G133,Inputs!$A$13:$A$15,0)),0)+IFERROR(INDEX(Inputs!$B$18:$B$24,MATCH(H133,Inputs!$A$18:$A$24,0)),0))</f>
        <v>0.09</v>
      </c>
      <c r="AY133" s="28" t="n">
        <f aca="false">IF(OR(N(AX133)&lt;=0,N(AW133)=0,N(AV133)=0),"",MIN(AV133,AW133/AX133))</f>
        <v>17.0138888888889</v>
      </c>
      <c r="AZ133" s="29" t="n">
        <f aca="false">IF(OR(AY133="",N(O133)=0),"",AY133/O133-1)</f>
        <v>-0.184377330350485</v>
      </c>
      <c r="BA133" s="29" t="n">
        <f aca="false">IF(OR(AZ133="",N(O133)=0),"",AZ133+AW133/O133)</f>
        <v>-0.110971290082028</v>
      </c>
      <c r="BB133" s="32" t="n">
        <f aca="false">IF(OR(BA133="",N(AR133)=0),"",BA133-AR133)</f>
        <v>0</v>
      </c>
      <c r="BC133" s="35" t="n">
        <f aca="false">IF(OR(BA133="",N(U133)=0),"",BA133-U133)</f>
        <v>-0.101952833706189</v>
      </c>
      <c r="BD133" s="37"/>
    </row>
    <row r="134" customFormat="false" ht="15" hidden="false" customHeight="false" outlineLevel="0" collapsed="false">
      <c r="A134" s="2" t="s">
        <v>140</v>
      </c>
      <c r="B134" s="2" t="n">
        <v>252</v>
      </c>
      <c r="C134" s="2" t="s">
        <v>377</v>
      </c>
      <c r="D134" s="2" t="s">
        <v>375</v>
      </c>
      <c r="E134" s="2" t="s">
        <v>376</v>
      </c>
      <c r="F134" s="27" t="n">
        <v>840</v>
      </c>
      <c r="G134" s="2" t="s">
        <v>51</v>
      </c>
      <c r="H134" s="2" t="s">
        <v>58</v>
      </c>
      <c r="I134" s="2" t="s">
        <v>144</v>
      </c>
      <c r="J134" s="2" t="s">
        <v>145</v>
      </c>
      <c r="K134" s="2" t="n">
        <v>4</v>
      </c>
      <c r="L134" s="28" t="n">
        <v>25</v>
      </c>
      <c r="M134" s="29" t="n">
        <v>0.06</v>
      </c>
      <c r="N134" s="28" t="n">
        <v>1.5</v>
      </c>
      <c r="O134" s="28" t="n">
        <v>21.3</v>
      </c>
      <c r="P134" s="2" t="s">
        <v>146</v>
      </c>
      <c r="Q134" s="29" t="n">
        <v>0.08</v>
      </c>
      <c r="R134" s="30" t="n">
        <v>0.08</v>
      </c>
      <c r="S134" s="31" t="n">
        <v>18.75</v>
      </c>
      <c r="T134" s="30" t="n">
        <v>-0.119718309859155</v>
      </c>
      <c r="U134" s="30" t="n">
        <v>-0.0492957746478874</v>
      </c>
      <c r="V134" s="29" t="n">
        <v>0</v>
      </c>
      <c r="W134" s="29" t="n">
        <f aca="false">IF(N(Q134)=0,"",Q134+IF(I134="yes",Q134*Inputs!$B$10*Inputs!$B$9,0)+V134)</f>
        <v>0.08</v>
      </c>
      <c r="X134" s="28" t="n">
        <f aca="false">IF(OR(N(W134)&lt;=0,N(N134)=0,N(L134)=0),"",MIN(L134,N134/W134))</f>
        <v>18.75</v>
      </c>
      <c r="Y134" s="29" t="n">
        <f aca="false">IF(OR(X134="",N(O134)=0),"",X134/O134-1)</f>
        <v>-0.119718309859155</v>
      </c>
      <c r="Z134" s="29" t="n">
        <f aca="false">IF(OR(Y134="",N(O134)=0),"",Y134+N134/O134)</f>
        <v>-0.0492957746478874</v>
      </c>
      <c r="AA134" s="32" t="n">
        <f aca="false">IF(OR(Z134="",N(U134)=0),"",Z134-U134)</f>
        <v>0</v>
      </c>
      <c r="AB134" s="29" t="n">
        <f aca="false">IF(N(Q134)=0,"",Q134+IF(I134="yes",Q134*Inputs!$B$10*Inputs!$B$9,0)+IFERROR(INDEX(Inputs!$B$13:$B$15,MATCH(G134,Inputs!$A$13:$A$15,0)),0)+IFERROR(INDEX(Inputs!$B$18:$B$24,MATCH(H134,Inputs!$A$18:$A$24,0)),0))</f>
        <v>0.08</v>
      </c>
      <c r="AC134" s="28" t="n">
        <f aca="false">IF(OR(N(AB134)&lt;=0,N(N134)=0,N(L134)=0),"",MIN(L134,N134/AB134))</f>
        <v>18.75</v>
      </c>
      <c r="AD134" s="29" t="n">
        <f aca="false">IF(OR(AC134="",N(O134)=0),"",AC134/O134-1)</f>
        <v>-0.119718309859155</v>
      </c>
      <c r="AE134" s="29" t="n">
        <f aca="false">IF(OR(AD134="",N(O134)=0),"",AD134+N134/O134)</f>
        <v>-0.0492957746478874</v>
      </c>
      <c r="AF134" s="32" t="n">
        <f aca="false">IF(OR(AE134="",N(Z134)=0),"",AE134-Z134)</f>
        <v>0</v>
      </c>
      <c r="AG134" s="28" t="n">
        <f aca="false">IF(AND(N(M134)&gt;0,N(L134)&gt;0),M134*L134,N134)</f>
        <v>1.5</v>
      </c>
      <c r="AH134" s="28" t="n">
        <f aca="false">IF(OR(N(AB134)&lt;=0,N(AG134)=0,N(L134)=0),"",MIN(L134,AG134/AB134))</f>
        <v>18.75</v>
      </c>
      <c r="AI134" s="29" t="n">
        <f aca="false">IF(OR(AH134="",N(O134)=0),"",AH134/O134-1)</f>
        <v>-0.119718309859155</v>
      </c>
      <c r="AJ134" s="29" t="n">
        <f aca="false">IF(OR(AI134="",N(O134)=0),"",AI134+AG134/O134)</f>
        <v>-0.0492957746478874</v>
      </c>
      <c r="AK134" s="32" t="n">
        <f aca="false">IF(OR(AJ134="",N(AE134)=0),"",AJ134-AE134)</f>
        <v>0</v>
      </c>
      <c r="AL134" s="33" t="n">
        <f aca="false">IF(N(F134)=0,"",INDEX(Inputs!$B$28:$B$32,IFERROR(MATCH(F134,Inputs!$A$28:$A$32,1),0)+1))</f>
        <v>0.09</v>
      </c>
      <c r="AM134" s="34"/>
      <c r="AN134" s="33" t="n">
        <f aca="false">IF(N(AM134)&gt;0,AM134,AL134)</f>
        <v>0.09</v>
      </c>
      <c r="AO134" s="29" t="n">
        <f aca="false">IF(N(AN134)=0,"",AN134+IF(I134="yes",AN134*Inputs!$B$10*Inputs!$B$9,0)+IFERROR(INDEX(Inputs!$B$13:$B$15,MATCH(G134,Inputs!$A$13:$A$15,0)),0)+IFERROR(INDEX(Inputs!$B$18:$B$24,MATCH(H134,Inputs!$A$18:$A$24,0)),0))</f>
        <v>0.09</v>
      </c>
      <c r="AP134" s="28" t="n">
        <f aca="false">IF(OR(N(AO134)&lt;=0,N(AG134)=0,N(L134)=0),"",MIN(L134,AG134/AO134))</f>
        <v>16.6666666666667</v>
      </c>
      <c r="AQ134" s="29" t="n">
        <f aca="false">IF(OR(AP134="",N(O134)=0),"",AP134/O134-1)</f>
        <v>-0.217527386541471</v>
      </c>
      <c r="AR134" s="29" t="n">
        <f aca="false">IF(OR(AQ134="",N(O134)=0),"",AQ134+AG134/O134)</f>
        <v>-0.147104851330203</v>
      </c>
      <c r="AS134" s="32" t="n">
        <f aca="false">IF(OR(AR134="",N(AJ134)=0),"",AR134-AJ134)</f>
        <v>-0.097809076682316</v>
      </c>
      <c r="AT134" s="28" t="n">
        <v>25</v>
      </c>
      <c r="AU134" s="28" t="n">
        <v>1.5</v>
      </c>
      <c r="AV134" s="28" t="n">
        <f aca="false">IF(N(AT134)&gt;0,AT134,L134)</f>
        <v>25</v>
      </c>
      <c r="AW134" s="28" t="n">
        <f aca="false">IF(AND(N(M134)&gt;0,N(AV134)&gt;0),M134*AV134,IF(N(AU134)&gt;0,AU134,N134))</f>
        <v>1.5</v>
      </c>
      <c r="AX134" s="29" t="n">
        <f aca="false">IF(N(AN134)=0,"",AN134+IF(I134="yes",AN134*Inputs!$B$10*Inputs!$B$9,0)+IFERROR(INDEX(Inputs!$B$13:$B$15,MATCH(G134,Inputs!$A$13:$A$15,0)),0)+IFERROR(INDEX(Inputs!$B$18:$B$24,MATCH(H134,Inputs!$A$18:$A$24,0)),0))</f>
        <v>0.09</v>
      </c>
      <c r="AY134" s="28" t="n">
        <f aca="false">IF(OR(N(AX134)&lt;=0,N(AW134)=0,N(AV134)=0),"",MIN(AV134,AW134/AX134))</f>
        <v>16.6666666666667</v>
      </c>
      <c r="AZ134" s="29" t="n">
        <f aca="false">IF(OR(AY134="",N(O134)=0),"",AY134/O134-1)</f>
        <v>-0.217527386541471</v>
      </c>
      <c r="BA134" s="29" t="n">
        <f aca="false">IF(OR(AZ134="",N(O134)=0),"",AZ134+AW134/O134)</f>
        <v>-0.147104851330203</v>
      </c>
      <c r="BB134" s="32" t="n">
        <f aca="false">IF(OR(BA134="",N(AR134)=0),"",BA134-AR134)</f>
        <v>0</v>
      </c>
      <c r="BC134" s="35" t="n">
        <f aca="false">IF(OR(BA134="",N(U134)=0),"",BA134-U134)</f>
        <v>-0.097809076682316</v>
      </c>
      <c r="BD134" s="37"/>
    </row>
    <row r="135" customFormat="false" ht="15" hidden="false" customHeight="false" outlineLevel="0" collapsed="false">
      <c r="A135" s="2" t="s">
        <v>140</v>
      </c>
      <c r="B135" s="2" t="n">
        <v>255</v>
      </c>
      <c r="C135" s="2" t="s">
        <v>378</v>
      </c>
      <c r="D135" s="2" t="s">
        <v>379</v>
      </c>
      <c r="E135" s="2" t="s">
        <v>380</v>
      </c>
      <c r="F135" s="27" t="n">
        <v>3100</v>
      </c>
      <c r="G135" s="2" t="s">
        <v>52</v>
      </c>
      <c r="H135" s="2" t="s">
        <v>58</v>
      </c>
      <c r="I135" s="2" t="s">
        <v>144</v>
      </c>
      <c r="J135" s="2" t="s">
        <v>145</v>
      </c>
      <c r="K135" s="2" t="n">
        <v>4</v>
      </c>
      <c r="L135" s="28" t="n">
        <v>25</v>
      </c>
      <c r="M135" s="29" t="n">
        <v>0.0625</v>
      </c>
      <c r="N135" s="28" t="n">
        <v>1.5625</v>
      </c>
      <c r="O135" s="28" t="n">
        <v>15.82</v>
      </c>
      <c r="P135" s="2" t="s">
        <v>146</v>
      </c>
      <c r="Q135" s="29" t="n">
        <v>0.08</v>
      </c>
      <c r="R135" s="30" t="n">
        <v>0.075</v>
      </c>
      <c r="S135" s="31" t="n">
        <v>20.8333333333333</v>
      </c>
      <c r="T135" s="30" t="n">
        <v>0.316898440792246</v>
      </c>
      <c r="U135" s="30" t="n">
        <v>0.415665823851665</v>
      </c>
      <c r="V135" s="29" t="n">
        <v>-0.005</v>
      </c>
      <c r="W135" s="29" t="n">
        <f aca="false">IF(N(Q135)=0,"",Q135+IF(I135="yes",Q135*Inputs!$B$10*Inputs!$B$9,0)+V135)</f>
        <v>0.075</v>
      </c>
      <c r="X135" s="28" t="n">
        <f aca="false">IF(OR(N(W135)&lt;=0,N(N135)=0,N(L135)=0),"",MIN(L135,N135/W135))</f>
        <v>20.8333333333333</v>
      </c>
      <c r="Y135" s="29" t="n">
        <f aca="false">IF(OR(X135="",N(O135)=0),"",X135/O135-1)</f>
        <v>0.316898440792246</v>
      </c>
      <c r="Z135" s="29" t="n">
        <f aca="false">IF(OR(Y135="",N(O135)=0),"",Y135+N135/O135)</f>
        <v>0.415665823851665</v>
      </c>
      <c r="AA135" s="32" t="n">
        <f aca="false">IF(OR(Z135="",N(U135)=0),"",Z135-U135)</f>
        <v>0</v>
      </c>
      <c r="AB135" s="29" t="n">
        <f aca="false">IF(N(Q135)=0,"",Q135+IF(I135="yes",Q135*Inputs!$B$10*Inputs!$B$9,0)+IFERROR(INDEX(Inputs!$B$13:$B$15,MATCH(G135,Inputs!$A$13:$A$15,0)),0)+IFERROR(INDEX(Inputs!$B$18:$B$24,MATCH(H135,Inputs!$A$18:$A$24,0)),0))</f>
        <v>0.075</v>
      </c>
      <c r="AC135" s="28" t="n">
        <f aca="false">IF(OR(N(AB135)&lt;=0,N(N135)=0,N(L135)=0),"",MIN(L135,N135/AB135))</f>
        <v>20.8333333333333</v>
      </c>
      <c r="AD135" s="29" t="n">
        <f aca="false">IF(OR(AC135="",N(O135)=0),"",AC135/O135-1)</f>
        <v>0.316898440792246</v>
      </c>
      <c r="AE135" s="29" t="n">
        <f aca="false">IF(OR(AD135="",N(O135)=0),"",AD135+N135/O135)</f>
        <v>0.415665823851665</v>
      </c>
      <c r="AF135" s="32" t="n">
        <f aca="false">IF(OR(AE135="",N(Z135)=0),"",AE135-Z135)</f>
        <v>0</v>
      </c>
      <c r="AG135" s="28" t="n">
        <f aca="false">IF(AND(N(M135)&gt;0,N(L135)&gt;0),M135*L135,N135)</f>
        <v>1.5625</v>
      </c>
      <c r="AH135" s="28" t="n">
        <f aca="false">IF(OR(N(AB135)&lt;=0,N(AG135)=0,N(L135)=0),"",MIN(L135,AG135/AB135))</f>
        <v>20.8333333333333</v>
      </c>
      <c r="AI135" s="29" t="n">
        <f aca="false">IF(OR(AH135="",N(O135)=0),"",AH135/O135-1)</f>
        <v>0.316898440792246</v>
      </c>
      <c r="AJ135" s="29" t="n">
        <f aca="false">IF(OR(AI135="",N(O135)=0),"",AI135+AG135/O135)</f>
        <v>0.415665823851665</v>
      </c>
      <c r="AK135" s="32" t="n">
        <f aca="false">IF(OR(AJ135="",N(AE135)=0),"",AJ135-AE135)</f>
        <v>0</v>
      </c>
      <c r="AL135" s="33" t="n">
        <f aca="false">IF(N(F135)=0,"",INDEX(Inputs!$B$28:$B$32,IFERROR(MATCH(F135,Inputs!$A$28:$A$32,1),0)+1))</f>
        <v>0.085</v>
      </c>
      <c r="AM135" s="34"/>
      <c r="AN135" s="33" t="n">
        <f aca="false">IF(N(AM135)&gt;0,AM135,AL135)</f>
        <v>0.085</v>
      </c>
      <c r="AO135" s="29" t="n">
        <f aca="false">IF(N(AN135)=0,"",AN135+IF(I135="yes",AN135*Inputs!$B$10*Inputs!$B$9,0)+IFERROR(INDEX(Inputs!$B$13:$B$15,MATCH(G135,Inputs!$A$13:$A$15,0)),0)+IFERROR(INDEX(Inputs!$B$18:$B$24,MATCH(H135,Inputs!$A$18:$A$24,0)),0))</f>
        <v>0.08</v>
      </c>
      <c r="AP135" s="28" t="n">
        <f aca="false">IF(OR(N(AO135)&lt;=0,N(AG135)=0,N(L135)=0),"",MIN(L135,AG135/AO135))</f>
        <v>19.53125</v>
      </c>
      <c r="AQ135" s="29" t="n">
        <f aca="false">IF(OR(AP135="",N(O135)=0),"",AP135/O135-1)</f>
        <v>0.234592288242731</v>
      </c>
      <c r="AR135" s="29" t="n">
        <f aca="false">IF(OR(AQ135="",N(O135)=0),"",AQ135+AG135/O135)</f>
        <v>0.333359671302149</v>
      </c>
      <c r="AS135" s="32" t="n">
        <f aca="false">IF(OR(AR135="",N(AJ135)=0),"",AR135-AJ135)</f>
        <v>-0.0823061525495155</v>
      </c>
      <c r="AT135" s="28" t="n">
        <v>25</v>
      </c>
      <c r="AU135" s="28" t="n">
        <v>1.56</v>
      </c>
      <c r="AV135" s="28" t="n">
        <f aca="false">IF(N(AT135)&gt;0,AT135,L135)</f>
        <v>25</v>
      </c>
      <c r="AW135" s="28" t="n">
        <f aca="false">IF(AND(N(M135)&gt;0,N(AV135)&gt;0),M135*AV135,IF(N(AU135)&gt;0,AU135,N135))</f>
        <v>1.5625</v>
      </c>
      <c r="AX135" s="29" t="n">
        <f aca="false">IF(N(AN135)=0,"",AN135+IF(I135="yes",AN135*Inputs!$B$10*Inputs!$B$9,0)+IFERROR(INDEX(Inputs!$B$13:$B$15,MATCH(G135,Inputs!$A$13:$A$15,0)),0)+IFERROR(INDEX(Inputs!$B$18:$B$24,MATCH(H135,Inputs!$A$18:$A$24,0)),0))</f>
        <v>0.08</v>
      </c>
      <c r="AY135" s="28" t="n">
        <f aca="false">IF(OR(N(AX135)&lt;=0,N(AW135)=0,N(AV135)=0),"",MIN(AV135,AW135/AX135))</f>
        <v>19.53125</v>
      </c>
      <c r="AZ135" s="29" t="n">
        <f aca="false">IF(OR(AY135="",N(O135)=0),"",AY135/O135-1)</f>
        <v>0.234592288242731</v>
      </c>
      <c r="BA135" s="29" t="n">
        <f aca="false">IF(OR(AZ135="",N(O135)=0),"",AZ135+AW135/O135)</f>
        <v>0.333359671302149</v>
      </c>
      <c r="BB135" s="32" t="n">
        <f aca="false">IF(OR(BA135="",N(AR135)=0),"",BA135-AR135)</f>
        <v>0</v>
      </c>
      <c r="BC135" s="35" t="n">
        <f aca="false">IF(OR(BA135="",N(U135)=0),"",BA135-U135)</f>
        <v>-0.0823061525495155</v>
      </c>
      <c r="BD135" s="37"/>
    </row>
    <row r="136" customFormat="false" ht="15" hidden="false" customHeight="false" outlineLevel="0" collapsed="false">
      <c r="A136" s="2" t="s">
        <v>140</v>
      </c>
      <c r="B136" s="2" t="n">
        <v>256</v>
      </c>
      <c r="C136" s="2" t="s">
        <v>381</v>
      </c>
      <c r="D136" s="2" t="s">
        <v>379</v>
      </c>
      <c r="E136" s="2" t="s">
        <v>380</v>
      </c>
      <c r="F136" s="27" t="n">
        <v>3100</v>
      </c>
      <c r="G136" s="2" t="s">
        <v>51</v>
      </c>
      <c r="H136" s="2" t="s">
        <v>64</v>
      </c>
      <c r="I136" s="2" t="s">
        <v>151</v>
      </c>
      <c r="J136" s="2" t="s">
        <v>145</v>
      </c>
      <c r="K136" s="2" t="n">
        <v>4</v>
      </c>
      <c r="L136" s="28" t="n">
        <v>25</v>
      </c>
      <c r="M136" s="29" t="n">
        <v>0.04625</v>
      </c>
      <c r="N136" s="28" t="n">
        <v>1.15625</v>
      </c>
      <c r="O136" s="28" t="n">
        <v>9.57</v>
      </c>
      <c r="P136" s="2" t="s">
        <v>146</v>
      </c>
      <c r="Q136" s="29" t="n">
        <v>0.08</v>
      </c>
      <c r="R136" s="30" t="n">
        <v>0.076</v>
      </c>
      <c r="S136" s="31" t="n">
        <v>15.2138157894737</v>
      </c>
      <c r="T136" s="30" t="n">
        <v>0.589740416872903</v>
      </c>
      <c r="U136" s="30" t="n">
        <v>0.710560688555244</v>
      </c>
      <c r="V136" s="29" t="n">
        <v>0</v>
      </c>
      <c r="W136" s="29" t="n">
        <f aca="false">IF(N(Q136)=0,"",Q136+IF(I136="yes",Q136*Inputs!$B$10*Inputs!$B$9,0)+V136)</f>
        <v>0.076</v>
      </c>
      <c r="X136" s="28" t="n">
        <f aca="false">IF(OR(N(W136)&lt;=0,N(N136)=0,N(L136)=0),"",MIN(L136,N136/W136))</f>
        <v>15.2138157894737</v>
      </c>
      <c r="Y136" s="29" t="n">
        <f aca="false">IF(OR(X136="",N(O136)=0),"",X136/O136-1)</f>
        <v>0.589740416872903</v>
      </c>
      <c r="Z136" s="29" t="n">
        <f aca="false">IF(OR(Y136="",N(O136)=0),"",Y136+N136/O136)</f>
        <v>0.710560688555244</v>
      </c>
      <c r="AA136" s="32" t="n">
        <f aca="false">IF(OR(Z136="",N(U136)=0),"",Z136-U136)</f>
        <v>0</v>
      </c>
      <c r="AB136" s="29" t="n">
        <f aca="false">IF(N(Q136)=0,"",Q136+IF(I136="yes",Q136*Inputs!$B$10*Inputs!$B$9,0)+IFERROR(INDEX(Inputs!$B$13:$B$15,MATCH(G136,Inputs!$A$13:$A$15,0)),0)+IFERROR(INDEX(Inputs!$B$18:$B$24,MATCH(H136,Inputs!$A$18:$A$24,0)),0))</f>
        <v>0.076</v>
      </c>
      <c r="AC136" s="28" t="n">
        <f aca="false">IF(OR(N(AB136)&lt;=0,N(N136)=0,N(L136)=0),"",MIN(L136,N136/AB136))</f>
        <v>15.2138157894737</v>
      </c>
      <c r="AD136" s="29" t="n">
        <f aca="false">IF(OR(AC136="",N(O136)=0),"",AC136/O136-1)</f>
        <v>0.589740416872903</v>
      </c>
      <c r="AE136" s="29" t="n">
        <f aca="false">IF(OR(AD136="",N(O136)=0),"",AD136+N136/O136)</f>
        <v>0.710560688555244</v>
      </c>
      <c r="AF136" s="32" t="n">
        <f aca="false">IF(OR(AE136="",N(Z136)=0),"",AE136-Z136)</f>
        <v>0</v>
      </c>
      <c r="AG136" s="28" t="n">
        <f aca="false">IF(AND(N(M136)&gt;0,N(L136)&gt;0),M136*L136,N136)</f>
        <v>1.15625</v>
      </c>
      <c r="AH136" s="28" t="n">
        <f aca="false">IF(OR(N(AB136)&lt;=0,N(AG136)=0,N(L136)=0),"",MIN(L136,AG136/AB136))</f>
        <v>15.2138157894737</v>
      </c>
      <c r="AI136" s="29" t="n">
        <f aca="false">IF(OR(AH136="",N(O136)=0),"",AH136/O136-1)</f>
        <v>0.589740416872903</v>
      </c>
      <c r="AJ136" s="29" t="n">
        <f aca="false">IF(OR(AI136="",N(O136)=0),"",AI136+AG136/O136)</f>
        <v>0.710560688555244</v>
      </c>
      <c r="AK136" s="32" t="n">
        <f aca="false">IF(OR(AJ136="",N(AE136)=0),"",AJ136-AE136)</f>
        <v>0</v>
      </c>
      <c r="AL136" s="33" t="n">
        <f aca="false">IF(N(F136)=0,"",INDEX(Inputs!$B$28:$B$32,IFERROR(MATCH(F136,Inputs!$A$28:$A$32,1),0)+1))</f>
        <v>0.085</v>
      </c>
      <c r="AM136" s="34"/>
      <c r="AN136" s="33" t="n">
        <f aca="false">IF(N(AM136)&gt;0,AM136,AL136)</f>
        <v>0.085</v>
      </c>
      <c r="AO136" s="29" t="n">
        <f aca="false">IF(N(AN136)=0,"",AN136+IF(I136="yes",AN136*Inputs!$B$10*Inputs!$B$9,0)+IFERROR(INDEX(Inputs!$B$13:$B$15,MATCH(G136,Inputs!$A$13:$A$15,0)),0)+IFERROR(INDEX(Inputs!$B$18:$B$24,MATCH(H136,Inputs!$A$18:$A$24,0)),0))</f>
        <v>0.08075</v>
      </c>
      <c r="AP136" s="28" t="n">
        <f aca="false">IF(OR(N(AO136)&lt;=0,N(AG136)=0,N(L136)=0),"",MIN(L136,AG136/AO136))</f>
        <v>14.3188854489164</v>
      </c>
      <c r="AQ136" s="29" t="n">
        <f aca="false">IF(OR(AP136="",N(O136)=0),"",AP136/O136-1)</f>
        <v>0.496226274703909</v>
      </c>
      <c r="AR136" s="29" t="n">
        <f aca="false">IF(OR(AQ136="",N(O136)=0),"",AQ136+AG136/O136)</f>
        <v>0.61704654638625</v>
      </c>
      <c r="AS136" s="32" t="n">
        <f aca="false">IF(OR(AR136="",N(AJ136)=0),"",AR136-AJ136)</f>
        <v>-0.0935141421689945</v>
      </c>
      <c r="AT136" s="28" t="n">
        <v>25</v>
      </c>
      <c r="AU136" s="28" t="n">
        <v>1.15625</v>
      </c>
      <c r="AV136" s="28" t="n">
        <f aca="false">IF(N(AT136)&gt;0,AT136,L136)</f>
        <v>25</v>
      </c>
      <c r="AW136" s="28" t="n">
        <f aca="false">IF(AND(N(M136)&gt;0,N(AV136)&gt;0),M136*AV136,IF(N(AU136)&gt;0,AU136,N136))</f>
        <v>1.15625</v>
      </c>
      <c r="AX136" s="29" t="n">
        <f aca="false">IF(N(AN136)=0,"",AN136+IF(I136="yes",AN136*Inputs!$B$10*Inputs!$B$9,0)+IFERROR(INDEX(Inputs!$B$13:$B$15,MATCH(G136,Inputs!$A$13:$A$15,0)),0)+IFERROR(INDEX(Inputs!$B$18:$B$24,MATCH(H136,Inputs!$A$18:$A$24,0)),0))</f>
        <v>0.08075</v>
      </c>
      <c r="AY136" s="28" t="n">
        <f aca="false">IF(OR(N(AX136)&lt;=0,N(AW136)=0,N(AV136)=0),"",MIN(AV136,AW136/AX136))</f>
        <v>14.3188854489164</v>
      </c>
      <c r="AZ136" s="29" t="n">
        <f aca="false">IF(OR(AY136="",N(O136)=0),"",AY136/O136-1)</f>
        <v>0.496226274703909</v>
      </c>
      <c r="BA136" s="29" t="n">
        <f aca="false">IF(OR(AZ136="",N(O136)=0),"",AZ136+AW136/O136)</f>
        <v>0.61704654638625</v>
      </c>
      <c r="BB136" s="32" t="n">
        <f aca="false">IF(OR(BA136="",N(AR136)=0),"",BA136-AR136)</f>
        <v>0</v>
      </c>
      <c r="BC136" s="35" t="n">
        <f aca="false">IF(OR(BA136="",N(U136)=0),"",BA136-U136)</f>
        <v>-0.0935141421689945</v>
      </c>
      <c r="BD136" s="37"/>
    </row>
    <row r="137" customFormat="false" ht="15" hidden="false" customHeight="false" outlineLevel="0" collapsed="false">
      <c r="A137" s="2" t="s">
        <v>140</v>
      </c>
      <c r="B137" s="2" t="n">
        <v>257</v>
      </c>
      <c r="C137" s="2" t="s">
        <v>382</v>
      </c>
      <c r="D137" s="2" t="s">
        <v>379</v>
      </c>
      <c r="E137" s="2" t="s">
        <v>380</v>
      </c>
      <c r="F137" s="27" t="n">
        <v>3100</v>
      </c>
      <c r="G137" s="2" t="s">
        <v>51</v>
      </c>
      <c r="H137" s="2" t="s">
        <v>58</v>
      </c>
      <c r="I137" s="2" t="s">
        <v>151</v>
      </c>
      <c r="J137" s="2" t="s">
        <v>145</v>
      </c>
      <c r="K137" s="2" t="n">
        <v>4</v>
      </c>
      <c r="L137" s="28" t="n">
        <v>25</v>
      </c>
      <c r="M137" s="29" t="n">
        <v>0.05375</v>
      </c>
      <c r="N137" s="28" t="n">
        <v>1.34375</v>
      </c>
      <c r="O137" s="28" t="n">
        <v>11.11</v>
      </c>
      <c r="P137" s="2" t="s">
        <v>146</v>
      </c>
      <c r="Q137" s="29" t="n">
        <v>0.08</v>
      </c>
      <c r="R137" s="30" t="n">
        <v>0.076</v>
      </c>
      <c r="S137" s="31" t="n">
        <v>17.6809210526316</v>
      </c>
      <c r="T137" s="30" t="n">
        <v>0.591442038940736</v>
      </c>
      <c r="U137" s="30" t="n">
        <v>0.712391633900232</v>
      </c>
      <c r="V137" s="29" t="n">
        <v>0</v>
      </c>
      <c r="W137" s="29" t="n">
        <f aca="false">IF(N(Q137)=0,"",Q137+IF(I137="yes",Q137*Inputs!$B$10*Inputs!$B$9,0)+V137)</f>
        <v>0.076</v>
      </c>
      <c r="X137" s="28" t="n">
        <f aca="false">IF(OR(N(W137)&lt;=0,N(N137)=0,N(L137)=0),"",MIN(L137,N137/W137))</f>
        <v>17.6809210526316</v>
      </c>
      <c r="Y137" s="29" t="n">
        <f aca="false">IF(OR(X137="",N(O137)=0),"",X137/O137-1)</f>
        <v>0.591442038940736</v>
      </c>
      <c r="Z137" s="29" t="n">
        <f aca="false">IF(OR(Y137="",N(O137)=0),"",Y137+N137/O137)</f>
        <v>0.712391633900232</v>
      </c>
      <c r="AA137" s="32" t="n">
        <f aca="false">IF(OR(Z137="",N(U137)=0),"",Z137-U137)</f>
        <v>0</v>
      </c>
      <c r="AB137" s="29" t="n">
        <f aca="false">IF(N(Q137)=0,"",Q137+IF(I137="yes",Q137*Inputs!$B$10*Inputs!$B$9,0)+IFERROR(INDEX(Inputs!$B$13:$B$15,MATCH(G137,Inputs!$A$13:$A$15,0)),0)+IFERROR(INDEX(Inputs!$B$18:$B$24,MATCH(H137,Inputs!$A$18:$A$24,0)),0))</f>
        <v>0.076</v>
      </c>
      <c r="AC137" s="28" t="n">
        <f aca="false">IF(OR(N(AB137)&lt;=0,N(N137)=0,N(L137)=0),"",MIN(L137,N137/AB137))</f>
        <v>17.6809210526316</v>
      </c>
      <c r="AD137" s="29" t="n">
        <f aca="false">IF(OR(AC137="",N(O137)=0),"",AC137/O137-1)</f>
        <v>0.591442038940736</v>
      </c>
      <c r="AE137" s="29" t="n">
        <f aca="false">IF(OR(AD137="",N(O137)=0),"",AD137+N137/O137)</f>
        <v>0.712391633900232</v>
      </c>
      <c r="AF137" s="32" t="n">
        <f aca="false">IF(OR(AE137="",N(Z137)=0),"",AE137-Z137)</f>
        <v>0</v>
      </c>
      <c r="AG137" s="28" t="n">
        <f aca="false">IF(AND(N(M137)&gt;0,N(L137)&gt;0),M137*L137,N137)</f>
        <v>1.34375</v>
      </c>
      <c r="AH137" s="28" t="n">
        <f aca="false">IF(OR(N(AB137)&lt;=0,N(AG137)=0,N(L137)=0),"",MIN(L137,AG137/AB137))</f>
        <v>17.6809210526316</v>
      </c>
      <c r="AI137" s="29" t="n">
        <f aca="false">IF(OR(AH137="",N(O137)=0),"",AH137/O137-1)</f>
        <v>0.591442038940736</v>
      </c>
      <c r="AJ137" s="29" t="n">
        <f aca="false">IF(OR(AI137="",N(O137)=0),"",AI137+AG137/O137)</f>
        <v>0.712391633900232</v>
      </c>
      <c r="AK137" s="32" t="n">
        <f aca="false">IF(OR(AJ137="",N(AE137)=0),"",AJ137-AE137)</f>
        <v>0</v>
      </c>
      <c r="AL137" s="33" t="n">
        <f aca="false">IF(N(F137)=0,"",INDEX(Inputs!$B$28:$B$32,IFERROR(MATCH(F137,Inputs!$A$28:$A$32,1),0)+1))</f>
        <v>0.085</v>
      </c>
      <c r="AM137" s="34"/>
      <c r="AN137" s="33" t="n">
        <f aca="false">IF(N(AM137)&gt;0,AM137,AL137)</f>
        <v>0.085</v>
      </c>
      <c r="AO137" s="29" t="n">
        <f aca="false">IF(N(AN137)=0,"",AN137+IF(I137="yes",AN137*Inputs!$B$10*Inputs!$B$9,0)+IFERROR(INDEX(Inputs!$B$13:$B$15,MATCH(G137,Inputs!$A$13:$A$15,0)),0)+IFERROR(INDEX(Inputs!$B$18:$B$24,MATCH(H137,Inputs!$A$18:$A$24,0)),0))</f>
        <v>0.08075</v>
      </c>
      <c r="AP137" s="28" t="n">
        <f aca="false">IF(OR(N(AO137)&lt;=0,N(AG137)=0,N(L137)=0),"",MIN(L137,AG137/AO137))</f>
        <v>16.640866873065</v>
      </c>
      <c r="AQ137" s="29" t="n">
        <f aca="false">IF(OR(AP137="",N(O137)=0),"",AP137/O137-1)</f>
        <v>0.497827801355987</v>
      </c>
      <c r="AR137" s="29" t="n">
        <f aca="false">IF(OR(AQ137="",N(O137)=0),"",AQ137+AG137/O137)</f>
        <v>0.618777396315483</v>
      </c>
      <c r="AS137" s="32" t="n">
        <f aca="false">IF(OR(AR137="",N(AJ137)=0),"",AR137-AJ137)</f>
        <v>-0.0936142375847493</v>
      </c>
      <c r="AT137" s="28" t="n">
        <v>25</v>
      </c>
      <c r="AU137" s="28" t="n">
        <v>1.34375</v>
      </c>
      <c r="AV137" s="28" t="n">
        <f aca="false">IF(N(AT137)&gt;0,AT137,L137)</f>
        <v>25</v>
      </c>
      <c r="AW137" s="28" t="n">
        <f aca="false">IF(AND(N(M137)&gt;0,N(AV137)&gt;0),M137*AV137,IF(N(AU137)&gt;0,AU137,N137))</f>
        <v>1.34375</v>
      </c>
      <c r="AX137" s="29" t="n">
        <f aca="false">IF(N(AN137)=0,"",AN137+IF(I137="yes",AN137*Inputs!$B$10*Inputs!$B$9,0)+IFERROR(INDEX(Inputs!$B$13:$B$15,MATCH(G137,Inputs!$A$13:$A$15,0)),0)+IFERROR(INDEX(Inputs!$B$18:$B$24,MATCH(H137,Inputs!$A$18:$A$24,0)),0))</f>
        <v>0.08075</v>
      </c>
      <c r="AY137" s="28" t="n">
        <f aca="false">IF(OR(N(AX137)&lt;=0,N(AW137)=0,N(AV137)=0),"",MIN(AV137,AW137/AX137))</f>
        <v>16.640866873065</v>
      </c>
      <c r="AZ137" s="29" t="n">
        <f aca="false">IF(OR(AY137="",N(O137)=0),"",AY137/O137-1)</f>
        <v>0.497827801355987</v>
      </c>
      <c r="BA137" s="29" t="n">
        <f aca="false">IF(OR(AZ137="",N(O137)=0),"",AZ137+AW137/O137)</f>
        <v>0.618777396315483</v>
      </c>
      <c r="BB137" s="32" t="n">
        <f aca="false">IF(OR(BA137="",N(AR137)=0),"",BA137-AR137)</f>
        <v>0</v>
      </c>
      <c r="BC137" s="35" t="n">
        <f aca="false">IF(OR(BA137="",N(U137)=0),"",BA137-U137)</f>
        <v>-0.0936142375847493</v>
      </c>
      <c r="BD137" s="37"/>
    </row>
    <row r="138" customFormat="false" ht="15" hidden="false" customHeight="false" outlineLevel="0" collapsed="false">
      <c r="A138" s="2" t="s">
        <v>140</v>
      </c>
      <c r="B138" s="2" t="n">
        <v>258</v>
      </c>
      <c r="C138" s="2" t="s">
        <v>383</v>
      </c>
      <c r="D138" s="2" t="s">
        <v>379</v>
      </c>
      <c r="E138" s="2" t="s">
        <v>380</v>
      </c>
      <c r="F138" s="27" t="n">
        <v>3100</v>
      </c>
      <c r="G138" s="2" t="s">
        <v>51</v>
      </c>
      <c r="H138" s="2" t="s">
        <v>58</v>
      </c>
      <c r="I138" s="2" t="s">
        <v>151</v>
      </c>
      <c r="J138" s="2" t="s">
        <v>145</v>
      </c>
      <c r="K138" s="2" t="n">
        <v>4</v>
      </c>
      <c r="L138" s="28" t="n">
        <v>25</v>
      </c>
      <c r="M138" s="29" t="n">
        <v>0.0675</v>
      </c>
      <c r="N138" s="28" t="n">
        <v>1.6875</v>
      </c>
      <c r="O138" s="28" t="n">
        <v>13.92</v>
      </c>
      <c r="P138" s="2" t="s">
        <v>146</v>
      </c>
      <c r="Q138" s="29" t="n">
        <v>0.08</v>
      </c>
      <c r="R138" s="30" t="n">
        <v>0.076</v>
      </c>
      <c r="S138" s="31" t="n">
        <v>22.2039473684211</v>
      </c>
      <c r="T138" s="30" t="n">
        <v>0.595111161524501</v>
      </c>
      <c r="U138" s="30" t="n">
        <v>0.716339609800363</v>
      </c>
      <c r="V138" s="29" t="n">
        <v>0</v>
      </c>
      <c r="W138" s="29" t="n">
        <f aca="false">IF(N(Q138)=0,"",Q138+IF(I138="yes",Q138*Inputs!$B$10*Inputs!$B$9,0)+V138)</f>
        <v>0.076</v>
      </c>
      <c r="X138" s="28" t="n">
        <f aca="false">IF(OR(N(W138)&lt;=0,N(N138)=0,N(L138)=0),"",MIN(L138,N138/W138))</f>
        <v>22.2039473684211</v>
      </c>
      <c r="Y138" s="29" t="n">
        <f aca="false">IF(OR(X138="",N(O138)=0),"",X138/O138-1)</f>
        <v>0.595111161524501</v>
      </c>
      <c r="Z138" s="29" t="n">
        <f aca="false">IF(OR(Y138="",N(O138)=0),"",Y138+N138/O138)</f>
        <v>0.716339609800363</v>
      </c>
      <c r="AA138" s="32" t="n">
        <f aca="false">IF(OR(Z138="",N(U138)=0),"",Z138-U138)</f>
        <v>0</v>
      </c>
      <c r="AB138" s="29" t="n">
        <f aca="false">IF(N(Q138)=0,"",Q138+IF(I138="yes",Q138*Inputs!$B$10*Inputs!$B$9,0)+IFERROR(INDEX(Inputs!$B$13:$B$15,MATCH(G138,Inputs!$A$13:$A$15,0)),0)+IFERROR(INDEX(Inputs!$B$18:$B$24,MATCH(H138,Inputs!$A$18:$A$24,0)),0))</f>
        <v>0.076</v>
      </c>
      <c r="AC138" s="28" t="n">
        <f aca="false">IF(OR(N(AB138)&lt;=0,N(N138)=0,N(L138)=0),"",MIN(L138,N138/AB138))</f>
        <v>22.2039473684211</v>
      </c>
      <c r="AD138" s="29" t="n">
        <f aca="false">IF(OR(AC138="",N(O138)=0),"",AC138/O138-1)</f>
        <v>0.595111161524501</v>
      </c>
      <c r="AE138" s="29" t="n">
        <f aca="false">IF(OR(AD138="",N(O138)=0),"",AD138+N138/O138)</f>
        <v>0.716339609800363</v>
      </c>
      <c r="AF138" s="32" t="n">
        <f aca="false">IF(OR(AE138="",N(Z138)=0),"",AE138-Z138)</f>
        <v>0</v>
      </c>
      <c r="AG138" s="28" t="n">
        <f aca="false">IF(AND(N(M138)&gt;0,N(L138)&gt;0),M138*L138,N138)</f>
        <v>1.6875</v>
      </c>
      <c r="AH138" s="28" t="n">
        <f aca="false">IF(OR(N(AB138)&lt;=0,N(AG138)=0,N(L138)=0),"",MIN(L138,AG138/AB138))</f>
        <v>22.2039473684211</v>
      </c>
      <c r="AI138" s="29" t="n">
        <f aca="false">IF(OR(AH138="",N(O138)=0),"",AH138/O138-1)</f>
        <v>0.595111161524501</v>
      </c>
      <c r="AJ138" s="29" t="n">
        <f aca="false">IF(OR(AI138="",N(O138)=0),"",AI138+AG138/O138)</f>
        <v>0.716339609800363</v>
      </c>
      <c r="AK138" s="32" t="n">
        <f aca="false">IF(OR(AJ138="",N(AE138)=0),"",AJ138-AE138)</f>
        <v>0</v>
      </c>
      <c r="AL138" s="33" t="n">
        <f aca="false">IF(N(F138)=0,"",INDEX(Inputs!$B$28:$B$32,IFERROR(MATCH(F138,Inputs!$A$28:$A$32,1),0)+1))</f>
        <v>0.085</v>
      </c>
      <c r="AM138" s="34"/>
      <c r="AN138" s="33" t="n">
        <f aca="false">IF(N(AM138)&gt;0,AM138,AL138)</f>
        <v>0.085</v>
      </c>
      <c r="AO138" s="29" t="n">
        <f aca="false">IF(N(AN138)=0,"",AN138+IF(I138="yes",AN138*Inputs!$B$10*Inputs!$B$9,0)+IFERROR(INDEX(Inputs!$B$13:$B$15,MATCH(G138,Inputs!$A$13:$A$15,0)),0)+IFERROR(INDEX(Inputs!$B$18:$B$24,MATCH(H138,Inputs!$A$18:$A$24,0)),0))</f>
        <v>0.08075</v>
      </c>
      <c r="AP138" s="28" t="n">
        <f aca="false">IF(OR(N(AO138)&lt;=0,N(AG138)=0,N(L138)=0),"",MIN(L138,AG138/AO138))</f>
        <v>20.8978328173375</v>
      </c>
      <c r="AQ138" s="29" t="n">
        <f aca="false">IF(OR(AP138="",N(O138)=0),"",AP138/O138-1)</f>
        <v>0.50128109319953</v>
      </c>
      <c r="AR138" s="29" t="n">
        <f aca="false">IF(OR(AQ138="",N(O138)=0),"",AQ138+AG138/O138)</f>
        <v>0.622509541475392</v>
      </c>
      <c r="AS138" s="32" t="n">
        <f aca="false">IF(OR(AR138="",N(AJ138)=0),"",AR138-AJ138)</f>
        <v>-0.0938300683249709</v>
      </c>
      <c r="AT138" s="28" t="n">
        <v>25</v>
      </c>
      <c r="AU138" s="28" t="n">
        <v>1.6875</v>
      </c>
      <c r="AV138" s="28" t="n">
        <f aca="false">IF(N(AT138)&gt;0,AT138,L138)</f>
        <v>25</v>
      </c>
      <c r="AW138" s="28" t="n">
        <f aca="false">IF(AND(N(M138)&gt;0,N(AV138)&gt;0),M138*AV138,IF(N(AU138)&gt;0,AU138,N138))</f>
        <v>1.6875</v>
      </c>
      <c r="AX138" s="29" t="n">
        <f aca="false">IF(N(AN138)=0,"",AN138+IF(I138="yes",AN138*Inputs!$B$10*Inputs!$B$9,0)+IFERROR(INDEX(Inputs!$B$13:$B$15,MATCH(G138,Inputs!$A$13:$A$15,0)),0)+IFERROR(INDEX(Inputs!$B$18:$B$24,MATCH(H138,Inputs!$A$18:$A$24,0)),0))</f>
        <v>0.08075</v>
      </c>
      <c r="AY138" s="28" t="n">
        <f aca="false">IF(OR(N(AX138)&lt;=0,N(AW138)=0,N(AV138)=0),"",MIN(AV138,AW138/AX138))</f>
        <v>20.8978328173375</v>
      </c>
      <c r="AZ138" s="29" t="n">
        <f aca="false">IF(OR(AY138="",N(O138)=0),"",AY138/O138-1)</f>
        <v>0.50128109319953</v>
      </c>
      <c r="BA138" s="29" t="n">
        <f aca="false">IF(OR(AZ138="",N(O138)=0),"",AZ138+AW138/O138)</f>
        <v>0.622509541475392</v>
      </c>
      <c r="BB138" s="32" t="n">
        <f aca="false">IF(OR(BA138="",N(AR138)=0),"",BA138-AR138)</f>
        <v>0</v>
      </c>
      <c r="BC138" s="35" t="n">
        <f aca="false">IF(OR(BA138="",N(U138)=0),"",BA138-U138)</f>
        <v>-0.0938300683249709</v>
      </c>
      <c r="BD138" s="37"/>
    </row>
    <row r="139" customFormat="false" ht="15" hidden="false" customHeight="false" outlineLevel="0" collapsed="false">
      <c r="A139" s="2" t="s">
        <v>140</v>
      </c>
      <c r="B139" s="2" t="n">
        <v>259</v>
      </c>
      <c r="C139" s="2" t="s">
        <v>384</v>
      </c>
      <c r="D139" s="2" t="s">
        <v>379</v>
      </c>
      <c r="E139" s="2" t="s">
        <v>380</v>
      </c>
      <c r="F139" s="27" t="n">
        <v>3100</v>
      </c>
      <c r="G139" s="2" t="s">
        <v>51</v>
      </c>
      <c r="H139" s="2" t="s">
        <v>58</v>
      </c>
      <c r="I139" s="2" t="s">
        <v>151</v>
      </c>
      <c r="J139" s="2" t="s">
        <v>145</v>
      </c>
      <c r="K139" s="2" t="n">
        <v>4</v>
      </c>
      <c r="L139" s="28" t="n">
        <v>25</v>
      </c>
      <c r="M139" s="29" t="n">
        <v>0.066</v>
      </c>
      <c r="N139" s="28" t="n">
        <v>1.65</v>
      </c>
      <c r="O139" s="28" t="n">
        <v>13.55</v>
      </c>
      <c r="P139" s="2" t="s">
        <v>146</v>
      </c>
      <c r="Q139" s="29" t="n">
        <v>0.08</v>
      </c>
      <c r="R139" s="30" t="n">
        <v>0.076</v>
      </c>
      <c r="S139" s="31" t="n">
        <v>21.7105263157895</v>
      </c>
      <c r="T139" s="30" t="n">
        <v>0.602252864633909</v>
      </c>
      <c r="U139" s="30" t="n">
        <v>0.724024082346087</v>
      </c>
      <c r="V139" s="29" t="n">
        <v>0</v>
      </c>
      <c r="W139" s="29" t="n">
        <f aca="false">IF(N(Q139)=0,"",Q139+IF(I139="yes",Q139*Inputs!$B$10*Inputs!$B$9,0)+V139)</f>
        <v>0.076</v>
      </c>
      <c r="X139" s="28" t="n">
        <f aca="false">IF(OR(N(W139)&lt;=0,N(N139)=0,N(L139)=0),"",MIN(L139,N139/W139))</f>
        <v>21.7105263157895</v>
      </c>
      <c r="Y139" s="29" t="n">
        <f aca="false">IF(OR(X139="",N(O139)=0),"",X139/O139-1)</f>
        <v>0.602252864633909</v>
      </c>
      <c r="Z139" s="29" t="n">
        <f aca="false">IF(OR(Y139="",N(O139)=0),"",Y139+N139/O139)</f>
        <v>0.724024082346087</v>
      </c>
      <c r="AA139" s="32" t="n">
        <f aca="false">IF(OR(Z139="",N(U139)=0),"",Z139-U139)</f>
        <v>0</v>
      </c>
      <c r="AB139" s="29" t="n">
        <f aca="false">IF(N(Q139)=0,"",Q139+IF(I139="yes",Q139*Inputs!$B$10*Inputs!$B$9,0)+IFERROR(INDEX(Inputs!$B$13:$B$15,MATCH(G139,Inputs!$A$13:$A$15,0)),0)+IFERROR(INDEX(Inputs!$B$18:$B$24,MATCH(H139,Inputs!$A$18:$A$24,0)),0))</f>
        <v>0.076</v>
      </c>
      <c r="AC139" s="28" t="n">
        <f aca="false">IF(OR(N(AB139)&lt;=0,N(N139)=0,N(L139)=0),"",MIN(L139,N139/AB139))</f>
        <v>21.7105263157895</v>
      </c>
      <c r="AD139" s="29" t="n">
        <f aca="false">IF(OR(AC139="",N(O139)=0),"",AC139/O139-1)</f>
        <v>0.602252864633909</v>
      </c>
      <c r="AE139" s="29" t="n">
        <f aca="false">IF(OR(AD139="",N(O139)=0),"",AD139+N139/O139)</f>
        <v>0.724024082346087</v>
      </c>
      <c r="AF139" s="32" t="n">
        <f aca="false">IF(OR(AE139="",N(Z139)=0),"",AE139-Z139)</f>
        <v>0</v>
      </c>
      <c r="AG139" s="28" t="n">
        <f aca="false">IF(AND(N(M139)&gt;0,N(L139)&gt;0),M139*L139,N139)</f>
        <v>1.65</v>
      </c>
      <c r="AH139" s="28" t="n">
        <f aca="false">IF(OR(N(AB139)&lt;=0,N(AG139)=0,N(L139)=0),"",MIN(L139,AG139/AB139))</f>
        <v>21.7105263157895</v>
      </c>
      <c r="AI139" s="29" t="n">
        <f aca="false">IF(OR(AH139="",N(O139)=0),"",AH139/O139-1)</f>
        <v>0.60225286463391</v>
      </c>
      <c r="AJ139" s="29" t="n">
        <f aca="false">IF(OR(AI139="",N(O139)=0),"",AI139+AG139/O139)</f>
        <v>0.724024082346087</v>
      </c>
      <c r="AK139" s="32" t="n">
        <f aca="false">IF(OR(AJ139="",N(AE139)=0),"",AJ139-AE139)</f>
        <v>0</v>
      </c>
      <c r="AL139" s="33" t="n">
        <f aca="false">IF(N(F139)=0,"",INDEX(Inputs!$B$28:$B$32,IFERROR(MATCH(F139,Inputs!$A$28:$A$32,1),0)+1))</f>
        <v>0.085</v>
      </c>
      <c r="AM139" s="34"/>
      <c r="AN139" s="33" t="n">
        <f aca="false">IF(N(AM139)&gt;0,AM139,AL139)</f>
        <v>0.085</v>
      </c>
      <c r="AO139" s="29" t="n">
        <f aca="false">IF(N(AN139)=0,"",AN139+IF(I139="yes",AN139*Inputs!$B$10*Inputs!$B$9,0)+IFERROR(INDEX(Inputs!$B$13:$B$15,MATCH(G139,Inputs!$A$13:$A$15,0)),0)+IFERROR(INDEX(Inputs!$B$18:$B$24,MATCH(H139,Inputs!$A$18:$A$24,0)),0))</f>
        <v>0.08075</v>
      </c>
      <c r="AP139" s="28" t="n">
        <f aca="false">IF(OR(N(AO139)&lt;=0,N(AG139)=0,N(L139)=0),"",MIN(L139,AG139/AO139))</f>
        <v>20.4334365325077</v>
      </c>
      <c r="AQ139" s="29" t="n">
        <f aca="false">IF(OR(AP139="",N(O139)=0),"",AP139/O139-1)</f>
        <v>0.508002696126032</v>
      </c>
      <c r="AR139" s="29" t="n">
        <f aca="false">IF(OR(AQ139="",N(O139)=0),"",AQ139+AG139/O139)</f>
        <v>0.62977391383821</v>
      </c>
      <c r="AS139" s="32" t="n">
        <f aca="false">IF(OR(AR139="",N(AJ139)=0),"",AR139-AJ139)</f>
        <v>-0.0942501685078772</v>
      </c>
      <c r="AT139" s="28" t="n">
        <v>25</v>
      </c>
      <c r="AU139" s="28" t="n">
        <v>1.65</v>
      </c>
      <c r="AV139" s="28" t="n">
        <f aca="false">IF(N(AT139)&gt;0,AT139,L139)</f>
        <v>25</v>
      </c>
      <c r="AW139" s="28" t="n">
        <f aca="false">IF(AND(N(M139)&gt;0,N(AV139)&gt;0),M139*AV139,IF(N(AU139)&gt;0,AU139,N139))</f>
        <v>1.65</v>
      </c>
      <c r="AX139" s="29" t="n">
        <f aca="false">IF(N(AN139)=0,"",AN139+IF(I139="yes",AN139*Inputs!$B$10*Inputs!$B$9,0)+IFERROR(INDEX(Inputs!$B$13:$B$15,MATCH(G139,Inputs!$A$13:$A$15,0)),0)+IFERROR(INDEX(Inputs!$B$18:$B$24,MATCH(H139,Inputs!$A$18:$A$24,0)),0))</f>
        <v>0.08075</v>
      </c>
      <c r="AY139" s="28" t="n">
        <f aca="false">IF(OR(N(AX139)&lt;=0,N(AW139)=0,N(AV139)=0),"",MIN(AV139,AW139/AX139))</f>
        <v>20.4334365325077</v>
      </c>
      <c r="AZ139" s="29" t="n">
        <f aca="false">IF(OR(AY139="",N(O139)=0),"",AY139/O139-1)</f>
        <v>0.508002696126032</v>
      </c>
      <c r="BA139" s="29" t="n">
        <f aca="false">IF(OR(AZ139="",N(O139)=0),"",AZ139+AW139/O139)</f>
        <v>0.62977391383821</v>
      </c>
      <c r="BB139" s="32" t="n">
        <f aca="false">IF(OR(BA139="",N(AR139)=0),"",BA139-AR139)</f>
        <v>0</v>
      </c>
      <c r="BC139" s="35" t="n">
        <f aca="false">IF(OR(BA139="",N(U139)=0),"",BA139-U139)</f>
        <v>-0.0942501685078769</v>
      </c>
      <c r="BD139" s="37"/>
    </row>
    <row r="140" customFormat="false" ht="15" hidden="false" customHeight="false" outlineLevel="0" collapsed="false">
      <c r="A140" s="2" t="s">
        <v>140</v>
      </c>
      <c r="B140" s="2" t="n">
        <v>262</v>
      </c>
      <c r="C140" s="2" t="s">
        <v>385</v>
      </c>
      <c r="D140" s="2" t="s">
        <v>386</v>
      </c>
      <c r="E140" s="2" t="s">
        <v>387</v>
      </c>
      <c r="F140" s="27" t="n">
        <v>139</v>
      </c>
      <c r="G140" s="2" t="s">
        <v>51</v>
      </c>
      <c r="H140" s="2" t="s">
        <v>63</v>
      </c>
      <c r="I140" s="2" t="s">
        <v>144</v>
      </c>
      <c r="J140" s="2" t="s">
        <v>145</v>
      </c>
      <c r="K140" s="2" t="n">
        <v>4</v>
      </c>
      <c r="L140" s="28" t="n">
        <v>25</v>
      </c>
      <c r="M140" s="29" t="n">
        <v>0.055</v>
      </c>
      <c r="N140" s="28" t="n">
        <v>1.375</v>
      </c>
      <c r="O140" s="28" t="n">
        <v>13.75</v>
      </c>
      <c r="P140" s="2" t="s">
        <v>146</v>
      </c>
      <c r="Q140" s="29" t="n">
        <v>0.1</v>
      </c>
      <c r="R140" s="30" t="n">
        <v>0.1</v>
      </c>
      <c r="S140" s="31" t="n">
        <v>13.75</v>
      </c>
      <c r="T140" s="30" t="n">
        <v>0</v>
      </c>
      <c r="U140" s="30" t="n">
        <v>0.1</v>
      </c>
      <c r="V140" s="29" t="n">
        <v>0</v>
      </c>
      <c r="W140" s="29" t="n">
        <f aca="false">IF(N(Q140)=0,"",Q140+IF(I140="yes",Q140*Inputs!$B$10*Inputs!$B$9,0)+V140)</f>
        <v>0.1</v>
      </c>
      <c r="X140" s="28" t="n">
        <f aca="false">IF(OR(N(W140)&lt;=0,N(N140)=0,N(L140)=0),"",MIN(L140,N140/W140))</f>
        <v>13.75</v>
      </c>
      <c r="Y140" s="29" t="n">
        <f aca="false">IF(OR(X140="",N(O140)=0),"",X140/O140-1)</f>
        <v>0</v>
      </c>
      <c r="Z140" s="29" t="n">
        <f aca="false">IF(OR(Y140="",N(O140)=0),"",Y140+N140/O140)</f>
        <v>0.1</v>
      </c>
      <c r="AA140" s="32" t="n">
        <f aca="false">IF(OR(Z140="",N(U140)=0),"",Z140-U140)</f>
        <v>0</v>
      </c>
      <c r="AB140" s="29" t="n">
        <f aca="false">IF(N(Q140)=0,"",Q140+IF(I140="yes",Q140*Inputs!$B$10*Inputs!$B$9,0)+IFERROR(INDEX(Inputs!$B$13:$B$15,MATCH(G140,Inputs!$A$13:$A$15,0)),0)+IFERROR(INDEX(Inputs!$B$18:$B$24,MATCH(H140,Inputs!$A$18:$A$24,0)),0))</f>
        <v>0.1</v>
      </c>
      <c r="AC140" s="28" t="n">
        <f aca="false">IF(OR(N(AB140)&lt;=0,N(N140)=0,N(L140)=0),"",MIN(L140,N140/AB140))</f>
        <v>13.75</v>
      </c>
      <c r="AD140" s="29" t="n">
        <f aca="false">IF(OR(AC140="",N(O140)=0),"",AC140/O140-1)</f>
        <v>0</v>
      </c>
      <c r="AE140" s="29" t="n">
        <f aca="false">IF(OR(AD140="",N(O140)=0),"",AD140+N140/O140)</f>
        <v>0.1</v>
      </c>
      <c r="AF140" s="32" t="n">
        <f aca="false">IF(OR(AE140="",N(Z140)=0),"",AE140-Z140)</f>
        <v>0</v>
      </c>
      <c r="AG140" s="28" t="n">
        <f aca="false">IF(AND(N(M140)&gt;0,N(L140)&gt;0),M140*L140,N140)</f>
        <v>1.375</v>
      </c>
      <c r="AH140" s="28" t="n">
        <f aca="false">IF(OR(N(AB140)&lt;=0,N(AG140)=0,N(L140)=0),"",MIN(L140,AG140/AB140))</f>
        <v>13.75</v>
      </c>
      <c r="AI140" s="29" t="n">
        <f aca="false">IF(OR(AH140="",N(O140)=0),"",AH140/O140-1)</f>
        <v>0</v>
      </c>
      <c r="AJ140" s="29" t="n">
        <f aca="false">IF(OR(AI140="",N(O140)=0),"",AI140+AG140/O140)</f>
        <v>0.1</v>
      </c>
      <c r="AK140" s="32" t="n">
        <f aca="false">IF(OR(AJ140="",N(AE140)=0),"",AJ140-AE140)</f>
        <v>0</v>
      </c>
      <c r="AL140" s="33" t="n">
        <f aca="false">IF(N(F140)=0,"",INDEX(Inputs!$B$28:$B$32,IFERROR(MATCH(F140,Inputs!$A$28:$A$32,1),0)+1))</f>
        <v>0.1</v>
      </c>
      <c r="AM140" s="34"/>
      <c r="AN140" s="33" t="n">
        <f aca="false">IF(N(AM140)&gt;0,AM140,AL140)</f>
        <v>0.1</v>
      </c>
      <c r="AO140" s="29" t="n">
        <f aca="false">IF(N(AN140)=0,"",AN140+IF(I140="yes",AN140*Inputs!$B$10*Inputs!$B$9,0)+IFERROR(INDEX(Inputs!$B$13:$B$15,MATCH(G140,Inputs!$A$13:$A$15,0)),0)+IFERROR(INDEX(Inputs!$B$18:$B$24,MATCH(H140,Inputs!$A$18:$A$24,0)),0))</f>
        <v>0.1</v>
      </c>
      <c r="AP140" s="28" t="n">
        <f aca="false">IF(OR(N(AO140)&lt;=0,N(AG140)=0,N(L140)=0),"",MIN(L140,AG140/AO140))</f>
        <v>13.75</v>
      </c>
      <c r="AQ140" s="29" t="n">
        <f aca="false">IF(OR(AP140="",N(O140)=0),"",AP140/O140-1)</f>
        <v>0</v>
      </c>
      <c r="AR140" s="29" t="n">
        <f aca="false">IF(OR(AQ140="",N(O140)=0),"",AQ140+AG140/O140)</f>
        <v>0.1</v>
      </c>
      <c r="AS140" s="32" t="n">
        <f aca="false">IF(OR(AR140="",N(AJ140)=0),"",AR140-AJ140)</f>
        <v>0</v>
      </c>
      <c r="AT140" s="28" t="n">
        <v>25</v>
      </c>
      <c r="AU140" s="28" t="n">
        <v>1.375</v>
      </c>
      <c r="AV140" s="28" t="n">
        <f aca="false">IF(N(AT140)&gt;0,AT140,L140)</f>
        <v>25</v>
      </c>
      <c r="AW140" s="28" t="n">
        <f aca="false">IF(AND(N(M140)&gt;0,N(AV140)&gt;0),M140*AV140,IF(N(AU140)&gt;0,AU140,N140))</f>
        <v>1.375</v>
      </c>
      <c r="AX140" s="29" t="n">
        <f aca="false">IF(N(AN140)=0,"",AN140+IF(I140="yes",AN140*Inputs!$B$10*Inputs!$B$9,0)+IFERROR(INDEX(Inputs!$B$13:$B$15,MATCH(G140,Inputs!$A$13:$A$15,0)),0)+IFERROR(INDEX(Inputs!$B$18:$B$24,MATCH(H140,Inputs!$A$18:$A$24,0)),0))</f>
        <v>0.1</v>
      </c>
      <c r="AY140" s="28" t="n">
        <f aca="false">IF(OR(N(AX140)&lt;=0,N(AW140)=0,N(AV140)=0),"",MIN(AV140,AW140/AX140))</f>
        <v>13.75</v>
      </c>
      <c r="AZ140" s="29" t="n">
        <f aca="false">IF(OR(AY140="",N(O140)=0),"",AY140/O140-1)</f>
        <v>0</v>
      </c>
      <c r="BA140" s="29" t="n">
        <f aca="false">IF(OR(AZ140="",N(O140)=0),"",AZ140+AW140/O140)</f>
        <v>0.1</v>
      </c>
      <c r="BB140" s="32" t="n">
        <f aca="false">IF(OR(BA140="",N(AR140)=0),"",BA140-AR140)</f>
        <v>0</v>
      </c>
      <c r="BC140" s="35" t="n">
        <f aca="false">IF(OR(BA140="",N(U140)=0),"",BA140-U140)</f>
        <v>0</v>
      </c>
      <c r="BD140" s="37"/>
    </row>
    <row r="141" customFormat="false" ht="15" hidden="false" customHeight="false" outlineLevel="0" collapsed="false">
      <c r="A141" s="2" t="s">
        <v>140</v>
      </c>
      <c r="B141" s="2" t="n">
        <v>263</v>
      </c>
      <c r="C141" s="2" t="s">
        <v>388</v>
      </c>
      <c r="D141" s="2" t="s">
        <v>386</v>
      </c>
      <c r="E141" s="2" t="s">
        <v>387</v>
      </c>
      <c r="F141" s="27" t="n">
        <v>139</v>
      </c>
      <c r="G141" s="2" t="s">
        <v>51</v>
      </c>
      <c r="H141" s="2" t="s">
        <v>58</v>
      </c>
      <c r="I141" s="2" t="s">
        <v>144</v>
      </c>
      <c r="J141" s="2" t="s">
        <v>145</v>
      </c>
      <c r="K141" s="2" t="n">
        <v>4</v>
      </c>
      <c r="L141" s="28" t="n">
        <v>25</v>
      </c>
      <c r="M141" s="29" t="n">
        <v>0.0825</v>
      </c>
      <c r="N141" s="28" t="n">
        <v>2.0625</v>
      </c>
      <c r="O141" s="28" t="n">
        <v>17.09</v>
      </c>
      <c r="P141" s="2" t="s">
        <v>146</v>
      </c>
      <c r="Q141" s="29" t="n">
        <v>0.1</v>
      </c>
      <c r="R141" s="30" t="n">
        <v>0.1</v>
      </c>
      <c r="S141" s="31" t="n">
        <v>20.625</v>
      </c>
      <c r="T141" s="30" t="n">
        <v>0.206846108835576</v>
      </c>
      <c r="U141" s="30" t="n">
        <v>0.327530719719134</v>
      </c>
      <c r="V141" s="29" t="n">
        <v>0</v>
      </c>
      <c r="W141" s="29" t="n">
        <f aca="false">IF(N(Q141)=0,"",Q141+IF(I141="yes",Q141*Inputs!$B$10*Inputs!$B$9,0)+V141)</f>
        <v>0.1</v>
      </c>
      <c r="X141" s="28" t="n">
        <f aca="false">IF(OR(N(W141)&lt;=0,N(N141)=0,N(L141)=0),"",MIN(L141,N141/W141))</f>
        <v>20.625</v>
      </c>
      <c r="Y141" s="29" t="n">
        <f aca="false">IF(OR(X141="",N(O141)=0),"",X141/O141-1)</f>
        <v>0.206846108835576</v>
      </c>
      <c r="Z141" s="29" t="n">
        <f aca="false">IF(OR(Y141="",N(O141)=0),"",Y141+N141/O141)</f>
        <v>0.327530719719134</v>
      </c>
      <c r="AA141" s="32" t="n">
        <f aca="false">IF(OR(Z141="",N(U141)=0),"",Z141-U141)</f>
        <v>0</v>
      </c>
      <c r="AB141" s="29" t="n">
        <f aca="false">IF(N(Q141)=0,"",Q141+IF(I141="yes",Q141*Inputs!$B$10*Inputs!$B$9,0)+IFERROR(INDEX(Inputs!$B$13:$B$15,MATCH(G141,Inputs!$A$13:$A$15,0)),0)+IFERROR(INDEX(Inputs!$B$18:$B$24,MATCH(H141,Inputs!$A$18:$A$24,0)),0))</f>
        <v>0.1</v>
      </c>
      <c r="AC141" s="28" t="n">
        <f aca="false">IF(OR(N(AB141)&lt;=0,N(N141)=0,N(L141)=0),"",MIN(L141,N141/AB141))</f>
        <v>20.625</v>
      </c>
      <c r="AD141" s="29" t="n">
        <f aca="false">IF(OR(AC141="",N(O141)=0),"",AC141/O141-1)</f>
        <v>0.206846108835576</v>
      </c>
      <c r="AE141" s="29" t="n">
        <f aca="false">IF(OR(AD141="",N(O141)=0),"",AD141+N141/O141)</f>
        <v>0.327530719719134</v>
      </c>
      <c r="AF141" s="32" t="n">
        <f aca="false">IF(OR(AE141="",N(Z141)=0),"",AE141-Z141)</f>
        <v>0</v>
      </c>
      <c r="AG141" s="28" t="n">
        <f aca="false">IF(AND(N(M141)&gt;0,N(L141)&gt;0),M141*L141,N141)</f>
        <v>2.0625</v>
      </c>
      <c r="AH141" s="28" t="n">
        <f aca="false">IF(OR(N(AB141)&lt;=0,N(AG141)=0,N(L141)=0),"",MIN(L141,AG141/AB141))</f>
        <v>20.625</v>
      </c>
      <c r="AI141" s="29" t="n">
        <f aca="false">IF(OR(AH141="",N(O141)=0),"",AH141/O141-1)</f>
        <v>0.206846108835576</v>
      </c>
      <c r="AJ141" s="29" t="n">
        <f aca="false">IF(OR(AI141="",N(O141)=0),"",AI141+AG141/O141)</f>
        <v>0.327530719719134</v>
      </c>
      <c r="AK141" s="32" t="n">
        <f aca="false">IF(OR(AJ141="",N(AE141)=0),"",AJ141-AE141)</f>
        <v>0</v>
      </c>
      <c r="AL141" s="33" t="n">
        <f aca="false">IF(N(F141)=0,"",INDEX(Inputs!$B$28:$B$32,IFERROR(MATCH(F141,Inputs!$A$28:$A$32,1),0)+1))</f>
        <v>0.1</v>
      </c>
      <c r="AM141" s="34"/>
      <c r="AN141" s="33" t="n">
        <f aca="false">IF(N(AM141)&gt;0,AM141,AL141)</f>
        <v>0.1</v>
      </c>
      <c r="AO141" s="29" t="n">
        <f aca="false">IF(N(AN141)=0,"",AN141+IF(I141="yes",AN141*Inputs!$B$10*Inputs!$B$9,0)+IFERROR(INDEX(Inputs!$B$13:$B$15,MATCH(G141,Inputs!$A$13:$A$15,0)),0)+IFERROR(INDEX(Inputs!$B$18:$B$24,MATCH(H141,Inputs!$A$18:$A$24,0)),0))</f>
        <v>0.1</v>
      </c>
      <c r="AP141" s="28" t="n">
        <f aca="false">IF(OR(N(AO141)&lt;=0,N(AG141)=0,N(L141)=0),"",MIN(L141,AG141/AO141))</f>
        <v>20.625</v>
      </c>
      <c r="AQ141" s="29" t="n">
        <f aca="false">IF(OR(AP141="",N(O141)=0),"",AP141/O141-1)</f>
        <v>0.206846108835576</v>
      </c>
      <c r="AR141" s="29" t="n">
        <f aca="false">IF(OR(AQ141="",N(O141)=0),"",AQ141+AG141/O141)</f>
        <v>0.327530719719134</v>
      </c>
      <c r="AS141" s="32" t="n">
        <f aca="false">IF(OR(AR141="",N(AJ141)=0),"",AR141-AJ141)</f>
        <v>0</v>
      </c>
      <c r="AT141" s="28" t="n">
        <v>25</v>
      </c>
      <c r="AU141" s="28" t="n">
        <v>2.06</v>
      </c>
      <c r="AV141" s="28" t="n">
        <f aca="false">IF(N(AT141)&gt;0,AT141,L141)</f>
        <v>25</v>
      </c>
      <c r="AW141" s="28" t="n">
        <f aca="false">IF(AND(N(M141)&gt;0,N(AV141)&gt;0),M141*AV141,IF(N(AU141)&gt;0,AU141,N141))</f>
        <v>2.0625</v>
      </c>
      <c r="AX141" s="29" t="n">
        <f aca="false">IF(N(AN141)=0,"",AN141+IF(I141="yes",AN141*Inputs!$B$10*Inputs!$B$9,0)+IFERROR(INDEX(Inputs!$B$13:$B$15,MATCH(G141,Inputs!$A$13:$A$15,0)),0)+IFERROR(INDEX(Inputs!$B$18:$B$24,MATCH(H141,Inputs!$A$18:$A$24,0)),0))</f>
        <v>0.1</v>
      </c>
      <c r="AY141" s="28" t="n">
        <f aca="false">IF(OR(N(AX141)&lt;=0,N(AW141)=0,N(AV141)=0),"",MIN(AV141,AW141/AX141))</f>
        <v>20.625</v>
      </c>
      <c r="AZ141" s="29" t="n">
        <f aca="false">IF(OR(AY141="",N(O141)=0),"",AY141/O141-1)</f>
        <v>0.206846108835576</v>
      </c>
      <c r="BA141" s="29" t="n">
        <f aca="false">IF(OR(AZ141="",N(O141)=0),"",AZ141+AW141/O141)</f>
        <v>0.327530719719134</v>
      </c>
      <c r="BB141" s="32" t="n">
        <f aca="false">IF(OR(BA141="",N(AR141)=0),"",BA141-AR141)</f>
        <v>0</v>
      </c>
      <c r="BC141" s="35" t="n">
        <f aca="false">IF(OR(BA141="",N(U141)=0),"",BA141-U141)</f>
        <v>0</v>
      </c>
      <c r="BD141" s="37"/>
    </row>
    <row r="142" customFormat="false" ht="15" hidden="false" customHeight="false" outlineLevel="0" collapsed="false">
      <c r="A142" s="2" t="s">
        <v>140</v>
      </c>
      <c r="B142" s="2" t="n">
        <v>266</v>
      </c>
      <c r="C142" s="2" t="s">
        <v>389</v>
      </c>
      <c r="D142" s="2" t="s">
        <v>390</v>
      </c>
      <c r="E142" s="2" t="s">
        <v>391</v>
      </c>
      <c r="F142" s="27" t="n">
        <v>18000</v>
      </c>
      <c r="G142" s="2" t="s">
        <v>51</v>
      </c>
      <c r="H142" s="2" t="s">
        <v>58</v>
      </c>
      <c r="I142" s="2" t="s">
        <v>144</v>
      </c>
      <c r="J142" s="2" t="s">
        <v>145</v>
      </c>
      <c r="K142" s="2" t="n">
        <v>4</v>
      </c>
      <c r="L142" s="28" t="n">
        <v>25</v>
      </c>
      <c r="M142" s="29" t="n">
        <v>0.05125</v>
      </c>
      <c r="N142" s="28" t="n">
        <v>1.28125</v>
      </c>
      <c r="O142" s="28" t="n">
        <v>17.44</v>
      </c>
      <c r="P142" s="2" t="s">
        <v>146</v>
      </c>
      <c r="Q142" s="29" t="n">
        <v>0.08</v>
      </c>
      <c r="R142" s="30" t="n">
        <v>0.08</v>
      </c>
      <c r="S142" s="31" t="n">
        <v>16.015625</v>
      </c>
      <c r="T142" s="30" t="n">
        <v>-0.0816728784403671</v>
      </c>
      <c r="U142" s="30" t="n">
        <v>-0.00820670871559645</v>
      </c>
      <c r="V142" s="29" t="n">
        <v>0</v>
      </c>
      <c r="W142" s="29" t="n">
        <f aca="false">IF(N(Q142)=0,"",Q142+IF(I142="yes",Q142*Inputs!$B$10*Inputs!$B$9,0)+V142)</f>
        <v>0.08</v>
      </c>
      <c r="X142" s="28" t="n">
        <f aca="false">IF(OR(N(W142)&lt;=0,N(N142)=0,N(L142)=0),"",MIN(L142,N142/W142))</f>
        <v>16.015625</v>
      </c>
      <c r="Y142" s="29" t="n">
        <f aca="false">IF(OR(X142="",N(O142)=0),"",X142/O142-1)</f>
        <v>-0.0816728784403671</v>
      </c>
      <c r="Z142" s="29" t="n">
        <f aca="false">IF(OR(Y142="",N(O142)=0),"",Y142+N142/O142)</f>
        <v>-0.00820670871559645</v>
      </c>
      <c r="AA142" s="32" t="n">
        <f aca="false">IF(OR(Z142="",N(U142)=0),"",Z142-U142)</f>
        <v>0</v>
      </c>
      <c r="AB142" s="29" t="n">
        <f aca="false">IF(N(Q142)=0,"",Q142+IF(I142="yes",Q142*Inputs!$B$10*Inputs!$B$9,0)+IFERROR(INDEX(Inputs!$B$13:$B$15,MATCH(G142,Inputs!$A$13:$A$15,0)),0)+IFERROR(INDEX(Inputs!$B$18:$B$24,MATCH(H142,Inputs!$A$18:$A$24,0)),0))</f>
        <v>0.08</v>
      </c>
      <c r="AC142" s="28" t="n">
        <f aca="false">IF(OR(N(AB142)&lt;=0,N(N142)=0,N(L142)=0),"",MIN(L142,N142/AB142))</f>
        <v>16.015625</v>
      </c>
      <c r="AD142" s="29" t="n">
        <f aca="false">IF(OR(AC142="",N(O142)=0),"",AC142/O142-1)</f>
        <v>-0.0816728784403671</v>
      </c>
      <c r="AE142" s="29" t="n">
        <f aca="false">IF(OR(AD142="",N(O142)=0),"",AD142+N142/O142)</f>
        <v>-0.00820670871559645</v>
      </c>
      <c r="AF142" s="32" t="n">
        <f aca="false">IF(OR(AE142="",N(Z142)=0),"",AE142-Z142)</f>
        <v>0</v>
      </c>
      <c r="AG142" s="28" t="n">
        <f aca="false">IF(AND(N(M142)&gt;0,N(L142)&gt;0),M142*L142,N142)</f>
        <v>1.28125</v>
      </c>
      <c r="AH142" s="28" t="n">
        <f aca="false">IF(OR(N(AB142)&lt;=0,N(AG142)=0,N(L142)=0),"",MIN(L142,AG142/AB142))</f>
        <v>16.015625</v>
      </c>
      <c r="AI142" s="29" t="n">
        <f aca="false">IF(OR(AH142="",N(O142)=0),"",AH142/O142-1)</f>
        <v>-0.0816728784403671</v>
      </c>
      <c r="AJ142" s="29" t="n">
        <f aca="false">IF(OR(AI142="",N(O142)=0),"",AI142+AG142/O142)</f>
        <v>-0.00820670871559645</v>
      </c>
      <c r="AK142" s="32" t="n">
        <f aca="false">IF(OR(AJ142="",N(AE142)=0),"",AJ142-AE142)</f>
        <v>0</v>
      </c>
      <c r="AL142" s="33" t="n">
        <f aca="false">IF(N(F142)=0,"",INDEX(Inputs!$B$28:$B$32,IFERROR(MATCH(F142,Inputs!$A$28:$A$32,1),0)+1))</f>
        <v>0.08</v>
      </c>
      <c r="AM142" s="34"/>
      <c r="AN142" s="33" t="n">
        <f aca="false">IF(N(AM142)&gt;0,AM142,AL142)</f>
        <v>0.08</v>
      </c>
      <c r="AO142" s="29" t="n">
        <f aca="false">IF(N(AN142)=0,"",AN142+IF(I142="yes",AN142*Inputs!$B$10*Inputs!$B$9,0)+IFERROR(INDEX(Inputs!$B$13:$B$15,MATCH(G142,Inputs!$A$13:$A$15,0)),0)+IFERROR(INDEX(Inputs!$B$18:$B$24,MATCH(H142,Inputs!$A$18:$A$24,0)),0))</f>
        <v>0.08</v>
      </c>
      <c r="AP142" s="28" t="n">
        <f aca="false">IF(OR(N(AO142)&lt;=0,N(AG142)=0,N(L142)=0),"",MIN(L142,AG142/AO142))</f>
        <v>16.015625</v>
      </c>
      <c r="AQ142" s="29" t="n">
        <f aca="false">IF(OR(AP142="",N(O142)=0),"",AP142/O142-1)</f>
        <v>-0.0816728784403671</v>
      </c>
      <c r="AR142" s="29" t="n">
        <f aca="false">IF(OR(AQ142="",N(O142)=0),"",AQ142+AG142/O142)</f>
        <v>-0.00820670871559645</v>
      </c>
      <c r="AS142" s="32" t="n">
        <f aca="false">IF(OR(AR142="",N(AJ142)=0),"",AR142-AJ142)</f>
        <v>0</v>
      </c>
      <c r="AT142" s="28" t="n">
        <v>25</v>
      </c>
      <c r="AU142" s="28" t="n">
        <v>1.28125</v>
      </c>
      <c r="AV142" s="28" t="n">
        <f aca="false">IF(N(AT142)&gt;0,AT142,L142)</f>
        <v>25</v>
      </c>
      <c r="AW142" s="28" t="n">
        <f aca="false">IF(AND(N(M142)&gt;0,N(AV142)&gt;0),M142*AV142,IF(N(AU142)&gt;0,AU142,N142))</f>
        <v>1.28125</v>
      </c>
      <c r="AX142" s="29" t="n">
        <f aca="false">IF(N(AN142)=0,"",AN142+IF(I142="yes",AN142*Inputs!$B$10*Inputs!$B$9,0)+IFERROR(INDEX(Inputs!$B$13:$B$15,MATCH(G142,Inputs!$A$13:$A$15,0)),0)+IFERROR(INDEX(Inputs!$B$18:$B$24,MATCH(H142,Inputs!$A$18:$A$24,0)),0))</f>
        <v>0.08</v>
      </c>
      <c r="AY142" s="28" t="n">
        <f aca="false">IF(OR(N(AX142)&lt;=0,N(AW142)=0,N(AV142)=0),"",MIN(AV142,AW142/AX142))</f>
        <v>16.015625</v>
      </c>
      <c r="AZ142" s="29" t="n">
        <f aca="false">IF(OR(AY142="",N(O142)=0),"",AY142/O142-1)</f>
        <v>-0.0816728784403671</v>
      </c>
      <c r="BA142" s="29" t="n">
        <f aca="false">IF(OR(AZ142="",N(O142)=0),"",AZ142+AW142/O142)</f>
        <v>-0.00820670871559645</v>
      </c>
      <c r="BB142" s="32" t="n">
        <f aca="false">IF(OR(BA142="",N(AR142)=0),"",BA142-AR142)</f>
        <v>0</v>
      </c>
      <c r="BC142" s="35" t="n">
        <f aca="false">IF(OR(BA142="",N(U142)=0),"",BA142-U142)</f>
        <v>0</v>
      </c>
      <c r="BD142" s="37"/>
    </row>
    <row r="143" customFormat="false" ht="15" hidden="false" customHeight="false" outlineLevel="0" collapsed="false">
      <c r="A143" s="2" t="s">
        <v>140</v>
      </c>
      <c r="B143" s="2" t="n">
        <v>267</v>
      </c>
      <c r="C143" s="2" t="s">
        <v>392</v>
      </c>
      <c r="D143" s="2" t="s">
        <v>390</v>
      </c>
      <c r="E143" s="2" t="s">
        <v>391</v>
      </c>
      <c r="F143" s="27" t="n">
        <v>18000</v>
      </c>
      <c r="G143" s="2" t="s">
        <v>51</v>
      </c>
      <c r="H143" s="2" t="s">
        <v>58</v>
      </c>
      <c r="I143" s="2" t="s">
        <v>144</v>
      </c>
      <c r="J143" s="2" t="s">
        <v>145</v>
      </c>
      <c r="K143" s="2" t="n">
        <v>4</v>
      </c>
      <c r="L143" s="28" t="n">
        <v>25</v>
      </c>
      <c r="M143" s="29" t="n">
        <v>0.05</v>
      </c>
      <c r="N143" s="28" t="n">
        <v>1.25</v>
      </c>
      <c r="O143" s="28" t="n">
        <v>17.01</v>
      </c>
      <c r="P143" s="2" t="s">
        <v>146</v>
      </c>
      <c r="Q143" s="29" t="n">
        <v>0.08</v>
      </c>
      <c r="R143" s="30" t="n">
        <v>0.08</v>
      </c>
      <c r="S143" s="31" t="n">
        <v>15.625</v>
      </c>
      <c r="T143" s="30" t="n">
        <v>-0.0814226925338037</v>
      </c>
      <c r="U143" s="30" t="n">
        <v>-0.00793650793650805</v>
      </c>
      <c r="V143" s="29" t="n">
        <v>0</v>
      </c>
      <c r="W143" s="29" t="n">
        <f aca="false">IF(N(Q143)=0,"",Q143+IF(I143="yes",Q143*Inputs!$B$10*Inputs!$B$9,0)+V143)</f>
        <v>0.08</v>
      </c>
      <c r="X143" s="28" t="n">
        <f aca="false">IF(OR(N(W143)&lt;=0,N(N143)=0,N(L143)=0),"",MIN(L143,N143/W143))</f>
        <v>15.625</v>
      </c>
      <c r="Y143" s="29" t="n">
        <f aca="false">IF(OR(X143="",N(O143)=0),"",X143/O143-1)</f>
        <v>-0.0814226925338037</v>
      </c>
      <c r="Z143" s="29" t="n">
        <f aca="false">IF(OR(Y143="",N(O143)=0),"",Y143+N143/O143)</f>
        <v>-0.00793650793650805</v>
      </c>
      <c r="AA143" s="32" t="n">
        <f aca="false">IF(OR(Z143="",N(U143)=0),"",Z143-U143)</f>
        <v>0</v>
      </c>
      <c r="AB143" s="29" t="n">
        <f aca="false">IF(N(Q143)=0,"",Q143+IF(I143="yes",Q143*Inputs!$B$10*Inputs!$B$9,0)+IFERROR(INDEX(Inputs!$B$13:$B$15,MATCH(G143,Inputs!$A$13:$A$15,0)),0)+IFERROR(INDEX(Inputs!$B$18:$B$24,MATCH(H143,Inputs!$A$18:$A$24,0)),0))</f>
        <v>0.08</v>
      </c>
      <c r="AC143" s="28" t="n">
        <f aca="false">IF(OR(N(AB143)&lt;=0,N(N143)=0,N(L143)=0),"",MIN(L143,N143/AB143))</f>
        <v>15.625</v>
      </c>
      <c r="AD143" s="29" t="n">
        <f aca="false">IF(OR(AC143="",N(O143)=0),"",AC143/O143-1)</f>
        <v>-0.0814226925338037</v>
      </c>
      <c r="AE143" s="29" t="n">
        <f aca="false">IF(OR(AD143="",N(O143)=0),"",AD143+N143/O143)</f>
        <v>-0.00793650793650805</v>
      </c>
      <c r="AF143" s="32" t="n">
        <f aca="false">IF(OR(AE143="",N(Z143)=0),"",AE143-Z143)</f>
        <v>0</v>
      </c>
      <c r="AG143" s="28" t="n">
        <f aca="false">IF(AND(N(M143)&gt;0,N(L143)&gt;0),M143*L143,N143)</f>
        <v>1.25</v>
      </c>
      <c r="AH143" s="28" t="n">
        <f aca="false">IF(OR(N(AB143)&lt;=0,N(AG143)=0,N(L143)=0),"",MIN(L143,AG143/AB143))</f>
        <v>15.625</v>
      </c>
      <c r="AI143" s="29" t="n">
        <f aca="false">IF(OR(AH143="",N(O143)=0),"",AH143/O143-1)</f>
        <v>-0.0814226925338037</v>
      </c>
      <c r="AJ143" s="29" t="n">
        <f aca="false">IF(OR(AI143="",N(O143)=0),"",AI143+AG143/O143)</f>
        <v>-0.00793650793650805</v>
      </c>
      <c r="AK143" s="32" t="n">
        <f aca="false">IF(OR(AJ143="",N(AE143)=0),"",AJ143-AE143)</f>
        <v>0</v>
      </c>
      <c r="AL143" s="33" t="n">
        <f aca="false">IF(N(F143)=0,"",INDEX(Inputs!$B$28:$B$32,IFERROR(MATCH(F143,Inputs!$A$28:$A$32,1),0)+1))</f>
        <v>0.08</v>
      </c>
      <c r="AM143" s="34"/>
      <c r="AN143" s="33" t="n">
        <f aca="false">IF(N(AM143)&gt;0,AM143,AL143)</f>
        <v>0.08</v>
      </c>
      <c r="AO143" s="29" t="n">
        <f aca="false">IF(N(AN143)=0,"",AN143+IF(I143="yes",AN143*Inputs!$B$10*Inputs!$B$9,0)+IFERROR(INDEX(Inputs!$B$13:$B$15,MATCH(G143,Inputs!$A$13:$A$15,0)),0)+IFERROR(INDEX(Inputs!$B$18:$B$24,MATCH(H143,Inputs!$A$18:$A$24,0)),0))</f>
        <v>0.08</v>
      </c>
      <c r="AP143" s="28" t="n">
        <f aca="false">IF(OR(N(AO143)&lt;=0,N(AG143)=0,N(L143)=0),"",MIN(L143,AG143/AO143))</f>
        <v>15.625</v>
      </c>
      <c r="AQ143" s="29" t="n">
        <f aca="false">IF(OR(AP143="",N(O143)=0),"",AP143/O143-1)</f>
        <v>-0.0814226925338037</v>
      </c>
      <c r="AR143" s="29" t="n">
        <f aca="false">IF(OR(AQ143="",N(O143)=0),"",AQ143+AG143/O143)</f>
        <v>-0.00793650793650805</v>
      </c>
      <c r="AS143" s="32" t="n">
        <f aca="false">IF(OR(AR143="",N(AJ143)=0),"",AR143-AJ143)</f>
        <v>0</v>
      </c>
      <c r="AT143" s="28" t="n">
        <v>25</v>
      </c>
      <c r="AU143" s="28" t="n">
        <v>1.25</v>
      </c>
      <c r="AV143" s="28" t="n">
        <f aca="false">IF(N(AT143)&gt;0,AT143,L143)</f>
        <v>25</v>
      </c>
      <c r="AW143" s="28" t="n">
        <f aca="false">IF(AND(N(M143)&gt;0,N(AV143)&gt;0),M143*AV143,IF(N(AU143)&gt;0,AU143,N143))</f>
        <v>1.25</v>
      </c>
      <c r="AX143" s="29" t="n">
        <f aca="false">IF(N(AN143)=0,"",AN143+IF(I143="yes",AN143*Inputs!$B$10*Inputs!$B$9,0)+IFERROR(INDEX(Inputs!$B$13:$B$15,MATCH(G143,Inputs!$A$13:$A$15,0)),0)+IFERROR(INDEX(Inputs!$B$18:$B$24,MATCH(H143,Inputs!$A$18:$A$24,0)),0))</f>
        <v>0.08</v>
      </c>
      <c r="AY143" s="28" t="n">
        <f aca="false">IF(OR(N(AX143)&lt;=0,N(AW143)=0,N(AV143)=0),"",MIN(AV143,AW143/AX143))</f>
        <v>15.625</v>
      </c>
      <c r="AZ143" s="29" t="n">
        <f aca="false">IF(OR(AY143="",N(O143)=0),"",AY143/O143-1)</f>
        <v>-0.0814226925338037</v>
      </c>
      <c r="BA143" s="29" t="n">
        <f aca="false">IF(OR(AZ143="",N(O143)=0),"",AZ143+AW143/O143)</f>
        <v>-0.00793650793650805</v>
      </c>
      <c r="BB143" s="32" t="n">
        <f aca="false">IF(OR(BA143="",N(AR143)=0),"",BA143-AR143)</f>
        <v>0</v>
      </c>
      <c r="BC143" s="35" t="n">
        <f aca="false">IF(OR(BA143="",N(U143)=0),"",BA143-U143)</f>
        <v>0</v>
      </c>
      <c r="BD143" s="37"/>
    </row>
    <row r="144" customFormat="false" ht="15" hidden="false" customHeight="false" outlineLevel="0" collapsed="false">
      <c r="A144" s="2" t="s">
        <v>140</v>
      </c>
      <c r="B144" s="2" t="n">
        <v>268</v>
      </c>
      <c r="C144" s="2" t="s">
        <v>393</v>
      </c>
      <c r="D144" s="2" t="s">
        <v>390</v>
      </c>
      <c r="E144" s="2" t="s">
        <v>391</v>
      </c>
      <c r="F144" s="27" t="n">
        <v>18000</v>
      </c>
      <c r="G144" s="2" t="s">
        <v>51</v>
      </c>
      <c r="H144" s="2" t="s">
        <v>58</v>
      </c>
      <c r="I144" s="2" t="s">
        <v>144</v>
      </c>
      <c r="J144" s="2" t="s">
        <v>145</v>
      </c>
      <c r="K144" s="2" t="n">
        <v>4</v>
      </c>
      <c r="L144" s="28" t="n">
        <v>25</v>
      </c>
      <c r="M144" s="29" t="n">
        <v>0.05</v>
      </c>
      <c r="N144" s="28" t="n">
        <v>1.25</v>
      </c>
      <c r="O144" s="28" t="n">
        <v>16</v>
      </c>
      <c r="P144" s="2" t="s">
        <v>223</v>
      </c>
      <c r="Q144" s="29" t="n">
        <v>0.08</v>
      </c>
      <c r="R144" s="30" t="n">
        <v>0.08</v>
      </c>
      <c r="S144" s="31" t="n">
        <v>15.625</v>
      </c>
      <c r="T144" s="30" t="n">
        <v>-0.0234375</v>
      </c>
      <c r="U144" s="30" t="n">
        <v>0.0546875</v>
      </c>
      <c r="V144" s="29" t="n">
        <v>0</v>
      </c>
      <c r="W144" s="29" t="n">
        <f aca="false">IF(N(Q144)=0,"",Q144+IF(I144="yes",Q144*Inputs!$B$10*Inputs!$B$9,0)+V144)</f>
        <v>0.08</v>
      </c>
      <c r="X144" s="28" t="n">
        <f aca="false">IF(OR(N(W144)&lt;=0,N(N144)=0,N(L144)=0),"",MIN(L144,N144/W144))</f>
        <v>15.625</v>
      </c>
      <c r="Y144" s="29" t="n">
        <f aca="false">IF(OR(X144="",N(O144)=0),"",X144/O144-1)</f>
        <v>-0.0234375</v>
      </c>
      <c r="Z144" s="29" t="n">
        <f aca="false">IF(OR(Y144="",N(O144)=0),"",Y144+N144/O144)</f>
        <v>0.0546875</v>
      </c>
      <c r="AA144" s="32" t="n">
        <f aca="false">IF(OR(Z144="",N(U144)=0),"",Z144-U144)</f>
        <v>0</v>
      </c>
      <c r="AB144" s="29" t="n">
        <f aca="false">IF(N(Q144)=0,"",Q144+IF(I144="yes",Q144*Inputs!$B$10*Inputs!$B$9,0)+IFERROR(INDEX(Inputs!$B$13:$B$15,MATCH(G144,Inputs!$A$13:$A$15,0)),0)+IFERROR(INDEX(Inputs!$B$18:$B$24,MATCH(H144,Inputs!$A$18:$A$24,0)),0))</f>
        <v>0.08</v>
      </c>
      <c r="AC144" s="28" t="n">
        <f aca="false">IF(OR(N(AB144)&lt;=0,N(N144)=0,N(L144)=0),"",MIN(L144,N144/AB144))</f>
        <v>15.625</v>
      </c>
      <c r="AD144" s="29" t="n">
        <f aca="false">IF(OR(AC144="",N(O144)=0),"",AC144/O144-1)</f>
        <v>-0.0234375</v>
      </c>
      <c r="AE144" s="29" t="n">
        <f aca="false">IF(OR(AD144="",N(O144)=0),"",AD144+N144/O144)</f>
        <v>0.0546875</v>
      </c>
      <c r="AF144" s="32" t="n">
        <f aca="false">IF(OR(AE144="",N(Z144)=0),"",AE144-Z144)</f>
        <v>0</v>
      </c>
      <c r="AG144" s="28" t="n">
        <f aca="false">IF(AND(N(M144)&gt;0,N(L144)&gt;0),M144*L144,N144)</f>
        <v>1.25</v>
      </c>
      <c r="AH144" s="28" t="n">
        <f aca="false">IF(OR(N(AB144)&lt;=0,N(AG144)=0,N(L144)=0),"",MIN(L144,AG144/AB144))</f>
        <v>15.625</v>
      </c>
      <c r="AI144" s="29" t="n">
        <f aca="false">IF(OR(AH144="",N(O144)=0),"",AH144/O144-1)</f>
        <v>-0.0234375</v>
      </c>
      <c r="AJ144" s="29" t="n">
        <f aca="false">IF(OR(AI144="",N(O144)=0),"",AI144+AG144/O144)</f>
        <v>0.0546875</v>
      </c>
      <c r="AK144" s="32" t="n">
        <f aca="false">IF(OR(AJ144="",N(AE144)=0),"",AJ144-AE144)</f>
        <v>0</v>
      </c>
      <c r="AL144" s="33" t="n">
        <f aca="false">IF(N(F144)=0,"",INDEX(Inputs!$B$28:$B$32,IFERROR(MATCH(F144,Inputs!$A$28:$A$32,1),0)+1))</f>
        <v>0.08</v>
      </c>
      <c r="AM144" s="34"/>
      <c r="AN144" s="33" t="n">
        <f aca="false">IF(N(AM144)&gt;0,AM144,AL144)</f>
        <v>0.08</v>
      </c>
      <c r="AO144" s="29" t="n">
        <f aca="false">IF(N(AN144)=0,"",AN144+IF(I144="yes",AN144*Inputs!$B$10*Inputs!$B$9,0)+IFERROR(INDEX(Inputs!$B$13:$B$15,MATCH(G144,Inputs!$A$13:$A$15,0)),0)+IFERROR(INDEX(Inputs!$B$18:$B$24,MATCH(H144,Inputs!$A$18:$A$24,0)),0))</f>
        <v>0.08</v>
      </c>
      <c r="AP144" s="28" t="n">
        <f aca="false">IF(OR(N(AO144)&lt;=0,N(AG144)=0,N(L144)=0),"",MIN(L144,AG144/AO144))</f>
        <v>15.625</v>
      </c>
      <c r="AQ144" s="29" t="n">
        <f aca="false">IF(OR(AP144="",N(O144)=0),"",AP144/O144-1)</f>
        <v>-0.0234375</v>
      </c>
      <c r="AR144" s="29" t="n">
        <f aca="false">IF(OR(AQ144="",N(O144)=0),"",AQ144+AG144/O144)</f>
        <v>0.0546875</v>
      </c>
      <c r="AS144" s="32" t="n">
        <f aca="false">IF(OR(AR144="",N(AJ144)=0),"",AR144-AJ144)</f>
        <v>0</v>
      </c>
      <c r="AT144" s="28" t="n">
        <v>25</v>
      </c>
      <c r="AU144" s="28" t="n">
        <v>1.25</v>
      </c>
      <c r="AV144" s="28" t="n">
        <f aca="false">IF(N(AT144)&gt;0,AT144,L144)</f>
        <v>25</v>
      </c>
      <c r="AW144" s="28" t="n">
        <f aca="false">IF(AND(N(M144)&gt;0,N(AV144)&gt;0),M144*AV144,IF(N(AU144)&gt;0,AU144,N144))</f>
        <v>1.25</v>
      </c>
      <c r="AX144" s="29" t="n">
        <f aca="false">IF(N(AN144)=0,"",AN144+IF(I144="yes",AN144*Inputs!$B$10*Inputs!$B$9,0)+IFERROR(INDEX(Inputs!$B$13:$B$15,MATCH(G144,Inputs!$A$13:$A$15,0)),0)+IFERROR(INDEX(Inputs!$B$18:$B$24,MATCH(H144,Inputs!$A$18:$A$24,0)),0))</f>
        <v>0.08</v>
      </c>
      <c r="AY144" s="28" t="n">
        <f aca="false">IF(OR(N(AX144)&lt;=0,N(AW144)=0,N(AV144)=0),"",MIN(AV144,AW144/AX144))</f>
        <v>15.625</v>
      </c>
      <c r="AZ144" s="29" t="n">
        <f aca="false">IF(OR(AY144="",N(O144)=0),"",AY144/O144-1)</f>
        <v>-0.0234375</v>
      </c>
      <c r="BA144" s="29" t="n">
        <f aca="false">IF(OR(AZ144="",N(O144)=0),"",AZ144+AW144/O144)</f>
        <v>0.0546875</v>
      </c>
      <c r="BB144" s="32" t="n">
        <f aca="false">IF(OR(BA144="",N(AR144)=0),"",BA144-AR144)</f>
        <v>0</v>
      </c>
      <c r="BC144" s="35" t="n">
        <f aca="false">IF(OR(BA144="",N(U144)=0),"",BA144-U144)</f>
        <v>0</v>
      </c>
      <c r="BD144" s="36" t="s">
        <v>224</v>
      </c>
    </row>
    <row r="145" customFormat="false" ht="15" hidden="false" customHeight="false" outlineLevel="0" collapsed="false">
      <c r="A145" s="2" t="s">
        <v>140</v>
      </c>
      <c r="B145" s="2" t="n">
        <v>269</v>
      </c>
      <c r="C145" s="2" t="s">
        <v>394</v>
      </c>
      <c r="D145" s="2" t="s">
        <v>390</v>
      </c>
      <c r="E145" s="2" t="s">
        <v>391</v>
      </c>
      <c r="F145" s="27" t="n">
        <v>18000</v>
      </c>
      <c r="G145" s="2" t="s">
        <v>51</v>
      </c>
      <c r="H145" s="2" t="s">
        <v>58</v>
      </c>
      <c r="I145" s="2" t="s">
        <v>151</v>
      </c>
      <c r="J145" s="2" t="s">
        <v>145</v>
      </c>
      <c r="K145" s="2" t="n">
        <v>4</v>
      </c>
      <c r="L145" s="28" t="n">
        <v>25</v>
      </c>
      <c r="M145" s="29" t="n">
        <v>0.05125</v>
      </c>
      <c r="N145" s="28" t="n">
        <v>1.28125</v>
      </c>
      <c r="O145" s="28" t="n">
        <v>16.64</v>
      </c>
      <c r="P145" s="2" t="s">
        <v>223</v>
      </c>
      <c r="Q145" s="29" t="n">
        <v>0.08</v>
      </c>
      <c r="R145" s="30" t="n">
        <v>0.08</v>
      </c>
      <c r="S145" s="31" t="n">
        <v>16.015625</v>
      </c>
      <c r="T145" s="30" t="n">
        <v>-0.0375225360576923</v>
      </c>
      <c r="U145" s="30" t="n">
        <v>0.0394756610576923</v>
      </c>
      <c r="V145" s="29" t="n">
        <v>0</v>
      </c>
      <c r="W145" s="29" t="n">
        <f aca="false">IF(N(Q145)=0,"",Q145+IF(I145="yes",Q145*Inputs!$B$10*Inputs!$B$9,0)+V145)</f>
        <v>0.076</v>
      </c>
      <c r="X145" s="28" t="n">
        <f aca="false">IF(OR(N(W145)&lt;=0,N(N145)=0,N(L145)=0),"",MIN(L145,N145/W145))</f>
        <v>16.858552631579</v>
      </c>
      <c r="Y145" s="29" t="n">
        <f aca="false">IF(OR(X145="",N(O145)=0),"",X145/O145-1)</f>
        <v>0.0131341725708503</v>
      </c>
      <c r="Z145" s="29" t="n">
        <f aca="false">IF(OR(Y145="",N(O145)=0),"",Y145+N145/O145)</f>
        <v>0.0901323696862349</v>
      </c>
      <c r="AA145" s="32" t="n">
        <f aca="false">IF(OR(Z145="",N(U145)=0),"",Z145-U145)</f>
        <v>0.0506567086285425</v>
      </c>
      <c r="AB145" s="29" t="n">
        <f aca="false">IF(N(Q145)=0,"",Q145+IF(I145="yes",Q145*Inputs!$B$10*Inputs!$B$9,0)+IFERROR(INDEX(Inputs!$B$13:$B$15,MATCH(G145,Inputs!$A$13:$A$15,0)),0)+IFERROR(INDEX(Inputs!$B$18:$B$24,MATCH(H145,Inputs!$A$18:$A$24,0)),0))</f>
        <v>0.076</v>
      </c>
      <c r="AC145" s="28" t="n">
        <f aca="false">IF(OR(N(AB145)&lt;=0,N(N145)=0,N(L145)=0),"",MIN(L145,N145/AB145))</f>
        <v>16.858552631579</v>
      </c>
      <c r="AD145" s="29" t="n">
        <f aca="false">IF(OR(AC145="",N(O145)=0),"",AC145/O145-1)</f>
        <v>0.0131341725708503</v>
      </c>
      <c r="AE145" s="29" t="n">
        <f aca="false">IF(OR(AD145="",N(O145)=0),"",AD145+N145/O145)</f>
        <v>0.0901323696862349</v>
      </c>
      <c r="AF145" s="32" t="n">
        <f aca="false">IF(OR(AE145="",N(Z145)=0),"",AE145-Z145)</f>
        <v>0</v>
      </c>
      <c r="AG145" s="28" t="n">
        <f aca="false">IF(AND(N(M145)&gt;0,N(L145)&gt;0),M145*L145,N145)</f>
        <v>1.28125</v>
      </c>
      <c r="AH145" s="28" t="n">
        <f aca="false">IF(OR(N(AB145)&lt;=0,N(AG145)=0,N(L145)=0),"",MIN(L145,AG145/AB145))</f>
        <v>16.858552631579</v>
      </c>
      <c r="AI145" s="29" t="n">
        <f aca="false">IF(OR(AH145="",N(O145)=0),"",AH145/O145-1)</f>
        <v>0.0131341725708503</v>
      </c>
      <c r="AJ145" s="29" t="n">
        <f aca="false">IF(OR(AI145="",N(O145)=0),"",AI145+AG145/O145)</f>
        <v>0.0901323696862349</v>
      </c>
      <c r="AK145" s="32" t="n">
        <f aca="false">IF(OR(AJ145="",N(AE145)=0),"",AJ145-AE145)</f>
        <v>0</v>
      </c>
      <c r="AL145" s="33" t="n">
        <f aca="false">IF(N(F145)=0,"",INDEX(Inputs!$B$28:$B$32,IFERROR(MATCH(F145,Inputs!$A$28:$A$32,1),0)+1))</f>
        <v>0.08</v>
      </c>
      <c r="AM145" s="34"/>
      <c r="AN145" s="33" t="n">
        <f aca="false">IF(N(AM145)&gt;0,AM145,AL145)</f>
        <v>0.08</v>
      </c>
      <c r="AO145" s="29" t="n">
        <f aca="false">IF(N(AN145)=0,"",AN145+IF(I145="yes",AN145*Inputs!$B$10*Inputs!$B$9,0)+IFERROR(INDEX(Inputs!$B$13:$B$15,MATCH(G145,Inputs!$A$13:$A$15,0)),0)+IFERROR(INDEX(Inputs!$B$18:$B$24,MATCH(H145,Inputs!$A$18:$A$24,0)),0))</f>
        <v>0.076</v>
      </c>
      <c r="AP145" s="28" t="n">
        <f aca="false">IF(OR(N(AO145)&lt;=0,N(AG145)=0,N(L145)=0),"",MIN(L145,AG145/AO145))</f>
        <v>16.858552631579</v>
      </c>
      <c r="AQ145" s="29" t="n">
        <f aca="false">IF(OR(AP145="",N(O145)=0),"",AP145/O145-1)</f>
        <v>0.0131341725708503</v>
      </c>
      <c r="AR145" s="29" t="n">
        <f aca="false">IF(OR(AQ145="",N(O145)=0),"",AQ145+AG145/O145)</f>
        <v>0.0901323696862349</v>
      </c>
      <c r="AS145" s="32" t="n">
        <f aca="false">IF(OR(AR145="",N(AJ145)=0),"",AR145-AJ145)</f>
        <v>0</v>
      </c>
      <c r="AT145" s="28" t="n">
        <v>25</v>
      </c>
      <c r="AU145" s="28" t="n">
        <v>1.28125</v>
      </c>
      <c r="AV145" s="28" t="n">
        <f aca="false">IF(N(AT145)&gt;0,AT145,L145)</f>
        <v>25</v>
      </c>
      <c r="AW145" s="28" t="n">
        <f aca="false">IF(AND(N(M145)&gt;0,N(AV145)&gt;0),M145*AV145,IF(N(AU145)&gt;0,AU145,N145))</f>
        <v>1.28125</v>
      </c>
      <c r="AX145" s="29" t="n">
        <f aca="false">IF(N(AN145)=0,"",AN145+IF(I145="yes",AN145*Inputs!$B$10*Inputs!$B$9,0)+IFERROR(INDEX(Inputs!$B$13:$B$15,MATCH(G145,Inputs!$A$13:$A$15,0)),0)+IFERROR(INDEX(Inputs!$B$18:$B$24,MATCH(H145,Inputs!$A$18:$A$24,0)),0))</f>
        <v>0.076</v>
      </c>
      <c r="AY145" s="28" t="n">
        <f aca="false">IF(OR(N(AX145)&lt;=0,N(AW145)=0,N(AV145)=0),"",MIN(AV145,AW145/AX145))</f>
        <v>16.858552631579</v>
      </c>
      <c r="AZ145" s="29" t="n">
        <f aca="false">IF(OR(AY145="",N(O145)=0),"",AY145/O145-1)</f>
        <v>0.0131341725708503</v>
      </c>
      <c r="BA145" s="29" t="n">
        <f aca="false">IF(OR(AZ145="",N(O145)=0),"",AZ145+AW145/O145)</f>
        <v>0.0901323696862349</v>
      </c>
      <c r="BB145" s="32" t="n">
        <f aca="false">IF(OR(BA145="",N(AR145)=0),"",BA145-AR145)</f>
        <v>0</v>
      </c>
      <c r="BC145" s="35" t="n">
        <f aca="false">IF(OR(BA145="",N(U145)=0),"",BA145-U145)</f>
        <v>0.0506567086285425</v>
      </c>
      <c r="BD145" s="36" t="s">
        <v>224</v>
      </c>
    </row>
    <row r="146" customFormat="false" ht="15" hidden="false" customHeight="false" outlineLevel="0" collapsed="false">
      <c r="A146" s="2" t="s">
        <v>140</v>
      </c>
      <c r="B146" s="2" t="n">
        <v>272</v>
      </c>
      <c r="C146" s="2" t="s">
        <v>395</v>
      </c>
      <c r="D146" s="2" t="s">
        <v>396</v>
      </c>
      <c r="E146" s="2" t="s">
        <v>397</v>
      </c>
      <c r="F146" s="27" t="n">
        <v>133700</v>
      </c>
      <c r="G146" s="2" t="s">
        <v>51</v>
      </c>
      <c r="H146" s="2" t="s">
        <v>58</v>
      </c>
      <c r="I146" s="2" t="s">
        <v>151</v>
      </c>
      <c r="J146" s="2" t="s">
        <v>145</v>
      </c>
      <c r="K146" s="2" t="n">
        <v>4</v>
      </c>
      <c r="L146" s="28" t="n">
        <v>50</v>
      </c>
      <c r="M146" s="29" t="n">
        <v>0.04</v>
      </c>
      <c r="N146" s="28" t="n">
        <v>2</v>
      </c>
      <c r="O146" s="28" t="n">
        <v>0</v>
      </c>
      <c r="P146" s="2" t="s">
        <v>146</v>
      </c>
      <c r="Q146" s="29" t="n">
        <v>0.08</v>
      </c>
      <c r="R146" s="30" t="n">
        <v>0.076</v>
      </c>
      <c r="S146" s="31" t="n">
        <v>26.3157894736842</v>
      </c>
      <c r="T146" s="30"/>
      <c r="U146" s="30"/>
      <c r="V146" s="29" t="n">
        <v>0</v>
      </c>
      <c r="W146" s="29" t="n">
        <f aca="false">IF(N(Q146)=0,"",Q146+IF(I146="yes",Q146*Inputs!$B$10*Inputs!$B$9,0)+V146)</f>
        <v>0.076</v>
      </c>
      <c r="X146" s="28" t="n">
        <f aca="false">IF(OR(N(W146)&lt;=0,N(N146)=0,N(L146)=0),"",MIN(L146,N146/W146))</f>
        <v>26.3157894736842</v>
      </c>
      <c r="Y146" s="29" t="str">
        <f aca="false">IF(OR(X146="",N(O146)=0),"",X146/O146-1)</f>
        <v/>
      </c>
      <c r="Z146" s="29" t="str">
        <f aca="false">IF(OR(Y146="",N(O146)=0),"",Y146+N146/O146)</f>
        <v/>
      </c>
      <c r="AA146" s="32" t="str">
        <f aca="false">IF(OR(Z146="",N(U146)=0),"",Z146-U146)</f>
        <v/>
      </c>
      <c r="AB146" s="29" t="n">
        <f aca="false">IF(N(Q146)=0,"",Q146+IF(I146="yes",Q146*Inputs!$B$10*Inputs!$B$9,0)+IFERROR(INDEX(Inputs!$B$13:$B$15,MATCH(G146,Inputs!$A$13:$A$15,0)),0)+IFERROR(INDEX(Inputs!$B$18:$B$24,MATCH(H146,Inputs!$A$18:$A$24,0)),0))</f>
        <v>0.076</v>
      </c>
      <c r="AC146" s="28" t="n">
        <f aca="false">IF(OR(N(AB146)&lt;=0,N(N146)=0,N(L146)=0),"",MIN(L146,N146/AB146))</f>
        <v>26.3157894736842</v>
      </c>
      <c r="AD146" s="29" t="str">
        <f aca="false">IF(OR(AC146="",N(O146)=0),"",AC146/O146-1)</f>
        <v/>
      </c>
      <c r="AE146" s="29" t="str">
        <f aca="false">IF(OR(AD146="",N(O146)=0),"",AD146+N146/O146)</f>
        <v/>
      </c>
      <c r="AF146" s="32" t="str">
        <f aca="false">IF(OR(AE146="",N(Z146)=0),"",AE146-Z146)</f>
        <v/>
      </c>
      <c r="AG146" s="28" t="n">
        <f aca="false">IF(AND(N(M146)&gt;0,N(L146)&gt;0),M146*L146,N146)</f>
        <v>2</v>
      </c>
      <c r="AH146" s="28" t="n">
        <f aca="false">IF(OR(N(AB146)&lt;=0,N(AG146)=0,N(L146)=0),"",MIN(L146,AG146/AB146))</f>
        <v>26.3157894736842</v>
      </c>
      <c r="AI146" s="29" t="str">
        <f aca="false">IF(OR(AH146="",N(O146)=0),"",AH146/O146-1)</f>
        <v/>
      </c>
      <c r="AJ146" s="29" t="str">
        <f aca="false">IF(OR(AI146="",N(O146)=0),"",AI146+AG146/O146)</f>
        <v/>
      </c>
      <c r="AK146" s="32" t="str">
        <f aca="false">IF(OR(AJ146="",N(AE146)=0),"",AJ146-AE146)</f>
        <v/>
      </c>
      <c r="AL146" s="33" t="n">
        <f aca="false">IF(N(F146)=0,"",INDEX(Inputs!$B$28:$B$32,IFERROR(MATCH(F146,Inputs!$A$28:$A$32,1),0)+1))</f>
        <v>0.075</v>
      </c>
      <c r="AM146" s="34"/>
      <c r="AN146" s="33" t="n">
        <f aca="false">IF(N(AM146)&gt;0,AM146,AL146)</f>
        <v>0.075</v>
      </c>
      <c r="AO146" s="29" t="n">
        <f aca="false">IF(N(AN146)=0,"",AN146+IF(I146="yes",AN146*Inputs!$B$10*Inputs!$B$9,0)+IFERROR(INDEX(Inputs!$B$13:$B$15,MATCH(G146,Inputs!$A$13:$A$15,0)),0)+IFERROR(INDEX(Inputs!$B$18:$B$24,MATCH(H146,Inputs!$A$18:$A$24,0)),0))</f>
        <v>0.07125</v>
      </c>
      <c r="AP146" s="28" t="n">
        <f aca="false">IF(OR(N(AO146)&lt;=0,N(AG146)=0,N(L146)=0),"",MIN(L146,AG146/AO146))</f>
        <v>28.0701754385965</v>
      </c>
      <c r="AQ146" s="29" t="str">
        <f aca="false">IF(OR(AP146="",N(O146)=0),"",AP146/O146-1)</f>
        <v/>
      </c>
      <c r="AR146" s="29" t="str">
        <f aca="false">IF(OR(AQ146="",N(O146)=0),"",AQ146+AG146/O146)</f>
        <v/>
      </c>
      <c r="AS146" s="32" t="str">
        <f aca="false">IF(OR(AR146="",N(AJ146)=0),"",AR146-AJ146)</f>
        <v/>
      </c>
      <c r="AT146" s="28"/>
      <c r="AU146" s="28"/>
      <c r="AV146" s="28" t="n">
        <f aca="false">IF(N(AT146)&gt;0,AT146,L146)</f>
        <v>50</v>
      </c>
      <c r="AW146" s="28" t="n">
        <f aca="false">IF(AND(N(M146)&gt;0,N(AV146)&gt;0),M146*AV146,IF(N(AU146)&gt;0,AU146,N146))</f>
        <v>2</v>
      </c>
      <c r="AX146" s="29" t="n">
        <f aca="false">IF(N(AN146)=0,"",AN146+IF(I146="yes",AN146*Inputs!$B$10*Inputs!$B$9,0)+IFERROR(INDEX(Inputs!$B$13:$B$15,MATCH(G146,Inputs!$A$13:$A$15,0)),0)+IFERROR(INDEX(Inputs!$B$18:$B$24,MATCH(H146,Inputs!$A$18:$A$24,0)),0))</f>
        <v>0.07125</v>
      </c>
      <c r="AY146" s="28" t="n">
        <f aca="false">IF(OR(N(AX146)&lt;=0,N(AW146)=0,N(AV146)=0),"",MIN(AV146,AW146/AX146))</f>
        <v>28.0701754385965</v>
      </c>
      <c r="AZ146" s="29" t="str">
        <f aca="false">IF(OR(AY146="",N(O146)=0),"",AY146/O146-1)</f>
        <v/>
      </c>
      <c r="BA146" s="29" t="str">
        <f aca="false">IF(OR(AZ146="",N(O146)=0),"",AZ146+AW146/O146)</f>
        <v/>
      </c>
      <c r="BB146" s="32" t="str">
        <f aca="false">IF(OR(BA146="",N(AR146)=0),"",BA146-AR146)</f>
        <v/>
      </c>
      <c r="BC146" s="35" t="str">
        <f aca="false">IF(OR(BA146="",N(U146)=0),"",BA146-U146)</f>
        <v/>
      </c>
      <c r="BD146" s="36" t="s">
        <v>198</v>
      </c>
    </row>
    <row r="147" customFormat="false" ht="15" hidden="false" customHeight="false" outlineLevel="0" collapsed="false">
      <c r="A147" s="2" t="s">
        <v>140</v>
      </c>
      <c r="B147" s="2" t="n">
        <v>276</v>
      </c>
      <c r="C147" s="2" t="s">
        <v>398</v>
      </c>
      <c r="D147" s="2" t="s">
        <v>399</v>
      </c>
      <c r="E147" s="2" t="s">
        <v>400</v>
      </c>
      <c r="F147" s="27" t="n">
        <v>127400</v>
      </c>
      <c r="G147" s="2" t="s">
        <v>52</v>
      </c>
      <c r="H147" s="2" t="s">
        <v>58</v>
      </c>
      <c r="I147" s="2" t="s">
        <v>144</v>
      </c>
      <c r="J147" s="2" t="s">
        <v>145</v>
      </c>
      <c r="K147" s="2" t="n">
        <v>4</v>
      </c>
      <c r="L147" s="28" t="n">
        <v>25</v>
      </c>
      <c r="M147" s="29" t="n">
        <v>0.04625</v>
      </c>
      <c r="N147" s="28" t="n">
        <v>1.15625</v>
      </c>
      <c r="O147" s="28" t="n">
        <v>15.1</v>
      </c>
      <c r="P147" s="2" t="s">
        <v>146</v>
      </c>
      <c r="Q147" s="29" t="n">
        <v>0.08</v>
      </c>
      <c r="R147" s="30" t="n">
        <v>0.075</v>
      </c>
      <c r="S147" s="31" t="n">
        <v>15.4166666666667</v>
      </c>
      <c r="T147" s="30" t="n">
        <v>0.0209713024282561</v>
      </c>
      <c r="U147" s="30" t="n">
        <v>0.0975441501103753</v>
      </c>
      <c r="V147" s="29" t="n">
        <v>-0.005</v>
      </c>
      <c r="W147" s="29" t="n">
        <f aca="false">IF(N(Q147)=0,"",Q147+IF(I147="yes",Q147*Inputs!$B$10*Inputs!$B$9,0)+V147)</f>
        <v>0.075</v>
      </c>
      <c r="X147" s="28" t="n">
        <f aca="false">IF(OR(N(W147)&lt;=0,N(N147)=0,N(L147)=0),"",MIN(L147,N147/W147))</f>
        <v>15.4166666666667</v>
      </c>
      <c r="Y147" s="29" t="n">
        <f aca="false">IF(OR(X147="",N(O147)=0),"",X147/O147-1)</f>
        <v>0.0209713024282561</v>
      </c>
      <c r="Z147" s="29" t="n">
        <f aca="false">IF(OR(Y147="",N(O147)=0),"",Y147+N147/O147)</f>
        <v>0.0975441501103753</v>
      </c>
      <c r="AA147" s="32" t="n">
        <f aca="false">IF(OR(Z147="",N(U147)=0),"",Z147-U147)</f>
        <v>0</v>
      </c>
      <c r="AB147" s="29" t="n">
        <f aca="false">IF(N(Q147)=0,"",Q147+IF(I147="yes",Q147*Inputs!$B$10*Inputs!$B$9,0)+IFERROR(INDEX(Inputs!$B$13:$B$15,MATCH(G147,Inputs!$A$13:$A$15,0)),0)+IFERROR(INDEX(Inputs!$B$18:$B$24,MATCH(H147,Inputs!$A$18:$A$24,0)),0))</f>
        <v>0.075</v>
      </c>
      <c r="AC147" s="28" t="n">
        <f aca="false">IF(OR(N(AB147)&lt;=0,N(N147)=0,N(L147)=0),"",MIN(L147,N147/AB147))</f>
        <v>15.4166666666667</v>
      </c>
      <c r="AD147" s="29" t="n">
        <f aca="false">IF(OR(AC147="",N(O147)=0),"",AC147/O147-1)</f>
        <v>0.0209713024282561</v>
      </c>
      <c r="AE147" s="29" t="n">
        <f aca="false">IF(OR(AD147="",N(O147)=0),"",AD147+N147/O147)</f>
        <v>0.0975441501103753</v>
      </c>
      <c r="AF147" s="32" t="n">
        <f aca="false">IF(OR(AE147="",N(Z147)=0),"",AE147-Z147)</f>
        <v>0</v>
      </c>
      <c r="AG147" s="28" t="n">
        <f aca="false">IF(AND(N(M147)&gt;0,N(L147)&gt;0),M147*L147,N147)</f>
        <v>1.15625</v>
      </c>
      <c r="AH147" s="28" t="n">
        <f aca="false">IF(OR(N(AB147)&lt;=0,N(AG147)=0,N(L147)=0),"",MIN(L147,AG147/AB147))</f>
        <v>15.4166666666667</v>
      </c>
      <c r="AI147" s="29" t="n">
        <f aca="false">IF(OR(AH147="",N(O147)=0),"",AH147/O147-1)</f>
        <v>0.0209713024282561</v>
      </c>
      <c r="AJ147" s="29" t="n">
        <f aca="false">IF(OR(AI147="",N(O147)=0),"",AI147+AG147/O147)</f>
        <v>0.0975441501103753</v>
      </c>
      <c r="AK147" s="32" t="n">
        <f aca="false">IF(OR(AJ147="",N(AE147)=0),"",AJ147-AE147)</f>
        <v>0</v>
      </c>
      <c r="AL147" s="33" t="n">
        <f aca="false">IF(N(F147)=0,"",INDEX(Inputs!$B$28:$B$32,IFERROR(MATCH(F147,Inputs!$A$28:$A$32,1),0)+1))</f>
        <v>0.075</v>
      </c>
      <c r="AM147" s="34"/>
      <c r="AN147" s="33" t="n">
        <f aca="false">IF(N(AM147)&gt;0,AM147,AL147)</f>
        <v>0.075</v>
      </c>
      <c r="AO147" s="29" t="n">
        <f aca="false">IF(N(AN147)=0,"",AN147+IF(I147="yes",AN147*Inputs!$B$10*Inputs!$B$9,0)+IFERROR(INDEX(Inputs!$B$13:$B$15,MATCH(G147,Inputs!$A$13:$A$15,0)),0)+IFERROR(INDEX(Inputs!$B$18:$B$24,MATCH(H147,Inputs!$A$18:$A$24,0)),0))</f>
        <v>0.07</v>
      </c>
      <c r="AP147" s="28" t="n">
        <f aca="false">IF(OR(N(AO147)&lt;=0,N(AG147)=0,N(L147)=0),"",MIN(L147,AG147/AO147))</f>
        <v>16.5178571428571</v>
      </c>
      <c r="AQ147" s="29" t="n">
        <f aca="false">IF(OR(AP147="",N(O147)=0),"",AP147/O147-1)</f>
        <v>0.0938978240302746</v>
      </c>
      <c r="AR147" s="29" t="n">
        <f aca="false">IF(OR(AQ147="",N(O147)=0),"",AQ147+AG147/O147)</f>
        <v>0.170470671712394</v>
      </c>
      <c r="AS147" s="32" t="n">
        <f aca="false">IF(OR(AR147="",N(AJ147)=0),"",AR147-AJ147)</f>
        <v>0.0729265216020185</v>
      </c>
      <c r="AT147" s="28" t="n">
        <v>25</v>
      </c>
      <c r="AU147" s="28" t="n">
        <v>1.15625</v>
      </c>
      <c r="AV147" s="28" t="n">
        <f aca="false">IF(N(AT147)&gt;0,AT147,L147)</f>
        <v>25</v>
      </c>
      <c r="AW147" s="28" t="n">
        <f aca="false">IF(AND(N(M147)&gt;0,N(AV147)&gt;0),M147*AV147,IF(N(AU147)&gt;0,AU147,N147))</f>
        <v>1.15625</v>
      </c>
      <c r="AX147" s="29" t="n">
        <f aca="false">IF(N(AN147)=0,"",AN147+IF(I147="yes",AN147*Inputs!$B$10*Inputs!$B$9,0)+IFERROR(INDEX(Inputs!$B$13:$B$15,MATCH(G147,Inputs!$A$13:$A$15,0)),0)+IFERROR(INDEX(Inputs!$B$18:$B$24,MATCH(H147,Inputs!$A$18:$A$24,0)),0))</f>
        <v>0.07</v>
      </c>
      <c r="AY147" s="28" t="n">
        <f aca="false">IF(OR(N(AX147)&lt;=0,N(AW147)=0,N(AV147)=0),"",MIN(AV147,AW147/AX147))</f>
        <v>16.5178571428571</v>
      </c>
      <c r="AZ147" s="29" t="n">
        <f aca="false">IF(OR(AY147="",N(O147)=0),"",AY147/O147-1)</f>
        <v>0.0938978240302746</v>
      </c>
      <c r="BA147" s="29" t="n">
        <f aca="false">IF(OR(AZ147="",N(O147)=0),"",AZ147+AW147/O147)</f>
        <v>0.170470671712394</v>
      </c>
      <c r="BB147" s="32" t="n">
        <f aca="false">IF(OR(BA147="",N(AR147)=0),"",BA147-AR147)</f>
        <v>0</v>
      </c>
      <c r="BC147" s="35" t="n">
        <f aca="false">IF(OR(BA147="",N(U147)=0),"",BA147-U147)</f>
        <v>0.0729265216020185</v>
      </c>
      <c r="BD147" s="37"/>
    </row>
    <row r="148" customFormat="false" ht="15" hidden="false" customHeight="false" outlineLevel="0" collapsed="false">
      <c r="A148" s="2" t="s">
        <v>140</v>
      </c>
      <c r="B148" s="2" t="n">
        <v>277</v>
      </c>
      <c r="C148" s="2" t="s">
        <v>401</v>
      </c>
      <c r="D148" s="2" t="s">
        <v>399</v>
      </c>
      <c r="E148" s="2" t="s">
        <v>400</v>
      </c>
      <c r="F148" s="27" t="n">
        <v>127400</v>
      </c>
      <c r="G148" s="2" t="s">
        <v>52</v>
      </c>
      <c r="H148" s="2" t="s">
        <v>58</v>
      </c>
      <c r="I148" s="2" t="s">
        <v>144</v>
      </c>
      <c r="J148" s="2" t="s">
        <v>145</v>
      </c>
      <c r="K148" s="2" t="n">
        <v>4</v>
      </c>
      <c r="L148" s="28" t="n">
        <v>25</v>
      </c>
      <c r="M148" s="29" t="n">
        <v>0.045</v>
      </c>
      <c r="N148" s="28" t="n">
        <v>1.125</v>
      </c>
      <c r="O148" s="28" t="n">
        <v>15.07</v>
      </c>
      <c r="P148" s="2" t="s">
        <v>146</v>
      </c>
      <c r="Q148" s="29" t="n">
        <v>0.08</v>
      </c>
      <c r="R148" s="30" t="n">
        <v>0.075</v>
      </c>
      <c r="S148" s="31" t="n">
        <v>15</v>
      </c>
      <c r="T148" s="30" t="n">
        <v>-0.00464499004644992</v>
      </c>
      <c r="U148" s="30" t="n">
        <v>0.0700066357000663</v>
      </c>
      <c r="V148" s="29" t="n">
        <v>-0.005</v>
      </c>
      <c r="W148" s="29" t="n">
        <f aca="false">IF(N(Q148)=0,"",Q148+IF(I148="yes",Q148*Inputs!$B$10*Inputs!$B$9,0)+V148)</f>
        <v>0.075</v>
      </c>
      <c r="X148" s="28" t="n">
        <f aca="false">IF(OR(N(W148)&lt;=0,N(N148)=0,N(L148)=0),"",MIN(L148,N148/W148))</f>
        <v>15</v>
      </c>
      <c r="Y148" s="29" t="n">
        <f aca="false">IF(OR(X148="",N(O148)=0),"",X148/O148-1)</f>
        <v>-0.00464499004644992</v>
      </c>
      <c r="Z148" s="29" t="n">
        <f aca="false">IF(OR(Y148="",N(O148)=0),"",Y148+N148/O148)</f>
        <v>0.0700066357000663</v>
      </c>
      <c r="AA148" s="32" t="n">
        <f aca="false">IF(OR(Z148="",N(U148)=0),"",Z148-U148)</f>
        <v>0</v>
      </c>
      <c r="AB148" s="29" t="n">
        <f aca="false">IF(N(Q148)=0,"",Q148+IF(I148="yes",Q148*Inputs!$B$10*Inputs!$B$9,0)+IFERROR(INDEX(Inputs!$B$13:$B$15,MATCH(G148,Inputs!$A$13:$A$15,0)),0)+IFERROR(INDEX(Inputs!$B$18:$B$24,MATCH(H148,Inputs!$A$18:$A$24,0)),0))</f>
        <v>0.075</v>
      </c>
      <c r="AC148" s="28" t="n">
        <f aca="false">IF(OR(N(AB148)&lt;=0,N(N148)=0,N(L148)=0),"",MIN(L148,N148/AB148))</f>
        <v>15</v>
      </c>
      <c r="AD148" s="29" t="n">
        <f aca="false">IF(OR(AC148="",N(O148)=0),"",AC148/O148-1)</f>
        <v>-0.00464499004644992</v>
      </c>
      <c r="AE148" s="29" t="n">
        <f aca="false">IF(OR(AD148="",N(O148)=0),"",AD148+N148/O148)</f>
        <v>0.0700066357000663</v>
      </c>
      <c r="AF148" s="32" t="n">
        <f aca="false">IF(OR(AE148="",N(Z148)=0),"",AE148-Z148)</f>
        <v>0</v>
      </c>
      <c r="AG148" s="28" t="n">
        <f aca="false">IF(AND(N(M148)&gt;0,N(L148)&gt;0),M148*L148,N148)</f>
        <v>1.125</v>
      </c>
      <c r="AH148" s="28" t="n">
        <f aca="false">IF(OR(N(AB148)&lt;=0,N(AG148)=0,N(L148)=0),"",MIN(L148,AG148/AB148))</f>
        <v>15</v>
      </c>
      <c r="AI148" s="29" t="n">
        <f aca="false">IF(OR(AH148="",N(O148)=0),"",AH148/O148-1)</f>
        <v>-0.00464499004644992</v>
      </c>
      <c r="AJ148" s="29" t="n">
        <f aca="false">IF(OR(AI148="",N(O148)=0),"",AI148+AG148/O148)</f>
        <v>0.0700066357000663</v>
      </c>
      <c r="AK148" s="32" t="n">
        <f aca="false">IF(OR(AJ148="",N(AE148)=0),"",AJ148-AE148)</f>
        <v>0</v>
      </c>
      <c r="AL148" s="33" t="n">
        <f aca="false">IF(N(F148)=0,"",INDEX(Inputs!$B$28:$B$32,IFERROR(MATCH(F148,Inputs!$A$28:$A$32,1),0)+1))</f>
        <v>0.075</v>
      </c>
      <c r="AM148" s="34"/>
      <c r="AN148" s="33" t="n">
        <f aca="false">IF(N(AM148)&gt;0,AM148,AL148)</f>
        <v>0.075</v>
      </c>
      <c r="AO148" s="29" t="n">
        <f aca="false">IF(N(AN148)=0,"",AN148+IF(I148="yes",AN148*Inputs!$B$10*Inputs!$B$9,0)+IFERROR(INDEX(Inputs!$B$13:$B$15,MATCH(G148,Inputs!$A$13:$A$15,0)),0)+IFERROR(INDEX(Inputs!$B$18:$B$24,MATCH(H148,Inputs!$A$18:$A$24,0)),0))</f>
        <v>0.07</v>
      </c>
      <c r="AP148" s="28" t="n">
        <f aca="false">IF(OR(N(AO148)&lt;=0,N(AG148)=0,N(L148)=0),"",MIN(L148,AG148/AO148))</f>
        <v>16.0714285714286</v>
      </c>
      <c r="AQ148" s="29" t="n">
        <f aca="false">IF(OR(AP148="",N(O148)=0),"",AP148/O148-1)</f>
        <v>0.0664517963788038</v>
      </c>
      <c r="AR148" s="29" t="n">
        <f aca="false">IF(OR(AQ148="",N(O148)=0),"",AQ148+AG148/O148)</f>
        <v>0.14110342212532</v>
      </c>
      <c r="AS148" s="32" t="n">
        <f aca="false">IF(OR(AR148="",N(AJ148)=0),"",AR148-AJ148)</f>
        <v>0.0710967864252537</v>
      </c>
      <c r="AT148" s="28" t="n">
        <v>25</v>
      </c>
      <c r="AU148" s="28" t="n">
        <v>1.125</v>
      </c>
      <c r="AV148" s="28" t="n">
        <f aca="false">IF(N(AT148)&gt;0,AT148,L148)</f>
        <v>25</v>
      </c>
      <c r="AW148" s="28" t="n">
        <f aca="false">IF(AND(N(M148)&gt;0,N(AV148)&gt;0),M148*AV148,IF(N(AU148)&gt;0,AU148,N148))</f>
        <v>1.125</v>
      </c>
      <c r="AX148" s="29" t="n">
        <f aca="false">IF(N(AN148)=0,"",AN148+IF(I148="yes",AN148*Inputs!$B$10*Inputs!$B$9,0)+IFERROR(INDEX(Inputs!$B$13:$B$15,MATCH(G148,Inputs!$A$13:$A$15,0)),0)+IFERROR(INDEX(Inputs!$B$18:$B$24,MATCH(H148,Inputs!$A$18:$A$24,0)),0))</f>
        <v>0.07</v>
      </c>
      <c r="AY148" s="28" t="n">
        <f aca="false">IF(OR(N(AX148)&lt;=0,N(AW148)=0,N(AV148)=0),"",MIN(AV148,AW148/AX148))</f>
        <v>16.0714285714286</v>
      </c>
      <c r="AZ148" s="29" t="n">
        <f aca="false">IF(OR(AY148="",N(O148)=0),"",AY148/O148-1)</f>
        <v>0.0664517963788038</v>
      </c>
      <c r="BA148" s="29" t="n">
        <f aca="false">IF(OR(AZ148="",N(O148)=0),"",AZ148+AW148/O148)</f>
        <v>0.14110342212532</v>
      </c>
      <c r="BB148" s="32" t="n">
        <f aca="false">IF(OR(BA148="",N(AR148)=0),"",BA148-AR148)</f>
        <v>0</v>
      </c>
      <c r="BC148" s="35" t="n">
        <f aca="false">IF(OR(BA148="",N(U148)=0),"",BA148-U148)</f>
        <v>0.0710967864252537</v>
      </c>
      <c r="BD148" s="37"/>
    </row>
    <row r="149" customFormat="false" ht="15" hidden="false" customHeight="false" outlineLevel="0" collapsed="false">
      <c r="A149" s="2" t="s">
        <v>140</v>
      </c>
      <c r="B149" s="2" t="n">
        <v>278</v>
      </c>
      <c r="C149" s="2" t="s">
        <v>402</v>
      </c>
      <c r="D149" s="2" t="s">
        <v>399</v>
      </c>
      <c r="E149" s="2" t="s">
        <v>400</v>
      </c>
      <c r="F149" s="27" t="n">
        <v>127400</v>
      </c>
      <c r="G149" s="2" t="s">
        <v>51</v>
      </c>
      <c r="H149" s="2" t="s">
        <v>58</v>
      </c>
      <c r="I149" s="2" t="s">
        <v>144</v>
      </c>
      <c r="J149" s="2" t="s">
        <v>145</v>
      </c>
      <c r="K149" s="2" t="n">
        <v>4</v>
      </c>
      <c r="L149" s="28" t="n">
        <v>25</v>
      </c>
      <c r="M149" s="29" t="n">
        <v>0.0625</v>
      </c>
      <c r="N149" s="28" t="n">
        <v>1.5625</v>
      </c>
      <c r="O149" s="28" t="n">
        <v>16.6</v>
      </c>
      <c r="P149" s="2" t="s">
        <v>146</v>
      </c>
      <c r="Q149" s="29" t="n">
        <v>0.08</v>
      </c>
      <c r="R149" s="30" t="n">
        <v>0.08</v>
      </c>
      <c r="S149" s="31" t="n">
        <v>19.53125</v>
      </c>
      <c r="T149" s="30" t="n">
        <v>0.176581325301205</v>
      </c>
      <c r="U149" s="30" t="n">
        <v>0.270707831325301</v>
      </c>
      <c r="V149" s="29" t="n">
        <v>0</v>
      </c>
      <c r="W149" s="29" t="n">
        <f aca="false">IF(N(Q149)=0,"",Q149+IF(I149="yes",Q149*Inputs!$B$10*Inputs!$B$9,0)+V149)</f>
        <v>0.08</v>
      </c>
      <c r="X149" s="28" t="n">
        <f aca="false">IF(OR(N(W149)&lt;=0,N(N149)=0,N(L149)=0),"",MIN(L149,N149/W149))</f>
        <v>19.53125</v>
      </c>
      <c r="Y149" s="29" t="n">
        <f aca="false">IF(OR(X149="",N(O149)=0),"",X149/O149-1)</f>
        <v>0.176581325301205</v>
      </c>
      <c r="Z149" s="29" t="n">
        <f aca="false">IF(OR(Y149="",N(O149)=0),"",Y149+N149/O149)</f>
        <v>0.270707831325301</v>
      </c>
      <c r="AA149" s="32" t="n">
        <f aca="false">IF(OR(Z149="",N(U149)=0),"",Z149-U149)</f>
        <v>0</v>
      </c>
      <c r="AB149" s="29" t="n">
        <f aca="false">IF(N(Q149)=0,"",Q149+IF(I149="yes",Q149*Inputs!$B$10*Inputs!$B$9,0)+IFERROR(INDEX(Inputs!$B$13:$B$15,MATCH(G149,Inputs!$A$13:$A$15,0)),0)+IFERROR(INDEX(Inputs!$B$18:$B$24,MATCH(H149,Inputs!$A$18:$A$24,0)),0))</f>
        <v>0.08</v>
      </c>
      <c r="AC149" s="28" t="n">
        <f aca="false">IF(OR(N(AB149)&lt;=0,N(N149)=0,N(L149)=0),"",MIN(L149,N149/AB149))</f>
        <v>19.53125</v>
      </c>
      <c r="AD149" s="29" t="n">
        <f aca="false">IF(OR(AC149="",N(O149)=0),"",AC149/O149-1)</f>
        <v>0.176581325301205</v>
      </c>
      <c r="AE149" s="29" t="n">
        <f aca="false">IF(OR(AD149="",N(O149)=0),"",AD149+N149/O149)</f>
        <v>0.270707831325301</v>
      </c>
      <c r="AF149" s="32" t="n">
        <f aca="false">IF(OR(AE149="",N(Z149)=0),"",AE149-Z149)</f>
        <v>0</v>
      </c>
      <c r="AG149" s="28" t="n">
        <f aca="false">IF(AND(N(M149)&gt;0,N(L149)&gt;0),M149*L149,N149)</f>
        <v>1.5625</v>
      </c>
      <c r="AH149" s="28" t="n">
        <f aca="false">IF(OR(N(AB149)&lt;=0,N(AG149)=0,N(L149)=0),"",MIN(L149,AG149/AB149))</f>
        <v>19.53125</v>
      </c>
      <c r="AI149" s="29" t="n">
        <f aca="false">IF(OR(AH149="",N(O149)=0),"",AH149/O149-1)</f>
        <v>0.176581325301205</v>
      </c>
      <c r="AJ149" s="29" t="n">
        <f aca="false">IF(OR(AI149="",N(O149)=0),"",AI149+AG149/O149)</f>
        <v>0.270707831325301</v>
      </c>
      <c r="AK149" s="32" t="n">
        <f aca="false">IF(OR(AJ149="",N(AE149)=0),"",AJ149-AE149)</f>
        <v>0</v>
      </c>
      <c r="AL149" s="33" t="n">
        <f aca="false">IF(N(F149)=0,"",INDEX(Inputs!$B$28:$B$32,IFERROR(MATCH(F149,Inputs!$A$28:$A$32,1),0)+1))</f>
        <v>0.075</v>
      </c>
      <c r="AM149" s="34"/>
      <c r="AN149" s="33" t="n">
        <f aca="false">IF(N(AM149)&gt;0,AM149,AL149)</f>
        <v>0.075</v>
      </c>
      <c r="AO149" s="29" t="n">
        <f aca="false">IF(N(AN149)=0,"",AN149+IF(I149="yes",AN149*Inputs!$B$10*Inputs!$B$9,0)+IFERROR(INDEX(Inputs!$B$13:$B$15,MATCH(G149,Inputs!$A$13:$A$15,0)),0)+IFERROR(INDEX(Inputs!$B$18:$B$24,MATCH(H149,Inputs!$A$18:$A$24,0)),0))</f>
        <v>0.075</v>
      </c>
      <c r="AP149" s="28" t="n">
        <f aca="false">IF(OR(N(AO149)&lt;=0,N(AG149)=0,N(L149)=0),"",MIN(L149,AG149/AO149))</f>
        <v>20.8333333333333</v>
      </c>
      <c r="AQ149" s="29" t="n">
        <f aca="false">IF(OR(AP149="",N(O149)=0),"",AP149/O149-1)</f>
        <v>0.255020080321285</v>
      </c>
      <c r="AR149" s="29" t="n">
        <f aca="false">IF(OR(AQ149="",N(O149)=0),"",AQ149+AG149/O149)</f>
        <v>0.349146586345382</v>
      </c>
      <c r="AS149" s="32" t="n">
        <f aca="false">IF(OR(AR149="",N(AJ149)=0),"",AR149-AJ149)</f>
        <v>0.0784387550200805</v>
      </c>
      <c r="AT149" s="28" t="n">
        <v>25</v>
      </c>
      <c r="AU149" s="28" t="n">
        <v>1.5625</v>
      </c>
      <c r="AV149" s="28" t="n">
        <f aca="false">IF(N(AT149)&gt;0,AT149,L149)</f>
        <v>25</v>
      </c>
      <c r="AW149" s="28" t="n">
        <f aca="false">IF(AND(N(M149)&gt;0,N(AV149)&gt;0),M149*AV149,IF(N(AU149)&gt;0,AU149,N149))</f>
        <v>1.5625</v>
      </c>
      <c r="AX149" s="29" t="n">
        <f aca="false">IF(N(AN149)=0,"",AN149+IF(I149="yes",AN149*Inputs!$B$10*Inputs!$B$9,0)+IFERROR(INDEX(Inputs!$B$13:$B$15,MATCH(G149,Inputs!$A$13:$A$15,0)),0)+IFERROR(INDEX(Inputs!$B$18:$B$24,MATCH(H149,Inputs!$A$18:$A$24,0)),0))</f>
        <v>0.075</v>
      </c>
      <c r="AY149" s="28" t="n">
        <f aca="false">IF(OR(N(AX149)&lt;=0,N(AW149)=0,N(AV149)=0),"",MIN(AV149,AW149/AX149))</f>
        <v>20.8333333333333</v>
      </c>
      <c r="AZ149" s="29" t="n">
        <f aca="false">IF(OR(AY149="",N(O149)=0),"",AY149/O149-1)</f>
        <v>0.255020080321285</v>
      </c>
      <c r="BA149" s="29" t="n">
        <f aca="false">IF(OR(AZ149="",N(O149)=0),"",AZ149+AW149/O149)</f>
        <v>0.349146586345382</v>
      </c>
      <c r="BB149" s="32" t="n">
        <f aca="false">IF(OR(BA149="",N(AR149)=0),"",BA149-AR149)</f>
        <v>0</v>
      </c>
      <c r="BC149" s="35" t="n">
        <f aca="false">IF(OR(BA149="",N(U149)=0),"",BA149-U149)</f>
        <v>0.0784387550200805</v>
      </c>
      <c r="BD149" s="37"/>
    </row>
    <row r="150" customFormat="false" ht="15" hidden="false" customHeight="false" outlineLevel="0" collapsed="false">
      <c r="A150" s="2" t="s">
        <v>140</v>
      </c>
      <c r="B150" s="2" t="n">
        <v>279</v>
      </c>
      <c r="C150" s="2" t="s">
        <v>403</v>
      </c>
      <c r="D150" s="2" t="s">
        <v>399</v>
      </c>
      <c r="E150" s="2" t="s">
        <v>400</v>
      </c>
      <c r="F150" s="27" t="n">
        <v>127400</v>
      </c>
      <c r="G150" s="2" t="s">
        <v>51</v>
      </c>
      <c r="H150" s="2" t="s">
        <v>58</v>
      </c>
      <c r="I150" s="2" t="s">
        <v>144</v>
      </c>
      <c r="J150" s="2" t="s">
        <v>145</v>
      </c>
      <c r="K150" s="2" t="n">
        <v>4</v>
      </c>
      <c r="L150" s="28" t="n">
        <v>25</v>
      </c>
      <c r="M150" s="29" t="n">
        <v>0.03782</v>
      </c>
      <c r="N150" s="28" t="n">
        <v>0.9455</v>
      </c>
      <c r="O150" s="28" t="n">
        <v>0</v>
      </c>
      <c r="P150" s="2" t="s">
        <v>146</v>
      </c>
      <c r="Q150" s="29" t="n">
        <v>0.08</v>
      </c>
      <c r="R150" s="30" t="n">
        <v>0.08</v>
      </c>
      <c r="S150" s="31" t="n">
        <v>11.81875</v>
      </c>
      <c r="T150" s="30"/>
      <c r="U150" s="30"/>
      <c r="V150" s="29" t="n">
        <v>0</v>
      </c>
      <c r="W150" s="29" t="n">
        <f aca="false">IF(N(Q150)=0,"",Q150+IF(I150="yes",Q150*Inputs!$B$10*Inputs!$B$9,0)+V150)</f>
        <v>0.08</v>
      </c>
      <c r="X150" s="28" t="n">
        <f aca="false">IF(OR(N(W150)&lt;=0,N(N150)=0,N(L150)=0),"",MIN(L150,N150/W150))</f>
        <v>11.81875</v>
      </c>
      <c r="Y150" s="29" t="str">
        <f aca="false">IF(OR(X150="",N(O150)=0),"",X150/O150-1)</f>
        <v/>
      </c>
      <c r="Z150" s="29" t="str">
        <f aca="false">IF(OR(Y150="",N(O150)=0),"",Y150+N150/O150)</f>
        <v/>
      </c>
      <c r="AA150" s="32" t="str">
        <f aca="false">IF(OR(Z150="",N(U150)=0),"",Z150-U150)</f>
        <v/>
      </c>
      <c r="AB150" s="29" t="n">
        <f aca="false">IF(N(Q150)=0,"",Q150+IF(I150="yes",Q150*Inputs!$B$10*Inputs!$B$9,0)+IFERROR(INDEX(Inputs!$B$13:$B$15,MATCH(G150,Inputs!$A$13:$A$15,0)),0)+IFERROR(INDEX(Inputs!$B$18:$B$24,MATCH(H150,Inputs!$A$18:$A$24,0)),0))</f>
        <v>0.08</v>
      </c>
      <c r="AC150" s="28" t="n">
        <f aca="false">IF(OR(N(AB150)&lt;=0,N(N150)=0,N(L150)=0),"",MIN(L150,N150/AB150))</f>
        <v>11.81875</v>
      </c>
      <c r="AD150" s="29" t="str">
        <f aca="false">IF(OR(AC150="",N(O150)=0),"",AC150/O150-1)</f>
        <v/>
      </c>
      <c r="AE150" s="29" t="str">
        <f aca="false">IF(OR(AD150="",N(O150)=0),"",AD150+N150/O150)</f>
        <v/>
      </c>
      <c r="AF150" s="32" t="str">
        <f aca="false">IF(OR(AE150="",N(Z150)=0),"",AE150-Z150)</f>
        <v/>
      </c>
      <c r="AG150" s="28" t="n">
        <f aca="false">IF(AND(N(M150)&gt;0,N(L150)&gt;0),M150*L150,N150)</f>
        <v>0.9455</v>
      </c>
      <c r="AH150" s="28" t="n">
        <f aca="false">IF(OR(N(AB150)&lt;=0,N(AG150)=0,N(L150)=0),"",MIN(L150,AG150/AB150))</f>
        <v>11.81875</v>
      </c>
      <c r="AI150" s="29" t="str">
        <f aca="false">IF(OR(AH150="",N(O150)=0),"",AH150/O150-1)</f>
        <v/>
      </c>
      <c r="AJ150" s="29" t="str">
        <f aca="false">IF(OR(AI150="",N(O150)=0),"",AI150+AG150/O150)</f>
        <v/>
      </c>
      <c r="AK150" s="32" t="str">
        <f aca="false">IF(OR(AJ150="",N(AE150)=0),"",AJ150-AE150)</f>
        <v/>
      </c>
      <c r="AL150" s="33" t="n">
        <f aca="false">IF(N(F150)=0,"",INDEX(Inputs!$B$28:$B$32,IFERROR(MATCH(F150,Inputs!$A$28:$A$32,1),0)+1))</f>
        <v>0.075</v>
      </c>
      <c r="AM150" s="34"/>
      <c r="AN150" s="33" t="n">
        <f aca="false">IF(N(AM150)&gt;0,AM150,AL150)</f>
        <v>0.075</v>
      </c>
      <c r="AO150" s="29" t="n">
        <f aca="false">IF(N(AN150)=0,"",AN150+IF(I150="yes",AN150*Inputs!$B$10*Inputs!$B$9,0)+IFERROR(INDEX(Inputs!$B$13:$B$15,MATCH(G150,Inputs!$A$13:$A$15,0)),0)+IFERROR(INDEX(Inputs!$B$18:$B$24,MATCH(H150,Inputs!$A$18:$A$24,0)),0))</f>
        <v>0.075</v>
      </c>
      <c r="AP150" s="28" t="n">
        <f aca="false">IF(OR(N(AO150)&lt;=0,N(AG150)=0,N(L150)=0),"",MIN(L150,AG150/AO150))</f>
        <v>12.6066666666667</v>
      </c>
      <c r="AQ150" s="29" t="str">
        <f aca="false">IF(OR(AP150="",N(O150)=0),"",AP150/O150-1)</f>
        <v/>
      </c>
      <c r="AR150" s="29" t="str">
        <f aca="false">IF(OR(AQ150="",N(O150)=0),"",AQ150+AG150/O150)</f>
        <v/>
      </c>
      <c r="AS150" s="32" t="str">
        <f aca="false">IF(OR(AR150="",N(AJ150)=0),"",AR150-AJ150)</f>
        <v/>
      </c>
      <c r="AT150" s="28" t="n">
        <v>25</v>
      </c>
      <c r="AU150" s="28" t="n">
        <v>0.9455</v>
      </c>
      <c r="AV150" s="28" t="n">
        <f aca="false">IF(N(AT150)&gt;0,AT150,L150)</f>
        <v>25</v>
      </c>
      <c r="AW150" s="28" t="n">
        <f aca="false">IF(AND(N(M150)&gt;0,N(AV150)&gt;0),M150*AV150,IF(N(AU150)&gt;0,AU150,N150))</f>
        <v>0.9455</v>
      </c>
      <c r="AX150" s="29" t="n">
        <f aca="false">IF(N(AN150)=0,"",AN150+IF(I150="yes",AN150*Inputs!$B$10*Inputs!$B$9,0)+IFERROR(INDEX(Inputs!$B$13:$B$15,MATCH(G150,Inputs!$A$13:$A$15,0)),0)+IFERROR(INDEX(Inputs!$B$18:$B$24,MATCH(H150,Inputs!$A$18:$A$24,0)),0))</f>
        <v>0.075</v>
      </c>
      <c r="AY150" s="28" t="n">
        <f aca="false">IF(OR(N(AX150)&lt;=0,N(AW150)=0,N(AV150)=0),"",MIN(AV150,AW150/AX150))</f>
        <v>12.6066666666667</v>
      </c>
      <c r="AZ150" s="29" t="str">
        <f aca="false">IF(OR(AY150="",N(O150)=0),"",AY150/O150-1)</f>
        <v/>
      </c>
      <c r="BA150" s="29" t="str">
        <f aca="false">IF(OR(AZ150="",N(O150)=0),"",AZ150+AW150/O150)</f>
        <v/>
      </c>
      <c r="BB150" s="32" t="str">
        <f aca="false">IF(OR(BA150="",N(AR150)=0),"",BA150-AR150)</f>
        <v/>
      </c>
      <c r="BC150" s="35" t="str">
        <f aca="false">IF(OR(BA150="",N(U150)=0),"",BA150-U150)</f>
        <v/>
      </c>
      <c r="BD150" s="36" t="s">
        <v>404</v>
      </c>
    </row>
    <row r="151" customFormat="false" ht="15" hidden="false" customHeight="false" outlineLevel="0" collapsed="false">
      <c r="A151" s="2" t="s">
        <v>140</v>
      </c>
      <c r="B151" s="2" t="n">
        <v>280</v>
      </c>
      <c r="C151" s="2" t="s">
        <v>405</v>
      </c>
      <c r="D151" s="2" t="s">
        <v>399</v>
      </c>
      <c r="E151" s="2" t="s">
        <v>400</v>
      </c>
      <c r="F151" s="27" t="n">
        <v>127400</v>
      </c>
      <c r="G151" s="2" t="s">
        <v>51</v>
      </c>
      <c r="H151" s="2" t="s">
        <v>58</v>
      </c>
      <c r="I151" s="2" t="s">
        <v>144</v>
      </c>
      <c r="J151" s="2" t="s">
        <v>145</v>
      </c>
      <c r="K151" s="2" t="n">
        <v>4</v>
      </c>
      <c r="L151" s="28" t="n">
        <v>25</v>
      </c>
      <c r="M151" s="29" t="n">
        <v>0.049</v>
      </c>
      <c r="N151" s="28" t="n">
        <v>1.225</v>
      </c>
      <c r="O151" s="28" t="n">
        <v>15.2697</v>
      </c>
      <c r="P151" s="2" t="s">
        <v>146</v>
      </c>
      <c r="Q151" s="29" t="n">
        <v>0.08</v>
      </c>
      <c r="R151" s="30" t="n">
        <v>0.08</v>
      </c>
      <c r="S151" s="31" t="n">
        <v>15.3125</v>
      </c>
      <c r="T151" s="30" t="n">
        <v>0.00280293653444397</v>
      </c>
      <c r="U151" s="30" t="n">
        <v>0.0830271714571995</v>
      </c>
      <c r="V151" s="29" t="n">
        <v>0</v>
      </c>
      <c r="W151" s="29" t="n">
        <f aca="false">IF(N(Q151)=0,"",Q151+IF(I151="yes",Q151*Inputs!$B$10*Inputs!$B$9,0)+V151)</f>
        <v>0.08</v>
      </c>
      <c r="X151" s="28" t="n">
        <f aca="false">IF(OR(N(W151)&lt;=0,N(N151)=0,N(L151)=0),"",MIN(L151,N151/W151))</f>
        <v>15.3125</v>
      </c>
      <c r="Y151" s="29" t="n">
        <f aca="false">IF(OR(X151="",N(O151)=0),"",X151/O151-1)</f>
        <v>0.00280293653444397</v>
      </c>
      <c r="Z151" s="29" t="n">
        <f aca="false">IF(OR(Y151="",N(O151)=0),"",Y151+N151/O151)</f>
        <v>0.0830271714571995</v>
      </c>
      <c r="AA151" s="32" t="n">
        <f aca="false">IF(OR(Z151="",N(U151)=0),"",Z151-U151)</f>
        <v>0</v>
      </c>
      <c r="AB151" s="29" t="n">
        <f aca="false">IF(N(Q151)=0,"",Q151+IF(I151="yes",Q151*Inputs!$B$10*Inputs!$B$9,0)+IFERROR(INDEX(Inputs!$B$13:$B$15,MATCH(G151,Inputs!$A$13:$A$15,0)),0)+IFERROR(INDEX(Inputs!$B$18:$B$24,MATCH(H151,Inputs!$A$18:$A$24,0)),0))</f>
        <v>0.08</v>
      </c>
      <c r="AC151" s="28" t="n">
        <f aca="false">IF(OR(N(AB151)&lt;=0,N(N151)=0,N(L151)=0),"",MIN(L151,N151/AB151))</f>
        <v>15.3125</v>
      </c>
      <c r="AD151" s="29" t="n">
        <f aca="false">IF(OR(AC151="",N(O151)=0),"",AC151/O151-1)</f>
        <v>0.00280293653444397</v>
      </c>
      <c r="AE151" s="29" t="n">
        <f aca="false">IF(OR(AD151="",N(O151)=0),"",AD151+N151/O151)</f>
        <v>0.0830271714571995</v>
      </c>
      <c r="AF151" s="32" t="n">
        <f aca="false">IF(OR(AE151="",N(Z151)=0),"",AE151-Z151)</f>
        <v>0</v>
      </c>
      <c r="AG151" s="28" t="n">
        <f aca="false">IF(AND(N(M151)&gt;0,N(L151)&gt;0),M151*L151,N151)</f>
        <v>1.225</v>
      </c>
      <c r="AH151" s="28" t="n">
        <f aca="false">IF(OR(N(AB151)&lt;=0,N(AG151)=0,N(L151)=0),"",MIN(L151,AG151/AB151))</f>
        <v>15.3125</v>
      </c>
      <c r="AI151" s="29" t="n">
        <f aca="false">IF(OR(AH151="",N(O151)=0),"",AH151/O151-1)</f>
        <v>0.00280293653444397</v>
      </c>
      <c r="AJ151" s="29" t="n">
        <f aca="false">IF(OR(AI151="",N(O151)=0),"",AI151+AG151/O151)</f>
        <v>0.0830271714571995</v>
      </c>
      <c r="AK151" s="32" t="n">
        <f aca="false">IF(OR(AJ151="",N(AE151)=0),"",AJ151-AE151)</f>
        <v>0</v>
      </c>
      <c r="AL151" s="33" t="n">
        <f aca="false">IF(N(F151)=0,"",INDEX(Inputs!$B$28:$B$32,IFERROR(MATCH(F151,Inputs!$A$28:$A$32,1),0)+1))</f>
        <v>0.075</v>
      </c>
      <c r="AM151" s="34"/>
      <c r="AN151" s="33" t="n">
        <f aca="false">IF(N(AM151)&gt;0,AM151,AL151)</f>
        <v>0.075</v>
      </c>
      <c r="AO151" s="29" t="n">
        <f aca="false">IF(N(AN151)=0,"",AN151+IF(I151="yes",AN151*Inputs!$B$10*Inputs!$B$9,0)+IFERROR(INDEX(Inputs!$B$13:$B$15,MATCH(G151,Inputs!$A$13:$A$15,0)),0)+IFERROR(INDEX(Inputs!$B$18:$B$24,MATCH(H151,Inputs!$A$18:$A$24,0)),0))</f>
        <v>0.075</v>
      </c>
      <c r="AP151" s="28" t="n">
        <f aca="false">IF(OR(N(AO151)&lt;=0,N(AG151)=0,N(L151)=0),"",MIN(L151,AG151/AO151))</f>
        <v>16.3333333333333</v>
      </c>
      <c r="AQ151" s="29" t="n">
        <f aca="false">IF(OR(AP151="",N(O151)=0),"",AP151/O151-1)</f>
        <v>0.0696564656367404</v>
      </c>
      <c r="AR151" s="29" t="n">
        <f aca="false">IF(OR(AQ151="",N(O151)=0),"",AQ151+AG151/O151)</f>
        <v>0.149880700559496</v>
      </c>
      <c r="AS151" s="32" t="n">
        <f aca="false">IF(OR(AR151="",N(AJ151)=0),"",AR151-AJ151)</f>
        <v>0.0668535291022965</v>
      </c>
      <c r="AT151" s="28" t="n">
        <v>25</v>
      </c>
      <c r="AU151" s="28" t="n">
        <v>1.225</v>
      </c>
      <c r="AV151" s="28" t="n">
        <f aca="false">IF(N(AT151)&gt;0,AT151,L151)</f>
        <v>25</v>
      </c>
      <c r="AW151" s="28" t="n">
        <f aca="false">IF(AND(N(M151)&gt;0,N(AV151)&gt;0),M151*AV151,IF(N(AU151)&gt;0,AU151,N151))</f>
        <v>1.225</v>
      </c>
      <c r="AX151" s="29" t="n">
        <f aca="false">IF(N(AN151)=0,"",AN151+IF(I151="yes",AN151*Inputs!$B$10*Inputs!$B$9,0)+IFERROR(INDEX(Inputs!$B$13:$B$15,MATCH(G151,Inputs!$A$13:$A$15,0)),0)+IFERROR(INDEX(Inputs!$B$18:$B$24,MATCH(H151,Inputs!$A$18:$A$24,0)),0))</f>
        <v>0.075</v>
      </c>
      <c r="AY151" s="28" t="n">
        <f aca="false">IF(OR(N(AX151)&lt;=0,N(AW151)=0,N(AV151)=0),"",MIN(AV151,AW151/AX151))</f>
        <v>16.3333333333333</v>
      </c>
      <c r="AZ151" s="29" t="n">
        <f aca="false">IF(OR(AY151="",N(O151)=0),"",AY151/O151-1)</f>
        <v>0.0696564656367404</v>
      </c>
      <c r="BA151" s="29" t="n">
        <f aca="false">IF(OR(AZ151="",N(O151)=0),"",AZ151+AW151/O151)</f>
        <v>0.149880700559496</v>
      </c>
      <c r="BB151" s="32" t="n">
        <f aca="false">IF(OR(BA151="",N(AR151)=0),"",BA151-AR151)</f>
        <v>0</v>
      </c>
      <c r="BC151" s="35" t="n">
        <f aca="false">IF(OR(BA151="",N(U151)=0),"",BA151-U151)</f>
        <v>0.0668535291022965</v>
      </c>
      <c r="BD151" s="36" t="s">
        <v>406</v>
      </c>
    </row>
    <row r="152" customFormat="false" ht="15" hidden="false" customHeight="false" outlineLevel="0" collapsed="false">
      <c r="A152" s="2" t="s">
        <v>140</v>
      </c>
      <c r="B152" s="2" t="n">
        <v>281</v>
      </c>
      <c r="C152" s="2" t="s">
        <v>407</v>
      </c>
      <c r="D152" s="2" t="s">
        <v>399</v>
      </c>
      <c r="E152" s="2" t="s">
        <v>400</v>
      </c>
      <c r="F152" s="27" t="n">
        <v>127400</v>
      </c>
      <c r="G152" s="2" t="s">
        <v>51</v>
      </c>
      <c r="H152" s="2" t="s">
        <v>58</v>
      </c>
      <c r="I152" s="2" t="s">
        <v>144</v>
      </c>
      <c r="J152" s="2" t="s">
        <v>145</v>
      </c>
      <c r="K152" s="2" t="n">
        <v>4</v>
      </c>
      <c r="L152" s="28" t="n">
        <v>25</v>
      </c>
      <c r="M152" s="29" t="n">
        <v>0.06625</v>
      </c>
      <c r="N152" s="28" t="n">
        <v>1.65625</v>
      </c>
      <c r="O152" s="28" t="n">
        <v>20.63</v>
      </c>
      <c r="P152" s="2" t="s">
        <v>146</v>
      </c>
      <c r="Q152" s="29" t="n">
        <v>0.08</v>
      </c>
      <c r="R152" s="30" t="n">
        <v>0.08</v>
      </c>
      <c r="S152" s="31" t="n">
        <v>20.703125</v>
      </c>
      <c r="T152" s="30" t="n">
        <v>0.00354459524963646</v>
      </c>
      <c r="U152" s="30" t="n">
        <v>0.0838281628696074</v>
      </c>
      <c r="V152" s="29" t="n">
        <v>0</v>
      </c>
      <c r="W152" s="29" t="n">
        <f aca="false">IF(N(Q152)=0,"",Q152+IF(I152="yes",Q152*Inputs!$B$10*Inputs!$B$9,0)+V152)</f>
        <v>0.08</v>
      </c>
      <c r="X152" s="28" t="n">
        <f aca="false">IF(OR(N(W152)&lt;=0,N(N152)=0,N(L152)=0),"",MIN(L152,N152/W152))</f>
        <v>20.703125</v>
      </c>
      <c r="Y152" s="29" t="n">
        <f aca="false">IF(OR(X152="",N(O152)=0),"",X152/O152-1)</f>
        <v>0.00354459524963646</v>
      </c>
      <c r="Z152" s="29" t="n">
        <f aca="false">IF(OR(Y152="",N(O152)=0),"",Y152+N152/O152)</f>
        <v>0.0838281628696074</v>
      </c>
      <c r="AA152" s="32" t="n">
        <f aca="false">IF(OR(Z152="",N(U152)=0),"",Z152-U152)</f>
        <v>0</v>
      </c>
      <c r="AB152" s="29" t="n">
        <f aca="false">IF(N(Q152)=0,"",Q152+IF(I152="yes",Q152*Inputs!$B$10*Inputs!$B$9,0)+IFERROR(INDEX(Inputs!$B$13:$B$15,MATCH(G152,Inputs!$A$13:$A$15,0)),0)+IFERROR(INDEX(Inputs!$B$18:$B$24,MATCH(H152,Inputs!$A$18:$A$24,0)),0))</f>
        <v>0.08</v>
      </c>
      <c r="AC152" s="28" t="n">
        <f aca="false">IF(OR(N(AB152)&lt;=0,N(N152)=0,N(L152)=0),"",MIN(L152,N152/AB152))</f>
        <v>20.703125</v>
      </c>
      <c r="AD152" s="29" t="n">
        <f aca="false">IF(OR(AC152="",N(O152)=0),"",AC152/O152-1)</f>
        <v>0.00354459524963646</v>
      </c>
      <c r="AE152" s="29" t="n">
        <f aca="false">IF(OR(AD152="",N(O152)=0),"",AD152+N152/O152)</f>
        <v>0.0838281628696074</v>
      </c>
      <c r="AF152" s="32" t="n">
        <f aca="false">IF(OR(AE152="",N(Z152)=0),"",AE152-Z152)</f>
        <v>0</v>
      </c>
      <c r="AG152" s="28" t="n">
        <f aca="false">IF(AND(N(M152)&gt;0,N(L152)&gt;0),M152*L152,N152)</f>
        <v>1.65625</v>
      </c>
      <c r="AH152" s="28" t="n">
        <f aca="false">IF(OR(N(AB152)&lt;=0,N(AG152)=0,N(L152)=0),"",MIN(L152,AG152/AB152))</f>
        <v>20.703125</v>
      </c>
      <c r="AI152" s="29" t="n">
        <f aca="false">IF(OR(AH152="",N(O152)=0),"",AH152/O152-1)</f>
        <v>0.00354459524963646</v>
      </c>
      <c r="AJ152" s="29" t="n">
        <f aca="false">IF(OR(AI152="",N(O152)=0),"",AI152+AG152/O152)</f>
        <v>0.0838281628696074</v>
      </c>
      <c r="AK152" s="32" t="n">
        <f aca="false">IF(OR(AJ152="",N(AE152)=0),"",AJ152-AE152)</f>
        <v>0</v>
      </c>
      <c r="AL152" s="33" t="n">
        <f aca="false">IF(N(F152)=0,"",INDEX(Inputs!$B$28:$B$32,IFERROR(MATCH(F152,Inputs!$A$28:$A$32,1),0)+1))</f>
        <v>0.075</v>
      </c>
      <c r="AM152" s="34"/>
      <c r="AN152" s="33" t="n">
        <f aca="false">IF(N(AM152)&gt;0,AM152,AL152)</f>
        <v>0.075</v>
      </c>
      <c r="AO152" s="29" t="n">
        <f aca="false">IF(N(AN152)=0,"",AN152+IF(I152="yes",AN152*Inputs!$B$10*Inputs!$B$9,0)+IFERROR(INDEX(Inputs!$B$13:$B$15,MATCH(G152,Inputs!$A$13:$A$15,0)),0)+IFERROR(INDEX(Inputs!$B$18:$B$24,MATCH(H152,Inputs!$A$18:$A$24,0)),0))</f>
        <v>0.075</v>
      </c>
      <c r="AP152" s="28" t="n">
        <f aca="false">IF(OR(N(AO152)&lt;=0,N(AG152)=0,N(L152)=0),"",MIN(L152,AG152/AO152))</f>
        <v>22.0833333333333</v>
      </c>
      <c r="AQ152" s="29" t="n">
        <f aca="false">IF(OR(AP152="",N(O152)=0),"",AP152/O152-1)</f>
        <v>0.0704475682662791</v>
      </c>
      <c r="AR152" s="29" t="n">
        <f aca="false">IF(OR(AQ152="",N(O152)=0),"",AQ152+AG152/O152)</f>
        <v>0.15073113588625</v>
      </c>
      <c r="AS152" s="32" t="n">
        <f aca="false">IF(OR(AR152="",N(AJ152)=0),"",AR152-AJ152)</f>
        <v>0.0669029730166426</v>
      </c>
      <c r="AT152" s="28" t="n">
        <v>25</v>
      </c>
      <c r="AU152" s="28" t="n">
        <v>1.66</v>
      </c>
      <c r="AV152" s="28" t="n">
        <f aca="false">IF(N(AT152)&gt;0,AT152,L152)</f>
        <v>25</v>
      </c>
      <c r="AW152" s="28" t="n">
        <f aca="false">IF(AND(N(M152)&gt;0,N(AV152)&gt;0),M152*AV152,IF(N(AU152)&gt;0,AU152,N152))</f>
        <v>1.65625</v>
      </c>
      <c r="AX152" s="29" t="n">
        <f aca="false">IF(N(AN152)=0,"",AN152+IF(I152="yes",AN152*Inputs!$B$10*Inputs!$B$9,0)+IFERROR(INDEX(Inputs!$B$13:$B$15,MATCH(G152,Inputs!$A$13:$A$15,0)),0)+IFERROR(INDEX(Inputs!$B$18:$B$24,MATCH(H152,Inputs!$A$18:$A$24,0)),0))</f>
        <v>0.075</v>
      </c>
      <c r="AY152" s="28" t="n">
        <f aca="false">IF(OR(N(AX152)&lt;=0,N(AW152)=0,N(AV152)=0),"",MIN(AV152,AW152/AX152))</f>
        <v>22.0833333333333</v>
      </c>
      <c r="AZ152" s="29" t="n">
        <f aca="false">IF(OR(AY152="",N(O152)=0),"",AY152/O152-1)</f>
        <v>0.0704475682662791</v>
      </c>
      <c r="BA152" s="29" t="n">
        <f aca="false">IF(OR(AZ152="",N(O152)=0),"",AZ152+AW152/O152)</f>
        <v>0.15073113588625</v>
      </c>
      <c r="BB152" s="32" t="n">
        <f aca="false">IF(OR(BA152="",N(AR152)=0),"",BA152-AR152)</f>
        <v>0</v>
      </c>
      <c r="BC152" s="35" t="n">
        <f aca="false">IF(OR(BA152="",N(U152)=0),"",BA152-U152)</f>
        <v>0.0669029730166426</v>
      </c>
      <c r="BD152" s="37"/>
    </row>
    <row r="153" customFormat="false" ht="15" hidden="false" customHeight="false" outlineLevel="0" collapsed="false">
      <c r="A153" s="2" t="s">
        <v>140</v>
      </c>
      <c r="B153" s="2" t="n">
        <v>282</v>
      </c>
      <c r="C153" s="2" t="s">
        <v>408</v>
      </c>
      <c r="D153" s="2" t="s">
        <v>399</v>
      </c>
      <c r="E153" s="2" t="s">
        <v>400</v>
      </c>
      <c r="F153" s="27" t="n">
        <v>127400</v>
      </c>
      <c r="G153" s="2" t="s">
        <v>51</v>
      </c>
      <c r="H153" s="2" t="s">
        <v>58</v>
      </c>
      <c r="I153" s="2" t="s">
        <v>144</v>
      </c>
      <c r="J153" s="2" t="s">
        <v>145</v>
      </c>
      <c r="K153" s="2" t="n">
        <v>4</v>
      </c>
      <c r="L153" s="28" t="n">
        <v>25</v>
      </c>
      <c r="M153" s="29" t="n">
        <v>0.0655</v>
      </c>
      <c r="N153" s="28" t="n">
        <v>1.6375</v>
      </c>
      <c r="O153" s="28" t="n">
        <v>20.5</v>
      </c>
      <c r="P153" s="2" t="s">
        <v>146</v>
      </c>
      <c r="Q153" s="29" t="n">
        <v>0.08</v>
      </c>
      <c r="R153" s="30" t="n">
        <v>0.08</v>
      </c>
      <c r="S153" s="31" t="n">
        <v>20.46875</v>
      </c>
      <c r="T153" s="30" t="n">
        <v>-0.00152439024390239</v>
      </c>
      <c r="U153" s="30" t="n">
        <v>0.0783536585365854</v>
      </c>
      <c r="V153" s="29" t="n">
        <v>0</v>
      </c>
      <c r="W153" s="29" t="n">
        <f aca="false">IF(N(Q153)=0,"",Q153+IF(I153="yes",Q153*Inputs!$B$10*Inputs!$B$9,0)+V153)</f>
        <v>0.08</v>
      </c>
      <c r="X153" s="28" t="n">
        <f aca="false">IF(OR(N(W153)&lt;=0,N(N153)=0,N(L153)=0),"",MIN(L153,N153/W153))</f>
        <v>20.46875</v>
      </c>
      <c r="Y153" s="29" t="n">
        <f aca="false">IF(OR(X153="",N(O153)=0),"",X153/O153-1)</f>
        <v>-0.00152439024390238</v>
      </c>
      <c r="Z153" s="29" t="n">
        <f aca="false">IF(OR(Y153="",N(O153)=0),"",Y153+N153/O153)</f>
        <v>0.0783536585365854</v>
      </c>
      <c r="AA153" s="32" t="n">
        <f aca="false">IF(OR(Z153="",N(U153)=0),"",Z153-U153)</f>
        <v>0</v>
      </c>
      <c r="AB153" s="29" t="n">
        <f aca="false">IF(N(Q153)=0,"",Q153+IF(I153="yes",Q153*Inputs!$B$10*Inputs!$B$9,0)+IFERROR(INDEX(Inputs!$B$13:$B$15,MATCH(G153,Inputs!$A$13:$A$15,0)),0)+IFERROR(INDEX(Inputs!$B$18:$B$24,MATCH(H153,Inputs!$A$18:$A$24,0)),0))</f>
        <v>0.08</v>
      </c>
      <c r="AC153" s="28" t="n">
        <f aca="false">IF(OR(N(AB153)&lt;=0,N(N153)=0,N(L153)=0),"",MIN(L153,N153/AB153))</f>
        <v>20.46875</v>
      </c>
      <c r="AD153" s="29" t="n">
        <f aca="false">IF(OR(AC153="",N(O153)=0),"",AC153/O153-1)</f>
        <v>-0.00152439024390238</v>
      </c>
      <c r="AE153" s="29" t="n">
        <f aca="false">IF(OR(AD153="",N(O153)=0),"",AD153+N153/O153)</f>
        <v>0.0783536585365854</v>
      </c>
      <c r="AF153" s="32" t="n">
        <f aca="false">IF(OR(AE153="",N(Z153)=0),"",AE153-Z153)</f>
        <v>0</v>
      </c>
      <c r="AG153" s="28" t="n">
        <f aca="false">IF(AND(N(M153)&gt;0,N(L153)&gt;0),M153*L153,N153)</f>
        <v>1.6375</v>
      </c>
      <c r="AH153" s="28" t="n">
        <f aca="false">IF(OR(N(AB153)&lt;=0,N(AG153)=0,N(L153)=0),"",MIN(L153,AG153/AB153))</f>
        <v>20.46875</v>
      </c>
      <c r="AI153" s="29" t="n">
        <f aca="false">IF(OR(AH153="",N(O153)=0),"",AH153/O153-1)</f>
        <v>-0.00152439024390227</v>
      </c>
      <c r="AJ153" s="29" t="n">
        <f aca="false">IF(OR(AI153="",N(O153)=0),"",AI153+AG153/O153)</f>
        <v>0.0783536585365856</v>
      </c>
      <c r="AK153" s="32" t="n">
        <f aca="false">IF(OR(AJ153="",N(AE153)=0),"",AJ153-AE153)</f>
        <v>0</v>
      </c>
      <c r="AL153" s="33" t="n">
        <f aca="false">IF(N(F153)=0,"",INDEX(Inputs!$B$28:$B$32,IFERROR(MATCH(F153,Inputs!$A$28:$A$32,1),0)+1))</f>
        <v>0.075</v>
      </c>
      <c r="AM153" s="34"/>
      <c r="AN153" s="33" t="n">
        <f aca="false">IF(N(AM153)&gt;0,AM153,AL153)</f>
        <v>0.075</v>
      </c>
      <c r="AO153" s="29" t="n">
        <f aca="false">IF(N(AN153)=0,"",AN153+IF(I153="yes",AN153*Inputs!$B$10*Inputs!$B$9,0)+IFERROR(INDEX(Inputs!$B$13:$B$15,MATCH(G153,Inputs!$A$13:$A$15,0)),0)+IFERROR(INDEX(Inputs!$B$18:$B$24,MATCH(H153,Inputs!$A$18:$A$24,0)),0))</f>
        <v>0.075</v>
      </c>
      <c r="AP153" s="28" t="n">
        <f aca="false">IF(OR(N(AO153)&lt;=0,N(AG153)=0,N(L153)=0),"",MIN(L153,AG153/AO153))</f>
        <v>21.8333333333333</v>
      </c>
      <c r="AQ153" s="29" t="n">
        <f aca="false">IF(OR(AP153="",N(O153)=0),"",AP153/O153-1)</f>
        <v>0.0650406504065042</v>
      </c>
      <c r="AR153" s="29" t="n">
        <f aca="false">IF(OR(AQ153="",N(O153)=0),"",AQ153+AG153/O153)</f>
        <v>0.144918699186992</v>
      </c>
      <c r="AS153" s="32" t="n">
        <f aca="false">IF(OR(AR153="",N(AJ153)=0),"",AR153-AJ153)</f>
        <v>0.0665650406504065</v>
      </c>
      <c r="AT153" s="28" t="n">
        <v>25</v>
      </c>
      <c r="AU153" s="28" t="n">
        <v>1.64</v>
      </c>
      <c r="AV153" s="28" t="n">
        <f aca="false">IF(N(AT153)&gt;0,AT153,L153)</f>
        <v>25</v>
      </c>
      <c r="AW153" s="28" t="n">
        <f aca="false">IF(AND(N(M153)&gt;0,N(AV153)&gt;0),M153*AV153,IF(N(AU153)&gt;0,AU153,N153))</f>
        <v>1.6375</v>
      </c>
      <c r="AX153" s="29" t="n">
        <f aca="false">IF(N(AN153)=0,"",AN153+IF(I153="yes",AN153*Inputs!$B$10*Inputs!$B$9,0)+IFERROR(INDEX(Inputs!$B$13:$B$15,MATCH(G153,Inputs!$A$13:$A$15,0)),0)+IFERROR(INDEX(Inputs!$B$18:$B$24,MATCH(H153,Inputs!$A$18:$A$24,0)),0))</f>
        <v>0.075</v>
      </c>
      <c r="AY153" s="28" t="n">
        <f aca="false">IF(OR(N(AX153)&lt;=0,N(AW153)=0,N(AV153)=0),"",MIN(AV153,AW153/AX153))</f>
        <v>21.8333333333333</v>
      </c>
      <c r="AZ153" s="29" t="n">
        <f aca="false">IF(OR(AY153="",N(O153)=0),"",AY153/O153-1)</f>
        <v>0.0650406504065042</v>
      </c>
      <c r="BA153" s="29" t="n">
        <f aca="false">IF(OR(AZ153="",N(O153)=0),"",AZ153+AW153/O153)</f>
        <v>0.144918699186992</v>
      </c>
      <c r="BB153" s="32" t="n">
        <f aca="false">IF(OR(BA153="",N(AR153)=0),"",BA153-AR153)</f>
        <v>0</v>
      </c>
      <c r="BC153" s="35" t="n">
        <f aca="false">IF(OR(BA153="",N(U153)=0),"",BA153-U153)</f>
        <v>0.0665650406504066</v>
      </c>
      <c r="BD153" s="37"/>
    </row>
    <row r="154" customFormat="false" ht="15" hidden="false" customHeight="false" outlineLevel="0" collapsed="false">
      <c r="A154" s="2" t="s">
        <v>140</v>
      </c>
      <c r="B154" s="2" t="n">
        <v>285</v>
      </c>
      <c r="C154" s="2" t="s">
        <v>409</v>
      </c>
      <c r="D154" s="2" t="s">
        <v>410</v>
      </c>
      <c r="E154" s="2" t="s">
        <v>411</v>
      </c>
      <c r="F154" s="27" t="n">
        <v>3100</v>
      </c>
      <c r="G154" s="2" t="s">
        <v>51</v>
      </c>
      <c r="H154" s="2" t="s">
        <v>58</v>
      </c>
      <c r="I154" s="2" t="s">
        <v>151</v>
      </c>
      <c r="J154" s="2" t="s">
        <v>145</v>
      </c>
      <c r="K154" s="2" t="n">
        <v>4</v>
      </c>
      <c r="L154" s="28" t="n">
        <v>25</v>
      </c>
      <c r="M154" s="29" t="n">
        <v>0.04375</v>
      </c>
      <c r="N154" s="28" t="n">
        <v>1.09375</v>
      </c>
      <c r="O154" s="28" t="n">
        <v>15.49</v>
      </c>
      <c r="P154" s="2" t="s">
        <v>146</v>
      </c>
      <c r="Q154" s="29" t="n">
        <v>0.08</v>
      </c>
      <c r="R154" s="30" t="n">
        <v>0.076</v>
      </c>
      <c r="S154" s="31" t="n">
        <v>14.3914473684211</v>
      </c>
      <c r="T154" s="30" t="n">
        <v>-0.0709201182426693</v>
      </c>
      <c r="U154" s="30" t="n">
        <v>-0.000310047229112168</v>
      </c>
      <c r="V154" s="29" t="n">
        <v>0</v>
      </c>
      <c r="W154" s="29" t="n">
        <f aca="false">IF(N(Q154)=0,"",Q154+IF(I154="yes",Q154*Inputs!$B$10*Inputs!$B$9,0)+V154)</f>
        <v>0.076</v>
      </c>
      <c r="X154" s="28" t="n">
        <f aca="false">IF(OR(N(W154)&lt;=0,N(N154)=0,N(L154)=0),"",MIN(L154,N154/W154))</f>
        <v>14.3914473684211</v>
      </c>
      <c r="Y154" s="29" t="n">
        <f aca="false">IF(OR(X154="",N(O154)=0),"",X154/O154-1)</f>
        <v>-0.0709201182426693</v>
      </c>
      <c r="Z154" s="29" t="n">
        <f aca="false">IF(OR(Y154="",N(O154)=0),"",Y154+N154/O154)</f>
        <v>-0.000310047229112168</v>
      </c>
      <c r="AA154" s="32" t="n">
        <f aca="false">IF(OR(Z154="",N(U154)=0),"",Z154-U154)</f>
        <v>0</v>
      </c>
      <c r="AB154" s="29" t="n">
        <f aca="false">IF(N(Q154)=0,"",Q154+IF(I154="yes",Q154*Inputs!$B$10*Inputs!$B$9,0)+IFERROR(INDEX(Inputs!$B$13:$B$15,MATCH(G154,Inputs!$A$13:$A$15,0)),0)+IFERROR(INDEX(Inputs!$B$18:$B$24,MATCH(H154,Inputs!$A$18:$A$24,0)),0))</f>
        <v>0.076</v>
      </c>
      <c r="AC154" s="28" t="n">
        <f aca="false">IF(OR(N(AB154)&lt;=0,N(N154)=0,N(L154)=0),"",MIN(L154,N154/AB154))</f>
        <v>14.3914473684211</v>
      </c>
      <c r="AD154" s="29" t="n">
        <f aca="false">IF(OR(AC154="",N(O154)=0),"",AC154/O154-1)</f>
        <v>-0.0709201182426693</v>
      </c>
      <c r="AE154" s="29" t="n">
        <f aca="false">IF(OR(AD154="",N(O154)=0),"",AD154+N154/O154)</f>
        <v>-0.000310047229112168</v>
      </c>
      <c r="AF154" s="32" t="n">
        <f aca="false">IF(OR(AE154="",N(Z154)=0),"",AE154-Z154)</f>
        <v>0</v>
      </c>
      <c r="AG154" s="28" t="n">
        <f aca="false">IF(AND(N(M154)&gt;0,N(L154)&gt;0),M154*L154,N154)</f>
        <v>1.09375</v>
      </c>
      <c r="AH154" s="28" t="n">
        <f aca="false">IF(OR(N(AB154)&lt;=0,N(AG154)=0,N(L154)=0),"",MIN(L154,AG154/AB154))</f>
        <v>14.3914473684211</v>
      </c>
      <c r="AI154" s="29" t="n">
        <f aca="false">IF(OR(AH154="",N(O154)=0),"",AH154/O154-1)</f>
        <v>-0.0709201182426693</v>
      </c>
      <c r="AJ154" s="29" t="n">
        <f aca="false">IF(OR(AI154="",N(O154)=0),"",AI154+AG154/O154)</f>
        <v>-0.000310047229112168</v>
      </c>
      <c r="AK154" s="32" t="n">
        <f aca="false">IF(OR(AJ154="",N(AE154)=0),"",AJ154-AE154)</f>
        <v>0</v>
      </c>
      <c r="AL154" s="33" t="n">
        <f aca="false">IF(N(F154)=0,"",INDEX(Inputs!$B$28:$B$32,IFERROR(MATCH(F154,Inputs!$A$28:$A$32,1),0)+1))</f>
        <v>0.085</v>
      </c>
      <c r="AM154" s="34"/>
      <c r="AN154" s="33" t="n">
        <f aca="false">IF(N(AM154)&gt;0,AM154,AL154)</f>
        <v>0.085</v>
      </c>
      <c r="AO154" s="29" t="n">
        <f aca="false">IF(N(AN154)=0,"",AN154+IF(I154="yes",AN154*Inputs!$B$10*Inputs!$B$9,0)+IFERROR(INDEX(Inputs!$B$13:$B$15,MATCH(G154,Inputs!$A$13:$A$15,0)),0)+IFERROR(INDEX(Inputs!$B$18:$B$24,MATCH(H154,Inputs!$A$18:$A$24,0)),0))</f>
        <v>0.08075</v>
      </c>
      <c r="AP154" s="28" t="n">
        <f aca="false">IF(OR(N(AO154)&lt;=0,N(AG154)=0,N(L154)=0),"",MIN(L154,AG154/AO154))</f>
        <v>13.5448916408669</v>
      </c>
      <c r="AQ154" s="29" t="n">
        <f aca="false">IF(OR(AP154="",N(O154)=0),"",AP154/O154-1)</f>
        <v>-0.125571875993101</v>
      </c>
      <c r="AR154" s="29" t="n">
        <f aca="false">IF(OR(AQ154="",N(O154)=0),"",AQ154+AG154/O154)</f>
        <v>-0.0549618049795435</v>
      </c>
      <c r="AS154" s="32" t="n">
        <f aca="false">IF(OR(AR154="",N(AJ154)=0),"",AR154-AJ154)</f>
        <v>-0.0546517577504313</v>
      </c>
      <c r="AT154" s="28" t="n">
        <v>25</v>
      </c>
      <c r="AU154" s="28" t="n">
        <v>1.09375</v>
      </c>
      <c r="AV154" s="28" t="n">
        <f aca="false">IF(N(AT154)&gt;0,AT154,L154)</f>
        <v>25</v>
      </c>
      <c r="AW154" s="28" t="n">
        <f aca="false">IF(AND(N(M154)&gt;0,N(AV154)&gt;0),M154*AV154,IF(N(AU154)&gt;0,AU154,N154))</f>
        <v>1.09375</v>
      </c>
      <c r="AX154" s="29" t="n">
        <f aca="false">IF(N(AN154)=0,"",AN154+IF(I154="yes",AN154*Inputs!$B$10*Inputs!$B$9,0)+IFERROR(INDEX(Inputs!$B$13:$B$15,MATCH(G154,Inputs!$A$13:$A$15,0)),0)+IFERROR(INDEX(Inputs!$B$18:$B$24,MATCH(H154,Inputs!$A$18:$A$24,0)),0))</f>
        <v>0.08075</v>
      </c>
      <c r="AY154" s="28" t="n">
        <f aca="false">IF(OR(N(AX154)&lt;=0,N(AW154)=0,N(AV154)=0),"",MIN(AV154,AW154/AX154))</f>
        <v>13.5448916408669</v>
      </c>
      <c r="AZ154" s="29" t="n">
        <f aca="false">IF(OR(AY154="",N(O154)=0),"",AY154/O154-1)</f>
        <v>-0.125571875993101</v>
      </c>
      <c r="BA154" s="29" t="n">
        <f aca="false">IF(OR(AZ154="",N(O154)=0),"",AZ154+AW154/O154)</f>
        <v>-0.0549618049795435</v>
      </c>
      <c r="BB154" s="32" t="n">
        <f aca="false">IF(OR(BA154="",N(AR154)=0),"",BA154-AR154)</f>
        <v>0</v>
      </c>
      <c r="BC154" s="35" t="n">
        <f aca="false">IF(OR(BA154="",N(U154)=0),"",BA154-U154)</f>
        <v>-0.0546517577504313</v>
      </c>
      <c r="BD154" s="37"/>
    </row>
    <row r="155" customFormat="false" ht="15" hidden="false" customHeight="false" outlineLevel="0" collapsed="false">
      <c r="A155" s="2" t="s">
        <v>140</v>
      </c>
      <c r="B155" s="2" t="n">
        <v>289</v>
      </c>
      <c r="C155" s="2" t="s">
        <v>412</v>
      </c>
      <c r="D155" s="2" t="s">
        <v>413</v>
      </c>
      <c r="E155" s="2" t="s">
        <v>414</v>
      </c>
      <c r="F155" s="27" t="n">
        <v>10700</v>
      </c>
      <c r="G155" s="2" t="s">
        <v>54</v>
      </c>
      <c r="H155" s="2" t="s">
        <v>58</v>
      </c>
      <c r="I155" s="2" t="s">
        <v>144</v>
      </c>
      <c r="J155" s="2" t="s">
        <v>168</v>
      </c>
      <c r="K155" s="2" t="n">
        <v>12</v>
      </c>
      <c r="L155" s="28" t="n">
        <v>25</v>
      </c>
      <c r="M155" s="29" t="n">
        <v>0.06125</v>
      </c>
      <c r="N155" s="28" t="n">
        <v>1.53125</v>
      </c>
      <c r="O155" s="28" t="n">
        <v>25.16</v>
      </c>
      <c r="P155" s="2" t="s">
        <v>146</v>
      </c>
      <c r="Q155" s="29" t="n">
        <v>0.085</v>
      </c>
      <c r="R155" s="30" t="n">
        <v>0</v>
      </c>
      <c r="S155" s="31"/>
      <c r="T155" s="30"/>
      <c r="U155" s="30"/>
      <c r="V155" s="29" t="n">
        <v>-0.005</v>
      </c>
      <c r="W155" s="29" t="n">
        <f aca="false">IF(N(Q155)=0,"",Q155+IF(I155="yes",Q155*Inputs!$B$10*Inputs!$B$9,0)+V155)</f>
        <v>0.08</v>
      </c>
      <c r="X155" s="28" t="n">
        <f aca="false">IF(OR(N(W155)&lt;=0,N(N155)=0,N(L155)=0),"",MIN(L155,N155/W155))</f>
        <v>19.140625</v>
      </c>
      <c r="Y155" s="29" t="n">
        <f aca="false">IF(OR(X155="",N(O155)=0),"",X155/O155-1)</f>
        <v>-0.239243839427663</v>
      </c>
      <c r="Z155" s="29" t="n">
        <f aca="false">IF(OR(Y155="",N(O155)=0),"",Y155+N155/O155)</f>
        <v>-0.178383346581876</v>
      </c>
      <c r="AA155" s="32" t="str">
        <f aca="false">IF(OR(Z155="",N(U155)=0),"",Z155-U155)</f>
        <v/>
      </c>
      <c r="AB155" s="29" t="n">
        <f aca="false">IF(N(Q155)=0,"",Q155+IF(I155="yes",Q155*Inputs!$B$10*Inputs!$B$9,0)+IFERROR(INDEX(Inputs!$B$13:$B$15,MATCH(G155,Inputs!$A$13:$A$15,0)),0)+IFERROR(INDEX(Inputs!$B$18:$B$24,MATCH(H155,Inputs!$A$18:$A$24,0)),0))</f>
        <v>0.08</v>
      </c>
      <c r="AC155" s="28" t="n">
        <f aca="false">IF(OR(N(AB155)&lt;=0,N(N155)=0,N(L155)=0),"",MIN(L155,N155/AB155))</f>
        <v>19.140625</v>
      </c>
      <c r="AD155" s="29" t="n">
        <f aca="false">IF(OR(AC155="",N(O155)=0),"",AC155/O155-1)</f>
        <v>-0.239243839427663</v>
      </c>
      <c r="AE155" s="29" t="n">
        <f aca="false">IF(OR(AD155="",N(O155)=0),"",AD155+N155/O155)</f>
        <v>-0.178383346581876</v>
      </c>
      <c r="AF155" s="32" t="n">
        <f aca="false">IF(OR(AE155="",N(Z155)=0),"",AE155-Z155)</f>
        <v>0</v>
      </c>
      <c r="AG155" s="28" t="n">
        <f aca="false">IF(AND(N(M155)&gt;0,N(L155)&gt;0),M155*L155,N155)</f>
        <v>1.53125</v>
      </c>
      <c r="AH155" s="28" t="n">
        <f aca="false">IF(OR(N(AB155)&lt;=0,N(AG155)=0,N(L155)=0),"",MIN(L155,AG155/AB155))</f>
        <v>19.140625</v>
      </c>
      <c r="AI155" s="29" t="n">
        <f aca="false">IF(OR(AH155="",N(O155)=0),"",AH155/O155-1)</f>
        <v>-0.239243839427663</v>
      </c>
      <c r="AJ155" s="29" t="n">
        <f aca="false">IF(OR(AI155="",N(O155)=0),"",AI155+AG155/O155)</f>
        <v>-0.178383346581876</v>
      </c>
      <c r="AK155" s="32" t="n">
        <f aca="false">IF(OR(AJ155="",N(AE155)=0),"",AJ155-AE155)</f>
        <v>0</v>
      </c>
      <c r="AL155" s="33" t="n">
        <f aca="false">IF(N(F155)=0,"",INDEX(Inputs!$B$28:$B$32,IFERROR(MATCH(F155,Inputs!$A$28:$A$32,1),0)+1))</f>
        <v>0.08</v>
      </c>
      <c r="AM155" s="34"/>
      <c r="AN155" s="33" t="n">
        <f aca="false">IF(N(AM155)&gt;0,AM155,AL155)</f>
        <v>0.08</v>
      </c>
      <c r="AO155" s="29" t="n">
        <f aca="false">IF(N(AN155)=0,"",AN155+IF(I155="yes",AN155*Inputs!$B$10*Inputs!$B$9,0)+IFERROR(INDEX(Inputs!$B$13:$B$15,MATCH(G155,Inputs!$A$13:$A$15,0)),0)+IFERROR(INDEX(Inputs!$B$18:$B$24,MATCH(H155,Inputs!$A$18:$A$24,0)),0))</f>
        <v>0.075</v>
      </c>
      <c r="AP155" s="28" t="n">
        <f aca="false">IF(OR(N(AO155)&lt;=0,N(AG155)=0,N(L155)=0),"",MIN(L155,AG155/AO155))</f>
        <v>20.4166666666667</v>
      </c>
      <c r="AQ155" s="29" t="n">
        <f aca="false">IF(OR(AP155="",N(O155)=0),"",AP155/O155-1)</f>
        <v>-0.188526762056174</v>
      </c>
      <c r="AR155" s="29" t="n">
        <f aca="false">IF(OR(AQ155="",N(O155)=0),"",AQ155+AG155/O155)</f>
        <v>-0.127666269210387</v>
      </c>
      <c r="AS155" s="32" t="n">
        <f aca="false">IF(OR(AR155="",N(AJ155)=0),"",AR155-AJ155)</f>
        <v>0.0507170773714891</v>
      </c>
      <c r="AT155" s="28" t="n">
        <v>25</v>
      </c>
      <c r="AU155" s="28" t="n">
        <v>1.53</v>
      </c>
      <c r="AV155" s="28" t="n">
        <f aca="false">IF(N(AT155)&gt;0,AT155,L155)</f>
        <v>25</v>
      </c>
      <c r="AW155" s="28" t="n">
        <f aca="false">IF(AND(N(M155)&gt;0,N(AV155)&gt;0),M155*AV155,IF(N(AU155)&gt;0,AU155,N155))</f>
        <v>1.53125</v>
      </c>
      <c r="AX155" s="29" t="n">
        <f aca="false">IF(N(AN155)=0,"",AN155+IF(I155="yes",AN155*Inputs!$B$10*Inputs!$B$9,0)+IFERROR(INDEX(Inputs!$B$13:$B$15,MATCH(G155,Inputs!$A$13:$A$15,0)),0)+IFERROR(INDEX(Inputs!$B$18:$B$24,MATCH(H155,Inputs!$A$18:$A$24,0)),0))</f>
        <v>0.075</v>
      </c>
      <c r="AY155" s="28" t="n">
        <f aca="false">IF(OR(N(AX155)&lt;=0,N(AW155)=0,N(AV155)=0),"",MIN(AV155,AW155/AX155))</f>
        <v>20.4166666666667</v>
      </c>
      <c r="AZ155" s="29" t="n">
        <f aca="false">IF(OR(AY155="",N(O155)=0),"",AY155/O155-1)</f>
        <v>-0.188526762056174</v>
      </c>
      <c r="BA155" s="29" t="n">
        <f aca="false">IF(OR(AZ155="",N(O155)=0),"",AZ155+AW155/O155)</f>
        <v>-0.127666269210387</v>
      </c>
      <c r="BB155" s="32" t="n">
        <f aca="false">IF(OR(BA155="",N(AR155)=0),"",BA155-AR155)</f>
        <v>0</v>
      </c>
      <c r="BC155" s="35" t="str">
        <f aca="false">IF(OR(BA155="",N(U155)=0),"",BA155-U155)</f>
        <v/>
      </c>
      <c r="BD155" s="37"/>
    </row>
    <row r="156" customFormat="false" ht="15" hidden="false" customHeight="false" outlineLevel="0" collapsed="false">
      <c r="A156" s="2" t="s">
        <v>140</v>
      </c>
      <c r="B156" s="2" t="n">
        <v>290</v>
      </c>
      <c r="C156" s="2" t="s">
        <v>415</v>
      </c>
      <c r="D156" s="2" t="s">
        <v>413</v>
      </c>
      <c r="E156" s="2" t="s">
        <v>414</v>
      </c>
      <c r="F156" s="27" t="n">
        <v>10700</v>
      </c>
      <c r="G156" s="2" t="s">
        <v>51</v>
      </c>
      <c r="H156" s="2" t="s">
        <v>58</v>
      </c>
      <c r="I156" s="2" t="s">
        <v>151</v>
      </c>
      <c r="J156" s="2" t="s">
        <v>168</v>
      </c>
      <c r="K156" s="2" t="n">
        <v>12</v>
      </c>
      <c r="L156" s="28" t="n">
        <v>25</v>
      </c>
      <c r="M156" s="29" t="n">
        <v>0.06375</v>
      </c>
      <c r="N156" s="28" t="n">
        <v>1.59375</v>
      </c>
      <c r="O156" s="28" t="n">
        <v>25.18</v>
      </c>
      <c r="P156" s="2" t="s">
        <v>316</v>
      </c>
      <c r="Q156" s="29" t="n">
        <v>0.085</v>
      </c>
      <c r="R156" s="30"/>
      <c r="S156" s="31"/>
      <c r="T156" s="30"/>
      <c r="U156" s="30"/>
      <c r="V156" s="29" t="n">
        <v>0</v>
      </c>
      <c r="W156" s="29" t="n">
        <f aca="false">IF(N(Q156)=0,"",Q156+IF(I156="yes",Q156*Inputs!$B$10*Inputs!$B$9,0)+V156)</f>
        <v>0.08075</v>
      </c>
      <c r="X156" s="28" t="n">
        <f aca="false">IF(OR(N(W156)&lt;=0,N(N156)=0,N(L156)=0),"",MIN(L156,N156/W156))</f>
        <v>19.7368421052632</v>
      </c>
      <c r="Y156" s="29" t="n">
        <f aca="false">IF(OR(X156="",N(O156)=0),"",X156/O156-1)</f>
        <v>-0.21616989256302</v>
      </c>
      <c r="Z156" s="29" t="n">
        <f aca="false">IF(OR(Y156="",N(O156)=0),"",Y156+N156/O156)</f>
        <v>-0.152875611387484</v>
      </c>
      <c r="AA156" s="32" t="str">
        <f aca="false">IF(OR(Z156="",N(U156)=0),"",Z156-U156)</f>
        <v/>
      </c>
      <c r="AB156" s="29" t="n">
        <f aca="false">IF(N(Q156)=0,"",Q156+IF(I156="yes",Q156*Inputs!$B$10*Inputs!$B$9,0)+IFERROR(INDEX(Inputs!$B$13:$B$15,MATCH(G156,Inputs!$A$13:$A$15,0)),0)+IFERROR(INDEX(Inputs!$B$18:$B$24,MATCH(H156,Inputs!$A$18:$A$24,0)),0))</f>
        <v>0.08075</v>
      </c>
      <c r="AC156" s="28" t="n">
        <f aca="false">IF(OR(N(AB156)&lt;=0,N(N156)=0,N(L156)=0),"",MIN(L156,N156/AB156))</f>
        <v>19.7368421052632</v>
      </c>
      <c r="AD156" s="29" t="n">
        <f aca="false">IF(OR(AC156="",N(O156)=0),"",AC156/O156-1)</f>
        <v>-0.21616989256302</v>
      </c>
      <c r="AE156" s="29" t="n">
        <f aca="false">IF(OR(AD156="",N(O156)=0),"",AD156+N156/O156)</f>
        <v>-0.152875611387484</v>
      </c>
      <c r="AF156" s="32" t="n">
        <f aca="false">IF(OR(AE156="",N(Z156)=0),"",AE156-Z156)</f>
        <v>0</v>
      </c>
      <c r="AG156" s="28" t="n">
        <f aca="false">IF(AND(N(M156)&gt;0,N(L156)&gt;0),M156*L156,N156)</f>
        <v>1.59375</v>
      </c>
      <c r="AH156" s="28" t="n">
        <f aca="false">IF(OR(N(AB156)&lt;=0,N(AG156)=0,N(L156)=0),"",MIN(L156,AG156/AB156))</f>
        <v>19.7368421052632</v>
      </c>
      <c r="AI156" s="29" t="n">
        <f aca="false">IF(OR(AH156="",N(O156)=0),"",AH156/O156-1)</f>
        <v>-0.21616989256302</v>
      </c>
      <c r="AJ156" s="29" t="n">
        <f aca="false">IF(OR(AI156="",N(O156)=0),"",AI156+AG156/O156)</f>
        <v>-0.152875611387484</v>
      </c>
      <c r="AK156" s="32" t="n">
        <f aca="false">IF(OR(AJ156="",N(AE156)=0),"",AJ156-AE156)</f>
        <v>0</v>
      </c>
      <c r="AL156" s="33" t="n">
        <f aca="false">IF(N(F156)=0,"",INDEX(Inputs!$B$28:$B$32,IFERROR(MATCH(F156,Inputs!$A$28:$A$32,1),0)+1))</f>
        <v>0.08</v>
      </c>
      <c r="AM156" s="34"/>
      <c r="AN156" s="33" t="n">
        <f aca="false">IF(N(AM156)&gt;0,AM156,AL156)</f>
        <v>0.08</v>
      </c>
      <c r="AO156" s="29" t="n">
        <f aca="false">IF(N(AN156)=0,"",AN156+IF(I156="yes",AN156*Inputs!$B$10*Inputs!$B$9,0)+IFERROR(INDEX(Inputs!$B$13:$B$15,MATCH(G156,Inputs!$A$13:$A$15,0)),0)+IFERROR(INDEX(Inputs!$B$18:$B$24,MATCH(H156,Inputs!$A$18:$A$24,0)),0))</f>
        <v>0.076</v>
      </c>
      <c r="AP156" s="28" t="n">
        <f aca="false">IF(OR(N(AO156)&lt;=0,N(AG156)=0,N(L156)=0),"",MIN(L156,AG156/AO156))</f>
        <v>20.9703947368421</v>
      </c>
      <c r="AQ156" s="29" t="n">
        <f aca="false">IF(OR(AP156="",N(O156)=0),"",AP156/O156-1)</f>
        <v>-0.167180510848209</v>
      </c>
      <c r="AR156" s="29" t="n">
        <f aca="false">IF(OR(AQ156="",N(O156)=0),"",AQ156+AG156/O156)</f>
        <v>-0.103886229672672</v>
      </c>
      <c r="AS156" s="32" t="n">
        <f aca="false">IF(OR(AR156="",N(AJ156)=0),"",AR156-AJ156)</f>
        <v>0.0489893817148114</v>
      </c>
      <c r="AT156" s="28" t="n">
        <v>25</v>
      </c>
      <c r="AU156" s="28" t="n">
        <v>1.59</v>
      </c>
      <c r="AV156" s="28" t="n">
        <f aca="false">IF(N(AT156)&gt;0,AT156,L156)</f>
        <v>25</v>
      </c>
      <c r="AW156" s="28" t="n">
        <f aca="false">IF(AND(N(M156)&gt;0,N(AV156)&gt;0),M156*AV156,IF(N(AU156)&gt;0,AU156,N156))</f>
        <v>1.59375</v>
      </c>
      <c r="AX156" s="29" t="n">
        <f aca="false">IF(N(AN156)=0,"",AN156+IF(I156="yes",AN156*Inputs!$B$10*Inputs!$B$9,0)+IFERROR(INDEX(Inputs!$B$13:$B$15,MATCH(G156,Inputs!$A$13:$A$15,0)),0)+IFERROR(INDEX(Inputs!$B$18:$B$24,MATCH(H156,Inputs!$A$18:$A$24,0)),0))</f>
        <v>0.076</v>
      </c>
      <c r="AY156" s="28" t="n">
        <f aca="false">IF(OR(N(AX156)&lt;=0,N(AW156)=0,N(AV156)=0),"",MIN(AV156,AW156/AX156))</f>
        <v>20.9703947368421</v>
      </c>
      <c r="AZ156" s="29" t="n">
        <f aca="false">IF(OR(AY156="",N(O156)=0),"",AY156/O156-1)</f>
        <v>-0.167180510848209</v>
      </c>
      <c r="BA156" s="29" t="n">
        <f aca="false">IF(OR(AZ156="",N(O156)=0),"",AZ156+AW156/O156)</f>
        <v>-0.103886229672672</v>
      </c>
      <c r="BB156" s="32" t="n">
        <f aca="false">IF(OR(BA156="",N(AR156)=0),"",BA156-AR156)</f>
        <v>0</v>
      </c>
      <c r="BC156" s="35" t="str">
        <f aca="false">IF(OR(BA156="",N(U156)=0),"",BA156-U156)</f>
        <v/>
      </c>
      <c r="BD156" s="36" t="s">
        <v>416</v>
      </c>
    </row>
    <row r="157" customFormat="false" ht="15" hidden="false" customHeight="false" outlineLevel="0" collapsed="false">
      <c r="A157" s="2" t="s">
        <v>140</v>
      </c>
      <c r="B157" s="2" t="n">
        <v>293</v>
      </c>
      <c r="C157" s="2" t="s">
        <v>417</v>
      </c>
      <c r="D157" s="2" t="s">
        <v>418</v>
      </c>
      <c r="E157" s="2" t="s">
        <v>143</v>
      </c>
      <c r="F157" s="27"/>
      <c r="G157" s="2" t="s">
        <v>51</v>
      </c>
      <c r="H157" s="2" t="s">
        <v>58</v>
      </c>
      <c r="I157" s="2" t="s">
        <v>144</v>
      </c>
      <c r="J157" s="2" t="s">
        <v>145</v>
      </c>
      <c r="K157" s="2" t="n">
        <v>4</v>
      </c>
      <c r="L157" s="28" t="n">
        <v>25</v>
      </c>
      <c r="M157" s="29" t="n">
        <v>0.0575</v>
      </c>
      <c r="N157" s="28" t="n">
        <v>1.4375</v>
      </c>
      <c r="O157" s="28" t="n">
        <v>14</v>
      </c>
      <c r="P157" s="2" t="s">
        <v>146</v>
      </c>
      <c r="Q157" s="29" t="n">
        <v>0.1</v>
      </c>
      <c r="R157" s="30" t="n">
        <v>0.1</v>
      </c>
      <c r="S157" s="31" t="n">
        <v>14.375</v>
      </c>
      <c r="T157" s="30" t="n">
        <v>0.0267857142857142</v>
      </c>
      <c r="U157" s="30" t="n">
        <v>0.129464285714286</v>
      </c>
      <c r="V157" s="29" t="n">
        <v>0</v>
      </c>
      <c r="W157" s="29" t="n">
        <f aca="false">IF(N(Q157)=0,"",Q157+IF(I157="yes",Q157*Inputs!$B$10*Inputs!$B$9,0)+V157)</f>
        <v>0.1</v>
      </c>
      <c r="X157" s="28" t="n">
        <f aca="false">IF(OR(N(W157)&lt;=0,N(N157)=0,N(L157)=0),"",MIN(L157,N157/W157))</f>
        <v>14.375</v>
      </c>
      <c r="Y157" s="29" t="n">
        <f aca="false">IF(OR(X157="",N(O157)=0),"",X157/O157-1)</f>
        <v>0.0267857142857142</v>
      </c>
      <c r="Z157" s="29" t="n">
        <f aca="false">IF(OR(Y157="",N(O157)=0),"",Y157+N157/O157)</f>
        <v>0.129464285714286</v>
      </c>
      <c r="AA157" s="32" t="n">
        <f aca="false">IF(OR(Z157="",N(U157)=0),"",Z157-U157)</f>
        <v>0</v>
      </c>
      <c r="AB157" s="29" t="n">
        <f aca="false">IF(N(Q157)=0,"",Q157+IF(I157="yes",Q157*Inputs!$B$10*Inputs!$B$9,0)+IFERROR(INDEX(Inputs!$B$13:$B$15,MATCH(G157,Inputs!$A$13:$A$15,0)),0)+IFERROR(INDEX(Inputs!$B$18:$B$24,MATCH(H157,Inputs!$A$18:$A$24,0)),0))</f>
        <v>0.1</v>
      </c>
      <c r="AC157" s="28" t="n">
        <f aca="false">IF(OR(N(AB157)&lt;=0,N(N157)=0,N(L157)=0),"",MIN(L157,N157/AB157))</f>
        <v>14.375</v>
      </c>
      <c r="AD157" s="29" t="n">
        <f aca="false">IF(OR(AC157="",N(O157)=0),"",AC157/O157-1)</f>
        <v>0.0267857142857142</v>
      </c>
      <c r="AE157" s="29" t="n">
        <f aca="false">IF(OR(AD157="",N(O157)=0),"",AD157+N157/O157)</f>
        <v>0.129464285714286</v>
      </c>
      <c r="AF157" s="32" t="n">
        <f aca="false">IF(OR(AE157="",N(Z157)=0),"",AE157-Z157)</f>
        <v>0</v>
      </c>
      <c r="AG157" s="28" t="n">
        <f aca="false">IF(AND(N(M157)&gt;0,N(L157)&gt;0),M157*L157,N157)</f>
        <v>1.4375</v>
      </c>
      <c r="AH157" s="28" t="n">
        <f aca="false">IF(OR(N(AB157)&lt;=0,N(AG157)=0,N(L157)=0),"",MIN(L157,AG157/AB157))</f>
        <v>14.375</v>
      </c>
      <c r="AI157" s="29" t="n">
        <f aca="false">IF(OR(AH157="",N(O157)=0),"",AH157/O157-1)</f>
        <v>0.0267857142857142</v>
      </c>
      <c r="AJ157" s="29" t="n">
        <f aca="false">IF(OR(AI157="",N(O157)=0),"",AI157+AG157/O157)</f>
        <v>0.129464285714286</v>
      </c>
      <c r="AK157" s="32" t="n">
        <f aca="false">IF(OR(AJ157="",N(AE157)=0),"",AJ157-AE157)</f>
        <v>0</v>
      </c>
      <c r="AL157" s="33" t="str">
        <f aca="false">IF(N(F157)=0,"",INDEX(Inputs!$B$28:$B$32,IFERROR(MATCH(F157,Inputs!$A$28:$A$32,1),0)+1))</f>
        <v/>
      </c>
      <c r="AM157" s="34"/>
      <c r="AN157" s="33" t="str">
        <f aca="false">IF(N(AM157)&gt;0,AM157,AL157)</f>
        <v/>
      </c>
      <c r="AO157" s="29" t="str">
        <f aca="false">IF(N(AN157)=0,"",AN157+IF(I157="yes",AN157*Inputs!$B$10*Inputs!$B$9,0)+IFERROR(INDEX(Inputs!$B$13:$B$15,MATCH(G157,Inputs!$A$13:$A$15,0)),0)+IFERROR(INDEX(Inputs!$B$18:$B$24,MATCH(H157,Inputs!$A$18:$A$24,0)),0))</f>
        <v/>
      </c>
      <c r="AP157" s="28" t="str">
        <f aca="false">IF(OR(N(AO157)&lt;=0,N(AG157)=0,N(L157)=0),"",MIN(L157,AG157/AO157))</f>
        <v/>
      </c>
      <c r="AQ157" s="29" t="str">
        <f aca="false">IF(OR(AP157="",N(O157)=0),"",AP157/O157-1)</f>
        <v/>
      </c>
      <c r="AR157" s="29" t="str">
        <f aca="false">IF(OR(AQ157="",N(O157)=0),"",AQ157+AG157/O157)</f>
        <v/>
      </c>
      <c r="AS157" s="32" t="str">
        <f aca="false">IF(OR(AR157="",N(AJ157)=0),"",AR157-AJ157)</f>
        <v/>
      </c>
      <c r="AT157" s="28" t="n">
        <v>25</v>
      </c>
      <c r="AU157" s="28" t="n">
        <v>1.39375</v>
      </c>
      <c r="AV157" s="28" t="n">
        <f aca="false">IF(N(AT157)&gt;0,AT157,L157)</f>
        <v>25</v>
      </c>
      <c r="AW157" s="28" t="n">
        <f aca="false">IF(AND(N(M157)&gt;0,N(AV157)&gt;0),M157*AV157,IF(N(AU157)&gt;0,AU157,N157))</f>
        <v>1.4375</v>
      </c>
      <c r="AX157" s="29" t="str">
        <f aca="false">IF(N(AN157)=0,"",AN157+IF(I157="yes",AN157*Inputs!$B$10*Inputs!$B$9,0)+IFERROR(INDEX(Inputs!$B$13:$B$15,MATCH(G157,Inputs!$A$13:$A$15,0)),0)+IFERROR(INDEX(Inputs!$B$18:$B$24,MATCH(H157,Inputs!$A$18:$A$24,0)),0))</f>
        <v/>
      </c>
      <c r="AY157" s="28" t="str">
        <f aca="false">IF(OR(N(AX157)&lt;=0,N(AW157)=0,N(AV157)=0),"",MIN(AV157,AW157/AX157))</f>
        <v/>
      </c>
      <c r="AZ157" s="29" t="str">
        <f aca="false">IF(OR(AY157="",N(O157)=0),"",AY157/O157-1)</f>
        <v/>
      </c>
      <c r="BA157" s="29" t="str">
        <f aca="false">IF(OR(AZ157="",N(O157)=0),"",AZ157+AW157/O157)</f>
        <v/>
      </c>
      <c r="BB157" s="32" t="str">
        <f aca="false">IF(OR(BA157="",N(AR157)=0),"",BA157-AR157)</f>
        <v/>
      </c>
      <c r="BC157" s="35" t="str">
        <f aca="false">IF(OR(BA157="",N(U157)=0),"",BA157-U157)</f>
        <v/>
      </c>
      <c r="BD157" s="37"/>
    </row>
    <row r="158" customFormat="false" ht="15" hidden="false" customHeight="false" outlineLevel="0" collapsed="false">
      <c r="A158" s="2" t="s">
        <v>140</v>
      </c>
      <c r="B158" s="2" t="n">
        <v>294</v>
      </c>
      <c r="C158" s="2" t="s">
        <v>419</v>
      </c>
      <c r="D158" s="2" t="s">
        <v>418</v>
      </c>
      <c r="E158" s="2" t="s">
        <v>143</v>
      </c>
      <c r="F158" s="27"/>
      <c r="G158" s="2" t="s">
        <v>51</v>
      </c>
      <c r="H158" s="2" t="s">
        <v>58</v>
      </c>
      <c r="I158" s="2" t="s">
        <v>144</v>
      </c>
      <c r="J158" s="2" t="s">
        <v>145</v>
      </c>
      <c r="K158" s="2" t="n">
        <v>4</v>
      </c>
      <c r="L158" s="28" t="n">
        <v>25</v>
      </c>
      <c r="M158" s="29" t="n">
        <v>0.0636</v>
      </c>
      <c r="N158" s="28" t="n">
        <v>1.59</v>
      </c>
      <c r="O158" s="28" t="n">
        <v>15.33</v>
      </c>
      <c r="P158" s="2" t="s">
        <v>146</v>
      </c>
      <c r="Q158" s="29" t="n">
        <v>0.1</v>
      </c>
      <c r="R158" s="30" t="n">
        <v>0.1</v>
      </c>
      <c r="S158" s="31" t="n">
        <v>15.9</v>
      </c>
      <c r="T158" s="30" t="n">
        <v>0.0371819960861057</v>
      </c>
      <c r="U158" s="30" t="n">
        <v>0.140900195694716</v>
      </c>
      <c r="V158" s="29" t="n">
        <v>0</v>
      </c>
      <c r="W158" s="29" t="n">
        <f aca="false">IF(N(Q158)=0,"",Q158+IF(I158="yes",Q158*Inputs!$B$10*Inputs!$B$9,0)+V158)</f>
        <v>0.1</v>
      </c>
      <c r="X158" s="28" t="n">
        <f aca="false">IF(OR(N(W158)&lt;=0,N(N158)=0,N(L158)=0),"",MIN(L158,N158/W158))</f>
        <v>15.9</v>
      </c>
      <c r="Y158" s="29" t="n">
        <f aca="false">IF(OR(X158="",N(O158)=0),"",X158/O158-1)</f>
        <v>0.0371819960861057</v>
      </c>
      <c r="Z158" s="29" t="n">
        <f aca="false">IF(OR(Y158="",N(O158)=0),"",Y158+N158/O158)</f>
        <v>0.140900195694716</v>
      </c>
      <c r="AA158" s="32" t="n">
        <f aca="false">IF(OR(Z158="",N(U158)=0),"",Z158-U158)</f>
        <v>0</v>
      </c>
      <c r="AB158" s="29" t="n">
        <f aca="false">IF(N(Q158)=0,"",Q158+IF(I158="yes",Q158*Inputs!$B$10*Inputs!$B$9,0)+IFERROR(INDEX(Inputs!$B$13:$B$15,MATCH(G158,Inputs!$A$13:$A$15,0)),0)+IFERROR(INDEX(Inputs!$B$18:$B$24,MATCH(H158,Inputs!$A$18:$A$24,0)),0))</f>
        <v>0.1</v>
      </c>
      <c r="AC158" s="28" t="n">
        <f aca="false">IF(OR(N(AB158)&lt;=0,N(N158)=0,N(L158)=0),"",MIN(L158,N158/AB158))</f>
        <v>15.9</v>
      </c>
      <c r="AD158" s="29" t="n">
        <f aca="false">IF(OR(AC158="",N(O158)=0),"",AC158/O158-1)</f>
        <v>0.0371819960861057</v>
      </c>
      <c r="AE158" s="29" t="n">
        <f aca="false">IF(OR(AD158="",N(O158)=0),"",AD158+N158/O158)</f>
        <v>0.140900195694716</v>
      </c>
      <c r="AF158" s="32" t="n">
        <f aca="false">IF(OR(AE158="",N(Z158)=0),"",AE158-Z158)</f>
        <v>0</v>
      </c>
      <c r="AG158" s="28" t="n">
        <f aca="false">IF(AND(N(M158)&gt;0,N(L158)&gt;0),M158*L158,N158)</f>
        <v>1.59</v>
      </c>
      <c r="AH158" s="28" t="n">
        <f aca="false">IF(OR(N(AB158)&lt;=0,N(AG158)=0,N(L158)=0),"",MIN(L158,AG158/AB158))</f>
        <v>15.9</v>
      </c>
      <c r="AI158" s="29" t="n">
        <f aca="false">IF(OR(AH158="",N(O158)=0),"",AH158/O158-1)</f>
        <v>0.0371819960861057</v>
      </c>
      <c r="AJ158" s="29" t="n">
        <f aca="false">IF(OR(AI158="",N(O158)=0),"",AI158+AG158/O158)</f>
        <v>0.140900195694716</v>
      </c>
      <c r="AK158" s="32" t="n">
        <f aca="false">IF(OR(AJ158="",N(AE158)=0),"",AJ158-AE158)</f>
        <v>0</v>
      </c>
      <c r="AL158" s="33" t="str">
        <f aca="false">IF(N(F158)=0,"",INDEX(Inputs!$B$28:$B$32,IFERROR(MATCH(F158,Inputs!$A$28:$A$32,1),0)+1))</f>
        <v/>
      </c>
      <c r="AM158" s="34"/>
      <c r="AN158" s="33" t="str">
        <f aca="false">IF(N(AM158)&gt;0,AM158,AL158)</f>
        <v/>
      </c>
      <c r="AO158" s="29" t="str">
        <f aca="false">IF(N(AN158)=0,"",AN158+IF(I158="yes",AN158*Inputs!$B$10*Inputs!$B$9,0)+IFERROR(INDEX(Inputs!$B$13:$B$15,MATCH(G158,Inputs!$A$13:$A$15,0)),0)+IFERROR(INDEX(Inputs!$B$18:$B$24,MATCH(H158,Inputs!$A$18:$A$24,0)),0))</f>
        <v/>
      </c>
      <c r="AP158" s="28" t="str">
        <f aca="false">IF(OR(N(AO158)&lt;=0,N(AG158)=0,N(L158)=0),"",MIN(L158,AG158/AO158))</f>
        <v/>
      </c>
      <c r="AQ158" s="29" t="str">
        <f aca="false">IF(OR(AP158="",N(O158)=0),"",AP158/O158-1)</f>
        <v/>
      </c>
      <c r="AR158" s="29" t="str">
        <f aca="false">IF(OR(AQ158="",N(O158)=0),"",AQ158+AG158/O158)</f>
        <v/>
      </c>
      <c r="AS158" s="32" t="str">
        <f aca="false">IF(OR(AR158="",N(AJ158)=0),"",AR158-AJ158)</f>
        <v/>
      </c>
      <c r="AT158" s="28" t="n">
        <v>25</v>
      </c>
      <c r="AU158" s="28" t="n">
        <v>1.59</v>
      </c>
      <c r="AV158" s="28" t="n">
        <f aca="false">IF(N(AT158)&gt;0,AT158,L158)</f>
        <v>25</v>
      </c>
      <c r="AW158" s="28" t="n">
        <f aca="false">IF(AND(N(M158)&gt;0,N(AV158)&gt;0),M158*AV158,IF(N(AU158)&gt;0,AU158,N158))</f>
        <v>1.59</v>
      </c>
      <c r="AX158" s="29" t="str">
        <f aca="false">IF(N(AN158)=0,"",AN158+IF(I158="yes",AN158*Inputs!$B$10*Inputs!$B$9,0)+IFERROR(INDEX(Inputs!$B$13:$B$15,MATCH(G158,Inputs!$A$13:$A$15,0)),0)+IFERROR(INDEX(Inputs!$B$18:$B$24,MATCH(H158,Inputs!$A$18:$A$24,0)),0))</f>
        <v/>
      </c>
      <c r="AY158" s="28" t="str">
        <f aca="false">IF(OR(N(AX158)&lt;=0,N(AW158)=0,N(AV158)=0),"",MIN(AV158,AW158/AX158))</f>
        <v/>
      </c>
      <c r="AZ158" s="29" t="str">
        <f aca="false">IF(OR(AY158="",N(O158)=0),"",AY158/O158-1)</f>
        <v/>
      </c>
      <c r="BA158" s="29" t="str">
        <f aca="false">IF(OR(AZ158="",N(O158)=0),"",AZ158+AW158/O158)</f>
        <v/>
      </c>
      <c r="BB158" s="32" t="str">
        <f aca="false">IF(OR(BA158="",N(AR158)=0),"",BA158-AR158)</f>
        <v/>
      </c>
      <c r="BC158" s="35" t="str">
        <f aca="false">IF(OR(BA158="",N(U158)=0),"",BA158-U158)</f>
        <v/>
      </c>
      <c r="BD158" s="37"/>
    </row>
    <row r="159" customFormat="false" ht="15" hidden="false" customHeight="false" outlineLevel="0" collapsed="false">
      <c r="A159" s="2" t="s">
        <v>140</v>
      </c>
      <c r="B159" s="2" t="n">
        <v>295</v>
      </c>
      <c r="C159" s="2" t="s">
        <v>420</v>
      </c>
      <c r="D159" s="2" t="s">
        <v>418</v>
      </c>
      <c r="E159" s="2" t="s">
        <v>143</v>
      </c>
      <c r="F159" s="27"/>
      <c r="G159" s="2" t="s">
        <v>51</v>
      </c>
      <c r="H159" s="2" t="s">
        <v>58</v>
      </c>
      <c r="I159" s="2" t="s">
        <v>144</v>
      </c>
      <c r="J159" s="2" t="s">
        <v>145</v>
      </c>
      <c r="K159" s="2" t="n">
        <v>4</v>
      </c>
      <c r="L159" s="28" t="n">
        <v>25</v>
      </c>
      <c r="M159" s="29" t="n">
        <v>0.065</v>
      </c>
      <c r="N159" s="28" t="n">
        <v>1.625</v>
      </c>
      <c r="O159" s="28" t="n">
        <v>16.4</v>
      </c>
      <c r="P159" s="2" t="s">
        <v>146</v>
      </c>
      <c r="Q159" s="29" t="n">
        <v>0.1</v>
      </c>
      <c r="R159" s="30" t="n">
        <v>0.1</v>
      </c>
      <c r="S159" s="31" t="n">
        <v>16.25</v>
      </c>
      <c r="T159" s="30" t="n">
        <v>-0.00914634146341453</v>
      </c>
      <c r="U159" s="30" t="n">
        <v>0.089939024390244</v>
      </c>
      <c r="V159" s="29" t="n">
        <v>0</v>
      </c>
      <c r="W159" s="29" t="n">
        <f aca="false">IF(N(Q159)=0,"",Q159+IF(I159="yes",Q159*Inputs!$B$10*Inputs!$B$9,0)+V159)</f>
        <v>0.1</v>
      </c>
      <c r="X159" s="28" t="n">
        <f aca="false">IF(OR(N(W159)&lt;=0,N(N159)=0,N(L159)=0),"",MIN(L159,N159/W159))</f>
        <v>16.25</v>
      </c>
      <c r="Y159" s="29" t="n">
        <f aca="false">IF(OR(X159="",N(O159)=0),"",X159/O159-1)</f>
        <v>-0.00914634146341453</v>
      </c>
      <c r="Z159" s="29" t="n">
        <f aca="false">IF(OR(Y159="",N(O159)=0),"",Y159+N159/O159)</f>
        <v>0.089939024390244</v>
      </c>
      <c r="AA159" s="32" t="n">
        <f aca="false">IF(OR(Z159="",N(U159)=0),"",Z159-U159)</f>
        <v>0</v>
      </c>
      <c r="AB159" s="29" t="n">
        <f aca="false">IF(N(Q159)=0,"",Q159+IF(I159="yes",Q159*Inputs!$B$10*Inputs!$B$9,0)+IFERROR(INDEX(Inputs!$B$13:$B$15,MATCH(G159,Inputs!$A$13:$A$15,0)),0)+IFERROR(INDEX(Inputs!$B$18:$B$24,MATCH(H159,Inputs!$A$18:$A$24,0)),0))</f>
        <v>0.1</v>
      </c>
      <c r="AC159" s="28" t="n">
        <f aca="false">IF(OR(N(AB159)&lt;=0,N(N159)=0,N(L159)=0),"",MIN(L159,N159/AB159))</f>
        <v>16.25</v>
      </c>
      <c r="AD159" s="29" t="n">
        <f aca="false">IF(OR(AC159="",N(O159)=0),"",AC159/O159-1)</f>
        <v>-0.00914634146341453</v>
      </c>
      <c r="AE159" s="29" t="n">
        <f aca="false">IF(OR(AD159="",N(O159)=0),"",AD159+N159/O159)</f>
        <v>0.089939024390244</v>
      </c>
      <c r="AF159" s="32" t="n">
        <f aca="false">IF(OR(AE159="",N(Z159)=0),"",AE159-Z159)</f>
        <v>0</v>
      </c>
      <c r="AG159" s="28" t="n">
        <f aca="false">IF(AND(N(M159)&gt;0,N(L159)&gt;0),M159*L159,N159)</f>
        <v>1.625</v>
      </c>
      <c r="AH159" s="28" t="n">
        <f aca="false">IF(OR(N(AB159)&lt;=0,N(AG159)=0,N(L159)=0),"",MIN(L159,AG159/AB159))</f>
        <v>16.25</v>
      </c>
      <c r="AI159" s="29" t="n">
        <f aca="false">IF(OR(AH159="",N(O159)=0),"",AH159/O159-1)</f>
        <v>-0.00914634146341453</v>
      </c>
      <c r="AJ159" s="29" t="n">
        <f aca="false">IF(OR(AI159="",N(O159)=0),"",AI159+AG159/O159)</f>
        <v>0.089939024390244</v>
      </c>
      <c r="AK159" s="32" t="n">
        <f aca="false">IF(OR(AJ159="",N(AE159)=0),"",AJ159-AE159)</f>
        <v>0</v>
      </c>
      <c r="AL159" s="33" t="str">
        <f aca="false">IF(N(F159)=0,"",INDEX(Inputs!$B$28:$B$32,IFERROR(MATCH(F159,Inputs!$A$28:$A$32,1),0)+1))</f>
        <v/>
      </c>
      <c r="AM159" s="34"/>
      <c r="AN159" s="33" t="str">
        <f aca="false">IF(N(AM159)&gt;0,AM159,AL159)</f>
        <v/>
      </c>
      <c r="AO159" s="29" t="str">
        <f aca="false">IF(N(AN159)=0,"",AN159+IF(I159="yes",AN159*Inputs!$B$10*Inputs!$B$9,0)+IFERROR(INDEX(Inputs!$B$13:$B$15,MATCH(G159,Inputs!$A$13:$A$15,0)),0)+IFERROR(INDEX(Inputs!$B$18:$B$24,MATCH(H159,Inputs!$A$18:$A$24,0)),0))</f>
        <v/>
      </c>
      <c r="AP159" s="28" t="str">
        <f aca="false">IF(OR(N(AO159)&lt;=0,N(AG159)=0,N(L159)=0),"",MIN(L159,AG159/AO159))</f>
        <v/>
      </c>
      <c r="AQ159" s="29" t="str">
        <f aca="false">IF(OR(AP159="",N(O159)=0),"",AP159/O159-1)</f>
        <v/>
      </c>
      <c r="AR159" s="29" t="str">
        <f aca="false">IF(OR(AQ159="",N(O159)=0),"",AQ159+AG159/O159)</f>
        <v/>
      </c>
      <c r="AS159" s="32" t="str">
        <f aca="false">IF(OR(AR159="",N(AJ159)=0),"",AR159-AJ159)</f>
        <v/>
      </c>
      <c r="AT159" s="28" t="n">
        <v>25</v>
      </c>
      <c r="AU159" s="28" t="n">
        <v>1.63</v>
      </c>
      <c r="AV159" s="28" t="n">
        <f aca="false">IF(N(AT159)&gt;0,AT159,L159)</f>
        <v>25</v>
      </c>
      <c r="AW159" s="28" t="n">
        <f aca="false">IF(AND(N(M159)&gt;0,N(AV159)&gt;0),M159*AV159,IF(N(AU159)&gt;0,AU159,N159))</f>
        <v>1.625</v>
      </c>
      <c r="AX159" s="29" t="str">
        <f aca="false">IF(N(AN159)=0,"",AN159+IF(I159="yes",AN159*Inputs!$B$10*Inputs!$B$9,0)+IFERROR(INDEX(Inputs!$B$13:$B$15,MATCH(G159,Inputs!$A$13:$A$15,0)),0)+IFERROR(INDEX(Inputs!$B$18:$B$24,MATCH(H159,Inputs!$A$18:$A$24,0)),0))</f>
        <v/>
      </c>
      <c r="AY159" s="28" t="str">
        <f aca="false">IF(OR(N(AX159)&lt;=0,N(AW159)=0,N(AV159)=0),"",MIN(AV159,AW159/AX159))</f>
        <v/>
      </c>
      <c r="AZ159" s="29" t="str">
        <f aca="false">IF(OR(AY159="",N(O159)=0),"",AY159/O159-1)</f>
        <v/>
      </c>
      <c r="BA159" s="29" t="str">
        <f aca="false">IF(OR(AZ159="",N(O159)=0),"",AZ159+AW159/O159)</f>
        <v/>
      </c>
      <c r="BB159" s="32" t="str">
        <f aca="false">IF(OR(BA159="",N(AR159)=0),"",BA159-AR159)</f>
        <v/>
      </c>
      <c r="BC159" s="35" t="str">
        <f aca="false">IF(OR(BA159="",N(U159)=0),"",BA159-U159)</f>
        <v/>
      </c>
      <c r="BD159" s="37"/>
    </row>
    <row r="160" customFormat="false" ht="15" hidden="false" customHeight="false" outlineLevel="0" collapsed="false">
      <c r="A160" s="2" t="s">
        <v>140</v>
      </c>
      <c r="B160" s="2" t="n">
        <v>296</v>
      </c>
      <c r="C160" s="2" t="s">
        <v>421</v>
      </c>
      <c r="D160" s="2" t="s">
        <v>418</v>
      </c>
      <c r="E160" s="2" t="s">
        <v>143</v>
      </c>
      <c r="F160" s="27"/>
      <c r="G160" s="2" t="s">
        <v>51</v>
      </c>
      <c r="H160" s="2" t="s">
        <v>58</v>
      </c>
      <c r="I160" s="2" t="s">
        <v>144</v>
      </c>
      <c r="J160" s="2" t="s">
        <v>145</v>
      </c>
      <c r="K160" s="2" t="n">
        <v>4</v>
      </c>
      <c r="L160" s="28" t="n">
        <v>25</v>
      </c>
      <c r="M160" s="29" t="n">
        <v>0.07625</v>
      </c>
      <c r="N160" s="28" t="n">
        <v>1.90625</v>
      </c>
      <c r="O160" s="28" t="n">
        <v>1</v>
      </c>
      <c r="P160" s="2" t="s">
        <v>146</v>
      </c>
      <c r="Q160" s="29" t="n">
        <v>0.1</v>
      </c>
      <c r="R160" s="30" t="n">
        <v>0.1</v>
      </c>
      <c r="S160" s="31" t="n">
        <v>19.0625</v>
      </c>
      <c r="T160" s="30" t="n">
        <v>18.0625</v>
      </c>
      <c r="U160" s="30" t="n">
        <v>19.96875</v>
      </c>
      <c r="V160" s="29" t="n">
        <v>0</v>
      </c>
      <c r="W160" s="29" t="n">
        <f aca="false">IF(N(Q160)=0,"",Q160+IF(I160="yes",Q160*Inputs!$B$10*Inputs!$B$9,0)+V160)</f>
        <v>0.1</v>
      </c>
      <c r="X160" s="28" t="n">
        <f aca="false">IF(OR(N(W160)&lt;=0,N(N160)=0,N(L160)=0),"",MIN(L160,N160/W160))</f>
        <v>19.0625</v>
      </c>
      <c r="Y160" s="29" t="n">
        <f aca="false">IF(OR(X160="",N(O160)=0),"",X160/O160-1)</f>
        <v>18.0625</v>
      </c>
      <c r="Z160" s="29" t="n">
        <f aca="false">IF(OR(Y160="",N(O160)=0),"",Y160+N160/O160)</f>
        <v>19.96875</v>
      </c>
      <c r="AA160" s="32" t="n">
        <f aca="false">IF(OR(Z160="",N(U160)=0),"",Z160-U160)</f>
        <v>0</v>
      </c>
      <c r="AB160" s="29" t="n">
        <f aca="false">IF(N(Q160)=0,"",Q160+IF(I160="yes",Q160*Inputs!$B$10*Inputs!$B$9,0)+IFERROR(INDEX(Inputs!$B$13:$B$15,MATCH(G160,Inputs!$A$13:$A$15,0)),0)+IFERROR(INDEX(Inputs!$B$18:$B$24,MATCH(H160,Inputs!$A$18:$A$24,0)),0))</f>
        <v>0.1</v>
      </c>
      <c r="AC160" s="28" t="n">
        <f aca="false">IF(OR(N(AB160)&lt;=0,N(N160)=0,N(L160)=0),"",MIN(L160,N160/AB160))</f>
        <v>19.0625</v>
      </c>
      <c r="AD160" s="29" t="n">
        <f aca="false">IF(OR(AC160="",N(O160)=0),"",AC160/O160-1)</f>
        <v>18.0625</v>
      </c>
      <c r="AE160" s="29" t="n">
        <f aca="false">IF(OR(AD160="",N(O160)=0),"",AD160+N160/O160)</f>
        <v>19.96875</v>
      </c>
      <c r="AF160" s="32" t="n">
        <f aca="false">IF(OR(AE160="",N(Z160)=0),"",AE160-Z160)</f>
        <v>0</v>
      </c>
      <c r="AG160" s="28" t="n">
        <f aca="false">IF(AND(N(M160)&gt;0,N(L160)&gt;0),M160*L160,N160)</f>
        <v>1.90625</v>
      </c>
      <c r="AH160" s="28" t="n">
        <f aca="false">IF(OR(N(AB160)&lt;=0,N(AG160)=0,N(L160)=0),"",MIN(L160,AG160/AB160))</f>
        <v>19.0625</v>
      </c>
      <c r="AI160" s="29" t="n">
        <f aca="false">IF(OR(AH160="",N(O160)=0),"",AH160/O160-1)</f>
        <v>18.0625</v>
      </c>
      <c r="AJ160" s="29" t="n">
        <f aca="false">IF(OR(AI160="",N(O160)=0),"",AI160+AG160/O160)</f>
        <v>19.96875</v>
      </c>
      <c r="AK160" s="32" t="n">
        <f aca="false">IF(OR(AJ160="",N(AE160)=0),"",AJ160-AE160)</f>
        <v>0</v>
      </c>
      <c r="AL160" s="33" t="str">
        <f aca="false">IF(N(F160)=0,"",INDEX(Inputs!$B$28:$B$32,IFERROR(MATCH(F160,Inputs!$A$28:$A$32,1),0)+1))</f>
        <v/>
      </c>
      <c r="AM160" s="34"/>
      <c r="AN160" s="33" t="str">
        <f aca="false">IF(N(AM160)&gt;0,AM160,AL160)</f>
        <v/>
      </c>
      <c r="AO160" s="29" t="str">
        <f aca="false">IF(N(AN160)=0,"",AN160+IF(I160="yes",AN160*Inputs!$B$10*Inputs!$B$9,0)+IFERROR(INDEX(Inputs!$B$13:$B$15,MATCH(G160,Inputs!$A$13:$A$15,0)),0)+IFERROR(INDEX(Inputs!$B$18:$B$24,MATCH(H160,Inputs!$A$18:$A$24,0)),0))</f>
        <v/>
      </c>
      <c r="AP160" s="28" t="str">
        <f aca="false">IF(OR(N(AO160)&lt;=0,N(AG160)=0,N(L160)=0),"",MIN(L160,AG160/AO160))</f>
        <v/>
      </c>
      <c r="AQ160" s="29" t="str">
        <f aca="false">IF(OR(AP160="",N(O160)=0),"",AP160/O160-1)</f>
        <v/>
      </c>
      <c r="AR160" s="29" t="str">
        <f aca="false">IF(OR(AQ160="",N(O160)=0),"",AQ160+AG160/O160)</f>
        <v/>
      </c>
      <c r="AS160" s="32" t="str">
        <f aca="false">IF(OR(AR160="",N(AJ160)=0),"",AR160-AJ160)</f>
        <v/>
      </c>
      <c r="AT160" s="28"/>
      <c r="AU160" s="28"/>
      <c r="AV160" s="28" t="n">
        <f aca="false">IF(N(AT160)&gt;0,AT160,L160)</f>
        <v>25</v>
      </c>
      <c r="AW160" s="28" t="n">
        <f aca="false">IF(AND(N(M160)&gt;0,N(AV160)&gt;0),M160*AV160,IF(N(AU160)&gt;0,AU160,N160))</f>
        <v>1.90625</v>
      </c>
      <c r="AX160" s="29" t="str">
        <f aca="false">IF(N(AN160)=0,"",AN160+IF(I160="yes",AN160*Inputs!$B$10*Inputs!$B$9,0)+IFERROR(INDEX(Inputs!$B$13:$B$15,MATCH(G160,Inputs!$A$13:$A$15,0)),0)+IFERROR(INDEX(Inputs!$B$18:$B$24,MATCH(H160,Inputs!$A$18:$A$24,0)),0))</f>
        <v/>
      </c>
      <c r="AY160" s="28" t="str">
        <f aca="false">IF(OR(N(AX160)&lt;=0,N(AW160)=0,N(AV160)=0),"",MIN(AV160,AW160/AX160))</f>
        <v/>
      </c>
      <c r="AZ160" s="29" t="str">
        <f aca="false">IF(OR(AY160="",N(O160)=0),"",AY160/O160-1)</f>
        <v/>
      </c>
      <c r="BA160" s="29" t="str">
        <f aca="false">IF(OR(AZ160="",N(O160)=0),"",AZ160+AW160/O160)</f>
        <v/>
      </c>
      <c r="BB160" s="32" t="str">
        <f aca="false">IF(OR(BA160="",N(AR160)=0),"",BA160-AR160)</f>
        <v/>
      </c>
      <c r="BC160" s="35" t="str">
        <f aca="false">IF(OR(BA160="",N(U160)=0),"",BA160-U160)</f>
        <v/>
      </c>
      <c r="BD160" s="36" t="s">
        <v>332</v>
      </c>
    </row>
    <row r="161" customFormat="false" ht="15" hidden="false" customHeight="false" outlineLevel="0" collapsed="false">
      <c r="A161" s="2" t="s">
        <v>140</v>
      </c>
      <c r="B161" s="2" t="n">
        <v>299</v>
      </c>
      <c r="C161" s="2" t="s">
        <v>422</v>
      </c>
      <c r="D161" s="2" t="s">
        <v>423</v>
      </c>
      <c r="E161" s="2" t="s">
        <v>424</v>
      </c>
      <c r="F161" s="27" t="n">
        <v>1300</v>
      </c>
      <c r="G161" s="2" t="s">
        <v>51</v>
      </c>
      <c r="H161" s="2" t="s">
        <v>58</v>
      </c>
      <c r="I161" s="2" t="s">
        <v>151</v>
      </c>
      <c r="J161" s="2" t="s">
        <v>145</v>
      </c>
      <c r="K161" s="2" t="n">
        <v>4</v>
      </c>
      <c r="L161" s="28" t="n">
        <v>25</v>
      </c>
      <c r="M161" s="29" t="n">
        <v>0.0775</v>
      </c>
      <c r="N161" s="28" t="n">
        <v>1.9375</v>
      </c>
      <c r="O161" s="28" t="n">
        <v>22.73</v>
      </c>
      <c r="P161" s="2" t="s">
        <v>146</v>
      </c>
      <c r="Q161" s="29" t="n">
        <v>0.1</v>
      </c>
      <c r="R161" s="30" t="n">
        <v>0.095</v>
      </c>
      <c r="S161" s="31" t="n">
        <v>20.3947368421053</v>
      </c>
      <c r="T161" s="30" t="n">
        <v>-0.10273925023734</v>
      </c>
      <c r="U161" s="30" t="n">
        <v>-0.0174994790098873</v>
      </c>
      <c r="V161" s="29" t="n">
        <v>0</v>
      </c>
      <c r="W161" s="29" t="n">
        <f aca="false">IF(N(Q161)=0,"",Q161+IF(I161="yes",Q161*Inputs!$B$10*Inputs!$B$9,0)+V161)</f>
        <v>0.095</v>
      </c>
      <c r="X161" s="28" t="n">
        <f aca="false">IF(OR(N(W161)&lt;=0,N(N161)=0,N(L161)=0),"",MIN(L161,N161/W161))</f>
        <v>20.3947368421053</v>
      </c>
      <c r="Y161" s="29" t="n">
        <f aca="false">IF(OR(X161="",N(O161)=0),"",X161/O161-1)</f>
        <v>-0.10273925023734</v>
      </c>
      <c r="Z161" s="29" t="n">
        <f aca="false">IF(OR(Y161="",N(O161)=0),"",Y161+N161/O161)</f>
        <v>-0.0174994790098873</v>
      </c>
      <c r="AA161" s="32" t="n">
        <f aca="false">IF(OR(Z161="",N(U161)=0),"",Z161-U161)</f>
        <v>0</v>
      </c>
      <c r="AB161" s="29" t="n">
        <f aca="false">IF(N(Q161)=0,"",Q161+IF(I161="yes",Q161*Inputs!$B$10*Inputs!$B$9,0)+IFERROR(INDEX(Inputs!$B$13:$B$15,MATCH(G161,Inputs!$A$13:$A$15,0)),0)+IFERROR(INDEX(Inputs!$B$18:$B$24,MATCH(H161,Inputs!$A$18:$A$24,0)),0))</f>
        <v>0.095</v>
      </c>
      <c r="AC161" s="28" t="n">
        <f aca="false">IF(OR(N(AB161)&lt;=0,N(N161)=0,N(L161)=0),"",MIN(L161,N161/AB161))</f>
        <v>20.3947368421053</v>
      </c>
      <c r="AD161" s="29" t="n">
        <f aca="false">IF(OR(AC161="",N(O161)=0),"",AC161/O161-1)</f>
        <v>-0.10273925023734</v>
      </c>
      <c r="AE161" s="29" t="n">
        <f aca="false">IF(OR(AD161="",N(O161)=0),"",AD161+N161/O161)</f>
        <v>-0.0174994790098873</v>
      </c>
      <c r="AF161" s="32" t="n">
        <f aca="false">IF(OR(AE161="",N(Z161)=0),"",AE161-Z161)</f>
        <v>0</v>
      </c>
      <c r="AG161" s="28" t="n">
        <f aca="false">IF(AND(N(M161)&gt;0,N(L161)&gt;0),M161*L161,N161)</f>
        <v>1.9375</v>
      </c>
      <c r="AH161" s="28" t="n">
        <f aca="false">IF(OR(N(AB161)&lt;=0,N(AG161)=0,N(L161)=0),"",MIN(L161,AG161/AB161))</f>
        <v>20.3947368421053</v>
      </c>
      <c r="AI161" s="29" t="n">
        <f aca="false">IF(OR(AH161="",N(O161)=0),"",AH161/O161-1)</f>
        <v>-0.10273925023734</v>
      </c>
      <c r="AJ161" s="29" t="n">
        <f aca="false">IF(OR(AI161="",N(O161)=0),"",AI161+AG161/O161)</f>
        <v>-0.0174994790098873</v>
      </c>
      <c r="AK161" s="32" t="n">
        <f aca="false">IF(OR(AJ161="",N(AE161)=0),"",AJ161-AE161)</f>
        <v>0</v>
      </c>
      <c r="AL161" s="33" t="n">
        <f aca="false">IF(N(F161)=0,"",INDEX(Inputs!$B$28:$B$32,IFERROR(MATCH(F161,Inputs!$A$28:$A$32,1),0)+1))</f>
        <v>0.085</v>
      </c>
      <c r="AM161" s="34"/>
      <c r="AN161" s="33" t="n">
        <f aca="false">IF(N(AM161)&gt;0,AM161,AL161)</f>
        <v>0.085</v>
      </c>
      <c r="AO161" s="29" t="n">
        <f aca="false">IF(N(AN161)=0,"",AN161+IF(I161="yes",AN161*Inputs!$B$10*Inputs!$B$9,0)+IFERROR(INDEX(Inputs!$B$13:$B$15,MATCH(G161,Inputs!$A$13:$A$15,0)),0)+IFERROR(INDEX(Inputs!$B$18:$B$24,MATCH(H161,Inputs!$A$18:$A$24,0)),0))</f>
        <v>0.08075</v>
      </c>
      <c r="AP161" s="28" t="n">
        <f aca="false">IF(OR(N(AO161)&lt;=0,N(AG161)=0,N(L161)=0),"",MIN(L161,AG161/AO161))</f>
        <v>23.9938080495356</v>
      </c>
      <c r="AQ161" s="29" t="n">
        <f aca="false">IF(OR(AP161="",N(O161)=0),"",AP161/O161-1)</f>
        <v>0.0556008820737177</v>
      </c>
      <c r="AR161" s="29" t="n">
        <f aca="false">IF(OR(AQ161="",N(O161)=0),"",AQ161+AG161/O161)</f>
        <v>0.14084065330117</v>
      </c>
      <c r="AS161" s="32" t="n">
        <f aca="false">IF(OR(AR161="",N(AJ161)=0),"",AR161-AJ161)</f>
        <v>0.158340132311058</v>
      </c>
      <c r="AT161" s="28" t="n">
        <v>25</v>
      </c>
      <c r="AU161" s="28" t="n">
        <v>1.9375</v>
      </c>
      <c r="AV161" s="28" t="n">
        <f aca="false">IF(N(AT161)&gt;0,AT161,L161)</f>
        <v>25</v>
      </c>
      <c r="AW161" s="28" t="n">
        <f aca="false">IF(AND(N(M161)&gt;0,N(AV161)&gt;0),M161*AV161,IF(N(AU161)&gt;0,AU161,N161))</f>
        <v>1.9375</v>
      </c>
      <c r="AX161" s="29" t="n">
        <f aca="false">IF(N(AN161)=0,"",AN161+IF(I161="yes",AN161*Inputs!$B$10*Inputs!$B$9,0)+IFERROR(INDEX(Inputs!$B$13:$B$15,MATCH(G161,Inputs!$A$13:$A$15,0)),0)+IFERROR(INDEX(Inputs!$B$18:$B$24,MATCH(H161,Inputs!$A$18:$A$24,0)),0))</f>
        <v>0.08075</v>
      </c>
      <c r="AY161" s="28" t="n">
        <f aca="false">IF(OR(N(AX161)&lt;=0,N(AW161)=0,N(AV161)=0),"",MIN(AV161,AW161/AX161))</f>
        <v>23.9938080495356</v>
      </c>
      <c r="AZ161" s="29" t="n">
        <f aca="false">IF(OR(AY161="",N(O161)=0),"",AY161/O161-1)</f>
        <v>0.0556008820737177</v>
      </c>
      <c r="BA161" s="29" t="n">
        <f aca="false">IF(OR(AZ161="",N(O161)=0),"",AZ161+AW161/O161)</f>
        <v>0.14084065330117</v>
      </c>
      <c r="BB161" s="32" t="n">
        <f aca="false">IF(OR(BA161="",N(AR161)=0),"",BA161-AR161)</f>
        <v>0</v>
      </c>
      <c r="BC161" s="35" t="n">
        <f aca="false">IF(OR(BA161="",N(U161)=0),"",BA161-U161)</f>
        <v>0.158340132311058</v>
      </c>
      <c r="BD161" s="37"/>
    </row>
    <row r="162" customFormat="false" ht="15" hidden="false" customHeight="false" outlineLevel="0" collapsed="false">
      <c r="A162" s="2" t="s">
        <v>140</v>
      </c>
      <c r="B162" s="2" t="n">
        <v>300</v>
      </c>
      <c r="C162" s="2" t="s">
        <v>425</v>
      </c>
      <c r="D162" s="2" t="s">
        <v>423</v>
      </c>
      <c r="E162" s="2" t="s">
        <v>424</v>
      </c>
      <c r="F162" s="27" t="n">
        <v>1300</v>
      </c>
      <c r="G162" s="2" t="s">
        <v>52</v>
      </c>
      <c r="H162" s="2" t="s">
        <v>58</v>
      </c>
      <c r="I162" s="2" t="s">
        <v>144</v>
      </c>
      <c r="J162" s="2" t="s">
        <v>145</v>
      </c>
      <c r="K162" s="2" t="n">
        <v>4</v>
      </c>
      <c r="L162" s="28" t="n">
        <v>25</v>
      </c>
      <c r="M162" s="29" t="n">
        <v>0.065</v>
      </c>
      <c r="N162" s="28" t="n">
        <v>1.625</v>
      </c>
      <c r="O162" s="28" t="n">
        <v>0</v>
      </c>
      <c r="P162" s="2" t="s">
        <v>223</v>
      </c>
      <c r="Q162" s="29" t="n">
        <v>0.1</v>
      </c>
      <c r="R162" s="30" t="n">
        <v>0.1</v>
      </c>
      <c r="S162" s="31" t="n">
        <v>16.25</v>
      </c>
      <c r="T162" s="30"/>
      <c r="U162" s="30"/>
      <c r="V162" s="29" t="n">
        <v>-0.005</v>
      </c>
      <c r="W162" s="29" t="n">
        <f aca="false">IF(N(Q162)=0,"",Q162+IF(I162="yes",Q162*Inputs!$B$10*Inputs!$B$9,0)+V162)</f>
        <v>0.095</v>
      </c>
      <c r="X162" s="28" t="n">
        <f aca="false">IF(OR(N(W162)&lt;=0,N(N162)=0,N(L162)=0),"",MIN(L162,N162/W162))</f>
        <v>17.1052631578947</v>
      </c>
      <c r="Y162" s="29" t="str">
        <f aca="false">IF(OR(X162="",N(O162)=0),"",X162/O162-1)</f>
        <v/>
      </c>
      <c r="Z162" s="29" t="str">
        <f aca="false">IF(OR(Y162="",N(O162)=0),"",Y162+N162/O162)</f>
        <v/>
      </c>
      <c r="AA162" s="32" t="str">
        <f aca="false">IF(OR(Z162="",N(U162)=0),"",Z162-U162)</f>
        <v/>
      </c>
      <c r="AB162" s="29" t="n">
        <f aca="false">IF(N(Q162)=0,"",Q162+IF(I162="yes",Q162*Inputs!$B$10*Inputs!$B$9,0)+IFERROR(INDEX(Inputs!$B$13:$B$15,MATCH(G162,Inputs!$A$13:$A$15,0)),0)+IFERROR(INDEX(Inputs!$B$18:$B$24,MATCH(H162,Inputs!$A$18:$A$24,0)),0))</f>
        <v>0.095</v>
      </c>
      <c r="AC162" s="28" t="n">
        <f aca="false">IF(OR(N(AB162)&lt;=0,N(N162)=0,N(L162)=0),"",MIN(L162,N162/AB162))</f>
        <v>17.1052631578947</v>
      </c>
      <c r="AD162" s="29" t="str">
        <f aca="false">IF(OR(AC162="",N(O162)=0),"",AC162/O162-1)</f>
        <v/>
      </c>
      <c r="AE162" s="29" t="str">
        <f aca="false">IF(OR(AD162="",N(O162)=0),"",AD162+N162/O162)</f>
        <v/>
      </c>
      <c r="AF162" s="32" t="str">
        <f aca="false">IF(OR(AE162="",N(Z162)=0),"",AE162-Z162)</f>
        <v/>
      </c>
      <c r="AG162" s="28" t="n">
        <f aca="false">IF(AND(N(M162)&gt;0,N(L162)&gt;0),M162*L162,N162)</f>
        <v>1.625</v>
      </c>
      <c r="AH162" s="28" t="n">
        <f aca="false">IF(OR(N(AB162)&lt;=0,N(AG162)=0,N(L162)=0),"",MIN(L162,AG162/AB162))</f>
        <v>17.1052631578947</v>
      </c>
      <c r="AI162" s="29" t="str">
        <f aca="false">IF(OR(AH162="",N(O162)=0),"",AH162/O162-1)</f>
        <v/>
      </c>
      <c r="AJ162" s="29" t="str">
        <f aca="false">IF(OR(AI162="",N(O162)=0),"",AI162+AG162/O162)</f>
        <v/>
      </c>
      <c r="AK162" s="32" t="str">
        <f aca="false">IF(OR(AJ162="",N(AE162)=0),"",AJ162-AE162)</f>
        <v/>
      </c>
      <c r="AL162" s="33" t="n">
        <f aca="false">IF(N(F162)=0,"",INDEX(Inputs!$B$28:$B$32,IFERROR(MATCH(F162,Inputs!$A$28:$A$32,1),0)+1))</f>
        <v>0.085</v>
      </c>
      <c r="AM162" s="34"/>
      <c r="AN162" s="33" t="n">
        <f aca="false">IF(N(AM162)&gt;0,AM162,AL162)</f>
        <v>0.085</v>
      </c>
      <c r="AO162" s="29" t="n">
        <f aca="false">IF(N(AN162)=0,"",AN162+IF(I162="yes",AN162*Inputs!$B$10*Inputs!$B$9,0)+IFERROR(INDEX(Inputs!$B$13:$B$15,MATCH(G162,Inputs!$A$13:$A$15,0)),0)+IFERROR(INDEX(Inputs!$B$18:$B$24,MATCH(H162,Inputs!$A$18:$A$24,0)),0))</f>
        <v>0.08</v>
      </c>
      <c r="AP162" s="28" t="n">
        <f aca="false">IF(OR(N(AO162)&lt;=0,N(AG162)=0,N(L162)=0),"",MIN(L162,AG162/AO162))</f>
        <v>20.3125</v>
      </c>
      <c r="AQ162" s="29" t="str">
        <f aca="false">IF(OR(AP162="",N(O162)=0),"",AP162/O162-1)</f>
        <v/>
      </c>
      <c r="AR162" s="29" t="str">
        <f aca="false">IF(OR(AQ162="",N(O162)=0),"",AQ162+AG162/O162)</f>
        <v/>
      </c>
      <c r="AS162" s="32" t="str">
        <f aca="false">IF(OR(AR162="",N(AJ162)=0),"",AR162-AJ162)</f>
        <v/>
      </c>
      <c r="AT162" s="28" t="n">
        <v>25</v>
      </c>
      <c r="AU162" s="28" t="n">
        <v>1.625</v>
      </c>
      <c r="AV162" s="28" t="n">
        <f aca="false">IF(N(AT162)&gt;0,AT162,L162)</f>
        <v>25</v>
      </c>
      <c r="AW162" s="28" t="n">
        <f aca="false">IF(AND(N(M162)&gt;0,N(AV162)&gt;0),M162*AV162,IF(N(AU162)&gt;0,AU162,N162))</f>
        <v>1.625</v>
      </c>
      <c r="AX162" s="29" t="n">
        <f aca="false">IF(N(AN162)=0,"",AN162+IF(I162="yes",AN162*Inputs!$B$10*Inputs!$B$9,0)+IFERROR(INDEX(Inputs!$B$13:$B$15,MATCH(G162,Inputs!$A$13:$A$15,0)),0)+IFERROR(INDEX(Inputs!$B$18:$B$24,MATCH(H162,Inputs!$A$18:$A$24,0)),0))</f>
        <v>0.08</v>
      </c>
      <c r="AY162" s="28" t="n">
        <f aca="false">IF(OR(N(AX162)&lt;=0,N(AW162)=0,N(AV162)=0),"",MIN(AV162,AW162/AX162))</f>
        <v>20.3125</v>
      </c>
      <c r="AZ162" s="29" t="str">
        <f aca="false">IF(OR(AY162="",N(O162)=0),"",AY162/O162-1)</f>
        <v/>
      </c>
      <c r="BA162" s="29" t="str">
        <f aca="false">IF(OR(AZ162="",N(O162)=0),"",AZ162+AW162/O162)</f>
        <v/>
      </c>
      <c r="BB162" s="32" t="str">
        <f aca="false">IF(OR(BA162="",N(AR162)=0),"",BA162-AR162)</f>
        <v/>
      </c>
      <c r="BC162" s="35" t="str">
        <f aca="false">IF(OR(BA162="",N(U162)=0),"",BA162-U162)</f>
        <v/>
      </c>
      <c r="BD162" s="36" t="s">
        <v>284</v>
      </c>
    </row>
    <row r="163" customFormat="false" ht="15" hidden="false" customHeight="false" outlineLevel="0" collapsed="false">
      <c r="A163" s="2" t="s">
        <v>140</v>
      </c>
      <c r="B163" s="2" t="n">
        <v>301</v>
      </c>
      <c r="C163" s="2" t="s">
        <v>426</v>
      </c>
      <c r="D163" s="2" t="s">
        <v>423</v>
      </c>
      <c r="E163" s="2" t="s">
        <v>424</v>
      </c>
      <c r="F163" s="27" t="n">
        <v>1300</v>
      </c>
      <c r="G163" s="2" t="s">
        <v>52</v>
      </c>
      <c r="H163" s="2" t="s">
        <v>58</v>
      </c>
      <c r="I163" s="2" t="s">
        <v>144</v>
      </c>
      <c r="J163" s="2" t="s">
        <v>145</v>
      </c>
      <c r="K163" s="2" t="n">
        <v>4</v>
      </c>
      <c r="L163" s="28" t="n">
        <v>25</v>
      </c>
      <c r="M163" s="29" t="n">
        <v>0.08125</v>
      </c>
      <c r="N163" s="28" t="n">
        <v>2.03125</v>
      </c>
      <c r="O163" s="28" t="n">
        <v>0</v>
      </c>
      <c r="P163" s="2" t="s">
        <v>146</v>
      </c>
      <c r="Q163" s="29" t="n">
        <v>0.1</v>
      </c>
      <c r="R163" s="30" t="n">
        <v>0.095</v>
      </c>
      <c r="S163" s="31" t="n">
        <v>21.3815789473684</v>
      </c>
      <c r="T163" s="30"/>
      <c r="U163" s="30"/>
      <c r="V163" s="29" t="n">
        <v>-0.005</v>
      </c>
      <c r="W163" s="29" t="n">
        <f aca="false">IF(N(Q163)=0,"",Q163+IF(I163="yes",Q163*Inputs!$B$10*Inputs!$B$9,0)+V163)</f>
        <v>0.095</v>
      </c>
      <c r="X163" s="28" t="n">
        <f aca="false">IF(OR(N(W163)&lt;=0,N(N163)=0,N(L163)=0),"",MIN(L163,N163/W163))</f>
        <v>21.3815789473684</v>
      </c>
      <c r="Y163" s="29" t="str">
        <f aca="false">IF(OR(X163="",N(O163)=0),"",X163/O163-1)</f>
        <v/>
      </c>
      <c r="Z163" s="29" t="str">
        <f aca="false">IF(OR(Y163="",N(O163)=0),"",Y163+N163/O163)</f>
        <v/>
      </c>
      <c r="AA163" s="32" t="str">
        <f aca="false">IF(OR(Z163="",N(U163)=0),"",Z163-U163)</f>
        <v/>
      </c>
      <c r="AB163" s="29" t="n">
        <f aca="false">IF(N(Q163)=0,"",Q163+IF(I163="yes",Q163*Inputs!$B$10*Inputs!$B$9,0)+IFERROR(INDEX(Inputs!$B$13:$B$15,MATCH(G163,Inputs!$A$13:$A$15,0)),0)+IFERROR(INDEX(Inputs!$B$18:$B$24,MATCH(H163,Inputs!$A$18:$A$24,0)),0))</f>
        <v>0.095</v>
      </c>
      <c r="AC163" s="28" t="n">
        <f aca="false">IF(OR(N(AB163)&lt;=0,N(N163)=0,N(L163)=0),"",MIN(L163,N163/AB163))</f>
        <v>21.3815789473684</v>
      </c>
      <c r="AD163" s="29" t="str">
        <f aca="false">IF(OR(AC163="",N(O163)=0),"",AC163/O163-1)</f>
        <v/>
      </c>
      <c r="AE163" s="29" t="str">
        <f aca="false">IF(OR(AD163="",N(O163)=0),"",AD163+N163/O163)</f>
        <v/>
      </c>
      <c r="AF163" s="32" t="str">
        <f aca="false">IF(OR(AE163="",N(Z163)=0),"",AE163-Z163)</f>
        <v/>
      </c>
      <c r="AG163" s="28" t="n">
        <f aca="false">IF(AND(N(M163)&gt;0,N(L163)&gt;0),M163*L163,N163)</f>
        <v>2.03125</v>
      </c>
      <c r="AH163" s="28" t="n">
        <f aca="false">IF(OR(N(AB163)&lt;=0,N(AG163)=0,N(L163)=0),"",MIN(L163,AG163/AB163))</f>
        <v>21.3815789473684</v>
      </c>
      <c r="AI163" s="29" t="str">
        <f aca="false">IF(OR(AH163="",N(O163)=0),"",AH163/O163-1)</f>
        <v/>
      </c>
      <c r="AJ163" s="29" t="str">
        <f aca="false">IF(OR(AI163="",N(O163)=0),"",AI163+AG163/O163)</f>
        <v/>
      </c>
      <c r="AK163" s="32" t="str">
        <f aca="false">IF(OR(AJ163="",N(AE163)=0),"",AJ163-AE163)</f>
        <v/>
      </c>
      <c r="AL163" s="33" t="n">
        <f aca="false">IF(N(F163)=0,"",INDEX(Inputs!$B$28:$B$32,IFERROR(MATCH(F163,Inputs!$A$28:$A$32,1),0)+1))</f>
        <v>0.085</v>
      </c>
      <c r="AM163" s="34"/>
      <c r="AN163" s="33" t="n">
        <f aca="false">IF(N(AM163)&gt;0,AM163,AL163)</f>
        <v>0.085</v>
      </c>
      <c r="AO163" s="29" t="n">
        <f aca="false">IF(N(AN163)=0,"",AN163+IF(I163="yes",AN163*Inputs!$B$10*Inputs!$B$9,0)+IFERROR(INDEX(Inputs!$B$13:$B$15,MATCH(G163,Inputs!$A$13:$A$15,0)),0)+IFERROR(INDEX(Inputs!$B$18:$B$24,MATCH(H163,Inputs!$A$18:$A$24,0)),0))</f>
        <v>0.08</v>
      </c>
      <c r="AP163" s="28" t="n">
        <f aca="false">IF(OR(N(AO163)&lt;=0,N(AG163)=0,N(L163)=0),"",MIN(L163,AG163/AO163))</f>
        <v>25</v>
      </c>
      <c r="AQ163" s="29" t="str">
        <f aca="false">IF(OR(AP163="",N(O163)=0),"",AP163/O163-1)</f>
        <v/>
      </c>
      <c r="AR163" s="29" t="str">
        <f aca="false">IF(OR(AQ163="",N(O163)=0),"",AQ163+AG163/O163)</f>
        <v/>
      </c>
      <c r="AS163" s="32" t="str">
        <f aca="false">IF(OR(AR163="",N(AJ163)=0),"",AR163-AJ163)</f>
        <v/>
      </c>
      <c r="AT163" s="28" t="n">
        <v>25</v>
      </c>
      <c r="AU163" s="28" t="n">
        <v>2.03125</v>
      </c>
      <c r="AV163" s="28" t="n">
        <f aca="false">IF(N(AT163)&gt;0,AT163,L163)</f>
        <v>25</v>
      </c>
      <c r="AW163" s="28" t="n">
        <f aca="false">IF(AND(N(M163)&gt;0,N(AV163)&gt;0),M163*AV163,IF(N(AU163)&gt;0,AU163,N163))</f>
        <v>2.03125</v>
      </c>
      <c r="AX163" s="29" t="n">
        <f aca="false">IF(N(AN163)=0,"",AN163+IF(I163="yes",AN163*Inputs!$B$10*Inputs!$B$9,0)+IFERROR(INDEX(Inputs!$B$13:$B$15,MATCH(G163,Inputs!$A$13:$A$15,0)),0)+IFERROR(INDEX(Inputs!$B$18:$B$24,MATCH(H163,Inputs!$A$18:$A$24,0)),0))</f>
        <v>0.08</v>
      </c>
      <c r="AY163" s="28" t="n">
        <f aca="false">IF(OR(N(AX163)&lt;=0,N(AW163)=0,N(AV163)=0),"",MIN(AV163,AW163/AX163))</f>
        <v>25</v>
      </c>
      <c r="AZ163" s="29" t="str">
        <f aca="false">IF(OR(AY163="",N(O163)=0),"",AY163/O163-1)</f>
        <v/>
      </c>
      <c r="BA163" s="29" t="str">
        <f aca="false">IF(OR(AZ163="",N(O163)=0),"",AZ163+AW163/O163)</f>
        <v/>
      </c>
      <c r="BB163" s="32" t="str">
        <f aca="false">IF(OR(BA163="",N(AR163)=0),"",BA163-AR163)</f>
        <v/>
      </c>
      <c r="BC163" s="35" t="str">
        <f aca="false">IF(OR(BA163="",N(U163)=0),"",BA163-U163)</f>
        <v/>
      </c>
      <c r="BD163" s="36" t="s">
        <v>299</v>
      </c>
    </row>
    <row r="164" customFormat="false" ht="15" hidden="false" customHeight="false" outlineLevel="0" collapsed="false">
      <c r="A164" s="2" t="s">
        <v>140</v>
      </c>
      <c r="B164" s="2" t="n">
        <v>304</v>
      </c>
      <c r="C164" s="2" t="s">
        <v>427</v>
      </c>
      <c r="D164" s="2" t="s">
        <v>428</v>
      </c>
      <c r="E164" s="2" t="s">
        <v>429</v>
      </c>
      <c r="F164" s="27" t="n">
        <v>600</v>
      </c>
      <c r="G164" s="2" t="s">
        <v>51</v>
      </c>
      <c r="H164" s="2" t="s">
        <v>58</v>
      </c>
      <c r="I164" s="2" t="s">
        <v>151</v>
      </c>
      <c r="J164" s="2" t="s">
        <v>145</v>
      </c>
      <c r="K164" s="2" t="n">
        <v>4</v>
      </c>
      <c r="L164" s="28" t="n">
        <v>25</v>
      </c>
      <c r="M164" s="29" t="n">
        <v>0.05875</v>
      </c>
      <c r="N164" s="28" t="n">
        <v>1.46875</v>
      </c>
      <c r="O164" s="28" t="n">
        <v>19.75</v>
      </c>
      <c r="P164" s="2" t="s">
        <v>223</v>
      </c>
      <c r="Q164" s="29" t="n">
        <v>0.08</v>
      </c>
      <c r="R164" s="30" t="n">
        <v>0.08</v>
      </c>
      <c r="S164" s="31" t="n">
        <v>18.359375</v>
      </c>
      <c r="T164" s="30" t="n">
        <v>-0.0704113924050633</v>
      </c>
      <c r="U164" s="30" t="n">
        <v>0.0039556962025316</v>
      </c>
      <c r="V164" s="29" t="n">
        <v>0</v>
      </c>
      <c r="W164" s="29" t="n">
        <f aca="false">IF(N(Q164)=0,"",Q164+IF(I164="yes",Q164*Inputs!$B$10*Inputs!$B$9,0)+V164)</f>
        <v>0.076</v>
      </c>
      <c r="X164" s="28" t="n">
        <f aca="false">IF(OR(N(W164)&lt;=0,N(N164)=0,N(L164)=0),"",MIN(L164,N164/W164))</f>
        <v>19.3256578947368</v>
      </c>
      <c r="Y164" s="29" t="n">
        <f aca="false">IF(OR(X164="",N(O164)=0),"",X164/O164-1)</f>
        <v>-0.0214856762158561</v>
      </c>
      <c r="Z164" s="29" t="n">
        <f aca="false">IF(OR(Y164="",N(O164)=0),"",Y164+N164/O164)</f>
        <v>0.0528814123917389</v>
      </c>
      <c r="AA164" s="32" t="n">
        <f aca="false">IF(OR(Z164="",N(U164)=0),"",Z164-U164)</f>
        <v>0.0489257161892073</v>
      </c>
      <c r="AB164" s="29" t="n">
        <f aca="false">IF(N(Q164)=0,"",Q164+IF(I164="yes",Q164*Inputs!$B$10*Inputs!$B$9,0)+IFERROR(INDEX(Inputs!$B$13:$B$15,MATCH(G164,Inputs!$A$13:$A$15,0)),0)+IFERROR(INDEX(Inputs!$B$18:$B$24,MATCH(H164,Inputs!$A$18:$A$24,0)),0))</f>
        <v>0.076</v>
      </c>
      <c r="AC164" s="28" t="n">
        <f aca="false">IF(OR(N(AB164)&lt;=0,N(N164)=0,N(L164)=0),"",MIN(L164,N164/AB164))</f>
        <v>19.3256578947368</v>
      </c>
      <c r="AD164" s="29" t="n">
        <f aca="false">IF(OR(AC164="",N(O164)=0),"",AC164/O164-1)</f>
        <v>-0.0214856762158561</v>
      </c>
      <c r="AE164" s="29" t="n">
        <f aca="false">IF(OR(AD164="",N(O164)=0),"",AD164+N164/O164)</f>
        <v>0.0528814123917389</v>
      </c>
      <c r="AF164" s="32" t="n">
        <f aca="false">IF(OR(AE164="",N(Z164)=0),"",AE164-Z164)</f>
        <v>0</v>
      </c>
      <c r="AG164" s="28" t="n">
        <f aca="false">IF(AND(N(M164)&gt;0,N(L164)&gt;0),M164*L164,N164)</f>
        <v>1.46875</v>
      </c>
      <c r="AH164" s="28" t="n">
        <f aca="false">IF(OR(N(AB164)&lt;=0,N(AG164)=0,N(L164)=0),"",MIN(L164,AG164/AB164))</f>
        <v>19.3256578947368</v>
      </c>
      <c r="AI164" s="29" t="n">
        <f aca="false">IF(OR(AH164="",N(O164)=0),"",AH164/O164-1)</f>
        <v>-0.0214856762158561</v>
      </c>
      <c r="AJ164" s="29" t="n">
        <f aca="false">IF(OR(AI164="",N(O164)=0),"",AI164+AG164/O164)</f>
        <v>0.0528814123917389</v>
      </c>
      <c r="AK164" s="32" t="n">
        <f aca="false">IF(OR(AJ164="",N(AE164)=0),"",AJ164-AE164)</f>
        <v>0</v>
      </c>
      <c r="AL164" s="33" t="n">
        <f aca="false">IF(N(F164)=0,"",INDEX(Inputs!$B$28:$B$32,IFERROR(MATCH(F164,Inputs!$A$28:$A$32,1),0)+1))</f>
        <v>0.09</v>
      </c>
      <c r="AM164" s="34"/>
      <c r="AN164" s="33" t="n">
        <f aca="false">IF(N(AM164)&gt;0,AM164,AL164)</f>
        <v>0.09</v>
      </c>
      <c r="AO164" s="29" t="n">
        <f aca="false">IF(N(AN164)=0,"",AN164+IF(I164="yes",AN164*Inputs!$B$10*Inputs!$B$9,0)+IFERROR(INDEX(Inputs!$B$13:$B$15,MATCH(G164,Inputs!$A$13:$A$15,0)),0)+IFERROR(INDEX(Inputs!$B$18:$B$24,MATCH(H164,Inputs!$A$18:$A$24,0)),0))</f>
        <v>0.0855</v>
      </c>
      <c r="AP164" s="28" t="n">
        <f aca="false">IF(OR(N(AO164)&lt;=0,N(AG164)=0,N(L164)=0),"",MIN(L164,AG164/AO164))</f>
        <v>17.1783625730994</v>
      </c>
      <c r="AQ164" s="29" t="n">
        <f aca="false">IF(OR(AP164="",N(O164)=0),"",AP164/O164-1)</f>
        <v>-0.13020948996965</v>
      </c>
      <c r="AR164" s="29" t="n">
        <f aca="false">IF(OR(AQ164="",N(O164)=0),"",AQ164+AG164/O164)</f>
        <v>-0.0558424013620548</v>
      </c>
      <c r="AS164" s="32" t="n">
        <f aca="false">IF(OR(AR164="",N(AJ164)=0),"",AR164-AJ164)</f>
        <v>-0.108723813753794</v>
      </c>
      <c r="AT164" s="28" t="n">
        <v>25</v>
      </c>
      <c r="AU164" s="28" t="n">
        <v>1.46875</v>
      </c>
      <c r="AV164" s="28" t="n">
        <f aca="false">IF(N(AT164)&gt;0,AT164,L164)</f>
        <v>25</v>
      </c>
      <c r="AW164" s="28" t="n">
        <f aca="false">IF(AND(N(M164)&gt;0,N(AV164)&gt;0),M164*AV164,IF(N(AU164)&gt;0,AU164,N164))</f>
        <v>1.46875</v>
      </c>
      <c r="AX164" s="29" t="n">
        <f aca="false">IF(N(AN164)=0,"",AN164+IF(I164="yes",AN164*Inputs!$B$10*Inputs!$B$9,0)+IFERROR(INDEX(Inputs!$B$13:$B$15,MATCH(G164,Inputs!$A$13:$A$15,0)),0)+IFERROR(INDEX(Inputs!$B$18:$B$24,MATCH(H164,Inputs!$A$18:$A$24,0)),0))</f>
        <v>0.0855</v>
      </c>
      <c r="AY164" s="28" t="n">
        <f aca="false">IF(OR(N(AX164)&lt;=0,N(AW164)=0,N(AV164)=0),"",MIN(AV164,AW164/AX164))</f>
        <v>17.1783625730994</v>
      </c>
      <c r="AZ164" s="29" t="n">
        <f aca="false">IF(OR(AY164="",N(O164)=0),"",AY164/O164-1)</f>
        <v>-0.13020948996965</v>
      </c>
      <c r="BA164" s="29" t="n">
        <f aca="false">IF(OR(AZ164="",N(O164)=0),"",AZ164+AW164/O164)</f>
        <v>-0.0558424013620548</v>
      </c>
      <c r="BB164" s="32" t="n">
        <f aca="false">IF(OR(BA164="",N(AR164)=0),"",BA164-AR164)</f>
        <v>0</v>
      </c>
      <c r="BC164" s="35" t="n">
        <f aca="false">IF(OR(BA164="",N(U164)=0),"",BA164-U164)</f>
        <v>-0.0597980975645864</v>
      </c>
      <c r="BD164" s="36" t="s">
        <v>224</v>
      </c>
    </row>
    <row r="165" customFormat="false" ht="15" hidden="false" customHeight="false" outlineLevel="0" collapsed="false">
      <c r="A165" s="2" t="s">
        <v>140</v>
      </c>
      <c r="B165" s="2" t="n">
        <v>310</v>
      </c>
      <c r="C165" s="2" t="s">
        <v>430</v>
      </c>
      <c r="D165" s="2" t="s">
        <v>431</v>
      </c>
      <c r="E165" s="2" t="s">
        <v>432</v>
      </c>
      <c r="F165" s="27" t="n">
        <v>217500</v>
      </c>
      <c r="G165" s="2" t="s">
        <v>51</v>
      </c>
      <c r="H165" s="2" t="s">
        <v>58</v>
      </c>
      <c r="I165" s="2" t="s">
        <v>151</v>
      </c>
      <c r="J165" s="2" t="s">
        <v>145</v>
      </c>
      <c r="K165" s="2" t="n">
        <v>4</v>
      </c>
      <c r="L165" s="28" t="n">
        <v>25</v>
      </c>
      <c r="M165" s="29" t="n">
        <v>0.07125</v>
      </c>
      <c r="N165" s="28" t="n">
        <v>1.78125</v>
      </c>
      <c r="O165" s="28" t="n">
        <v>0</v>
      </c>
      <c r="P165" s="2" t="s">
        <v>237</v>
      </c>
      <c r="Q165" s="29" t="n">
        <v>0.08</v>
      </c>
      <c r="R165" s="30" t="n">
        <v>0.075</v>
      </c>
      <c r="S165" s="31" t="n">
        <v>23.75</v>
      </c>
      <c r="T165" s="30"/>
      <c r="U165" s="30"/>
      <c r="V165" s="29" t="n">
        <v>0</v>
      </c>
      <c r="W165" s="29" t="n">
        <f aca="false">IF(N(Q165)=0,"",Q165+IF(I165="yes",Q165*Inputs!$B$10*Inputs!$B$9,0)+V165)</f>
        <v>0.076</v>
      </c>
      <c r="X165" s="28" t="n">
        <f aca="false">IF(OR(N(W165)&lt;=0,N(N165)=0,N(L165)=0),"",MIN(L165,N165/W165))</f>
        <v>23.4375</v>
      </c>
      <c r="Y165" s="29" t="str">
        <f aca="false">IF(OR(X165="",N(O165)=0),"",X165/O165-1)</f>
        <v/>
      </c>
      <c r="Z165" s="29" t="str">
        <f aca="false">IF(OR(Y165="",N(O165)=0),"",Y165+N165/O165)</f>
        <v/>
      </c>
      <c r="AA165" s="32" t="str">
        <f aca="false">IF(OR(Z165="",N(U165)=0),"",Z165-U165)</f>
        <v/>
      </c>
      <c r="AB165" s="29" t="n">
        <f aca="false">IF(N(Q165)=0,"",Q165+IF(I165="yes",Q165*Inputs!$B$10*Inputs!$B$9,0)+IFERROR(INDEX(Inputs!$B$13:$B$15,MATCH(G165,Inputs!$A$13:$A$15,0)),0)+IFERROR(INDEX(Inputs!$B$18:$B$24,MATCH(H165,Inputs!$A$18:$A$24,0)),0))</f>
        <v>0.076</v>
      </c>
      <c r="AC165" s="28" t="n">
        <f aca="false">IF(OR(N(AB165)&lt;=0,N(N165)=0,N(L165)=0),"",MIN(L165,N165/AB165))</f>
        <v>23.4375</v>
      </c>
      <c r="AD165" s="29" t="str">
        <f aca="false">IF(OR(AC165="",N(O165)=0),"",AC165/O165-1)</f>
        <v/>
      </c>
      <c r="AE165" s="29" t="str">
        <f aca="false">IF(OR(AD165="",N(O165)=0),"",AD165+N165/O165)</f>
        <v/>
      </c>
      <c r="AF165" s="32" t="str">
        <f aca="false">IF(OR(AE165="",N(Z165)=0),"",AE165-Z165)</f>
        <v/>
      </c>
      <c r="AG165" s="28" t="n">
        <f aca="false">IF(AND(N(M165)&gt;0,N(L165)&gt;0),M165*L165,N165)</f>
        <v>1.78125</v>
      </c>
      <c r="AH165" s="28" t="n">
        <f aca="false">IF(OR(N(AB165)&lt;=0,N(AG165)=0,N(L165)=0),"",MIN(L165,AG165/AB165))</f>
        <v>23.4375</v>
      </c>
      <c r="AI165" s="29" t="str">
        <f aca="false">IF(OR(AH165="",N(O165)=0),"",AH165/O165-1)</f>
        <v/>
      </c>
      <c r="AJ165" s="29" t="str">
        <f aca="false">IF(OR(AI165="",N(O165)=0),"",AI165+AG165/O165)</f>
        <v/>
      </c>
      <c r="AK165" s="32" t="str">
        <f aca="false">IF(OR(AJ165="",N(AE165)=0),"",AJ165-AE165)</f>
        <v/>
      </c>
      <c r="AL165" s="33" t="n">
        <f aca="false">IF(N(F165)=0,"",INDEX(Inputs!$B$28:$B$32,IFERROR(MATCH(F165,Inputs!$A$28:$A$32,1),0)+1))</f>
        <v>0.075</v>
      </c>
      <c r="AM165" s="34" t="n">
        <v>0.075</v>
      </c>
      <c r="AN165" s="33" t="n">
        <f aca="false">IF(N(AM165)&gt;0,AM165,AL165)</f>
        <v>0.075</v>
      </c>
      <c r="AO165" s="29" t="n">
        <f aca="false">IF(N(AN165)=0,"",AN165+IF(I165="yes",AN165*Inputs!$B$10*Inputs!$B$9,0)+IFERROR(INDEX(Inputs!$B$13:$B$15,MATCH(G165,Inputs!$A$13:$A$15,0)),0)+IFERROR(INDEX(Inputs!$B$18:$B$24,MATCH(H165,Inputs!$A$18:$A$24,0)),0))</f>
        <v>0.07125</v>
      </c>
      <c r="AP165" s="28" t="n">
        <f aca="false">IF(OR(N(AO165)&lt;=0,N(AG165)=0,N(L165)=0),"",MIN(L165,AG165/AO165))</f>
        <v>25</v>
      </c>
      <c r="AQ165" s="29" t="str">
        <f aca="false">IF(OR(AP165="",N(O165)=0),"",AP165/O165-1)</f>
        <v/>
      </c>
      <c r="AR165" s="29" t="str">
        <f aca="false">IF(OR(AQ165="",N(O165)=0),"",AQ165+AG165/O165)</f>
        <v/>
      </c>
      <c r="AS165" s="32" t="str">
        <f aca="false">IF(OR(AR165="",N(AJ165)=0),"",AR165-AJ165)</f>
        <v/>
      </c>
      <c r="AT165" s="28"/>
      <c r="AU165" s="28"/>
      <c r="AV165" s="28" t="n">
        <f aca="false">IF(N(AT165)&gt;0,AT165,L165)</f>
        <v>25</v>
      </c>
      <c r="AW165" s="28" t="n">
        <f aca="false">IF(AND(N(M165)&gt;0,N(AV165)&gt;0),M165*AV165,IF(N(AU165)&gt;0,AU165,N165))</f>
        <v>1.78125</v>
      </c>
      <c r="AX165" s="29" t="n">
        <f aca="false">IF(N(AN165)=0,"",AN165+IF(I165="yes",AN165*Inputs!$B$10*Inputs!$B$9,0)+IFERROR(INDEX(Inputs!$B$13:$B$15,MATCH(G165,Inputs!$A$13:$A$15,0)),0)+IFERROR(INDEX(Inputs!$B$18:$B$24,MATCH(H165,Inputs!$A$18:$A$24,0)),0))</f>
        <v>0.07125</v>
      </c>
      <c r="AY165" s="28" t="n">
        <f aca="false">IF(OR(N(AX165)&lt;=0,N(AW165)=0,N(AV165)=0),"",MIN(AV165,AW165/AX165))</f>
        <v>25</v>
      </c>
      <c r="AZ165" s="29" t="str">
        <f aca="false">IF(OR(AY165="",N(O165)=0),"",AY165/O165-1)</f>
        <v/>
      </c>
      <c r="BA165" s="29" t="str">
        <f aca="false">IF(OR(AZ165="",N(O165)=0),"",AZ165+AW165/O165)</f>
        <v/>
      </c>
      <c r="BB165" s="32" t="str">
        <f aca="false">IF(OR(BA165="",N(AR165)=0),"",BA165-AR165)</f>
        <v/>
      </c>
      <c r="BC165" s="35" t="str">
        <f aca="false">IF(OR(BA165="",N(U165)=0),"",BA165-U165)</f>
        <v/>
      </c>
      <c r="BD165" s="36" t="s">
        <v>433</v>
      </c>
    </row>
    <row r="166" customFormat="false" ht="15" hidden="false" customHeight="false" outlineLevel="0" collapsed="false">
      <c r="A166" s="2" t="s">
        <v>140</v>
      </c>
      <c r="B166" s="2" t="n">
        <v>311</v>
      </c>
      <c r="C166" s="2" t="s">
        <v>434</v>
      </c>
      <c r="D166" s="2" t="s">
        <v>431</v>
      </c>
      <c r="E166" s="2" t="s">
        <v>432</v>
      </c>
      <c r="F166" s="27" t="n">
        <v>217500</v>
      </c>
      <c r="G166" s="2" t="s">
        <v>51</v>
      </c>
      <c r="H166" s="2" t="s">
        <v>58</v>
      </c>
      <c r="I166" s="2" t="s">
        <v>151</v>
      </c>
      <c r="J166" s="2" t="s">
        <v>145</v>
      </c>
      <c r="K166" s="2" t="n">
        <v>4</v>
      </c>
      <c r="L166" s="28" t="n">
        <v>25</v>
      </c>
      <c r="M166" s="29" t="n">
        <v>0.06875</v>
      </c>
      <c r="N166" s="28" t="n">
        <v>1.71875</v>
      </c>
      <c r="O166" s="28" t="n">
        <v>0</v>
      </c>
      <c r="P166" s="2" t="s">
        <v>237</v>
      </c>
      <c r="Q166" s="29" t="n">
        <v>0.08</v>
      </c>
      <c r="R166" s="30" t="n">
        <v>0.075</v>
      </c>
      <c r="S166" s="31" t="n">
        <v>22.9166666666667</v>
      </c>
      <c r="T166" s="30"/>
      <c r="U166" s="30"/>
      <c r="V166" s="29" t="n">
        <v>0</v>
      </c>
      <c r="W166" s="29" t="n">
        <f aca="false">IF(N(Q166)=0,"",Q166+IF(I166="yes",Q166*Inputs!$B$10*Inputs!$B$9,0)+V166)</f>
        <v>0.076</v>
      </c>
      <c r="X166" s="28" t="n">
        <f aca="false">IF(OR(N(W166)&lt;=0,N(N166)=0,N(L166)=0),"",MIN(L166,N166/W166))</f>
        <v>22.6151315789474</v>
      </c>
      <c r="Y166" s="29" t="str">
        <f aca="false">IF(OR(X166="",N(O166)=0),"",X166/O166-1)</f>
        <v/>
      </c>
      <c r="Z166" s="29" t="str">
        <f aca="false">IF(OR(Y166="",N(O166)=0),"",Y166+N166/O166)</f>
        <v/>
      </c>
      <c r="AA166" s="32" t="str">
        <f aca="false">IF(OR(Z166="",N(U166)=0),"",Z166-U166)</f>
        <v/>
      </c>
      <c r="AB166" s="29" t="n">
        <f aca="false">IF(N(Q166)=0,"",Q166+IF(I166="yes",Q166*Inputs!$B$10*Inputs!$B$9,0)+IFERROR(INDEX(Inputs!$B$13:$B$15,MATCH(G166,Inputs!$A$13:$A$15,0)),0)+IFERROR(INDEX(Inputs!$B$18:$B$24,MATCH(H166,Inputs!$A$18:$A$24,0)),0))</f>
        <v>0.076</v>
      </c>
      <c r="AC166" s="28" t="n">
        <f aca="false">IF(OR(N(AB166)&lt;=0,N(N166)=0,N(L166)=0),"",MIN(L166,N166/AB166))</f>
        <v>22.6151315789474</v>
      </c>
      <c r="AD166" s="29" t="str">
        <f aca="false">IF(OR(AC166="",N(O166)=0),"",AC166/O166-1)</f>
        <v/>
      </c>
      <c r="AE166" s="29" t="str">
        <f aca="false">IF(OR(AD166="",N(O166)=0),"",AD166+N166/O166)</f>
        <v/>
      </c>
      <c r="AF166" s="32" t="str">
        <f aca="false">IF(OR(AE166="",N(Z166)=0),"",AE166-Z166)</f>
        <v/>
      </c>
      <c r="AG166" s="28" t="n">
        <f aca="false">IF(AND(N(M166)&gt;0,N(L166)&gt;0),M166*L166,N166)</f>
        <v>1.71875</v>
      </c>
      <c r="AH166" s="28" t="n">
        <f aca="false">IF(OR(N(AB166)&lt;=0,N(AG166)=0,N(L166)=0),"",MIN(L166,AG166/AB166))</f>
        <v>22.6151315789474</v>
      </c>
      <c r="AI166" s="29" t="str">
        <f aca="false">IF(OR(AH166="",N(O166)=0),"",AH166/O166-1)</f>
        <v/>
      </c>
      <c r="AJ166" s="29" t="str">
        <f aca="false">IF(OR(AI166="",N(O166)=0),"",AI166+AG166/O166)</f>
        <v/>
      </c>
      <c r="AK166" s="32" t="str">
        <f aca="false">IF(OR(AJ166="",N(AE166)=0),"",AJ166-AE166)</f>
        <v/>
      </c>
      <c r="AL166" s="33" t="n">
        <f aca="false">IF(N(F166)=0,"",INDEX(Inputs!$B$28:$B$32,IFERROR(MATCH(F166,Inputs!$A$28:$A$32,1),0)+1))</f>
        <v>0.075</v>
      </c>
      <c r="AM166" s="34" t="n">
        <v>0.075</v>
      </c>
      <c r="AN166" s="33" t="n">
        <f aca="false">IF(N(AM166)&gt;0,AM166,AL166)</f>
        <v>0.075</v>
      </c>
      <c r="AO166" s="29" t="n">
        <f aca="false">IF(N(AN166)=0,"",AN166+IF(I166="yes",AN166*Inputs!$B$10*Inputs!$B$9,0)+IFERROR(INDEX(Inputs!$B$13:$B$15,MATCH(G166,Inputs!$A$13:$A$15,0)),0)+IFERROR(INDEX(Inputs!$B$18:$B$24,MATCH(H166,Inputs!$A$18:$A$24,0)),0))</f>
        <v>0.07125</v>
      </c>
      <c r="AP166" s="28" t="n">
        <f aca="false">IF(OR(N(AO166)&lt;=0,N(AG166)=0,N(L166)=0),"",MIN(L166,AG166/AO166))</f>
        <v>24.1228070175439</v>
      </c>
      <c r="AQ166" s="29" t="str">
        <f aca="false">IF(OR(AP166="",N(O166)=0),"",AP166/O166-1)</f>
        <v/>
      </c>
      <c r="AR166" s="29" t="str">
        <f aca="false">IF(OR(AQ166="",N(O166)=0),"",AQ166+AG166/O166)</f>
        <v/>
      </c>
      <c r="AS166" s="32" t="str">
        <f aca="false">IF(OR(AR166="",N(AJ166)=0),"",AR166-AJ166)</f>
        <v/>
      </c>
      <c r="AT166" s="28"/>
      <c r="AU166" s="28"/>
      <c r="AV166" s="28" t="n">
        <f aca="false">IF(N(AT166)&gt;0,AT166,L166)</f>
        <v>25</v>
      </c>
      <c r="AW166" s="28" t="n">
        <f aca="false">IF(AND(N(M166)&gt;0,N(AV166)&gt;0),M166*AV166,IF(N(AU166)&gt;0,AU166,N166))</f>
        <v>1.71875</v>
      </c>
      <c r="AX166" s="29" t="n">
        <f aca="false">IF(N(AN166)=0,"",AN166+IF(I166="yes",AN166*Inputs!$B$10*Inputs!$B$9,0)+IFERROR(INDEX(Inputs!$B$13:$B$15,MATCH(G166,Inputs!$A$13:$A$15,0)),0)+IFERROR(INDEX(Inputs!$B$18:$B$24,MATCH(H166,Inputs!$A$18:$A$24,0)),0))</f>
        <v>0.07125</v>
      </c>
      <c r="AY166" s="28" t="n">
        <f aca="false">IF(OR(N(AX166)&lt;=0,N(AW166)=0,N(AV166)=0),"",MIN(AV166,AW166/AX166))</f>
        <v>24.1228070175439</v>
      </c>
      <c r="AZ166" s="29" t="str">
        <f aca="false">IF(OR(AY166="",N(O166)=0),"",AY166/O166-1)</f>
        <v/>
      </c>
      <c r="BA166" s="29" t="str">
        <f aca="false">IF(OR(AZ166="",N(O166)=0),"",AZ166+AW166/O166)</f>
        <v/>
      </c>
      <c r="BB166" s="32" t="str">
        <f aca="false">IF(OR(BA166="",N(AR166)=0),"",BA166-AR166)</f>
        <v/>
      </c>
      <c r="BC166" s="35" t="str">
        <f aca="false">IF(OR(BA166="",N(U166)=0),"",BA166-U166)</f>
        <v/>
      </c>
      <c r="BD166" s="36" t="s">
        <v>433</v>
      </c>
    </row>
    <row r="167" customFormat="false" ht="15" hidden="false" customHeight="false" outlineLevel="0" collapsed="false">
      <c r="A167" s="2" t="s">
        <v>140</v>
      </c>
      <c r="B167" s="2" t="n">
        <v>312</v>
      </c>
      <c r="C167" s="2" t="s">
        <v>435</v>
      </c>
      <c r="D167" s="2" t="s">
        <v>431</v>
      </c>
      <c r="E167" s="2" t="s">
        <v>432</v>
      </c>
      <c r="F167" s="27" t="n">
        <v>217500</v>
      </c>
      <c r="G167" s="2" t="s">
        <v>51</v>
      </c>
      <c r="H167" s="2" t="s">
        <v>58</v>
      </c>
      <c r="I167" s="2" t="s">
        <v>144</v>
      </c>
      <c r="J167" s="2" t="s">
        <v>145</v>
      </c>
      <c r="K167" s="2" t="n">
        <v>4</v>
      </c>
      <c r="L167" s="28" t="n">
        <v>25</v>
      </c>
      <c r="M167" s="29" t="n">
        <v>0.07875</v>
      </c>
      <c r="N167" s="28" t="n">
        <v>1.96875</v>
      </c>
      <c r="O167" s="28" t="n">
        <v>26.37</v>
      </c>
      <c r="P167" s="2" t="s">
        <v>237</v>
      </c>
      <c r="Q167" s="29" t="n">
        <v>0.08</v>
      </c>
      <c r="R167" s="30" t="n">
        <v>0.075</v>
      </c>
      <c r="S167" s="31" t="n">
        <v>25</v>
      </c>
      <c r="T167" s="30" t="n">
        <v>-0.0519529768676527</v>
      </c>
      <c r="U167" s="30" t="n">
        <v>0.0227057262040197</v>
      </c>
      <c r="V167" s="29" t="n">
        <v>0</v>
      </c>
      <c r="W167" s="29" t="n">
        <f aca="false">IF(N(Q167)=0,"",Q167+IF(I167="yes",Q167*Inputs!$B$10*Inputs!$B$9,0)+V167)</f>
        <v>0.08</v>
      </c>
      <c r="X167" s="28" t="n">
        <f aca="false">IF(OR(N(W167)&lt;=0,N(N167)=0,N(L167)=0),"",MIN(L167,N167/W167))</f>
        <v>24.609375</v>
      </c>
      <c r="Y167" s="29" t="n">
        <f aca="false">IF(OR(X167="",N(O167)=0),"",X167/O167-1)</f>
        <v>-0.0667662116040956</v>
      </c>
      <c r="Z167" s="29" t="n">
        <f aca="false">IF(OR(Y167="",N(O167)=0),"",Y167+N167/O167)</f>
        <v>0.00789249146757678</v>
      </c>
      <c r="AA167" s="32" t="n">
        <f aca="false">IF(OR(Z167="",N(U167)=0),"",Z167-U167)</f>
        <v>-0.0148132347364429</v>
      </c>
      <c r="AB167" s="29" t="n">
        <f aca="false">IF(N(Q167)=0,"",Q167+IF(I167="yes",Q167*Inputs!$B$10*Inputs!$B$9,0)+IFERROR(INDEX(Inputs!$B$13:$B$15,MATCH(G167,Inputs!$A$13:$A$15,0)),0)+IFERROR(INDEX(Inputs!$B$18:$B$24,MATCH(H167,Inputs!$A$18:$A$24,0)),0))</f>
        <v>0.08</v>
      </c>
      <c r="AC167" s="28" t="n">
        <f aca="false">IF(OR(N(AB167)&lt;=0,N(N167)=0,N(L167)=0),"",MIN(L167,N167/AB167))</f>
        <v>24.609375</v>
      </c>
      <c r="AD167" s="29" t="n">
        <f aca="false">IF(OR(AC167="",N(O167)=0),"",AC167/O167-1)</f>
        <v>-0.0667662116040956</v>
      </c>
      <c r="AE167" s="29" t="n">
        <f aca="false">IF(OR(AD167="",N(O167)=0),"",AD167+N167/O167)</f>
        <v>0.00789249146757678</v>
      </c>
      <c r="AF167" s="32" t="n">
        <f aca="false">IF(OR(AE167="",N(Z167)=0),"",AE167-Z167)</f>
        <v>0</v>
      </c>
      <c r="AG167" s="28" t="n">
        <f aca="false">IF(AND(N(M167)&gt;0,N(L167)&gt;0),M167*L167,N167)</f>
        <v>1.96875</v>
      </c>
      <c r="AH167" s="28" t="n">
        <f aca="false">IF(OR(N(AB167)&lt;=0,N(AG167)=0,N(L167)=0),"",MIN(L167,AG167/AB167))</f>
        <v>24.609375</v>
      </c>
      <c r="AI167" s="29" t="n">
        <f aca="false">IF(OR(AH167="",N(O167)=0),"",AH167/O167-1)</f>
        <v>-0.0667662116040956</v>
      </c>
      <c r="AJ167" s="29" t="n">
        <f aca="false">IF(OR(AI167="",N(O167)=0),"",AI167+AG167/O167)</f>
        <v>0.00789249146757678</v>
      </c>
      <c r="AK167" s="32" t="n">
        <f aca="false">IF(OR(AJ167="",N(AE167)=0),"",AJ167-AE167)</f>
        <v>0</v>
      </c>
      <c r="AL167" s="33" t="n">
        <f aca="false">IF(N(F167)=0,"",INDEX(Inputs!$B$28:$B$32,IFERROR(MATCH(F167,Inputs!$A$28:$A$32,1),0)+1))</f>
        <v>0.075</v>
      </c>
      <c r="AM167" s="34" t="n">
        <v>0.075</v>
      </c>
      <c r="AN167" s="33" t="n">
        <f aca="false">IF(N(AM167)&gt;0,AM167,AL167)</f>
        <v>0.075</v>
      </c>
      <c r="AO167" s="29" t="n">
        <f aca="false">IF(N(AN167)=0,"",AN167+IF(I167="yes",AN167*Inputs!$B$10*Inputs!$B$9,0)+IFERROR(INDEX(Inputs!$B$13:$B$15,MATCH(G167,Inputs!$A$13:$A$15,0)),0)+IFERROR(INDEX(Inputs!$B$18:$B$24,MATCH(H167,Inputs!$A$18:$A$24,0)),0))</f>
        <v>0.075</v>
      </c>
      <c r="AP167" s="28" t="n">
        <f aca="false">IF(OR(N(AO167)&lt;=0,N(AG167)=0,N(L167)=0),"",MIN(L167,AG167/AO167))</f>
        <v>25</v>
      </c>
      <c r="AQ167" s="29" t="n">
        <f aca="false">IF(OR(AP167="",N(O167)=0),"",AP167/O167-1)</f>
        <v>-0.0519529768676527</v>
      </c>
      <c r="AR167" s="29" t="n">
        <f aca="false">IF(OR(AQ167="",N(O167)=0),"",AQ167+AG167/O167)</f>
        <v>0.0227057262040197</v>
      </c>
      <c r="AS167" s="32" t="n">
        <f aca="false">IF(OR(AR167="",N(AJ167)=0),"",AR167-AJ167)</f>
        <v>0.0148132347364429</v>
      </c>
      <c r="AT167" s="28" t="n">
        <v>25</v>
      </c>
      <c r="AU167" s="28"/>
      <c r="AV167" s="28" t="n">
        <f aca="false">IF(N(AT167)&gt;0,AT167,L167)</f>
        <v>25</v>
      </c>
      <c r="AW167" s="28" t="n">
        <f aca="false">IF(AND(N(M167)&gt;0,N(AV167)&gt;0),M167*AV167,IF(N(AU167)&gt;0,AU167,N167))</f>
        <v>1.96875</v>
      </c>
      <c r="AX167" s="29" t="n">
        <f aca="false">IF(N(AN167)=0,"",AN167+IF(I167="yes",AN167*Inputs!$B$10*Inputs!$B$9,0)+IFERROR(INDEX(Inputs!$B$13:$B$15,MATCH(G167,Inputs!$A$13:$A$15,0)),0)+IFERROR(INDEX(Inputs!$B$18:$B$24,MATCH(H167,Inputs!$A$18:$A$24,0)),0))</f>
        <v>0.075</v>
      </c>
      <c r="AY167" s="28" t="n">
        <f aca="false">IF(OR(N(AX167)&lt;=0,N(AW167)=0,N(AV167)=0),"",MIN(AV167,AW167/AX167))</f>
        <v>25</v>
      </c>
      <c r="AZ167" s="29" t="n">
        <f aca="false">IF(OR(AY167="",N(O167)=0),"",AY167/O167-1)</f>
        <v>-0.0519529768676527</v>
      </c>
      <c r="BA167" s="29" t="n">
        <f aca="false">IF(OR(AZ167="",N(O167)=0),"",AZ167+AW167/O167)</f>
        <v>0.0227057262040197</v>
      </c>
      <c r="BB167" s="32" t="n">
        <f aca="false">IF(OR(BA167="",N(AR167)=0),"",BA167-AR167)</f>
        <v>0</v>
      </c>
      <c r="BC167" s="35" t="n">
        <f aca="false">IF(OR(BA167="",N(U167)=0),"",BA167-U167)</f>
        <v>0</v>
      </c>
      <c r="BD167" s="36" t="s">
        <v>238</v>
      </c>
    </row>
    <row r="168" customFormat="false" ht="15" hidden="false" customHeight="false" outlineLevel="0" collapsed="false">
      <c r="A168" s="2" t="s">
        <v>140</v>
      </c>
      <c r="B168" s="2" t="n">
        <v>315</v>
      </c>
      <c r="C168" s="2" t="s">
        <v>436</v>
      </c>
      <c r="D168" s="2" t="s">
        <v>437</v>
      </c>
      <c r="E168" s="2" t="s">
        <v>143</v>
      </c>
      <c r="F168" s="27"/>
      <c r="G168" s="2" t="s">
        <v>51</v>
      </c>
      <c r="H168" s="2" t="s">
        <v>64</v>
      </c>
      <c r="I168" s="2" t="s">
        <v>151</v>
      </c>
      <c r="J168" s="2" t="s">
        <v>145</v>
      </c>
      <c r="K168" s="2" t="n">
        <v>4</v>
      </c>
      <c r="L168" s="28" t="n">
        <v>100</v>
      </c>
      <c r="M168" s="29" t="n">
        <v>0.055</v>
      </c>
      <c r="N168" s="28" t="n">
        <v>5.5</v>
      </c>
      <c r="O168" s="28" t="n">
        <v>0</v>
      </c>
      <c r="P168" s="2" t="s">
        <v>146</v>
      </c>
      <c r="Q168" s="29" t="n">
        <v>0</v>
      </c>
      <c r="R168" s="30" t="n">
        <v>0</v>
      </c>
      <c r="S168" s="31"/>
      <c r="T168" s="30"/>
      <c r="U168" s="30"/>
      <c r="V168" s="29" t="n">
        <v>0</v>
      </c>
      <c r="W168" s="29" t="str">
        <f aca="false">IF(N(Q168)=0,"",Q168+IF(I168="yes",Q168*Inputs!$B$10*Inputs!$B$9,0)+V168)</f>
        <v/>
      </c>
      <c r="X168" s="28" t="str">
        <f aca="false">IF(OR(N(W168)&lt;=0,N(N168)=0,N(L168)=0),"",MIN(L168,N168/W168))</f>
        <v/>
      </c>
      <c r="Y168" s="29" t="str">
        <f aca="false">IF(OR(X168="",N(O168)=0),"",X168/O168-1)</f>
        <v/>
      </c>
      <c r="Z168" s="29" t="str">
        <f aca="false">IF(OR(Y168="",N(O168)=0),"",Y168+N168/O168)</f>
        <v/>
      </c>
      <c r="AA168" s="32" t="str">
        <f aca="false">IF(OR(Z168="",N(U168)=0),"",Z168-U168)</f>
        <v/>
      </c>
      <c r="AB168" s="29" t="str">
        <f aca="false">IF(N(Q168)=0,"",Q168+IF(I168="yes",Q168*Inputs!$B$10*Inputs!$B$9,0)+IFERROR(INDEX(Inputs!$B$13:$B$15,MATCH(G168,Inputs!$A$13:$A$15,0)),0)+IFERROR(INDEX(Inputs!$B$18:$B$24,MATCH(H168,Inputs!$A$18:$A$24,0)),0))</f>
        <v/>
      </c>
      <c r="AC168" s="28" t="str">
        <f aca="false">IF(OR(N(AB168)&lt;=0,N(N168)=0,N(L168)=0),"",MIN(L168,N168/AB168))</f>
        <v/>
      </c>
      <c r="AD168" s="29" t="str">
        <f aca="false">IF(OR(AC168="",N(O168)=0),"",AC168/O168-1)</f>
        <v/>
      </c>
      <c r="AE168" s="29" t="str">
        <f aca="false">IF(OR(AD168="",N(O168)=0),"",AD168+N168/O168)</f>
        <v/>
      </c>
      <c r="AF168" s="32" t="str">
        <f aca="false">IF(OR(AE168="",N(Z168)=0),"",AE168-Z168)</f>
        <v/>
      </c>
      <c r="AG168" s="28" t="n">
        <f aca="false">IF(AND(N(M168)&gt;0,N(L168)&gt;0),M168*L168,N168)</f>
        <v>5.5</v>
      </c>
      <c r="AH168" s="28" t="str">
        <f aca="false">IF(OR(N(AB168)&lt;=0,N(AG168)=0,N(L168)=0),"",MIN(L168,AG168/AB168))</f>
        <v/>
      </c>
      <c r="AI168" s="29" t="str">
        <f aca="false">IF(OR(AH168="",N(O168)=0),"",AH168/O168-1)</f>
        <v/>
      </c>
      <c r="AJ168" s="29" t="str">
        <f aca="false">IF(OR(AI168="",N(O168)=0),"",AI168+AG168/O168)</f>
        <v/>
      </c>
      <c r="AK168" s="32" t="str">
        <f aca="false">IF(OR(AJ168="",N(AE168)=0),"",AJ168-AE168)</f>
        <v/>
      </c>
      <c r="AL168" s="33" t="str">
        <f aca="false">IF(N(F168)=0,"",INDEX(Inputs!$B$28:$B$32,IFERROR(MATCH(F168,Inputs!$A$28:$A$32,1),0)+1))</f>
        <v/>
      </c>
      <c r="AM168" s="34"/>
      <c r="AN168" s="33" t="str">
        <f aca="false">IF(N(AM168)&gt;0,AM168,AL168)</f>
        <v/>
      </c>
      <c r="AO168" s="29" t="str">
        <f aca="false">IF(N(AN168)=0,"",AN168+IF(I168="yes",AN168*Inputs!$B$10*Inputs!$B$9,0)+IFERROR(INDEX(Inputs!$B$13:$B$15,MATCH(G168,Inputs!$A$13:$A$15,0)),0)+IFERROR(INDEX(Inputs!$B$18:$B$24,MATCH(H168,Inputs!$A$18:$A$24,0)),0))</f>
        <v/>
      </c>
      <c r="AP168" s="28" t="str">
        <f aca="false">IF(OR(N(AO168)&lt;=0,N(AG168)=0,N(L168)=0),"",MIN(L168,AG168/AO168))</f>
        <v/>
      </c>
      <c r="AQ168" s="29" t="str">
        <f aca="false">IF(OR(AP168="",N(O168)=0),"",AP168/O168-1)</f>
        <v/>
      </c>
      <c r="AR168" s="29" t="str">
        <f aca="false">IF(OR(AQ168="",N(O168)=0),"",AQ168+AG168/O168)</f>
        <v/>
      </c>
      <c r="AS168" s="32" t="str">
        <f aca="false">IF(OR(AR168="",N(AJ168)=0),"",AR168-AJ168)</f>
        <v/>
      </c>
      <c r="AT168" s="28"/>
      <c r="AU168" s="28"/>
      <c r="AV168" s="28" t="n">
        <f aca="false">IF(N(AT168)&gt;0,AT168,L168)</f>
        <v>100</v>
      </c>
      <c r="AW168" s="28" t="n">
        <f aca="false">IF(AND(N(M168)&gt;0,N(AV168)&gt;0),M168*AV168,IF(N(AU168)&gt;0,AU168,N168))</f>
        <v>5.5</v>
      </c>
      <c r="AX168" s="29" t="str">
        <f aca="false">IF(N(AN168)=0,"",AN168+IF(I168="yes",AN168*Inputs!$B$10*Inputs!$B$9,0)+IFERROR(INDEX(Inputs!$B$13:$B$15,MATCH(G168,Inputs!$A$13:$A$15,0)),0)+IFERROR(INDEX(Inputs!$B$18:$B$24,MATCH(H168,Inputs!$A$18:$A$24,0)),0))</f>
        <v/>
      </c>
      <c r="AY168" s="28" t="str">
        <f aca="false">IF(OR(N(AX168)&lt;=0,N(AW168)=0,N(AV168)=0),"",MIN(AV168,AW168/AX168))</f>
        <v/>
      </c>
      <c r="AZ168" s="29" t="str">
        <f aca="false">IF(OR(AY168="",N(O168)=0),"",AY168/O168-1)</f>
        <v/>
      </c>
      <c r="BA168" s="29" t="str">
        <f aca="false">IF(OR(AZ168="",N(O168)=0),"",AZ168+AW168/O168)</f>
        <v/>
      </c>
      <c r="BB168" s="32" t="str">
        <f aca="false">IF(OR(BA168="",N(AR168)=0),"",BA168-AR168)</f>
        <v/>
      </c>
      <c r="BC168" s="35" t="str">
        <f aca="false">IF(OR(BA168="",N(U168)=0),"",BA168-U168)</f>
        <v/>
      </c>
      <c r="BD168" s="36" t="s">
        <v>147</v>
      </c>
    </row>
    <row r="169" customFormat="false" ht="15" hidden="false" customHeight="false" outlineLevel="0" collapsed="false">
      <c r="A169" s="2" t="s">
        <v>140</v>
      </c>
      <c r="B169" s="2" t="n">
        <v>319</v>
      </c>
      <c r="C169" s="2" t="s">
        <v>438</v>
      </c>
      <c r="D169" s="2" t="s">
        <v>437</v>
      </c>
      <c r="E169" s="2" t="s">
        <v>143</v>
      </c>
      <c r="F169" s="27"/>
      <c r="G169" s="2" t="s">
        <v>51</v>
      </c>
      <c r="H169" s="2" t="s">
        <v>58</v>
      </c>
      <c r="I169" s="2" t="s">
        <v>144</v>
      </c>
      <c r="J169" s="2" t="s">
        <v>145</v>
      </c>
      <c r="K169" s="2" t="n">
        <v>4</v>
      </c>
      <c r="L169" s="28" t="n">
        <v>25</v>
      </c>
      <c r="M169" s="29" t="n">
        <v>0.0525</v>
      </c>
      <c r="N169" s="28" t="n">
        <v>1.3125</v>
      </c>
      <c r="O169" s="28" t="n">
        <v>14.93</v>
      </c>
      <c r="P169" s="2" t="s">
        <v>146</v>
      </c>
      <c r="Q169" s="29" t="n">
        <v>0.08</v>
      </c>
      <c r="R169" s="30" t="n">
        <v>0.08</v>
      </c>
      <c r="S169" s="31" t="n">
        <v>16.40625</v>
      </c>
      <c r="T169" s="30" t="n">
        <v>0.098878097789685</v>
      </c>
      <c r="U169" s="30" t="n">
        <v>0.18678834561286</v>
      </c>
      <c r="V169" s="29" t="n">
        <v>0</v>
      </c>
      <c r="W169" s="29" t="n">
        <f aca="false">IF(N(Q169)=0,"",Q169+IF(I169="yes",Q169*Inputs!$B$10*Inputs!$B$9,0)+V169)</f>
        <v>0.08</v>
      </c>
      <c r="X169" s="28" t="n">
        <f aca="false">IF(OR(N(W169)&lt;=0,N(N169)=0,N(L169)=0),"",MIN(L169,N169/W169))</f>
        <v>16.40625</v>
      </c>
      <c r="Y169" s="29" t="n">
        <f aca="false">IF(OR(X169="",N(O169)=0),"",X169/O169-1)</f>
        <v>0.0988780977896853</v>
      </c>
      <c r="Z169" s="29" t="n">
        <f aca="false">IF(OR(Y169="",N(O169)=0),"",Y169+N169/O169)</f>
        <v>0.18678834561286</v>
      </c>
      <c r="AA169" s="32" t="n">
        <f aca="false">IF(OR(Z169="",N(U169)=0),"",Z169-U169)</f>
        <v>0</v>
      </c>
      <c r="AB169" s="29" t="n">
        <f aca="false">IF(N(Q169)=0,"",Q169+IF(I169="yes",Q169*Inputs!$B$10*Inputs!$B$9,0)+IFERROR(INDEX(Inputs!$B$13:$B$15,MATCH(G169,Inputs!$A$13:$A$15,0)),0)+IFERROR(INDEX(Inputs!$B$18:$B$24,MATCH(H169,Inputs!$A$18:$A$24,0)),0))</f>
        <v>0.08</v>
      </c>
      <c r="AC169" s="28" t="n">
        <f aca="false">IF(OR(N(AB169)&lt;=0,N(N169)=0,N(L169)=0),"",MIN(L169,N169/AB169))</f>
        <v>16.40625</v>
      </c>
      <c r="AD169" s="29" t="n">
        <f aca="false">IF(OR(AC169="",N(O169)=0),"",AC169/O169-1)</f>
        <v>0.0988780977896853</v>
      </c>
      <c r="AE169" s="29" t="n">
        <f aca="false">IF(OR(AD169="",N(O169)=0),"",AD169+N169/O169)</f>
        <v>0.18678834561286</v>
      </c>
      <c r="AF169" s="32" t="n">
        <f aca="false">IF(OR(AE169="",N(Z169)=0),"",AE169-Z169)</f>
        <v>0</v>
      </c>
      <c r="AG169" s="28" t="n">
        <f aca="false">IF(AND(N(M169)&gt;0,N(L169)&gt;0),M169*L169,N169)</f>
        <v>1.3125</v>
      </c>
      <c r="AH169" s="28" t="n">
        <f aca="false">IF(OR(N(AB169)&lt;=0,N(AG169)=0,N(L169)=0),"",MIN(L169,AG169/AB169))</f>
        <v>16.40625</v>
      </c>
      <c r="AI169" s="29" t="n">
        <f aca="false">IF(OR(AH169="",N(O169)=0),"",AH169/O169-1)</f>
        <v>0.0988780977896853</v>
      </c>
      <c r="AJ169" s="29" t="n">
        <f aca="false">IF(OR(AI169="",N(O169)=0),"",AI169+AG169/O169)</f>
        <v>0.18678834561286</v>
      </c>
      <c r="AK169" s="32" t="n">
        <f aca="false">IF(OR(AJ169="",N(AE169)=0),"",AJ169-AE169)</f>
        <v>0</v>
      </c>
      <c r="AL169" s="33" t="str">
        <f aca="false">IF(N(F169)=0,"",INDEX(Inputs!$B$28:$B$32,IFERROR(MATCH(F169,Inputs!$A$28:$A$32,1),0)+1))</f>
        <v/>
      </c>
      <c r="AM169" s="34"/>
      <c r="AN169" s="33" t="str">
        <f aca="false">IF(N(AM169)&gt;0,AM169,AL169)</f>
        <v/>
      </c>
      <c r="AO169" s="29" t="str">
        <f aca="false">IF(N(AN169)=0,"",AN169+IF(I169="yes",AN169*Inputs!$B$10*Inputs!$B$9,0)+IFERROR(INDEX(Inputs!$B$13:$B$15,MATCH(G169,Inputs!$A$13:$A$15,0)),0)+IFERROR(INDEX(Inputs!$B$18:$B$24,MATCH(H169,Inputs!$A$18:$A$24,0)),0))</f>
        <v/>
      </c>
      <c r="AP169" s="28" t="str">
        <f aca="false">IF(OR(N(AO169)&lt;=0,N(AG169)=0,N(L169)=0),"",MIN(L169,AG169/AO169))</f>
        <v/>
      </c>
      <c r="AQ169" s="29" t="str">
        <f aca="false">IF(OR(AP169="",N(O169)=0),"",AP169/O169-1)</f>
        <v/>
      </c>
      <c r="AR169" s="29" t="str">
        <f aca="false">IF(OR(AQ169="",N(O169)=0),"",AQ169+AG169/O169)</f>
        <v/>
      </c>
      <c r="AS169" s="32" t="str">
        <f aca="false">IF(OR(AR169="",N(AJ169)=0),"",AR169-AJ169)</f>
        <v/>
      </c>
      <c r="AT169" s="28" t="n">
        <v>25</v>
      </c>
      <c r="AU169" s="28" t="n">
        <v>1.3125</v>
      </c>
      <c r="AV169" s="28" t="n">
        <f aca="false">IF(N(AT169)&gt;0,AT169,L169)</f>
        <v>25</v>
      </c>
      <c r="AW169" s="28" t="n">
        <f aca="false">IF(AND(N(M169)&gt;0,N(AV169)&gt;0),M169*AV169,IF(N(AU169)&gt;0,AU169,N169))</f>
        <v>1.3125</v>
      </c>
      <c r="AX169" s="29" t="str">
        <f aca="false">IF(N(AN169)=0,"",AN169+IF(I169="yes",AN169*Inputs!$B$10*Inputs!$B$9,0)+IFERROR(INDEX(Inputs!$B$13:$B$15,MATCH(G169,Inputs!$A$13:$A$15,0)),0)+IFERROR(INDEX(Inputs!$B$18:$B$24,MATCH(H169,Inputs!$A$18:$A$24,0)),0))</f>
        <v/>
      </c>
      <c r="AY169" s="28" t="str">
        <f aca="false">IF(OR(N(AX169)&lt;=0,N(AW169)=0,N(AV169)=0),"",MIN(AV169,AW169/AX169))</f>
        <v/>
      </c>
      <c r="AZ169" s="29" t="str">
        <f aca="false">IF(OR(AY169="",N(O169)=0),"",AY169/O169-1)</f>
        <v/>
      </c>
      <c r="BA169" s="29" t="str">
        <f aca="false">IF(OR(AZ169="",N(O169)=0),"",AZ169+AW169/O169)</f>
        <v/>
      </c>
      <c r="BB169" s="32" t="str">
        <f aca="false">IF(OR(BA169="",N(AR169)=0),"",BA169-AR169)</f>
        <v/>
      </c>
      <c r="BC169" s="35" t="str">
        <f aca="false">IF(OR(BA169="",N(U169)=0),"",BA169-U169)</f>
        <v/>
      </c>
      <c r="BD169" s="37"/>
    </row>
    <row r="170" customFormat="false" ht="15" hidden="false" customHeight="false" outlineLevel="0" collapsed="false">
      <c r="A170" s="2" t="s">
        <v>140</v>
      </c>
      <c r="B170" s="2" t="n">
        <v>323</v>
      </c>
      <c r="C170" s="2" t="s">
        <v>439</v>
      </c>
      <c r="D170" s="2" t="s">
        <v>440</v>
      </c>
      <c r="E170" s="2" t="s">
        <v>441</v>
      </c>
      <c r="F170" s="27" t="n">
        <v>111</v>
      </c>
      <c r="G170" s="2" t="s">
        <v>51</v>
      </c>
      <c r="H170" s="2" t="s">
        <v>58</v>
      </c>
      <c r="I170" s="2" t="s">
        <v>151</v>
      </c>
      <c r="J170" s="2" t="s">
        <v>168</v>
      </c>
      <c r="K170" s="2" t="n">
        <v>12</v>
      </c>
      <c r="L170" s="28" t="n">
        <v>25</v>
      </c>
      <c r="M170" s="29" t="n">
        <v>0.11</v>
      </c>
      <c r="N170" s="28" t="n">
        <v>2.75</v>
      </c>
      <c r="O170" s="28" t="n">
        <v>0</v>
      </c>
      <c r="P170" s="2" t="s">
        <v>146</v>
      </c>
      <c r="Q170" s="29" t="n">
        <v>0.08</v>
      </c>
      <c r="R170" s="30" t="n">
        <v>0.076</v>
      </c>
      <c r="S170" s="31" t="n">
        <v>25</v>
      </c>
      <c r="T170" s="30"/>
      <c r="U170" s="30"/>
      <c r="V170" s="29" t="n">
        <v>0</v>
      </c>
      <c r="W170" s="29" t="n">
        <f aca="false">IF(N(Q170)=0,"",Q170+IF(I170="yes",Q170*Inputs!$B$10*Inputs!$B$9,0)+V170)</f>
        <v>0.076</v>
      </c>
      <c r="X170" s="28" t="n">
        <f aca="false">IF(OR(N(W170)&lt;=0,N(N170)=0,N(L170)=0),"",MIN(L170,N170/W170))</f>
        <v>25</v>
      </c>
      <c r="Y170" s="29" t="str">
        <f aca="false">IF(OR(X170="",N(O170)=0),"",X170/O170-1)</f>
        <v/>
      </c>
      <c r="Z170" s="29" t="str">
        <f aca="false">IF(OR(Y170="",N(O170)=0),"",Y170+N170/O170)</f>
        <v/>
      </c>
      <c r="AA170" s="32" t="str">
        <f aca="false">IF(OR(Z170="",N(U170)=0),"",Z170-U170)</f>
        <v/>
      </c>
      <c r="AB170" s="29" t="n">
        <f aca="false">IF(N(Q170)=0,"",Q170+IF(I170="yes",Q170*Inputs!$B$10*Inputs!$B$9,0)+IFERROR(INDEX(Inputs!$B$13:$B$15,MATCH(G170,Inputs!$A$13:$A$15,0)),0)+IFERROR(INDEX(Inputs!$B$18:$B$24,MATCH(H170,Inputs!$A$18:$A$24,0)),0))</f>
        <v>0.076</v>
      </c>
      <c r="AC170" s="28" t="n">
        <f aca="false">IF(OR(N(AB170)&lt;=0,N(N170)=0,N(L170)=0),"",MIN(L170,N170/AB170))</f>
        <v>25</v>
      </c>
      <c r="AD170" s="29" t="str">
        <f aca="false">IF(OR(AC170="",N(O170)=0),"",AC170/O170-1)</f>
        <v/>
      </c>
      <c r="AE170" s="29" t="str">
        <f aca="false">IF(OR(AD170="",N(O170)=0),"",AD170+N170/O170)</f>
        <v/>
      </c>
      <c r="AF170" s="32" t="str">
        <f aca="false">IF(OR(AE170="",N(Z170)=0),"",AE170-Z170)</f>
        <v/>
      </c>
      <c r="AG170" s="28" t="n">
        <f aca="false">IF(AND(N(M170)&gt;0,N(L170)&gt;0),M170*L170,N170)</f>
        <v>2.75</v>
      </c>
      <c r="AH170" s="28" t="n">
        <f aca="false">IF(OR(N(AB170)&lt;=0,N(AG170)=0,N(L170)=0),"",MIN(L170,AG170/AB170))</f>
        <v>25</v>
      </c>
      <c r="AI170" s="29" t="str">
        <f aca="false">IF(OR(AH170="",N(O170)=0),"",AH170/O170-1)</f>
        <v/>
      </c>
      <c r="AJ170" s="29" t="str">
        <f aca="false">IF(OR(AI170="",N(O170)=0),"",AI170+AG170/O170)</f>
        <v/>
      </c>
      <c r="AK170" s="32" t="str">
        <f aca="false">IF(OR(AJ170="",N(AE170)=0),"",AJ170-AE170)</f>
        <v/>
      </c>
      <c r="AL170" s="33" t="n">
        <f aca="false">IF(N(F170)=0,"",INDEX(Inputs!$B$28:$B$32,IFERROR(MATCH(F170,Inputs!$A$28:$A$32,1),0)+1))</f>
        <v>0.1</v>
      </c>
      <c r="AM170" s="34"/>
      <c r="AN170" s="33" t="n">
        <f aca="false">IF(N(AM170)&gt;0,AM170,AL170)</f>
        <v>0.1</v>
      </c>
      <c r="AO170" s="29" t="n">
        <f aca="false">IF(N(AN170)=0,"",AN170+IF(I170="yes",AN170*Inputs!$B$10*Inputs!$B$9,0)+IFERROR(INDEX(Inputs!$B$13:$B$15,MATCH(G170,Inputs!$A$13:$A$15,0)),0)+IFERROR(INDEX(Inputs!$B$18:$B$24,MATCH(H170,Inputs!$A$18:$A$24,0)),0))</f>
        <v>0.095</v>
      </c>
      <c r="AP170" s="28" t="n">
        <f aca="false">IF(OR(N(AO170)&lt;=0,N(AG170)=0,N(L170)=0),"",MIN(L170,AG170/AO170))</f>
        <v>25</v>
      </c>
      <c r="AQ170" s="29" t="str">
        <f aca="false">IF(OR(AP170="",N(O170)=0),"",AP170/O170-1)</f>
        <v/>
      </c>
      <c r="AR170" s="29" t="str">
        <f aca="false">IF(OR(AQ170="",N(O170)=0),"",AQ170+AG170/O170)</f>
        <v/>
      </c>
      <c r="AS170" s="32" t="str">
        <f aca="false">IF(OR(AR170="",N(AJ170)=0),"",AR170-AJ170)</f>
        <v/>
      </c>
      <c r="AT170" s="28"/>
      <c r="AU170" s="28"/>
      <c r="AV170" s="28" t="n">
        <f aca="false">IF(N(AT170)&gt;0,AT170,L170)</f>
        <v>25</v>
      </c>
      <c r="AW170" s="28" t="n">
        <f aca="false">IF(AND(N(M170)&gt;0,N(AV170)&gt;0),M170*AV170,IF(N(AU170)&gt;0,AU170,N170))</f>
        <v>2.75</v>
      </c>
      <c r="AX170" s="29" t="n">
        <f aca="false">IF(N(AN170)=0,"",AN170+IF(I170="yes",AN170*Inputs!$B$10*Inputs!$B$9,0)+IFERROR(INDEX(Inputs!$B$13:$B$15,MATCH(G170,Inputs!$A$13:$A$15,0)),0)+IFERROR(INDEX(Inputs!$B$18:$B$24,MATCH(H170,Inputs!$A$18:$A$24,0)),0))</f>
        <v>0.095</v>
      </c>
      <c r="AY170" s="28" t="n">
        <f aca="false">IF(OR(N(AX170)&lt;=0,N(AW170)=0,N(AV170)=0),"",MIN(AV170,AW170/AX170))</f>
        <v>25</v>
      </c>
      <c r="AZ170" s="29" t="str">
        <f aca="false">IF(OR(AY170="",N(O170)=0),"",AY170/O170-1)</f>
        <v/>
      </c>
      <c r="BA170" s="29" t="str">
        <f aca="false">IF(OR(AZ170="",N(O170)=0),"",AZ170+AW170/O170)</f>
        <v/>
      </c>
      <c r="BB170" s="32" t="str">
        <f aca="false">IF(OR(BA170="",N(AR170)=0),"",BA170-AR170)</f>
        <v/>
      </c>
      <c r="BC170" s="35" t="str">
        <f aca="false">IF(OR(BA170="",N(U170)=0),"",BA170-U170)</f>
        <v/>
      </c>
      <c r="BD170" s="36" t="s">
        <v>198</v>
      </c>
    </row>
    <row r="171" customFormat="false" ht="15" hidden="false" customHeight="false" outlineLevel="0" collapsed="false">
      <c r="A171" s="2" t="s">
        <v>140</v>
      </c>
      <c r="B171" s="2" t="n">
        <v>324</v>
      </c>
      <c r="C171" s="2" t="s">
        <v>442</v>
      </c>
      <c r="D171" s="2" t="s">
        <v>440</v>
      </c>
      <c r="E171" s="2" t="s">
        <v>441</v>
      </c>
      <c r="F171" s="27" t="n">
        <v>111</v>
      </c>
      <c r="G171" s="2" t="s">
        <v>51</v>
      </c>
      <c r="H171" s="2" t="s">
        <v>58</v>
      </c>
      <c r="I171" s="2" t="s">
        <v>151</v>
      </c>
      <c r="J171" s="2" t="s">
        <v>168</v>
      </c>
      <c r="K171" s="2" t="n">
        <v>12</v>
      </c>
      <c r="L171" s="28" t="n">
        <v>25</v>
      </c>
      <c r="M171" s="29" t="n">
        <v>0.0875</v>
      </c>
      <c r="N171" s="28" t="n">
        <v>2.1875</v>
      </c>
      <c r="O171" s="28" t="n">
        <v>0</v>
      </c>
      <c r="P171" s="2" t="s">
        <v>146</v>
      </c>
      <c r="Q171" s="29" t="n">
        <v>0.08</v>
      </c>
      <c r="R171" s="30" t="n">
        <v>0.076</v>
      </c>
      <c r="S171" s="31" t="n">
        <v>25</v>
      </c>
      <c r="T171" s="30"/>
      <c r="U171" s="30"/>
      <c r="V171" s="29" t="n">
        <v>0</v>
      </c>
      <c r="W171" s="29" t="n">
        <f aca="false">IF(N(Q171)=0,"",Q171+IF(I171="yes",Q171*Inputs!$B$10*Inputs!$B$9,0)+V171)</f>
        <v>0.076</v>
      </c>
      <c r="X171" s="28" t="n">
        <f aca="false">IF(OR(N(W171)&lt;=0,N(N171)=0,N(L171)=0),"",MIN(L171,N171/W171))</f>
        <v>25</v>
      </c>
      <c r="Y171" s="29" t="str">
        <f aca="false">IF(OR(X171="",N(O171)=0),"",X171/O171-1)</f>
        <v/>
      </c>
      <c r="Z171" s="29" t="str">
        <f aca="false">IF(OR(Y171="",N(O171)=0),"",Y171+N171/O171)</f>
        <v/>
      </c>
      <c r="AA171" s="32" t="str">
        <f aca="false">IF(OR(Z171="",N(U171)=0),"",Z171-U171)</f>
        <v/>
      </c>
      <c r="AB171" s="29" t="n">
        <f aca="false">IF(N(Q171)=0,"",Q171+IF(I171="yes",Q171*Inputs!$B$10*Inputs!$B$9,0)+IFERROR(INDEX(Inputs!$B$13:$B$15,MATCH(G171,Inputs!$A$13:$A$15,0)),0)+IFERROR(INDEX(Inputs!$B$18:$B$24,MATCH(H171,Inputs!$A$18:$A$24,0)),0))</f>
        <v>0.076</v>
      </c>
      <c r="AC171" s="28" t="n">
        <f aca="false">IF(OR(N(AB171)&lt;=0,N(N171)=0,N(L171)=0),"",MIN(L171,N171/AB171))</f>
        <v>25</v>
      </c>
      <c r="AD171" s="29" t="str">
        <f aca="false">IF(OR(AC171="",N(O171)=0),"",AC171/O171-1)</f>
        <v/>
      </c>
      <c r="AE171" s="29" t="str">
        <f aca="false">IF(OR(AD171="",N(O171)=0),"",AD171+N171/O171)</f>
        <v/>
      </c>
      <c r="AF171" s="32" t="str">
        <f aca="false">IF(OR(AE171="",N(Z171)=0),"",AE171-Z171)</f>
        <v/>
      </c>
      <c r="AG171" s="28" t="n">
        <f aca="false">IF(AND(N(M171)&gt;0,N(L171)&gt;0),M171*L171,N171)</f>
        <v>2.1875</v>
      </c>
      <c r="AH171" s="28" t="n">
        <f aca="false">IF(OR(N(AB171)&lt;=0,N(AG171)=0,N(L171)=0),"",MIN(L171,AG171/AB171))</f>
        <v>25</v>
      </c>
      <c r="AI171" s="29" t="str">
        <f aca="false">IF(OR(AH171="",N(O171)=0),"",AH171/O171-1)</f>
        <v/>
      </c>
      <c r="AJ171" s="29" t="str">
        <f aca="false">IF(OR(AI171="",N(O171)=0),"",AI171+AG171/O171)</f>
        <v/>
      </c>
      <c r="AK171" s="32" t="str">
        <f aca="false">IF(OR(AJ171="",N(AE171)=0),"",AJ171-AE171)</f>
        <v/>
      </c>
      <c r="AL171" s="33" t="n">
        <f aca="false">IF(N(F171)=0,"",INDEX(Inputs!$B$28:$B$32,IFERROR(MATCH(F171,Inputs!$A$28:$A$32,1),0)+1))</f>
        <v>0.1</v>
      </c>
      <c r="AM171" s="34"/>
      <c r="AN171" s="33" t="n">
        <f aca="false">IF(N(AM171)&gt;0,AM171,AL171)</f>
        <v>0.1</v>
      </c>
      <c r="AO171" s="29" t="n">
        <f aca="false">IF(N(AN171)=0,"",AN171+IF(I171="yes",AN171*Inputs!$B$10*Inputs!$B$9,0)+IFERROR(INDEX(Inputs!$B$13:$B$15,MATCH(G171,Inputs!$A$13:$A$15,0)),0)+IFERROR(INDEX(Inputs!$B$18:$B$24,MATCH(H171,Inputs!$A$18:$A$24,0)),0))</f>
        <v>0.095</v>
      </c>
      <c r="AP171" s="28" t="n">
        <f aca="false">IF(OR(N(AO171)&lt;=0,N(AG171)=0,N(L171)=0),"",MIN(L171,AG171/AO171))</f>
        <v>23.0263157894737</v>
      </c>
      <c r="AQ171" s="29" t="str">
        <f aca="false">IF(OR(AP171="",N(O171)=0),"",AP171/O171-1)</f>
        <v/>
      </c>
      <c r="AR171" s="29" t="str">
        <f aca="false">IF(OR(AQ171="",N(O171)=0),"",AQ171+AG171/O171)</f>
        <v/>
      </c>
      <c r="AS171" s="32" t="str">
        <f aca="false">IF(OR(AR171="",N(AJ171)=0),"",AR171-AJ171)</f>
        <v/>
      </c>
      <c r="AT171" s="28" t="n">
        <v>25</v>
      </c>
      <c r="AU171" s="28" t="n">
        <v>2.1875</v>
      </c>
      <c r="AV171" s="28" t="n">
        <f aca="false">IF(N(AT171)&gt;0,AT171,L171)</f>
        <v>25</v>
      </c>
      <c r="AW171" s="28" t="n">
        <f aca="false">IF(AND(N(M171)&gt;0,N(AV171)&gt;0),M171*AV171,IF(N(AU171)&gt;0,AU171,N171))</f>
        <v>2.1875</v>
      </c>
      <c r="AX171" s="29" t="n">
        <f aca="false">IF(N(AN171)=0,"",AN171+IF(I171="yes",AN171*Inputs!$B$10*Inputs!$B$9,0)+IFERROR(INDEX(Inputs!$B$13:$B$15,MATCH(G171,Inputs!$A$13:$A$15,0)),0)+IFERROR(INDEX(Inputs!$B$18:$B$24,MATCH(H171,Inputs!$A$18:$A$24,0)),0))</f>
        <v>0.095</v>
      </c>
      <c r="AY171" s="28" t="n">
        <f aca="false">IF(OR(N(AX171)&lt;=0,N(AW171)=0,N(AV171)=0),"",MIN(AV171,AW171/AX171))</f>
        <v>23.0263157894737</v>
      </c>
      <c r="AZ171" s="29" t="str">
        <f aca="false">IF(OR(AY171="",N(O171)=0),"",AY171/O171-1)</f>
        <v/>
      </c>
      <c r="BA171" s="29" t="str">
        <f aca="false">IF(OR(AZ171="",N(O171)=0),"",AZ171+AW171/O171)</f>
        <v/>
      </c>
      <c r="BB171" s="32" t="str">
        <f aca="false">IF(OR(BA171="",N(AR171)=0),"",BA171-AR171)</f>
        <v/>
      </c>
      <c r="BC171" s="35" t="str">
        <f aca="false">IF(OR(BA171="",N(U171)=0),"",BA171-U171)</f>
        <v/>
      </c>
      <c r="BD171" s="36" t="s">
        <v>299</v>
      </c>
    </row>
    <row r="172" customFormat="false" ht="15" hidden="false" customHeight="false" outlineLevel="0" collapsed="false">
      <c r="A172" s="2" t="s">
        <v>140</v>
      </c>
      <c r="B172" s="2" t="n">
        <v>327</v>
      </c>
      <c r="C172" s="2" t="s">
        <v>443</v>
      </c>
      <c r="D172" s="2" t="s">
        <v>444</v>
      </c>
      <c r="E172" s="2" t="s">
        <v>445</v>
      </c>
      <c r="F172" s="27" t="n">
        <v>1000</v>
      </c>
      <c r="G172" s="2" t="s">
        <v>51</v>
      </c>
      <c r="H172" s="2" t="s">
        <v>58</v>
      </c>
      <c r="I172" s="2" t="s">
        <v>151</v>
      </c>
      <c r="J172" s="2" t="s">
        <v>145</v>
      </c>
      <c r="K172" s="2" t="n">
        <v>4</v>
      </c>
      <c r="L172" s="28" t="n">
        <v>25</v>
      </c>
      <c r="M172" s="29" t="n">
        <v>0.07125</v>
      </c>
      <c r="N172" s="28" t="n">
        <v>1.78125</v>
      </c>
      <c r="O172" s="28" t="n">
        <v>24.8</v>
      </c>
      <c r="P172" s="2" t="s">
        <v>146</v>
      </c>
      <c r="Q172" s="29" t="n">
        <v>0.08</v>
      </c>
      <c r="R172" s="30" t="n">
        <v>0.076</v>
      </c>
      <c r="S172" s="31" t="n">
        <v>23.4375</v>
      </c>
      <c r="T172" s="30" t="n">
        <v>-0.0549395161290325</v>
      </c>
      <c r="U172" s="30" t="n">
        <v>0.0168850806451611</v>
      </c>
      <c r="V172" s="29" t="n">
        <v>0</v>
      </c>
      <c r="W172" s="29" t="n">
        <f aca="false">IF(N(Q172)=0,"",Q172+IF(I172="yes",Q172*Inputs!$B$10*Inputs!$B$9,0)+V172)</f>
        <v>0.076</v>
      </c>
      <c r="X172" s="28" t="n">
        <f aca="false">IF(OR(N(W172)&lt;=0,N(N172)=0,N(L172)=0),"",MIN(L172,N172/W172))</f>
        <v>23.4375</v>
      </c>
      <c r="Y172" s="29" t="n">
        <f aca="false">IF(OR(X172="",N(O172)=0),"",X172/O172-1)</f>
        <v>-0.0549395161290323</v>
      </c>
      <c r="Z172" s="29" t="n">
        <f aca="false">IF(OR(Y172="",N(O172)=0),"",Y172+N172/O172)</f>
        <v>0.0168850806451613</v>
      </c>
      <c r="AA172" s="32" t="n">
        <f aca="false">IF(OR(Z172="",N(U172)=0),"",Z172-U172)</f>
        <v>2.35922392732846E-016</v>
      </c>
      <c r="AB172" s="29" t="n">
        <f aca="false">IF(N(Q172)=0,"",Q172+IF(I172="yes",Q172*Inputs!$B$10*Inputs!$B$9,0)+IFERROR(INDEX(Inputs!$B$13:$B$15,MATCH(G172,Inputs!$A$13:$A$15,0)),0)+IFERROR(INDEX(Inputs!$B$18:$B$24,MATCH(H172,Inputs!$A$18:$A$24,0)),0))</f>
        <v>0.076</v>
      </c>
      <c r="AC172" s="28" t="n">
        <f aca="false">IF(OR(N(AB172)&lt;=0,N(N172)=0,N(L172)=0),"",MIN(L172,N172/AB172))</f>
        <v>23.4375</v>
      </c>
      <c r="AD172" s="29" t="n">
        <f aca="false">IF(OR(AC172="",N(O172)=0),"",AC172/O172-1)</f>
        <v>-0.0549395161290323</v>
      </c>
      <c r="AE172" s="29" t="n">
        <f aca="false">IF(OR(AD172="",N(O172)=0),"",AD172+N172/O172)</f>
        <v>0.0168850806451613</v>
      </c>
      <c r="AF172" s="32" t="n">
        <f aca="false">IF(OR(AE172="",N(Z172)=0),"",AE172-Z172)</f>
        <v>0</v>
      </c>
      <c r="AG172" s="28" t="n">
        <f aca="false">IF(AND(N(M172)&gt;0,N(L172)&gt;0),M172*L172,N172)</f>
        <v>1.78125</v>
      </c>
      <c r="AH172" s="28" t="n">
        <f aca="false">IF(OR(N(AB172)&lt;=0,N(AG172)=0,N(L172)=0),"",MIN(L172,AG172/AB172))</f>
        <v>23.4375</v>
      </c>
      <c r="AI172" s="29" t="n">
        <f aca="false">IF(OR(AH172="",N(O172)=0),"",AH172/O172-1)</f>
        <v>-0.0549395161290325</v>
      </c>
      <c r="AJ172" s="29" t="n">
        <f aca="false">IF(OR(AI172="",N(O172)=0),"",AI172+AG172/O172)</f>
        <v>0.0168850806451611</v>
      </c>
      <c r="AK172" s="32" t="n">
        <f aca="false">IF(OR(AJ172="",N(AE172)=0),"",AJ172-AE172)</f>
        <v>-2.35922392732846E-016</v>
      </c>
      <c r="AL172" s="33" t="n">
        <f aca="false">IF(N(F172)=0,"",INDEX(Inputs!$B$28:$B$32,IFERROR(MATCH(F172,Inputs!$A$28:$A$32,1),0)+1))</f>
        <v>0.085</v>
      </c>
      <c r="AM172" s="34"/>
      <c r="AN172" s="33" t="n">
        <f aca="false">IF(N(AM172)&gt;0,AM172,AL172)</f>
        <v>0.085</v>
      </c>
      <c r="AO172" s="29" t="n">
        <f aca="false">IF(N(AN172)=0,"",AN172+IF(I172="yes",AN172*Inputs!$B$10*Inputs!$B$9,0)+IFERROR(INDEX(Inputs!$B$13:$B$15,MATCH(G172,Inputs!$A$13:$A$15,0)),0)+IFERROR(INDEX(Inputs!$B$18:$B$24,MATCH(H172,Inputs!$A$18:$A$24,0)),0))</f>
        <v>0.08075</v>
      </c>
      <c r="AP172" s="28" t="n">
        <f aca="false">IF(OR(N(AO172)&lt;=0,N(AG172)=0,N(L172)=0),"",MIN(L172,AG172/AO172))</f>
        <v>22.0588235294118</v>
      </c>
      <c r="AQ172" s="29" t="n">
        <f aca="false">IF(OR(AP172="",N(O172)=0),"",AP172/O172-1)</f>
        <v>-0.110531309297913</v>
      </c>
      <c r="AR172" s="29" t="n">
        <f aca="false">IF(OR(AQ172="",N(O172)=0),"",AQ172+AG172/O172)</f>
        <v>-0.0387067125237194</v>
      </c>
      <c r="AS172" s="32" t="n">
        <f aca="false">IF(OR(AR172="",N(AJ172)=0),"",AR172-AJ172)</f>
        <v>-0.0555917931688804</v>
      </c>
      <c r="AT172" s="28" t="n">
        <v>25</v>
      </c>
      <c r="AU172" s="28" t="n">
        <v>1.78125</v>
      </c>
      <c r="AV172" s="28" t="n">
        <f aca="false">IF(N(AT172)&gt;0,AT172,L172)</f>
        <v>25</v>
      </c>
      <c r="AW172" s="28" t="n">
        <f aca="false">IF(AND(N(M172)&gt;0,N(AV172)&gt;0),M172*AV172,IF(N(AU172)&gt;0,AU172,N172))</f>
        <v>1.78125</v>
      </c>
      <c r="AX172" s="29" t="n">
        <f aca="false">IF(N(AN172)=0,"",AN172+IF(I172="yes",AN172*Inputs!$B$10*Inputs!$B$9,0)+IFERROR(INDEX(Inputs!$B$13:$B$15,MATCH(G172,Inputs!$A$13:$A$15,0)),0)+IFERROR(INDEX(Inputs!$B$18:$B$24,MATCH(H172,Inputs!$A$18:$A$24,0)),0))</f>
        <v>0.08075</v>
      </c>
      <c r="AY172" s="28" t="n">
        <f aca="false">IF(OR(N(AX172)&lt;=0,N(AW172)=0,N(AV172)=0),"",MIN(AV172,AW172/AX172))</f>
        <v>22.0588235294118</v>
      </c>
      <c r="AZ172" s="29" t="n">
        <f aca="false">IF(OR(AY172="",N(O172)=0),"",AY172/O172-1)</f>
        <v>-0.110531309297913</v>
      </c>
      <c r="BA172" s="29" t="n">
        <f aca="false">IF(OR(AZ172="",N(O172)=0),"",AZ172+AW172/O172)</f>
        <v>-0.0387067125237194</v>
      </c>
      <c r="BB172" s="32" t="n">
        <f aca="false">IF(OR(BA172="",N(AR172)=0),"",BA172-AR172)</f>
        <v>0</v>
      </c>
      <c r="BC172" s="35" t="n">
        <f aca="false">IF(OR(BA172="",N(U172)=0),"",BA172-U172)</f>
        <v>-0.0555917931688804</v>
      </c>
      <c r="BD172" s="37"/>
    </row>
    <row r="173" customFormat="false" ht="15" hidden="false" customHeight="false" outlineLevel="0" collapsed="false">
      <c r="A173" s="2" t="s">
        <v>140</v>
      </c>
      <c r="B173" s="2" t="n">
        <v>331</v>
      </c>
      <c r="C173" s="2" t="s">
        <v>446</v>
      </c>
      <c r="D173" s="2" t="s">
        <v>447</v>
      </c>
      <c r="E173" s="2" t="s">
        <v>143</v>
      </c>
      <c r="F173" s="27"/>
      <c r="G173" s="2" t="s">
        <v>51</v>
      </c>
      <c r="H173" s="2" t="s">
        <v>58</v>
      </c>
      <c r="I173" s="2" t="s">
        <v>144</v>
      </c>
      <c r="J173" s="2" t="s">
        <v>145</v>
      </c>
      <c r="K173" s="2" t="n">
        <v>4</v>
      </c>
      <c r="L173" s="28" t="n">
        <v>25</v>
      </c>
      <c r="M173" s="29" t="n">
        <v>0.0725</v>
      </c>
      <c r="N173" s="28" t="n">
        <v>1.8125</v>
      </c>
      <c r="O173" s="28" t="n">
        <v>16.86</v>
      </c>
      <c r="P173" s="2" t="s">
        <v>146</v>
      </c>
      <c r="Q173" s="29" t="n">
        <v>0.08</v>
      </c>
      <c r="R173" s="30" t="n">
        <v>0.08</v>
      </c>
      <c r="S173" s="31" t="n">
        <v>22.65625</v>
      </c>
      <c r="T173" s="30" t="n">
        <v>0.343787069988138</v>
      </c>
      <c r="U173" s="30" t="n">
        <v>0.451290035587189</v>
      </c>
      <c r="V173" s="29" t="n">
        <v>0</v>
      </c>
      <c r="W173" s="29" t="n">
        <f aca="false">IF(N(Q173)=0,"",Q173+IF(I173="yes",Q173*Inputs!$B$10*Inputs!$B$9,0)+V173)</f>
        <v>0.08</v>
      </c>
      <c r="X173" s="28" t="n">
        <f aca="false">IF(OR(N(W173)&lt;=0,N(N173)=0,N(L173)=0),"",MIN(L173,N173/W173))</f>
        <v>22.65625</v>
      </c>
      <c r="Y173" s="29" t="n">
        <f aca="false">IF(OR(X173="",N(O173)=0),"",X173/O173-1)</f>
        <v>0.343787069988138</v>
      </c>
      <c r="Z173" s="29" t="n">
        <f aca="false">IF(OR(Y173="",N(O173)=0),"",Y173+N173/O173)</f>
        <v>0.451290035587189</v>
      </c>
      <c r="AA173" s="32" t="n">
        <f aca="false">IF(OR(Z173="",N(U173)=0),"",Z173-U173)</f>
        <v>0</v>
      </c>
      <c r="AB173" s="29" t="n">
        <f aca="false">IF(N(Q173)=0,"",Q173+IF(I173="yes",Q173*Inputs!$B$10*Inputs!$B$9,0)+IFERROR(INDEX(Inputs!$B$13:$B$15,MATCH(G173,Inputs!$A$13:$A$15,0)),0)+IFERROR(INDEX(Inputs!$B$18:$B$24,MATCH(H173,Inputs!$A$18:$A$24,0)),0))</f>
        <v>0.08</v>
      </c>
      <c r="AC173" s="28" t="n">
        <f aca="false">IF(OR(N(AB173)&lt;=0,N(N173)=0,N(L173)=0),"",MIN(L173,N173/AB173))</f>
        <v>22.65625</v>
      </c>
      <c r="AD173" s="29" t="n">
        <f aca="false">IF(OR(AC173="",N(O173)=0),"",AC173/O173-1)</f>
        <v>0.343787069988138</v>
      </c>
      <c r="AE173" s="29" t="n">
        <f aca="false">IF(OR(AD173="",N(O173)=0),"",AD173+N173/O173)</f>
        <v>0.451290035587189</v>
      </c>
      <c r="AF173" s="32" t="n">
        <f aca="false">IF(OR(AE173="",N(Z173)=0),"",AE173-Z173)</f>
        <v>0</v>
      </c>
      <c r="AG173" s="28" t="n">
        <f aca="false">IF(AND(N(M173)&gt;0,N(L173)&gt;0),M173*L173,N173)</f>
        <v>1.8125</v>
      </c>
      <c r="AH173" s="28" t="n">
        <f aca="false">IF(OR(N(AB173)&lt;=0,N(AG173)=0,N(L173)=0),"",MIN(L173,AG173/AB173))</f>
        <v>22.65625</v>
      </c>
      <c r="AI173" s="29" t="n">
        <f aca="false">IF(OR(AH173="",N(O173)=0),"",AH173/O173-1)</f>
        <v>0.343787069988137</v>
      </c>
      <c r="AJ173" s="29" t="n">
        <f aca="false">IF(OR(AI173="",N(O173)=0),"",AI173+AG173/O173)</f>
        <v>0.451290035587188</v>
      </c>
      <c r="AK173" s="32" t="n">
        <f aca="false">IF(OR(AJ173="",N(AE173)=0),"",AJ173-AE173)</f>
        <v>0</v>
      </c>
      <c r="AL173" s="33" t="str">
        <f aca="false">IF(N(F173)=0,"",INDEX(Inputs!$B$28:$B$32,IFERROR(MATCH(F173,Inputs!$A$28:$A$32,1),0)+1))</f>
        <v/>
      </c>
      <c r="AM173" s="34"/>
      <c r="AN173" s="33" t="str">
        <f aca="false">IF(N(AM173)&gt;0,AM173,AL173)</f>
        <v/>
      </c>
      <c r="AO173" s="29" t="str">
        <f aca="false">IF(N(AN173)=0,"",AN173+IF(I173="yes",AN173*Inputs!$B$10*Inputs!$B$9,0)+IFERROR(INDEX(Inputs!$B$13:$B$15,MATCH(G173,Inputs!$A$13:$A$15,0)),0)+IFERROR(INDEX(Inputs!$B$18:$B$24,MATCH(H173,Inputs!$A$18:$A$24,0)),0))</f>
        <v/>
      </c>
      <c r="AP173" s="28" t="str">
        <f aca="false">IF(OR(N(AO173)&lt;=0,N(AG173)=0,N(L173)=0),"",MIN(L173,AG173/AO173))</f>
        <v/>
      </c>
      <c r="AQ173" s="29" t="str">
        <f aca="false">IF(OR(AP173="",N(O173)=0),"",AP173/O173-1)</f>
        <v/>
      </c>
      <c r="AR173" s="29" t="str">
        <f aca="false">IF(OR(AQ173="",N(O173)=0),"",AQ173+AG173/O173)</f>
        <v/>
      </c>
      <c r="AS173" s="32" t="str">
        <f aca="false">IF(OR(AR173="",N(AJ173)=0),"",AR173-AJ173)</f>
        <v/>
      </c>
      <c r="AT173" s="28" t="n">
        <v>25</v>
      </c>
      <c r="AU173" s="28" t="n">
        <v>1.81</v>
      </c>
      <c r="AV173" s="28" t="n">
        <f aca="false">IF(N(AT173)&gt;0,AT173,L173)</f>
        <v>25</v>
      </c>
      <c r="AW173" s="28" t="n">
        <f aca="false">IF(AND(N(M173)&gt;0,N(AV173)&gt;0),M173*AV173,IF(N(AU173)&gt;0,AU173,N173))</f>
        <v>1.8125</v>
      </c>
      <c r="AX173" s="29" t="str">
        <f aca="false">IF(N(AN173)=0,"",AN173+IF(I173="yes",AN173*Inputs!$B$10*Inputs!$B$9,0)+IFERROR(INDEX(Inputs!$B$13:$B$15,MATCH(G173,Inputs!$A$13:$A$15,0)),0)+IFERROR(INDEX(Inputs!$B$18:$B$24,MATCH(H173,Inputs!$A$18:$A$24,0)),0))</f>
        <v/>
      </c>
      <c r="AY173" s="28" t="str">
        <f aca="false">IF(OR(N(AX173)&lt;=0,N(AW173)=0,N(AV173)=0),"",MIN(AV173,AW173/AX173))</f>
        <v/>
      </c>
      <c r="AZ173" s="29" t="str">
        <f aca="false">IF(OR(AY173="",N(O173)=0),"",AY173/O173-1)</f>
        <v/>
      </c>
      <c r="BA173" s="29" t="str">
        <f aca="false">IF(OR(AZ173="",N(O173)=0),"",AZ173+AW173/O173)</f>
        <v/>
      </c>
      <c r="BB173" s="32" t="str">
        <f aca="false">IF(OR(BA173="",N(AR173)=0),"",BA173-AR173)</f>
        <v/>
      </c>
      <c r="BC173" s="35" t="str">
        <f aca="false">IF(OR(BA173="",N(U173)=0),"",BA173-U173)</f>
        <v/>
      </c>
      <c r="BD173" s="37"/>
    </row>
    <row r="174" customFormat="false" ht="15" hidden="false" customHeight="false" outlineLevel="0" collapsed="false">
      <c r="A174" s="2" t="s">
        <v>140</v>
      </c>
      <c r="B174" s="2" t="n">
        <v>332</v>
      </c>
      <c r="C174" s="2" t="s">
        <v>448</v>
      </c>
      <c r="D174" s="2" t="s">
        <v>447</v>
      </c>
      <c r="E174" s="2" t="s">
        <v>143</v>
      </c>
      <c r="F174" s="27"/>
      <c r="G174" s="2" t="s">
        <v>51</v>
      </c>
      <c r="H174" s="2" t="s">
        <v>58</v>
      </c>
      <c r="I174" s="2" t="s">
        <v>144</v>
      </c>
      <c r="J174" s="2" t="s">
        <v>145</v>
      </c>
      <c r="K174" s="2" t="n">
        <v>4</v>
      </c>
      <c r="L174" s="28" t="n">
        <v>25</v>
      </c>
      <c r="M174" s="29" t="n">
        <v>0.065</v>
      </c>
      <c r="N174" s="28" t="n">
        <v>1.625</v>
      </c>
      <c r="O174" s="28" t="n">
        <v>15.9</v>
      </c>
      <c r="P174" s="2" t="s">
        <v>146</v>
      </c>
      <c r="Q174" s="29" t="n">
        <v>0.08</v>
      </c>
      <c r="R174" s="30" t="n">
        <v>0.08</v>
      </c>
      <c r="S174" s="31" t="n">
        <v>20.3125</v>
      </c>
      <c r="T174" s="30" t="n">
        <v>0.27751572327044</v>
      </c>
      <c r="U174" s="30" t="n">
        <v>0.379716981132075</v>
      </c>
      <c r="V174" s="29" t="n">
        <v>0</v>
      </c>
      <c r="W174" s="29" t="n">
        <f aca="false">IF(N(Q174)=0,"",Q174+IF(I174="yes",Q174*Inputs!$B$10*Inputs!$B$9,0)+V174)</f>
        <v>0.08</v>
      </c>
      <c r="X174" s="28" t="n">
        <f aca="false">IF(OR(N(W174)&lt;=0,N(N174)=0,N(L174)=0),"",MIN(L174,N174/W174))</f>
        <v>20.3125</v>
      </c>
      <c r="Y174" s="29" t="n">
        <f aca="false">IF(OR(X174="",N(O174)=0),"",X174/O174-1)</f>
        <v>0.27751572327044</v>
      </c>
      <c r="Z174" s="29" t="n">
        <f aca="false">IF(OR(Y174="",N(O174)=0),"",Y174+N174/O174)</f>
        <v>0.379716981132075</v>
      </c>
      <c r="AA174" s="32" t="n">
        <f aca="false">IF(OR(Z174="",N(U174)=0),"",Z174-U174)</f>
        <v>0</v>
      </c>
      <c r="AB174" s="29" t="n">
        <f aca="false">IF(N(Q174)=0,"",Q174+IF(I174="yes",Q174*Inputs!$B$10*Inputs!$B$9,0)+IFERROR(INDEX(Inputs!$B$13:$B$15,MATCH(G174,Inputs!$A$13:$A$15,0)),0)+IFERROR(INDEX(Inputs!$B$18:$B$24,MATCH(H174,Inputs!$A$18:$A$24,0)),0))</f>
        <v>0.08</v>
      </c>
      <c r="AC174" s="28" t="n">
        <f aca="false">IF(OR(N(AB174)&lt;=0,N(N174)=0,N(L174)=0),"",MIN(L174,N174/AB174))</f>
        <v>20.3125</v>
      </c>
      <c r="AD174" s="29" t="n">
        <f aca="false">IF(OR(AC174="",N(O174)=0),"",AC174/O174-1)</f>
        <v>0.27751572327044</v>
      </c>
      <c r="AE174" s="29" t="n">
        <f aca="false">IF(OR(AD174="",N(O174)=0),"",AD174+N174/O174)</f>
        <v>0.379716981132075</v>
      </c>
      <c r="AF174" s="32" t="n">
        <f aca="false">IF(OR(AE174="",N(Z174)=0),"",AE174-Z174)</f>
        <v>0</v>
      </c>
      <c r="AG174" s="28" t="n">
        <f aca="false">IF(AND(N(M174)&gt;0,N(L174)&gt;0),M174*L174,N174)</f>
        <v>1.625</v>
      </c>
      <c r="AH174" s="28" t="n">
        <f aca="false">IF(OR(N(AB174)&lt;=0,N(AG174)=0,N(L174)=0),"",MIN(L174,AG174/AB174))</f>
        <v>20.3125</v>
      </c>
      <c r="AI174" s="29" t="n">
        <f aca="false">IF(OR(AH174="",N(O174)=0),"",AH174/O174-1)</f>
        <v>0.27751572327044</v>
      </c>
      <c r="AJ174" s="29" t="n">
        <f aca="false">IF(OR(AI174="",N(O174)=0),"",AI174+AG174/O174)</f>
        <v>0.379716981132075</v>
      </c>
      <c r="AK174" s="32" t="n">
        <f aca="false">IF(OR(AJ174="",N(AE174)=0),"",AJ174-AE174)</f>
        <v>0</v>
      </c>
      <c r="AL174" s="33" t="str">
        <f aca="false">IF(N(F174)=0,"",INDEX(Inputs!$B$28:$B$32,IFERROR(MATCH(F174,Inputs!$A$28:$A$32,1),0)+1))</f>
        <v/>
      </c>
      <c r="AM174" s="34"/>
      <c r="AN174" s="33" t="str">
        <f aca="false">IF(N(AM174)&gt;0,AM174,AL174)</f>
        <v/>
      </c>
      <c r="AO174" s="29" t="str">
        <f aca="false">IF(N(AN174)=0,"",AN174+IF(I174="yes",AN174*Inputs!$B$10*Inputs!$B$9,0)+IFERROR(INDEX(Inputs!$B$13:$B$15,MATCH(G174,Inputs!$A$13:$A$15,0)),0)+IFERROR(INDEX(Inputs!$B$18:$B$24,MATCH(H174,Inputs!$A$18:$A$24,0)),0))</f>
        <v/>
      </c>
      <c r="AP174" s="28" t="str">
        <f aca="false">IF(OR(N(AO174)&lt;=0,N(AG174)=0,N(L174)=0),"",MIN(L174,AG174/AO174))</f>
        <v/>
      </c>
      <c r="AQ174" s="29" t="str">
        <f aca="false">IF(OR(AP174="",N(O174)=0),"",AP174/O174-1)</f>
        <v/>
      </c>
      <c r="AR174" s="29" t="str">
        <f aca="false">IF(OR(AQ174="",N(O174)=0),"",AQ174+AG174/O174)</f>
        <v/>
      </c>
      <c r="AS174" s="32" t="str">
        <f aca="false">IF(OR(AR174="",N(AJ174)=0),"",AR174-AJ174)</f>
        <v/>
      </c>
      <c r="AT174" s="28" t="n">
        <v>25</v>
      </c>
      <c r="AU174" s="28" t="n">
        <v>1.63</v>
      </c>
      <c r="AV174" s="28" t="n">
        <f aca="false">IF(N(AT174)&gt;0,AT174,L174)</f>
        <v>25</v>
      </c>
      <c r="AW174" s="28" t="n">
        <f aca="false">IF(AND(N(M174)&gt;0,N(AV174)&gt;0),M174*AV174,IF(N(AU174)&gt;0,AU174,N174))</f>
        <v>1.625</v>
      </c>
      <c r="AX174" s="29" t="str">
        <f aca="false">IF(N(AN174)=0,"",AN174+IF(I174="yes",AN174*Inputs!$B$10*Inputs!$B$9,0)+IFERROR(INDEX(Inputs!$B$13:$B$15,MATCH(G174,Inputs!$A$13:$A$15,0)),0)+IFERROR(INDEX(Inputs!$B$18:$B$24,MATCH(H174,Inputs!$A$18:$A$24,0)),0))</f>
        <v/>
      </c>
      <c r="AY174" s="28" t="str">
        <f aca="false">IF(OR(N(AX174)&lt;=0,N(AW174)=0,N(AV174)=0),"",MIN(AV174,AW174/AX174))</f>
        <v/>
      </c>
      <c r="AZ174" s="29" t="str">
        <f aca="false">IF(OR(AY174="",N(O174)=0),"",AY174/O174-1)</f>
        <v/>
      </c>
      <c r="BA174" s="29" t="str">
        <f aca="false">IF(OR(AZ174="",N(O174)=0),"",AZ174+AW174/O174)</f>
        <v/>
      </c>
      <c r="BB174" s="32" t="str">
        <f aca="false">IF(OR(BA174="",N(AR174)=0),"",BA174-AR174)</f>
        <v/>
      </c>
      <c r="BC174" s="35" t="str">
        <f aca="false">IF(OR(BA174="",N(U174)=0),"",BA174-U174)</f>
        <v/>
      </c>
      <c r="BD174" s="37"/>
    </row>
    <row r="175" customFormat="false" ht="15" hidden="false" customHeight="false" outlineLevel="0" collapsed="false">
      <c r="A175" s="2" t="s">
        <v>140</v>
      </c>
      <c r="B175" s="2" t="n">
        <v>335</v>
      </c>
      <c r="C175" s="2" t="s">
        <v>449</v>
      </c>
      <c r="D175" s="2" t="s">
        <v>450</v>
      </c>
      <c r="E175" s="2" t="s">
        <v>451</v>
      </c>
      <c r="F175" s="27" t="n">
        <v>300</v>
      </c>
      <c r="G175" s="2" t="s">
        <v>51</v>
      </c>
      <c r="H175" s="2" t="s">
        <v>58</v>
      </c>
      <c r="I175" s="2" t="s">
        <v>151</v>
      </c>
      <c r="J175" s="2" t="s">
        <v>145</v>
      </c>
      <c r="K175" s="2" t="n">
        <v>4</v>
      </c>
      <c r="L175" s="28" t="n">
        <v>25</v>
      </c>
      <c r="M175" s="29" t="n">
        <v>0.08875</v>
      </c>
      <c r="N175" s="28" t="n">
        <v>2.21875</v>
      </c>
      <c r="O175" s="28" t="n">
        <v>22.2</v>
      </c>
      <c r="P175" s="2" t="s">
        <v>146</v>
      </c>
      <c r="Q175" s="29" t="n">
        <v>0.08</v>
      </c>
      <c r="R175" s="30" t="n">
        <v>0.076</v>
      </c>
      <c r="S175" s="31" t="n">
        <v>25</v>
      </c>
      <c r="T175" s="30" t="n">
        <v>0.126126126126126</v>
      </c>
      <c r="U175" s="30" t="n">
        <v>0.22606981981982</v>
      </c>
      <c r="V175" s="29" t="n">
        <v>0</v>
      </c>
      <c r="W175" s="29" t="n">
        <f aca="false">IF(N(Q175)=0,"",Q175+IF(I175="yes",Q175*Inputs!$B$10*Inputs!$B$9,0)+V175)</f>
        <v>0.076</v>
      </c>
      <c r="X175" s="28" t="n">
        <f aca="false">IF(OR(N(W175)&lt;=0,N(N175)=0,N(L175)=0),"",MIN(L175,N175/W175))</f>
        <v>25</v>
      </c>
      <c r="Y175" s="29" t="n">
        <f aca="false">IF(OR(X175="",N(O175)=0),"",X175/O175-1)</f>
        <v>0.126126126126126</v>
      </c>
      <c r="Z175" s="29" t="n">
        <f aca="false">IF(OR(Y175="",N(O175)=0),"",Y175+N175/O175)</f>
        <v>0.22606981981982</v>
      </c>
      <c r="AA175" s="32" t="n">
        <f aca="false">IF(OR(Z175="",N(U175)=0),"",Z175-U175)</f>
        <v>0</v>
      </c>
      <c r="AB175" s="29" t="n">
        <f aca="false">IF(N(Q175)=0,"",Q175+IF(I175="yes",Q175*Inputs!$B$10*Inputs!$B$9,0)+IFERROR(INDEX(Inputs!$B$13:$B$15,MATCH(G175,Inputs!$A$13:$A$15,0)),0)+IFERROR(INDEX(Inputs!$B$18:$B$24,MATCH(H175,Inputs!$A$18:$A$24,0)),0))</f>
        <v>0.076</v>
      </c>
      <c r="AC175" s="28" t="n">
        <f aca="false">IF(OR(N(AB175)&lt;=0,N(N175)=0,N(L175)=0),"",MIN(L175,N175/AB175))</f>
        <v>25</v>
      </c>
      <c r="AD175" s="29" t="n">
        <f aca="false">IF(OR(AC175="",N(O175)=0),"",AC175/O175-1)</f>
        <v>0.126126126126126</v>
      </c>
      <c r="AE175" s="29" t="n">
        <f aca="false">IF(OR(AD175="",N(O175)=0),"",AD175+N175/O175)</f>
        <v>0.22606981981982</v>
      </c>
      <c r="AF175" s="32" t="n">
        <f aca="false">IF(OR(AE175="",N(Z175)=0),"",AE175-Z175)</f>
        <v>0</v>
      </c>
      <c r="AG175" s="28" t="n">
        <f aca="false">IF(AND(N(M175)&gt;0,N(L175)&gt;0),M175*L175,N175)</f>
        <v>2.21875</v>
      </c>
      <c r="AH175" s="28" t="n">
        <f aca="false">IF(OR(N(AB175)&lt;=0,N(AG175)=0,N(L175)=0),"",MIN(L175,AG175/AB175))</f>
        <v>25</v>
      </c>
      <c r="AI175" s="29" t="n">
        <f aca="false">IF(OR(AH175="",N(O175)=0),"",AH175/O175-1)</f>
        <v>0.126126126126126</v>
      </c>
      <c r="AJ175" s="29" t="n">
        <f aca="false">IF(OR(AI175="",N(O175)=0),"",AI175+AG175/O175)</f>
        <v>0.22606981981982</v>
      </c>
      <c r="AK175" s="32" t="n">
        <f aca="false">IF(OR(AJ175="",N(AE175)=0),"",AJ175-AE175)</f>
        <v>0</v>
      </c>
      <c r="AL175" s="33" t="n">
        <f aca="false">IF(N(F175)=0,"",INDEX(Inputs!$B$28:$B$32,IFERROR(MATCH(F175,Inputs!$A$28:$A$32,1),0)+1))</f>
        <v>0.09</v>
      </c>
      <c r="AM175" s="34"/>
      <c r="AN175" s="33" t="n">
        <f aca="false">IF(N(AM175)&gt;0,AM175,AL175)</f>
        <v>0.09</v>
      </c>
      <c r="AO175" s="29" t="n">
        <f aca="false">IF(N(AN175)=0,"",AN175+IF(I175="yes",AN175*Inputs!$B$10*Inputs!$B$9,0)+IFERROR(INDEX(Inputs!$B$13:$B$15,MATCH(G175,Inputs!$A$13:$A$15,0)),0)+IFERROR(INDEX(Inputs!$B$18:$B$24,MATCH(H175,Inputs!$A$18:$A$24,0)),0))</f>
        <v>0.0855</v>
      </c>
      <c r="AP175" s="28" t="n">
        <f aca="false">IF(OR(N(AO175)&lt;=0,N(AG175)=0,N(L175)=0),"",MIN(L175,AG175/AO175))</f>
        <v>25</v>
      </c>
      <c r="AQ175" s="29" t="n">
        <f aca="false">IF(OR(AP175="",N(O175)=0),"",AP175/O175-1)</f>
        <v>0.126126126126126</v>
      </c>
      <c r="AR175" s="29" t="n">
        <f aca="false">IF(OR(AQ175="",N(O175)=0),"",AQ175+AG175/O175)</f>
        <v>0.22606981981982</v>
      </c>
      <c r="AS175" s="32" t="n">
        <f aca="false">IF(OR(AR175="",N(AJ175)=0),"",AR175-AJ175)</f>
        <v>0</v>
      </c>
      <c r="AT175" s="28" t="n">
        <v>25</v>
      </c>
      <c r="AU175" s="28" t="n">
        <v>2.21875</v>
      </c>
      <c r="AV175" s="28" t="n">
        <f aca="false">IF(N(AT175)&gt;0,AT175,L175)</f>
        <v>25</v>
      </c>
      <c r="AW175" s="28" t="n">
        <f aca="false">IF(AND(N(M175)&gt;0,N(AV175)&gt;0),M175*AV175,IF(N(AU175)&gt;0,AU175,N175))</f>
        <v>2.21875</v>
      </c>
      <c r="AX175" s="29" t="n">
        <f aca="false">IF(N(AN175)=0,"",AN175+IF(I175="yes",AN175*Inputs!$B$10*Inputs!$B$9,0)+IFERROR(INDEX(Inputs!$B$13:$B$15,MATCH(G175,Inputs!$A$13:$A$15,0)),0)+IFERROR(INDEX(Inputs!$B$18:$B$24,MATCH(H175,Inputs!$A$18:$A$24,0)),0))</f>
        <v>0.0855</v>
      </c>
      <c r="AY175" s="28" t="n">
        <f aca="false">IF(OR(N(AX175)&lt;=0,N(AW175)=0,N(AV175)=0),"",MIN(AV175,AW175/AX175))</f>
        <v>25</v>
      </c>
      <c r="AZ175" s="29" t="n">
        <f aca="false">IF(OR(AY175="",N(O175)=0),"",AY175/O175-1)</f>
        <v>0.126126126126126</v>
      </c>
      <c r="BA175" s="29" t="n">
        <f aca="false">IF(OR(AZ175="",N(O175)=0),"",AZ175+AW175/O175)</f>
        <v>0.22606981981982</v>
      </c>
      <c r="BB175" s="32" t="n">
        <f aca="false">IF(OR(BA175="",N(AR175)=0),"",BA175-AR175)</f>
        <v>0</v>
      </c>
      <c r="BC175" s="35" t="n">
        <f aca="false">IF(OR(BA175="",N(U175)=0),"",BA175-U175)</f>
        <v>0</v>
      </c>
      <c r="BD175" s="37"/>
    </row>
    <row r="176" customFormat="false" ht="15" hidden="false" customHeight="false" outlineLevel="0" collapsed="false">
      <c r="A176" s="2" t="s">
        <v>140</v>
      </c>
      <c r="B176" s="2" t="n">
        <v>339</v>
      </c>
      <c r="C176" s="2" t="s">
        <v>452</v>
      </c>
      <c r="D176" s="2" t="s">
        <v>453</v>
      </c>
      <c r="E176" s="2" t="s">
        <v>143</v>
      </c>
      <c r="F176" s="27"/>
      <c r="G176" s="2" t="s">
        <v>51</v>
      </c>
      <c r="H176" s="2" t="s">
        <v>63</v>
      </c>
      <c r="I176" s="2" t="s">
        <v>144</v>
      </c>
      <c r="J176" s="2" t="s">
        <v>145</v>
      </c>
      <c r="K176" s="2" t="n">
        <v>4</v>
      </c>
      <c r="L176" s="28" t="n">
        <v>9.08108108108108</v>
      </c>
      <c r="M176" s="29" t="n">
        <v>0.0925</v>
      </c>
      <c r="N176" s="28" t="n">
        <v>0.84</v>
      </c>
      <c r="O176" s="28" t="n">
        <v>0</v>
      </c>
      <c r="P176" s="2" t="s">
        <v>146</v>
      </c>
      <c r="Q176" s="29" t="n">
        <v>0.08</v>
      </c>
      <c r="R176" s="30" t="n">
        <v>0.08</v>
      </c>
      <c r="S176" s="31" t="n">
        <v>9.08108108108108</v>
      </c>
      <c r="T176" s="30"/>
      <c r="U176" s="30"/>
      <c r="V176" s="29" t="n">
        <v>0</v>
      </c>
      <c r="W176" s="29" t="n">
        <f aca="false">IF(N(Q176)=0,"",Q176+IF(I176="yes",Q176*Inputs!$B$10*Inputs!$B$9,0)+V176)</f>
        <v>0.08</v>
      </c>
      <c r="X176" s="28" t="n">
        <f aca="false">IF(OR(N(W176)&lt;=0,N(N176)=0,N(L176)=0),"",MIN(L176,N176/W176))</f>
        <v>9.08108108108108</v>
      </c>
      <c r="Y176" s="29" t="str">
        <f aca="false">IF(OR(X176="",N(O176)=0),"",X176/O176-1)</f>
        <v/>
      </c>
      <c r="Z176" s="29" t="str">
        <f aca="false">IF(OR(Y176="",N(O176)=0),"",Y176+N176/O176)</f>
        <v/>
      </c>
      <c r="AA176" s="32" t="str">
        <f aca="false">IF(OR(Z176="",N(U176)=0),"",Z176-U176)</f>
        <v/>
      </c>
      <c r="AB176" s="29" t="n">
        <f aca="false">IF(N(Q176)=0,"",Q176+IF(I176="yes",Q176*Inputs!$B$10*Inputs!$B$9,0)+IFERROR(INDEX(Inputs!$B$13:$B$15,MATCH(G176,Inputs!$A$13:$A$15,0)),0)+IFERROR(INDEX(Inputs!$B$18:$B$24,MATCH(H176,Inputs!$A$18:$A$24,0)),0))</f>
        <v>0.08</v>
      </c>
      <c r="AC176" s="28" t="n">
        <f aca="false">IF(OR(N(AB176)&lt;=0,N(N176)=0,N(L176)=0),"",MIN(L176,N176/AB176))</f>
        <v>9.08108108108108</v>
      </c>
      <c r="AD176" s="29" t="str">
        <f aca="false">IF(OR(AC176="",N(O176)=0),"",AC176/O176-1)</f>
        <v/>
      </c>
      <c r="AE176" s="29" t="str">
        <f aca="false">IF(OR(AD176="",N(O176)=0),"",AD176+N176/O176)</f>
        <v/>
      </c>
      <c r="AF176" s="32" t="str">
        <f aca="false">IF(OR(AE176="",N(Z176)=0),"",AE176-Z176)</f>
        <v/>
      </c>
      <c r="AG176" s="28" t="n">
        <f aca="false">IF(AND(N(M176)&gt;0,N(L176)&gt;0),M176*L176,N176)</f>
        <v>0.84</v>
      </c>
      <c r="AH176" s="28" t="n">
        <f aca="false">IF(OR(N(AB176)&lt;=0,N(AG176)=0,N(L176)=0),"",MIN(L176,AG176/AB176))</f>
        <v>9.08108108108108</v>
      </c>
      <c r="AI176" s="29" t="str">
        <f aca="false">IF(OR(AH176="",N(O176)=0),"",AH176/O176-1)</f>
        <v/>
      </c>
      <c r="AJ176" s="29" t="str">
        <f aca="false">IF(OR(AI176="",N(O176)=0),"",AI176+AG176/O176)</f>
        <v/>
      </c>
      <c r="AK176" s="32" t="str">
        <f aca="false">IF(OR(AJ176="",N(AE176)=0),"",AJ176-AE176)</f>
        <v/>
      </c>
      <c r="AL176" s="33" t="str">
        <f aca="false">IF(N(F176)=0,"",INDEX(Inputs!$B$28:$B$32,IFERROR(MATCH(F176,Inputs!$A$28:$A$32,1),0)+1))</f>
        <v/>
      </c>
      <c r="AM176" s="34"/>
      <c r="AN176" s="33" t="str">
        <f aca="false">IF(N(AM176)&gt;0,AM176,AL176)</f>
        <v/>
      </c>
      <c r="AO176" s="29" t="str">
        <f aca="false">IF(N(AN176)=0,"",AN176+IF(I176="yes",AN176*Inputs!$B$10*Inputs!$B$9,0)+IFERROR(INDEX(Inputs!$B$13:$B$15,MATCH(G176,Inputs!$A$13:$A$15,0)),0)+IFERROR(INDEX(Inputs!$B$18:$B$24,MATCH(H176,Inputs!$A$18:$A$24,0)),0))</f>
        <v/>
      </c>
      <c r="AP176" s="28" t="str">
        <f aca="false">IF(OR(N(AO176)&lt;=0,N(AG176)=0,N(L176)=0),"",MIN(L176,AG176/AO176))</f>
        <v/>
      </c>
      <c r="AQ176" s="29" t="str">
        <f aca="false">IF(OR(AP176="",N(O176)=0),"",AP176/O176-1)</f>
        <v/>
      </c>
      <c r="AR176" s="29" t="str">
        <f aca="false">IF(OR(AQ176="",N(O176)=0),"",AQ176+AG176/O176)</f>
        <v/>
      </c>
      <c r="AS176" s="32" t="str">
        <f aca="false">IF(OR(AR176="",N(AJ176)=0),"",AR176-AJ176)</f>
        <v/>
      </c>
      <c r="AT176" s="28"/>
      <c r="AU176" s="28"/>
      <c r="AV176" s="28" t="n">
        <f aca="false">IF(N(AT176)&gt;0,AT176,L176)</f>
        <v>9.08108108108108</v>
      </c>
      <c r="AW176" s="28" t="n">
        <f aca="false">IF(AND(N(M176)&gt;0,N(AV176)&gt;0),M176*AV176,IF(N(AU176)&gt;0,AU176,N176))</f>
        <v>0.84</v>
      </c>
      <c r="AX176" s="29" t="str">
        <f aca="false">IF(N(AN176)=0,"",AN176+IF(I176="yes",AN176*Inputs!$B$10*Inputs!$B$9,0)+IFERROR(INDEX(Inputs!$B$13:$B$15,MATCH(G176,Inputs!$A$13:$A$15,0)),0)+IFERROR(INDEX(Inputs!$B$18:$B$24,MATCH(H176,Inputs!$A$18:$A$24,0)),0))</f>
        <v/>
      </c>
      <c r="AY176" s="28" t="str">
        <f aca="false">IF(OR(N(AX176)&lt;=0,N(AW176)=0,N(AV176)=0),"",MIN(AV176,AW176/AX176))</f>
        <v/>
      </c>
      <c r="AZ176" s="29" t="str">
        <f aca="false">IF(OR(AY176="",N(O176)=0),"",AY176/O176-1)</f>
        <v/>
      </c>
      <c r="BA176" s="29" t="str">
        <f aca="false">IF(OR(AZ176="",N(O176)=0),"",AZ176+AW176/O176)</f>
        <v/>
      </c>
      <c r="BB176" s="32" t="str">
        <f aca="false">IF(OR(BA176="",N(AR176)=0),"",BA176-AR176)</f>
        <v/>
      </c>
      <c r="BC176" s="35" t="str">
        <f aca="false">IF(OR(BA176="",N(U176)=0),"",BA176-U176)</f>
        <v/>
      </c>
      <c r="BD176" s="36" t="s">
        <v>198</v>
      </c>
    </row>
    <row r="177" customFormat="false" ht="15" hidden="false" customHeight="false" outlineLevel="0" collapsed="false">
      <c r="A177" s="2" t="s">
        <v>140</v>
      </c>
      <c r="B177" s="2" t="n">
        <v>343</v>
      </c>
      <c r="C177" s="2" t="s">
        <v>454</v>
      </c>
      <c r="D177" s="2" t="s">
        <v>455</v>
      </c>
      <c r="E177" s="2" t="s">
        <v>456</v>
      </c>
      <c r="F177" s="27" t="n">
        <v>4</v>
      </c>
      <c r="G177" s="2" t="s">
        <v>51</v>
      </c>
      <c r="H177" s="2" t="s">
        <v>58</v>
      </c>
      <c r="I177" s="2" t="s">
        <v>151</v>
      </c>
      <c r="J177" s="2" t="s">
        <v>277</v>
      </c>
      <c r="K177" s="2" t="n">
        <v>2</v>
      </c>
      <c r="L177" s="28" t="n">
        <v>10</v>
      </c>
      <c r="M177" s="29" t="n">
        <v>0.1</v>
      </c>
      <c r="N177" s="28" t="n">
        <v>1</v>
      </c>
      <c r="O177" s="28" t="n">
        <v>0.6</v>
      </c>
      <c r="P177" s="2" t="s">
        <v>146</v>
      </c>
      <c r="Q177" s="29" t="n">
        <v>0.08</v>
      </c>
      <c r="R177" s="30" t="n">
        <v>0.076</v>
      </c>
      <c r="S177" s="31" t="n">
        <v>10</v>
      </c>
      <c r="T177" s="30" t="n">
        <v>15.6666666666667</v>
      </c>
      <c r="U177" s="30" t="n">
        <v>17.3333333333333</v>
      </c>
      <c r="V177" s="29" t="n">
        <v>0</v>
      </c>
      <c r="W177" s="29" t="n">
        <f aca="false">IF(N(Q177)=0,"",Q177+IF(I177="yes",Q177*Inputs!$B$10*Inputs!$B$9,0)+V177)</f>
        <v>0.076</v>
      </c>
      <c r="X177" s="28" t="n">
        <f aca="false">IF(OR(N(W177)&lt;=0,N(N177)=0,N(L177)=0),"",MIN(L177,N177/W177))</f>
        <v>10</v>
      </c>
      <c r="Y177" s="29" t="n">
        <f aca="false">IF(OR(X177="",N(O177)=0),"",X177/O177-1)</f>
        <v>15.6666666666667</v>
      </c>
      <c r="Z177" s="29" t="n">
        <f aca="false">IF(OR(Y177="",N(O177)=0),"",Y177+N177/O177)</f>
        <v>17.3333333333333</v>
      </c>
      <c r="AA177" s="32" t="n">
        <f aca="false">IF(OR(Z177="",N(U177)=0),"",Z177-U177)</f>
        <v>0</v>
      </c>
      <c r="AB177" s="29" t="n">
        <f aca="false">IF(N(Q177)=0,"",Q177+IF(I177="yes",Q177*Inputs!$B$10*Inputs!$B$9,0)+IFERROR(INDEX(Inputs!$B$13:$B$15,MATCH(G177,Inputs!$A$13:$A$15,0)),0)+IFERROR(INDEX(Inputs!$B$18:$B$24,MATCH(H177,Inputs!$A$18:$A$24,0)),0))</f>
        <v>0.076</v>
      </c>
      <c r="AC177" s="28" t="n">
        <f aca="false">IF(OR(N(AB177)&lt;=0,N(N177)=0,N(L177)=0),"",MIN(L177,N177/AB177))</f>
        <v>10</v>
      </c>
      <c r="AD177" s="29" t="n">
        <f aca="false">IF(OR(AC177="",N(O177)=0),"",AC177/O177-1)</f>
        <v>15.6666666666667</v>
      </c>
      <c r="AE177" s="29" t="n">
        <f aca="false">IF(OR(AD177="",N(O177)=0),"",AD177+N177/O177)</f>
        <v>17.3333333333333</v>
      </c>
      <c r="AF177" s="32" t="n">
        <f aca="false">IF(OR(AE177="",N(Z177)=0),"",AE177-Z177)</f>
        <v>0</v>
      </c>
      <c r="AG177" s="28" t="n">
        <f aca="false">IF(AND(N(M177)&gt;0,N(L177)&gt;0),M177*L177,N177)</f>
        <v>1</v>
      </c>
      <c r="AH177" s="28" t="n">
        <f aca="false">IF(OR(N(AB177)&lt;=0,N(AG177)=0,N(L177)=0),"",MIN(L177,AG177/AB177))</f>
        <v>10</v>
      </c>
      <c r="AI177" s="29" t="n">
        <f aca="false">IF(OR(AH177="",N(O177)=0),"",AH177/O177-1)</f>
        <v>15.6666666666667</v>
      </c>
      <c r="AJ177" s="29" t="n">
        <f aca="false">IF(OR(AI177="",N(O177)=0),"",AI177+AG177/O177)</f>
        <v>17.3333333333333</v>
      </c>
      <c r="AK177" s="32" t="n">
        <f aca="false">IF(OR(AJ177="",N(AE177)=0),"",AJ177-AE177)</f>
        <v>0</v>
      </c>
      <c r="AL177" s="33" t="n">
        <f aca="false">IF(N(F177)=0,"",INDEX(Inputs!$B$28:$B$32,IFERROR(MATCH(F177,Inputs!$A$28:$A$32,1),0)+1))</f>
        <v>0.1</v>
      </c>
      <c r="AM177" s="34"/>
      <c r="AN177" s="33" t="n">
        <f aca="false">IF(N(AM177)&gt;0,AM177,AL177)</f>
        <v>0.1</v>
      </c>
      <c r="AO177" s="29" t="n">
        <f aca="false">IF(N(AN177)=0,"",AN177+IF(I177="yes",AN177*Inputs!$B$10*Inputs!$B$9,0)+IFERROR(INDEX(Inputs!$B$13:$B$15,MATCH(G177,Inputs!$A$13:$A$15,0)),0)+IFERROR(INDEX(Inputs!$B$18:$B$24,MATCH(H177,Inputs!$A$18:$A$24,0)),0))</f>
        <v>0.095</v>
      </c>
      <c r="AP177" s="28" t="n">
        <f aca="false">IF(OR(N(AO177)&lt;=0,N(AG177)=0,N(L177)=0),"",MIN(L177,AG177/AO177))</f>
        <v>10</v>
      </c>
      <c r="AQ177" s="29" t="n">
        <f aca="false">IF(OR(AP177="",N(O177)=0),"",AP177/O177-1)</f>
        <v>15.6666666666667</v>
      </c>
      <c r="AR177" s="29" t="n">
        <f aca="false">IF(OR(AQ177="",N(O177)=0),"",AQ177+AG177/O177)</f>
        <v>17.3333333333333</v>
      </c>
      <c r="AS177" s="32" t="n">
        <f aca="false">IF(OR(AR177="",N(AJ177)=0),"",AR177-AJ177)</f>
        <v>0</v>
      </c>
      <c r="AT177" s="28" t="n">
        <v>10</v>
      </c>
      <c r="AU177" s="28" t="n">
        <v>1</v>
      </c>
      <c r="AV177" s="28" t="n">
        <f aca="false">IF(N(AT177)&gt;0,AT177,L177)</f>
        <v>10</v>
      </c>
      <c r="AW177" s="28" t="n">
        <f aca="false">IF(AND(N(M177)&gt;0,N(AV177)&gt;0),M177*AV177,IF(N(AU177)&gt;0,AU177,N177))</f>
        <v>1</v>
      </c>
      <c r="AX177" s="29" t="n">
        <f aca="false">IF(N(AN177)=0,"",AN177+IF(I177="yes",AN177*Inputs!$B$10*Inputs!$B$9,0)+IFERROR(INDEX(Inputs!$B$13:$B$15,MATCH(G177,Inputs!$A$13:$A$15,0)),0)+IFERROR(INDEX(Inputs!$B$18:$B$24,MATCH(H177,Inputs!$A$18:$A$24,0)),0))</f>
        <v>0.095</v>
      </c>
      <c r="AY177" s="28" t="n">
        <f aca="false">IF(OR(N(AX177)&lt;=0,N(AW177)=0,N(AV177)=0),"",MIN(AV177,AW177/AX177))</f>
        <v>10</v>
      </c>
      <c r="AZ177" s="29" t="n">
        <f aca="false">IF(OR(AY177="",N(O177)=0),"",AY177/O177-1)</f>
        <v>15.6666666666667</v>
      </c>
      <c r="BA177" s="29" t="n">
        <f aca="false">IF(OR(AZ177="",N(O177)=0),"",AZ177+AW177/O177)</f>
        <v>17.3333333333333</v>
      </c>
      <c r="BB177" s="32" t="n">
        <f aca="false">IF(OR(BA177="",N(AR177)=0),"",BA177-AR177)</f>
        <v>0</v>
      </c>
      <c r="BC177" s="35" t="n">
        <f aca="false">IF(OR(BA177="",N(U177)=0),"",BA177-U177)</f>
        <v>0</v>
      </c>
      <c r="BD177" s="37"/>
    </row>
    <row r="178" customFormat="false" ht="15" hidden="false" customHeight="false" outlineLevel="0" collapsed="false">
      <c r="A178" s="2" t="s">
        <v>140</v>
      </c>
      <c r="B178" s="2" t="n">
        <v>347</v>
      </c>
      <c r="C178" s="2" t="s">
        <v>457</v>
      </c>
      <c r="D178" s="2" t="s">
        <v>458</v>
      </c>
      <c r="E178" s="2" t="s">
        <v>459</v>
      </c>
      <c r="F178" s="27" t="n">
        <v>29400</v>
      </c>
      <c r="G178" s="2" t="s">
        <v>51</v>
      </c>
      <c r="H178" s="2" t="s">
        <v>59</v>
      </c>
      <c r="I178" s="2" t="s">
        <v>151</v>
      </c>
      <c r="J178" s="2" t="s">
        <v>145</v>
      </c>
      <c r="K178" s="2" t="n">
        <v>4</v>
      </c>
      <c r="L178" s="28" t="n">
        <v>25</v>
      </c>
      <c r="M178" s="29" t="n">
        <v>0.0635</v>
      </c>
      <c r="N178" s="28" t="n">
        <v>1.5875</v>
      </c>
      <c r="O178" s="28" t="n">
        <v>0</v>
      </c>
      <c r="P178" s="2" t="s">
        <v>146</v>
      </c>
      <c r="Q178" s="29" t="n">
        <v>0.08</v>
      </c>
      <c r="R178" s="30" t="n">
        <v>0.076</v>
      </c>
      <c r="S178" s="31" t="n">
        <v>20.8881578947368</v>
      </c>
      <c r="T178" s="30"/>
      <c r="U178" s="30"/>
      <c r="V178" s="29" t="n">
        <v>0</v>
      </c>
      <c r="W178" s="29" t="n">
        <f aca="false">IF(N(Q178)=0,"",Q178+IF(I178="yes",Q178*Inputs!$B$10*Inputs!$B$9,0)+V178)</f>
        <v>0.076</v>
      </c>
      <c r="X178" s="28" t="n">
        <f aca="false">IF(OR(N(W178)&lt;=0,N(N178)=0,N(L178)=0),"",MIN(L178,N178/W178))</f>
        <v>20.8881578947368</v>
      </c>
      <c r="Y178" s="29" t="str">
        <f aca="false">IF(OR(X178="",N(O178)=0),"",X178/O178-1)</f>
        <v/>
      </c>
      <c r="Z178" s="29" t="str">
        <f aca="false">IF(OR(Y178="",N(O178)=0),"",Y178+N178/O178)</f>
        <v/>
      </c>
      <c r="AA178" s="32" t="str">
        <f aca="false">IF(OR(Z178="",N(U178)=0),"",Z178-U178)</f>
        <v/>
      </c>
      <c r="AB178" s="29" t="n">
        <f aca="false">IF(N(Q178)=0,"",Q178+IF(I178="yes",Q178*Inputs!$B$10*Inputs!$B$9,0)+IFERROR(INDEX(Inputs!$B$13:$B$15,MATCH(G178,Inputs!$A$13:$A$15,0)),0)+IFERROR(INDEX(Inputs!$B$18:$B$24,MATCH(H178,Inputs!$A$18:$A$24,0)),0))</f>
        <v>0.076</v>
      </c>
      <c r="AC178" s="28" t="n">
        <f aca="false">IF(OR(N(AB178)&lt;=0,N(N178)=0,N(L178)=0),"",MIN(L178,N178/AB178))</f>
        <v>20.8881578947368</v>
      </c>
      <c r="AD178" s="29" t="str">
        <f aca="false">IF(OR(AC178="",N(O178)=0),"",AC178/O178-1)</f>
        <v/>
      </c>
      <c r="AE178" s="29" t="str">
        <f aca="false">IF(OR(AD178="",N(O178)=0),"",AD178+N178/O178)</f>
        <v/>
      </c>
      <c r="AF178" s="32" t="str">
        <f aca="false">IF(OR(AE178="",N(Z178)=0),"",AE178-Z178)</f>
        <v/>
      </c>
      <c r="AG178" s="28" t="n">
        <f aca="false">IF(AND(N(M178)&gt;0,N(L178)&gt;0),M178*L178,N178)</f>
        <v>1.5875</v>
      </c>
      <c r="AH178" s="28" t="n">
        <f aca="false">IF(OR(N(AB178)&lt;=0,N(AG178)=0,N(L178)=0),"",MIN(L178,AG178/AB178))</f>
        <v>20.8881578947368</v>
      </c>
      <c r="AI178" s="29" t="str">
        <f aca="false">IF(OR(AH178="",N(O178)=0),"",AH178/O178-1)</f>
        <v/>
      </c>
      <c r="AJ178" s="29" t="str">
        <f aca="false">IF(OR(AI178="",N(O178)=0),"",AI178+AG178/O178)</f>
        <v/>
      </c>
      <c r="AK178" s="32" t="str">
        <f aca="false">IF(OR(AJ178="",N(AE178)=0),"",AJ178-AE178)</f>
        <v/>
      </c>
      <c r="AL178" s="33" t="n">
        <f aca="false">IF(N(F178)=0,"",INDEX(Inputs!$B$28:$B$32,IFERROR(MATCH(F178,Inputs!$A$28:$A$32,1),0)+1))</f>
        <v>0.075</v>
      </c>
      <c r="AM178" s="34"/>
      <c r="AN178" s="33" t="n">
        <f aca="false">IF(N(AM178)&gt;0,AM178,AL178)</f>
        <v>0.075</v>
      </c>
      <c r="AO178" s="29" t="n">
        <f aca="false">IF(N(AN178)=0,"",AN178+IF(I178="yes",AN178*Inputs!$B$10*Inputs!$B$9,0)+IFERROR(INDEX(Inputs!$B$13:$B$15,MATCH(G178,Inputs!$A$13:$A$15,0)),0)+IFERROR(INDEX(Inputs!$B$18:$B$24,MATCH(H178,Inputs!$A$18:$A$24,0)),0))</f>
        <v>0.07125</v>
      </c>
      <c r="AP178" s="28" t="n">
        <f aca="false">IF(OR(N(AO178)&lt;=0,N(AG178)=0,N(L178)=0),"",MIN(L178,AG178/AO178))</f>
        <v>22.280701754386</v>
      </c>
      <c r="AQ178" s="29" t="str">
        <f aca="false">IF(OR(AP178="",N(O178)=0),"",AP178/O178-1)</f>
        <v/>
      </c>
      <c r="AR178" s="29" t="str">
        <f aca="false">IF(OR(AQ178="",N(O178)=0),"",AQ178+AG178/O178)</f>
        <v/>
      </c>
      <c r="AS178" s="32" t="str">
        <f aca="false">IF(OR(AR178="",N(AJ178)=0),"",AR178-AJ178)</f>
        <v/>
      </c>
      <c r="AT178" s="28"/>
      <c r="AU178" s="28"/>
      <c r="AV178" s="28" t="n">
        <f aca="false">IF(N(AT178)&gt;0,AT178,L178)</f>
        <v>25</v>
      </c>
      <c r="AW178" s="28" t="n">
        <f aca="false">IF(AND(N(M178)&gt;0,N(AV178)&gt;0),M178*AV178,IF(N(AU178)&gt;0,AU178,N178))</f>
        <v>1.5875</v>
      </c>
      <c r="AX178" s="29" t="n">
        <f aca="false">IF(N(AN178)=0,"",AN178+IF(I178="yes",AN178*Inputs!$B$10*Inputs!$B$9,0)+IFERROR(INDEX(Inputs!$B$13:$B$15,MATCH(G178,Inputs!$A$13:$A$15,0)),0)+IFERROR(INDEX(Inputs!$B$18:$B$24,MATCH(H178,Inputs!$A$18:$A$24,0)),0))</f>
        <v>0.07125</v>
      </c>
      <c r="AY178" s="28" t="n">
        <f aca="false">IF(OR(N(AX178)&lt;=0,N(AW178)=0,N(AV178)=0),"",MIN(AV178,AW178/AX178))</f>
        <v>22.280701754386</v>
      </c>
      <c r="AZ178" s="29" t="str">
        <f aca="false">IF(OR(AY178="",N(O178)=0),"",AY178/O178-1)</f>
        <v/>
      </c>
      <c r="BA178" s="29" t="str">
        <f aca="false">IF(OR(AZ178="",N(O178)=0),"",AZ178+AW178/O178)</f>
        <v/>
      </c>
      <c r="BB178" s="32" t="str">
        <f aca="false">IF(OR(BA178="",N(AR178)=0),"",BA178-AR178)</f>
        <v/>
      </c>
      <c r="BC178" s="35" t="str">
        <f aca="false">IF(OR(BA178="",N(U178)=0),"",BA178-U178)</f>
        <v/>
      </c>
      <c r="BD178" s="36" t="s">
        <v>198</v>
      </c>
    </row>
    <row r="179" customFormat="false" ht="15" hidden="false" customHeight="false" outlineLevel="0" collapsed="false">
      <c r="A179" s="2" t="s">
        <v>140</v>
      </c>
      <c r="B179" s="2" t="n">
        <v>348</v>
      </c>
      <c r="C179" s="2" t="s">
        <v>460</v>
      </c>
      <c r="D179" s="2" t="s">
        <v>458</v>
      </c>
      <c r="E179" s="2" t="s">
        <v>459</v>
      </c>
      <c r="F179" s="27" t="n">
        <v>29400</v>
      </c>
      <c r="G179" s="2" t="s">
        <v>51</v>
      </c>
      <c r="H179" s="2" t="s">
        <v>58</v>
      </c>
      <c r="I179" s="2" t="s">
        <v>151</v>
      </c>
      <c r="J179" s="2" t="s">
        <v>145</v>
      </c>
      <c r="K179" s="2" t="n">
        <v>4</v>
      </c>
      <c r="L179" s="28" t="n">
        <v>25</v>
      </c>
      <c r="M179" s="29" t="n">
        <v>0.05</v>
      </c>
      <c r="N179" s="28" t="n">
        <v>1.25</v>
      </c>
      <c r="O179" s="28" t="n">
        <v>18.04</v>
      </c>
      <c r="P179" s="2" t="s">
        <v>146</v>
      </c>
      <c r="Q179" s="29" t="n">
        <v>0.08</v>
      </c>
      <c r="R179" s="30" t="n">
        <v>0.076</v>
      </c>
      <c r="S179" s="31" t="n">
        <v>16.4473684210526</v>
      </c>
      <c r="T179" s="30" t="n">
        <v>-0.0882833469483019</v>
      </c>
      <c r="U179" s="30" t="n">
        <v>-0.0189928813163728</v>
      </c>
      <c r="V179" s="29" t="n">
        <v>0</v>
      </c>
      <c r="W179" s="29" t="n">
        <f aca="false">IF(N(Q179)=0,"",Q179+IF(I179="yes",Q179*Inputs!$B$10*Inputs!$B$9,0)+V179)</f>
        <v>0.076</v>
      </c>
      <c r="X179" s="28" t="n">
        <f aca="false">IF(OR(N(W179)&lt;=0,N(N179)=0,N(L179)=0),"",MIN(L179,N179/W179))</f>
        <v>16.4473684210526</v>
      </c>
      <c r="Y179" s="29" t="n">
        <f aca="false">IF(OR(X179="",N(O179)=0),"",X179/O179-1)</f>
        <v>-0.0882833469483019</v>
      </c>
      <c r="Z179" s="29" t="n">
        <f aca="false">IF(OR(Y179="",N(O179)=0),"",Y179+N179/O179)</f>
        <v>-0.0189928813163728</v>
      </c>
      <c r="AA179" s="32" t="n">
        <f aca="false">IF(OR(Z179="",N(U179)=0),"",Z179-U179)</f>
        <v>0</v>
      </c>
      <c r="AB179" s="29" t="n">
        <f aca="false">IF(N(Q179)=0,"",Q179+IF(I179="yes",Q179*Inputs!$B$10*Inputs!$B$9,0)+IFERROR(INDEX(Inputs!$B$13:$B$15,MATCH(G179,Inputs!$A$13:$A$15,0)),0)+IFERROR(INDEX(Inputs!$B$18:$B$24,MATCH(H179,Inputs!$A$18:$A$24,0)),0))</f>
        <v>0.076</v>
      </c>
      <c r="AC179" s="28" t="n">
        <f aca="false">IF(OR(N(AB179)&lt;=0,N(N179)=0,N(L179)=0),"",MIN(L179,N179/AB179))</f>
        <v>16.4473684210526</v>
      </c>
      <c r="AD179" s="29" t="n">
        <f aca="false">IF(OR(AC179="",N(O179)=0),"",AC179/O179-1)</f>
        <v>-0.0882833469483019</v>
      </c>
      <c r="AE179" s="29" t="n">
        <f aca="false">IF(OR(AD179="",N(O179)=0),"",AD179+N179/O179)</f>
        <v>-0.0189928813163728</v>
      </c>
      <c r="AF179" s="32" t="n">
        <f aca="false">IF(OR(AE179="",N(Z179)=0),"",AE179-Z179)</f>
        <v>0</v>
      </c>
      <c r="AG179" s="28" t="n">
        <f aca="false">IF(AND(N(M179)&gt;0,N(L179)&gt;0),M179*L179,N179)</f>
        <v>1.25</v>
      </c>
      <c r="AH179" s="28" t="n">
        <f aca="false">IF(OR(N(AB179)&lt;=0,N(AG179)=0,N(L179)=0),"",MIN(L179,AG179/AB179))</f>
        <v>16.4473684210526</v>
      </c>
      <c r="AI179" s="29" t="n">
        <f aca="false">IF(OR(AH179="",N(O179)=0),"",AH179/O179-1)</f>
        <v>-0.0882833469483019</v>
      </c>
      <c r="AJ179" s="29" t="n">
        <f aca="false">IF(OR(AI179="",N(O179)=0),"",AI179+AG179/O179)</f>
        <v>-0.0189928813163728</v>
      </c>
      <c r="AK179" s="32" t="n">
        <f aca="false">IF(OR(AJ179="",N(AE179)=0),"",AJ179-AE179)</f>
        <v>0</v>
      </c>
      <c r="AL179" s="33" t="n">
        <f aca="false">IF(N(F179)=0,"",INDEX(Inputs!$B$28:$B$32,IFERROR(MATCH(F179,Inputs!$A$28:$A$32,1),0)+1))</f>
        <v>0.075</v>
      </c>
      <c r="AM179" s="34"/>
      <c r="AN179" s="33" t="n">
        <f aca="false">IF(N(AM179)&gt;0,AM179,AL179)</f>
        <v>0.075</v>
      </c>
      <c r="AO179" s="29" t="n">
        <f aca="false">IF(N(AN179)=0,"",AN179+IF(I179="yes",AN179*Inputs!$B$10*Inputs!$B$9,0)+IFERROR(INDEX(Inputs!$B$13:$B$15,MATCH(G179,Inputs!$A$13:$A$15,0)),0)+IFERROR(INDEX(Inputs!$B$18:$B$24,MATCH(H179,Inputs!$A$18:$A$24,0)),0))</f>
        <v>0.07125</v>
      </c>
      <c r="AP179" s="28" t="n">
        <f aca="false">IF(OR(N(AO179)&lt;=0,N(AG179)=0,N(L179)=0),"",MIN(L179,AG179/AO179))</f>
        <v>17.5438596491228</v>
      </c>
      <c r="AQ179" s="29" t="n">
        <f aca="false">IF(OR(AP179="",N(O179)=0),"",AP179/O179-1)</f>
        <v>-0.0275022367448554</v>
      </c>
      <c r="AR179" s="29" t="n">
        <f aca="false">IF(OR(AQ179="",N(O179)=0),"",AQ179+AG179/O179)</f>
        <v>0.0417882288870736</v>
      </c>
      <c r="AS179" s="32" t="n">
        <f aca="false">IF(OR(AR179="",N(AJ179)=0),"",AR179-AJ179)</f>
        <v>0.0607811102034465</v>
      </c>
      <c r="AT179" s="28" t="n">
        <v>25</v>
      </c>
      <c r="AU179" s="28" t="n">
        <v>1.25</v>
      </c>
      <c r="AV179" s="28" t="n">
        <f aca="false">IF(N(AT179)&gt;0,AT179,L179)</f>
        <v>25</v>
      </c>
      <c r="AW179" s="28" t="n">
        <f aca="false">IF(AND(N(M179)&gt;0,N(AV179)&gt;0),M179*AV179,IF(N(AU179)&gt;0,AU179,N179))</f>
        <v>1.25</v>
      </c>
      <c r="AX179" s="29" t="n">
        <f aca="false">IF(N(AN179)=0,"",AN179+IF(I179="yes",AN179*Inputs!$B$10*Inputs!$B$9,0)+IFERROR(INDEX(Inputs!$B$13:$B$15,MATCH(G179,Inputs!$A$13:$A$15,0)),0)+IFERROR(INDEX(Inputs!$B$18:$B$24,MATCH(H179,Inputs!$A$18:$A$24,0)),0))</f>
        <v>0.07125</v>
      </c>
      <c r="AY179" s="28" t="n">
        <f aca="false">IF(OR(N(AX179)&lt;=0,N(AW179)=0,N(AV179)=0),"",MIN(AV179,AW179/AX179))</f>
        <v>17.5438596491228</v>
      </c>
      <c r="AZ179" s="29" t="n">
        <f aca="false">IF(OR(AY179="",N(O179)=0),"",AY179/O179-1)</f>
        <v>-0.0275022367448554</v>
      </c>
      <c r="BA179" s="29" t="n">
        <f aca="false">IF(OR(AZ179="",N(O179)=0),"",AZ179+AW179/O179)</f>
        <v>0.0417882288870736</v>
      </c>
      <c r="BB179" s="32" t="n">
        <f aca="false">IF(OR(BA179="",N(AR179)=0),"",BA179-AR179)</f>
        <v>0</v>
      </c>
      <c r="BC179" s="35" t="n">
        <f aca="false">IF(OR(BA179="",N(U179)=0),"",BA179-U179)</f>
        <v>0.0607811102034465</v>
      </c>
      <c r="BD179" s="37"/>
    </row>
    <row r="180" customFormat="false" ht="15" hidden="false" customHeight="false" outlineLevel="0" collapsed="false">
      <c r="A180" s="2" t="s">
        <v>140</v>
      </c>
      <c r="B180" s="2" t="n">
        <v>351</v>
      </c>
      <c r="C180" s="2" t="s">
        <v>461</v>
      </c>
      <c r="D180" s="2" t="s">
        <v>462</v>
      </c>
      <c r="E180" s="2" t="s">
        <v>463</v>
      </c>
      <c r="F180" s="27" t="n">
        <v>10200</v>
      </c>
      <c r="G180" s="2" t="s">
        <v>51</v>
      </c>
      <c r="H180" s="2" t="s">
        <v>58</v>
      </c>
      <c r="I180" s="2" t="s">
        <v>151</v>
      </c>
      <c r="J180" s="2" t="s">
        <v>145</v>
      </c>
      <c r="K180" s="2" t="n">
        <v>4</v>
      </c>
      <c r="L180" s="28" t="n">
        <v>25</v>
      </c>
      <c r="M180" s="29" t="n">
        <v>0.0445</v>
      </c>
      <c r="N180" s="28" t="n">
        <v>1.1125</v>
      </c>
      <c r="O180" s="28" t="n">
        <v>17</v>
      </c>
      <c r="P180" s="2" t="s">
        <v>146</v>
      </c>
      <c r="Q180" s="29" t="n">
        <v>0.08</v>
      </c>
      <c r="R180" s="30" t="n">
        <v>0.076</v>
      </c>
      <c r="S180" s="31" t="n">
        <v>14.6381578947368</v>
      </c>
      <c r="T180" s="30" t="n">
        <v>-0.138931888544892</v>
      </c>
      <c r="U180" s="30" t="n">
        <v>-0.0734907120743033</v>
      </c>
      <c r="V180" s="29" t="n">
        <v>0</v>
      </c>
      <c r="W180" s="29" t="n">
        <f aca="false">IF(N(Q180)=0,"",Q180+IF(I180="yes",Q180*Inputs!$B$10*Inputs!$B$9,0)+V180)</f>
        <v>0.076</v>
      </c>
      <c r="X180" s="28" t="n">
        <f aca="false">IF(OR(N(W180)&lt;=0,N(N180)=0,N(L180)=0),"",MIN(L180,N180/W180))</f>
        <v>14.6381578947368</v>
      </c>
      <c r="Y180" s="29" t="n">
        <f aca="false">IF(OR(X180="",N(O180)=0),"",X180/O180-1)</f>
        <v>-0.138931888544892</v>
      </c>
      <c r="Z180" s="29" t="n">
        <f aca="false">IF(OR(Y180="",N(O180)=0),"",Y180+N180/O180)</f>
        <v>-0.0734907120743033</v>
      </c>
      <c r="AA180" s="32" t="n">
        <f aca="false">IF(OR(Z180="",N(U180)=0),"",Z180-U180)</f>
        <v>0</v>
      </c>
      <c r="AB180" s="29" t="n">
        <f aca="false">IF(N(Q180)=0,"",Q180+IF(I180="yes",Q180*Inputs!$B$10*Inputs!$B$9,0)+IFERROR(INDEX(Inputs!$B$13:$B$15,MATCH(G180,Inputs!$A$13:$A$15,0)),0)+IFERROR(INDEX(Inputs!$B$18:$B$24,MATCH(H180,Inputs!$A$18:$A$24,0)),0))</f>
        <v>0.076</v>
      </c>
      <c r="AC180" s="28" t="n">
        <f aca="false">IF(OR(N(AB180)&lt;=0,N(N180)=0,N(L180)=0),"",MIN(L180,N180/AB180))</f>
        <v>14.6381578947368</v>
      </c>
      <c r="AD180" s="29" t="n">
        <f aca="false">IF(OR(AC180="",N(O180)=0),"",AC180/O180-1)</f>
        <v>-0.138931888544892</v>
      </c>
      <c r="AE180" s="29" t="n">
        <f aca="false">IF(OR(AD180="",N(O180)=0),"",AD180+N180/O180)</f>
        <v>-0.0734907120743033</v>
      </c>
      <c r="AF180" s="32" t="n">
        <f aca="false">IF(OR(AE180="",N(Z180)=0),"",AE180-Z180)</f>
        <v>0</v>
      </c>
      <c r="AG180" s="28" t="n">
        <f aca="false">IF(AND(N(M180)&gt;0,N(L180)&gt;0),M180*L180,N180)</f>
        <v>1.1125</v>
      </c>
      <c r="AH180" s="28" t="n">
        <f aca="false">IF(OR(N(AB180)&lt;=0,N(AG180)=0,N(L180)=0),"",MIN(L180,AG180/AB180))</f>
        <v>14.6381578947368</v>
      </c>
      <c r="AI180" s="29" t="n">
        <f aca="false">IF(OR(AH180="",N(O180)=0),"",AH180/O180-1)</f>
        <v>-0.138931888544892</v>
      </c>
      <c r="AJ180" s="29" t="n">
        <f aca="false">IF(OR(AI180="",N(O180)=0),"",AI180+AG180/O180)</f>
        <v>-0.0734907120743033</v>
      </c>
      <c r="AK180" s="32" t="n">
        <f aca="false">IF(OR(AJ180="",N(AE180)=0),"",AJ180-AE180)</f>
        <v>0</v>
      </c>
      <c r="AL180" s="33" t="n">
        <f aca="false">IF(N(F180)=0,"",INDEX(Inputs!$B$28:$B$32,IFERROR(MATCH(F180,Inputs!$A$28:$A$32,1),0)+1))</f>
        <v>0.08</v>
      </c>
      <c r="AM180" s="34"/>
      <c r="AN180" s="33" t="n">
        <f aca="false">IF(N(AM180)&gt;0,AM180,AL180)</f>
        <v>0.08</v>
      </c>
      <c r="AO180" s="29" t="n">
        <f aca="false">IF(N(AN180)=0,"",AN180+IF(I180="yes",AN180*Inputs!$B$10*Inputs!$B$9,0)+IFERROR(INDEX(Inputs!$B$13:$B$15,MATCH(G180,Inputs!$A$13:$A$15,0)),0)+IFERROR(INDEX(Inputs!$B$18:$B$24,MATCH(H180,Inputs!$A$18:$A$24,0)),0))</f>
        <v>0.076</v>
      </c>
      <c r="AP180" s="28" t="n">
        <f aca="false">IF(OR(N(AO180)&lt;=0,N(AG180)=0,N(L180)=0),"",MIN(L180,AG180/AO180))</f>
        <v>14.6381578947368</v>
      </c>
      <c r="AQ180" s="29" t="n">
        <f aca="false">IF(OR(AP180="",N(O180)=0),"",AP180/O180-1)</f>
        <v>-0.138931888544892</v>
      </c>
      <c r="AR180" s="29" t="n">
        <f aca="false">IF(OR(AQ180="",N(O180)=0),"",AQ180+AG180/O180)</f>
        <v>-0.0734907120743033</v>
      </c>
      <c r="AS180" s="32" t="n">
        <f aca="false">IF(OR(AR180="",N(AJ180)=0),"",AR180-AJ180)</f>
        <v>0</v>
      </c>
      <c r="AT180" s="28" t="n">
        <v>25</v>
      </c>
      <c r="AU180" s="28" t="n">
        <v>1.1125</v>
      </c>
      <c r="AV180" s="28" t="n">
        <f aca="false">IF(N(AT180)&gt;0,AT180,L180)</f>
        <v>25</v>
      </c>
      <c r="AW180" s="28" t="n">
        <f aca="false">IF(AND(N(M180)&gt;0,N(AV180)&gt;0),M180*AV180,IF(N(AU180)&gt;0,AU180,N180))</f>
        <v>1.1125</v>
      </c>
      <c r="AX180" s="29" t="n">
        <f aca="false">IF(N(AN180)=0,"",AN180+IF(I180="yes",AN180*Inputs!$B$10*Inputs!$B$9,0)+IFERROR(INDEX(Inputs!$B$13:$B$15,MATCH(G180,Inputs!$A$13:$A$15,0)),0)+IFERROR(INDEX(Inputs!$B$18:$B$24,MATCH(H180,Inputs!$A$18:$A$24,0)),0))</f>
        <v>0.076</v>
      </c>
      <c r="AY180" s="28" t="n">
        <f aca="false">IF(OR(N(AX180)&lt;=0,N(AW180)=0,N(AV180)=0),"",MIN(AV180,AW180/AX180))</f>
        <v>14.6381578947368</v>
      </c>
      <c r="AZ180" s="29" t="n">
        <f aca="false">IF(OR(AY180="",N(O180)=0),"",AY180/O180-1)</f>
        <v>-0.138931888544892</v>
      </c>
      <c r="BA180" s="29" t="n">
        <f aca="false">IF(OR(AZ180="",N(O180)=0),"",AZ180+AW180/O180)</f>
        <v>-0.0734907120743033</v>
      </c>
      <c r="BB180" s="32" t="n">
        <f aca="false">IF(OR(BA180="",N(AR180)=0),"",BA180-AR180)</f>
        <v>0</v>
      </c>
      <c r="BC180" s="35" t="n">
        <f aca="false">IF(OR(BA180="",N(U180)=0),"",BA180-U180)</f>
        <v>0</v>
      </c>
      <c r="BD180" s="37"/>
    </row>
    <row r="181" customFormat="false" ht="15" hidden="false" customHeight="false" outlineLevel="0" collapsed="false">
      <c r="A181" s="2" t="s">
        <v>140</v>
      </c>
      <c r="B181" s="2" t="n">
        <v>355</v>
      </c>
      <c r="C181" s="2" t="s">
        <v>464</v>
      </c>
      <c r="D181" s="2" t="s">
        <v>465</v>
      </c>
      <c r="E181" s="2" t="s">
        <v>466</v>
      </c>
      <c r="F181" s="27" t="n">
        <v>17100</v>
      </c>
      <c r="G181" s="2" t="s">
        <v>51</v>
      </c>
      <c r="H181" s="2" t="s">
        <v>58</v>
      </c>
      <c r="I181" s="2" t="s">
        <v>144</v>
      </c>
      <c r="J181" s="2" t="s">
        <v>145</v>
      </c>
      <c r="K181" s="2" t="n">
        <v>4</v>
      </c>
      <c r="L181" s="28" t="n">
        <v>25</v>
      </c>
      <c r="M181" s="29" t="n">
        <v>0.04625</v>
      </c>
      <c r="N181" s="28" t="n">
        <v>1.15625</v>
      </c>
      <c r="O181" s="28" t="n">
        <v>16.1</v>
      </c>
      <c r="P181" s="2" t="s">
        <v>146</v>
      </c>
      <c r="Q181" s="29" t="n">
        <v>0.08</v>
      </c>
      <c r="R181" s="30" t="n">
        <v>0.08</v>
      </c>
      <c r="S181" s="31" t="n">
        <v>14.453125</v>
      </c>
      <c r="T181" s="30" t="n">
        <v>-0.102290372670808</v>
      </c>
      <c r="U181" s="30" t="n">
        <v>-0.0304736024844722</v>
      </c>
      <c r="V181" s="29" t="n">
        <v>0</v>
      </c>
      <c r="W181" s="29" t="n">
        <f aca="false">IF(N(Q181)=0,"",Q181+IF(I181="yes",Q181*Inputs!$B$10*Inputs!$B$9,0)+V181)</f>
        <v>0.08</v>
      </c>
      <c r="X181" s="28" t="n">
        <f aca="false">IF(OR(N(W181)&lt;=0,N(N181)=0,N(L181)=0),"",MIN(L181,N181/W181))</f>
        <v>14.453125</v>
      </c>
      <c r="Y181" s="29" t="n">
        <f aca="false">IF(OR(X181="",N(O181)=0),"",X181/O181-1)</f>
        <v>-0.102290372670808</v>
      </c>
      <c r="Z181" s="29" t="n">
        <f aca="false">IF(OR(Y181="",N(O181)=0),"",Y181+N181/O181)</f>
        <v>-0.0304736024844721</v>
      </c>
      <c r="AA181" s="32" t="n">
        <f aca="false">IF(OR(Z181="",N(U181)=0),"",Z181-U181)</f>
        <v>0</v>
      </c>
      <c r="AB181" s="29" t="n">
        <f aca="false">IF(N(Q181)=0,"",Q181+IF(I181="yes",Q181*Inputs!$B$10*Inputs!$B$9,0)+IFERROR(INDEX(Inputs!$B$13:$B$15,MATCH(G181,Inputs!$A$13:$A$15,0)),0)+IFERROR(INDEX(Inputs!$B$18:$B$24,MATCH(H181,Inputs!$A$18:$A$24,0)),0))</f>
        <v>0.08</v>
      </c>
      <c r="AC181" s="28" t="n">
        <f aca="false">IF(OR(N(AB181)&lt;=0,N(N181)=0,N(L181)=0),"",MIN(L181,N181/AB181))</f>
        <v>14.453125</v>
      </c>
      <c r="AD181" s="29" t="n">
        <f aca="false">IF(OR(AC181="",N(O181)=0),"",AC181/O181-1)</f>
        <v>-0.102290372670808</v>
      </c>
      <c r="AE181" s="29" t="n">
        <f aca="false">IF(OR(AD181="",N(O181)=0),"",AD181+N181/O181)</f>
        <v>-0.0304736024844721</v>
      </c>
      <c r="AF181" s="32" t="n">
        <f aca="false">IF(OR(AE181="",N(Z181)=0),"",AE181-Z181)</f>
        <v>0</v>
      </c>
      <c r="AG181" s="28" t="n">
        <f aca="false">IF(AND(N(M181)&gt;0,N(L181)&gt;0),M181*L181,N181)</f>
        <v>1.15625</v>
      </c>
      <c r="AH181" s="28" t="n">
        <f aca="false">IF(OR(N(AB181)&lt;=0,N(AG181)=0,N(L181)=0),"",MIN(L181,AG181/AB181))</f>
        <v>14.453125</v>
      </c>
      <c r="AI181" s="29" t="n">
        <f aca="false">IF(OR(AH181="",N(O181)=0),"",AH181/O181-1)</f>
        <v>-0.102290372670808</v>
      </c>
      <c r="AJ181" s="29" t="n">
        <f aca="false">IF(OR(AI181="",N(O181)=0),"",AI181+AG181/O181)</f>
        <v>-0.0304736024844721</v>
      </c>
      <c r="AK181" s="32" t="n">
        <f aca="false">IF(OR(AJ181="",N(AE181)=0),"",AJ181-AE181)</f>
        <v>0</v>
      </c>
      <c r="AL181" s="33" t="n">
        <f aca="false">IF(N(F181)=0,"",INDEX(Inputs!$B$28:$B$32,IFERROR(MATCH(F181,Inputs!$A$28:$A$32,1),0)+1))</f>
        <v>0.08</v>
      </c>
      <c r="AM181" s="34"/>
      <c r="AN181" s="33" t="n">
        <f aca="false">IF(N(AM181)&gt;0,AM181,AL181)</f>
        <v>0.08</v>
      </c>
      <c r="AO181" s="29" t="n">
        <f aca="false">IF(N(AN181)=0,"",AN181+IF(I181="yes",AN181*Inputs!$B$10*Inputs!$B$9,0)+IFERROR(INDEX(Inputs!$B$13:$B$15,MATCH(G181,Inputs!$A$13:$A$15,0)),0)+IFERROR(INDEX(Inputs!$B$18:$B$24,MATCH(H181,Inputs!$A$18:$A$24,0)),0))</f>
        <v>0.08</v>
      </c>
      <c r="AP181" s="28" t="n">
        <f aca="false">IF(OR(N(AO181)&lt;=0,N(AG181)=0,N(L181)=0),"",MIN(L181,AG181/AO181))</f>
        <v>14.453125</v>
      </c>
      <c r="AQ181" s="29" t="n">
        <f aca="false">IF(OR(AP181="",N(O181)=0),"",AP181/O181-1)</f>
        <v>-0.102290372670808</v>
      </c>
      <c r="AR181" s="29" t="n">
        <f aca="false">IF(OR(AQ181="",N(O181)=0),"",AQ181+AG181/O181)</f>
        <v>-0.0304736024844721</v>
      </c>
      <c r="AS181" s="32" t="n">
        <f aca="false">IF(OR(AR181="",N(AJ181)=0),"",AR181-AJ181)</f>
        <v>0</v>
      </c>
      <c r="AT181" s="28" t="n">
        <v>25</v>
      </c>
      <c r="AU181" s="28" t="n">
        <v>1.15625</v>
      </c>
      <c r="AV181" s="28" t="n">
        <f aca="false">IF(N(AT181)&gt;0,AT181,L181)</f>
        <v>25</v>
      </c>
      <c r="AW181" s="28" t="n">
        <f aca="false">IF(AND(N(M181)&gt;0,N(AV181)&gt;0),M181*AV181,IF(N(AU181)&gt;0,AU181,N181))</f>
        <v>1.15625</v>
      </c>
      <c r="AX181" s="29" t="n">
        <f aca="false">IF(N(AN181)=0,"",AN181+IF(I181="yes",AN181*Inputs!$B$10*Inputs!$B$9,0)+IFERROR(INDEX(Inputs!$B$13:$B$15,MATCH(G181,Inputs!$A$13:$A$15,0)),0)+IFERROR(INDEX(Inputs!$B$18:$B$24,MATCH(H181,Inputs!$A$18:$A$24,0)),0))</f>
        <v>0.08</v>
      </c>
      <c r="AY181" s="28" t="n">
        <f aca="false">IF(OR(N(AX181)&lt;=0,N(AW181)=0,N(AV181)=0),"",MIN(AV181,AW181/AX181))</f>
        <v>14.453125</v>
      </c>
      <c r="AZ181" s="29" t="n">
        <f aca="false">IF(OR(AY181="",N(O181)=0),"",AY181/O181-1)</f>
        <v>-0.102290372670808</v>
      </c>
      <c r="BA181" s="29" t="n">
        <f aca="false">IF(OR(AZ181="",N(O181)=0),"",AZ181+AW181/O181)</f>
        <v>-0.0304736024844721</v>
      </c>
      <c r="BB181" s="32" t="n">
        <f aca="false">IF(OR(BA181="",N(AR181)=0),"",BA181-AR181)</f>
        <v>0</v>
      </c>
      <c r="BC181" s="35" t="n">
        <f aca="false">IF(OR(BA181="",N(U181)=0),"",BA181-U181)</f>
        <v>0</v>
      </c>
      <c r="BD181" s="37"/>
    </row>
    <row r="182" customFormat="false" ht="15" hidden="false" customHeight="false" outlineLevel="0" collapsed="false">
      <c r="A182" s="2" t="s">
        <v>140</v>
      </c>
      <c r="B182" s="2" t="n">
        <v>359</v>
      </c>
      <c r="C182" s="2" t="s">
        <v>467</v>
      </c>
      <c r="D182" s="2" t="s">
        <v>468</v>
      </c>
      <c r="E182" s="2" t="s">
        <v>469</v>
      </c>
      <c r="F182" s="27" t="n">
        <v>108</v>
      </c>
      <c r="G182" s="2" t="s">
        <v>51</v>
      </c>
      <c r="H182" s="2" t="s">
        <v>58</v>
      </c>
      <c r="I182" s="2" t="s">
        <v>144</v>
      </c>
      <c r="J182" s="2" t="s">
        <v>145</v>
      </c>
      <c r="K182" s="2" t="n">
        <v>4</v>
      </c>
      <c r="L182" s="28" t="n">
        <v>25</v>
      </c>
      <c r="M182" s="29" t="n">
        <v>0.082</v>
      </c>
      <c r="N182" s="28" t="n">
        <v>2.05</v>
      </c>
      <c r="O182" s="28" t="n">
        <v>21.84</v>
      </c>
      <c r="P182" s="2" t="s">
        <v>146</v>
      </c>
      <c r="Q182" s="29" t="n">
        <v>0.08</v>
      </c>
      <c r="R182" s="30" t="n">
        <v>0.08</v>
      </c>
      <c r="S182" s="31" t="n">
        <v>25</v>
      </c>
      <c r="T182" s="30" t="n">
        <v>0.144688644688645</v>
      </c>
      <c r="U182" s="30" t="n">
        <v>0.238553113553114</v>
      </c>
      <c r="V182" s="29" t="n">
        <v>0</v>
      </c>
      <c r="W182" s="29" t="n">
        <f aca="false">IF(N(Q182)=0,"",Q182+IF(I182="yes",Q182*Inputs!$B$10*Inputs!$B$9,0)+V182)</f>
        <v>0.08</v>
      </c>
      <c r="X182" s="28" t="n">
        <f aca="false">IF(OR(N(W182)&lt;=0,N(N182)=0,N(L182)=0),"",MIN(L182,N182/W182))</f>
        <v>25</v>
      </c>
      <c r="Y182" s="29" t="n">
        <f aca="false">IF(OR(X182="",N(O182)=0),"",X182/O182-1)</f>
        <v>0.144688644688645</v>
      </c>
      <c r="Z182" s="29" t="n">
        <f aca="false">IF(OR(Y182="",N(O182)=0),"",Y182+N182/O182)</f>
        <v>0.238553113553113</v>
      </c>
      <c r="AA182" s="32" t="n">
        <f aca="false">IF(OR(Z182="",N(U182)=0),"",Z182-U182)</f>
        <v>0</v>
      </c>
      <c r="AB182" s="29" t="n">
        <f aca="false">IF(N(Q182)=0,"",Q182+IF(I182="yes",Q182*Inputs!$B$10*Inputs!$B$9,0)+IFERROR(INDEX(Inputs!$B$13:$B$15,MATCH(G182,Inputs!$A$13:$A$15,0)),0)+IFERROR(INDEX(Inputs!$B$18:$B$24,MATCH(H182,Inputs!$A$18:$A$24,0)),0))</f>
        <v>0.08</v>
      </c>
      <c r="AC182" s="28" t="n">
        <f aca="false">IF(OR(N(AB182)&lt;=0,N(N182)=0,N(L182)=0),"",MIN(L182,N182/AB182))</f>
        <v>25</v>
      </c>
      <c r="AD182" s="29" t="n">
        <f aca="false">IF(OR(AC182="",N(O182)=0),"",AC182/O182-1)</f>
        <v>0.144688644688645</v>
      </c>
      <c r="AE182" s="29" t="n">
        <f aca="false">IF(OR(AD182="",N(O182)=0),"",AD182+N182/O182)</f>
        <v>0.238553113553113</v>
      </c>
      <c r="AF182" s="32" t="n">
        <f aca="false">IF(OR(AE182="",N(Z182)=0),"",AE182-Z182)</f>
        <v>0</v>
      </c>
      <c r="AG182" s="28" t="n">
        <f aca="false">IF(AND(N(M182)&gt;0,N(L182)&gt;0),M182*L182,N182)</f>
        <v>2.05</v>
      </c>
      <c r="AH182" s="28" t="n">
        <f aca="false">IF(OR(N(AB182)&lt;=0,N(AG182)=0,N(L182)=0),"",MIN(L182,AG182/AB182))</f>
        <v>25</v>
      </c>
      <c r="AI182" s="29" t="n">
        <f aca="false">IF(OR(AH182="",N(O182)=0),"",AH182/O182-1)</f>
        <v>0.144688644688645</v>
      </c>
      <c r="AJ182" s="29" t="n">
        <f aca="false">IF(OR(AI182="",N(O182)=0),"",AI182+AG182/O182)</f>
        <v>0.238553113553113</v>
      </c>
      <c r="AK182" s="32" t="n">
        <f aca="false">IF(OR(AJ182="",N(AE182)=0),"",AJ182-AE182)</f>
        <v>0</v>
      </c>
      <c r="AL182" s="33" t="n">
        <f aca="false">IF(N(F182)=0,"",INDEX(Inputs!$B$28:$B$32,IFERROR(MATCH(F182,Inputs!$A$28:$A$32,1),0)+1))</f>
        <v>0.1</v>
      </c>
      <c r="AM182" s="34"/>
      <c r="AN182" s="33" t="n">
        <f aca="false">IF(N(AM182)&gt;0,AM182,AL182)</f>
        <v>0.1</v>
      </c>
      <c r="AO182" s="29" t="n">
        <f aca="false">IF(N(AN182)=0,"",AN182+IF(I182="yes",AN182*Inputs!$B$10*Inputs!$B$9,0)+IFERROR(INDEX(Inputs!$B$13:$B$15,MATCH(G182,Inputs!$A$13:$A$15,0)),0)+IFERROR(INDEX(Inputs!$B$18:$B$24,MATCH(H182,Inputs!$A$18:$A$24,0)),0))</f>
        <v>0.1</v>
      </c>
      <c r="AP182" s="28" t="n">
        <f aca="false">IF(OR(N(AO182)&lt;=0,N(AG182)=0,N(L182)=0),"",MIN(L182,AG182/AO182))</f>
        <v>20.5</v>
      </c>
      <c r="AQ182" s="29" t="n">
        <f aca="false">IF(OR(AP182="",N(O182)=0),"",AP182/O182-1)</f>
        <v>-0.0613553113553115</v>
      </c>
      <c r="AR182" s="29" t="n">
        <f aca="false">IF(OR(AQ182="",N(O182)=0),"",AQ182+AG182/O182)</f>
        <v>0.0325091575091574</v>
      </c>
      <c r="AS182" s="32" t="n">
        <f aca="false">IF(OR(AR182="",N(AJ182)=0),"",AR182-AJ182)</f>
        <v>-0.206043956043956</v>
      </c>
      <c r="AT182" s="28" t="n">
        <v>25</v>
      </c>
      <c r="AU182" s="28" t="n">
        <v>2.05</v>
      </c>
      <c r="AV182" s="28" t="n">
        <f aca="false">IF(N(AT182)&gt;0,AT182,L182)</f>
        <v>25</v>
      </c>
      <c r="AW182" s="28" t="n">
        <f aca="false">IF(AND(N(M182)&gt;0,N(AV182)&gt;0),M182*AV182,IF(N(AU182)&gt;0,AU182,N182))</f>
        <v>2.05</v>
      </c>
      <c r="AX182" s="29" t="n">
        <f aca="false">IF(N(AN182)=0,"",AN182+IF(I182="yes",AN182*Inputs!$B$10*Inputs!$B$9,0)+IFERROR(INDEX(Inputs!$B$13:$B$15,MATCH(G182,Inputs!$A$13:$A$15,0)),0)+IFERROR(INDEX(Inputs!$B$18:$B$24,MATCH(H182,Inputs!$A$18:$A$24,0)),0))</f>
        <v>0.1</v>
      </c>
      <c r="AY182" s="28" t="n">
        <f aca="false">IF(OR(N(AX182)&lt;=0,N(AW182)=0,N(AV182)=0),"",MIN(AV182,AW182/AX182))</f>
        <v>20.5</v>
      </c>
      <c r="AZ182" s="29" t="n">
        <f aca="false">IF(OR(AY182="",N(O182)=0),"",AY182/O182-1)</f>
        <v>-0.0613553113553115</v>
      </c>
      <c r="BA182" s="29" t="n">
        <f aca="false">IF(OR(AZ182="",N(O182)=0),"",AZ182+AW182/O182)</f>
        <v>0.0325091575091574</v>
      </c>
      <c r="BB182" s="32" t="n">
        <f aca="false">IF(OR(BA182="",N(AR182)=0),"",BA182-AR182)</f>
        <v>0</v>
      </c>
      <c r="BC182" s="35" t="n">
        <f aca="false">IF(OR(BA182="",N(U182)=0),"",BA182-U182)</f>
        <v>-0.206043956043956</v>
      </c>
      <c r="BD182" s="37"/>
    </row>
    <row r="183" customFormat="false" ht="15" hidden="false" customHeight="false" outlineLevel="0" collapsed="false">
      <c r="A183" s="2" t="s">
        <v>140</v>
      </c>
      <c r="B183" s="2" t="n">
        <v>360</v>
      </c>
      <c r="C183" s="2" t="s">
        <v>470</v>
      </c>
      <c r="D183" s="2" t="s">
        <v>468</v>
      </c>
      <c r="E183" s="2" t="s">
        <v>469</v>
      </c>
      <c r="F183" s="27" t="n">
        <v>108</v>
      </c>
      <c r="G183" s="2" t="s">
        <v>51</v>
      </c>
      <c r="H183" s="2" t="s">
        <v>59</v>
      </c>
      <c r="I183" s="2" t="s">
        <v>144</v>
      </c>
      <c r="J183" s="2" t="s">
        <v>145</v>
      </c>
      <c r="K183" s="2" t="n">
        <v>4</v>
      </c>
      <c r="L183" s="28" t="n">
        <v>25</v>
      </c>
      <c r="M183" s="29" t="n">
        <v>0.0825</v>
      </c>
      <c r="N183" s="28" t="n">
        <v>2.0625</v>
      </c>
      <c r="O183" s="28" t="n">
        <v>24.35</v>
      </c>
      <c r="P183" s="2" t="s">
        <v>146</v>
      </c>
      <c r="Q183" s="29" t="n">
        <v>0.08</v>
      </c>
      <c r="R183" s="30" t="n">
        <v>0.08</v>
      </c>
      <c r="S183" s="31" t="n">
        <v>25</v>
      </c>
      <c r="T183" s="30" t="n">
        <v>0.0266940451745379</v>
      </c>
      <c r="U183" s="30" t="n">
        <v>0.111396303901437</v>
      </c>
      <c r="V183" s="29" t="n">
        <v>0</v>
      </c>
      <c r="W183" s="29" t="n">
        <f aca="false">IF(N(Q183)=0,"",Q183+IF(I183="yes",Q183*Inputs!$B$10*Inputs!$B$9,0)+V183)</f>
        <v>0.08</v>
      </c>
      <c r="X183" s="28" t="n">
        <f aca="false">IF(OR(N(W183)&lt;=0,N(N183)=0,N(L183)=0),"",MIN(L183,N183/W183))</f>
        <v>25</v>
      </c>
      <c r="Y183" s="29" t="n">
        <f aca="false">IF(OR(X183="",N(O183)=0),"",X183/O183-1)</f>
        <v>0.0266940451745379</v>
      </c>
      <c r="Z183" s="29" t="n">
        <f aca="false">IF(OR(Y183="",N(O183)=0),"",Y183+N183/O183)</f>
        <v>0.111396303901437</v>
      </c>
      <c r="AA183" s="32" t="n">
        <f aca="false">IF(OR(Z183="",N(U183)=0),"",Z183-U183)</f>
        <v>0</v>
      </c>
      <c r="AB183" s="29" t="n">
        <f aca="false">IF(N(Q183)=0,"",Q183+IF(I183="yes",Q183*Inputs!$B$10*Inputs!$B$9,0)+IFERROR(INDEX(Inputs!$B$13:$B$15,MATCH(G183,Inputs!$A$13:$A$15,0)),0)+IFERROR(INDEX(Inputs!$B$18:$B$24,MATCH(H183,Inputs!$A$18:$A$24,0)),0))</f>
        <v>0.08</v>
      </c>
      <c r="AC183" s="28" t="n">
        <f aca="false">IF(OR(N(AB183)&lt;=0,N(N183)=0,N(L183)=0),"",MIN(L183,N183/AB183))</f>
        <v>25</v>
      </c>
      <c r="AD183" s="29" t="n">
        <f aca="false">IF(OR(AC183="",N(O183)=0),"",AC183/O183-1)</f>
        <v>0.0266940451745379</v>
      </c>
      <c r="AE183" s="29" t="n">
        <f aca="false">IF(OR(AD183="",N(O183)=0),"",AD183+N183/O183)</f>
        <v>0.111396303901437</v>
      </c>
      <c r="AF183" s="32" t="n">
        <f aca="false">IF(OR(AE183="",N(Z183)=0),"",AE183-Z183)</f>
        <v>0</v>
      </c>
      <c r="AG183" s="28" t="n">
        <f aca="false">IF(AND(N(M183)&gt;0,N(L183)&gt;0),M183*L183,N183)</f>
        <v>2.0625</v>
      </c>
      <c r="AH183" s="28" t="n">
        <f aca="false">IF(OR(N(AB183)&lt;=0,N(AG183)=0,N(L183)=0),"",MIN(L183,AG183/AB183))</f>
        <v>25</v>
      </c>
      <c r="AI183" s="29" t="n">
        <f aca="false">IF(OR(AH183="",N(O183)=0),"",AH183/O183-1)</f>
        <v>0.0266940451745379</v>
      </c>
      <c r="AJ183" s="29" t="n">
        <f aca="false">IF(OR(AI183="",N(O183)=0),"",AI183+AG183/O183)</f>
        <v>0.111396303901437</v>
      </c>
      <c r="AK183" s="32" t="n">
        <f aca="false">IF(OR(AJ183="",N(AE183)=0),"",AJ183-AE183)</f>
        <v>0</v>
      </c>
      <c r="AL183" s="33" t="n">
        <f aca="false">IF(N(F183)=0,"",INDEX(Inputs!$B$28:$B$32,IFERROR(MATCH(F183,Inputs!$A$28:$A$32,1),0)+1))</f>
        <v>0.1</v>
      </c>
      <c r="AM183" s="34"/>
      <c r="AN183" s="33" t="n">
        <f aca="false">IF(N(AM183)&gt;0,AM183,AL183)</f>
        <v>0.1</v>
      </c>
      <c r="AO183" s="29" t="n">
        <f aca="false">IF(N(AN183)=0,"",AN183+IF(I183="yes",AN183*Inputs!$B$10*Inputs!$B$9,0)+IFERROR(INDEX(Inputs!$B$13:$B$15,MATCH(G183,Inputs!$A$13:$A$15,0)),0)+IFERROR(INDEX(Inputs!$B$18:$B$24,MATCH(H183,Inputs!$A$18:$A$24,0)),0))</f>
        <v>0.1</v>
      </c>
      <c r="AP183" s="28" t="n">
        <f aca="false">IF(OR(N(AO183)&lt;=0,N(AG183)=0,N(L183)=0),"",MIN(L183,AG183/AO183))</f>
        <v>20.625</v>
      </c>
      <c r="AQ183" s="29" t="n">
        <f aca="false">IF(OR(AP183="",N(O183)=0),"",AP183/O183-1)</f>
        <v>-0.152977412731006</v>
      </c>
      <c r="AR183" s="29" t="n">
        <f aca="false">IF(OR(AQ183="",N(O183)=0),"",AQ183+AG183/O183)</f>
        <v>-0.0682751540041068</v>
      </c>
      <c r="AS183" s="32" t="n">
        <f aca="false">IF(OR(AR183="",N(AJ183)=0),"",AR183-AJ183)</f>
        <v>-0.179671457905544</v>
      </c>
      <c r="AT183" s="28" t="n">
        <v>25</v>
      </c>
      <c r="AU183" s="28" t="n">
        <v>2.06</v>
      </c>
      <c r="AV183" s="28" t="n">
        <f aca="false">IF(N(AT183)&gt;0,AT183,L183)</f>
        <v>25</v>
      </c>
      <c r="AW183" s="28" t="n">
        <f aca="false">IF(AND(N(M183)&gt;0,N(AV183)&gt;0),M183*AV183,IF(N(AU183)&gt;0,AU183,N183))</f>
        <v>2.0625</v>
      </c>
      <c r="AX183" s="29" t="n">
        <f aca="false">IF(N(AN183)=0,"",AN183+IF(I183="yes",AN183*Inputs!$B$10*Inputs!$B$9,0)+IFERROR(INDEX(Inputs!$B$13:$B$15,MATCH(G183,Inputs!$A$13:$A$15,0)),0)+IFERROR(INDEX(Inputs!$B$18:$B$24,MATCH(H183,Inputs!$A$18:$A$24,0)),0))</f>
        <v>0.1</v>
      </c>
      <c r="AY183" s="28" t="n">
        <f aca="false">IF(OR(N(AX183)&lt;=0,N(AW183)=0,N(AV183)=0),"",MIN(AV183,AW183/AX183))</f>
        <v>20.625</v>
      </c>
      <c r="AZ183" s="29" t="n">
        <f aca="false">IF(OR(AY183="",N(O183)=0),"",AY183/O183-1)</f>
        <v>-0.152977412731006</v>
      </c>
      <c r="BA183" s="29" t="n">
        <f aca="false">IF(OR(AZ183="",N(O183)=0),"",AZ183+AW183/O183)</f>
        <v>-0.0682751540041068</v>
      </c>
      <c r="BB183" s="32" t="n">
        <f aca="false">IF(OR(BA183="",N(AR183)=0),"",BA183-AR183)</f>
        <v>0</v>
      </c>
      <c r="BC183" s="35" t="n">
        <f aca="false">IF(OR(BA183="",N(U183)=0),"",BA183-U183)</f>
        <v>-0.179671457905544</v>
      </c>
      <c r="BD183" s="37"/>
    </row>
    <row r="184" customFormat="false" ht="15" hidden="false" customHeight="false" outlineLevel="0" collapsed="false">
      <c r="A184" s="2" t="s">
        <v>140</v>
      </c>
      <c r="B184" s="2" t="n">
        <v>363</v>
      </c>
      <c r="C184" s="2" t="s">
        <v>471</v>
      </c>
      <c r="D184" s="2" t="s">
        <v>472</v>
      </c>
      <c r="E184" s="2" t="s">
        <v>143</v>
      </c>
      <c r="F184" s="27"/>
      <c r="G184" s="2" t="s">
        <v>51</v>
      </c>
      <c r="H184" s="2" t="s">
        <v>58</v>
      </c>
      <c r="I184" s="2" t="s">
        <v>144</v>
      </c>
      <c r="J184" s="2" t="s">
        <v>145</v>
      </c>
      <c r="K184" s="2" t="n">
        <v>4</v>
      </c>
      <c r="L184" s="28" t="n">
        <v>25</v>
      </c>
      <c r="M184" s="29" t="n">
        <v>0.085</v>
      </c>
      <c r="N184" s="28" t="n">
        <v>2.125</v>
      </c>
      <c r="O184" s="28" t="n">
        <v>24.51</v>
      </c>
      <c r="P184" s="2" t="s">
        <v>146</v>
      </c>
      <c r="Q184" s="29" t="n">
        <v>0.08</v>
      </c>
      <c r="R184" s="30" t="n">
        <v>0.08</v>
      </c>
      <c r="S184" s="31" t="n">
        <v>25</v>
      </c>
      <c r="T184" s="30" t="n">
        <v>0.0199918400652794</v>
      </c>
      <c r="U184" s="30" t="n">
        <v>0.106691146470828</v>
      </c>
      <c r="V184" s="29" t="n">
        <v>0</v>
      </c>
      <c r="W184" s="29" t="n">
        <f aca="false">IF(N(Q184)=0,"",Q184+IF(I184="yes",Q184*Inputs!$B$10*Inputs!$B$9,0)+V184)</f>
        <v>0.08</v>
      </c>
      <c r="X184" s="28" t="n">
        <f aca="false">IF(OR(N(W184)&lt;=0,N(N184)=0,N(L184)=0),"",MIN(L184,N184/W184))</f>
        <v>25</v>
      </c>
      <c r="Y184" s="29" t="n">
        <f aca="false">IF(OR(X184="",N(O184)=0),"",X184/O184-1)</f>
        <v>0.0199918400652794</v>
      </c>
      <c r="Z184" s="29" t="n">
        <f aca="false">IF(OR(Y184="",N(O184)=0),"",Y184+N184/O184)</f>
        <v>0.106691146470828</v>
      </c>
      <c r="AA184" s="32" t="n">
        <f aca="false">IF(OR(Z184="",N(U184)=0),"",Z184-U184)</f>
        <v>0</v>
      </c>
      <c r="AB184" s="29" t="n">
        <f aca="false">IF(N(Q184)=0,"",Q184+IF(I184="yes",Q184*Inputs!$B$10*Inputs!$B$9,0)+IFERROR(INDEX(Inputs!$B$13:$B$15,MATCH(G184,Inputs!$A$13:$A$15,0)),0)+IFERROR(INDEX(Inputs!$B$18:$B$24,MATCH(H184,Inputs!$A$18:$A$24,0)),0))</f>
        <v>0.08</v>
      </c>
      <c r="AC184" s="28" t="n">
        <f aca="false">IF(OR(N(AB184)&lt;=0,N(N184)=0,N(L184)=0),"",MIN(L184,N184/AB184))</f>
        <v>25</v>
      </c>
      <c r="AD184" s="29" t="n">
        <f aca="false">IF(OR(AC184="",N(O184)=0),"",AC184/O184-1)</f>
        <v>0.0199918400652794</v>
      </c>
      <c r="AE184" s="29" t="n">
        <f aca="false">IF(OR(AD184="",N(O184)=0),"",AD184+N184/O184)</f>
        <v>0.106691146470828</v>
      </c>
      <c r="AF184" s="32" t="n">
        <f aca="false">IF(OR(AE184="",N(Z184)=0),"",AE184-Z184)</f>
        <v>0</v>
      </c>
      <c r="AG184" s="28" t="n">
        <f aca="false">IF(AND(N(M184)&gt;0,N(L184)&gt;0),M184*L184,N184)</f>
        <v>2.125</v>
      </c>
      <c r="AH184" s="28" t="n">
        <f aca="false">IF(OR(N(AB184)&lt;=0,N(AG184)=0,N(L184)=0),"",MIN(L184,AG184/AB184))</f>
        <v>25</v>
      </c>
      <c r="AI184" s="29" t="n">
        <f aca="false">IF(OR(AH184="",N(O184)=0),"",AH184/O184-1)</f>
        <v>0.0199918400652794</v>
      </c>
      <c r="AJ184" s="29" t="n">
        <f aca="false">IF(OR(AI184="",N(O184)=0),"",AI184+AG184/O184)</f>
        <v>0.106691146470828</v>
      </c>
      <c r="AK184" s="32" t="n">
        <f aca="false">IF(OR(AJ184="",N(AE184)=0),"",AJ184-AE184)</f>
        <v>0</v>
      </c>
      <c r="AL184" s="33" t="str">
        <f aca="false">IF(N(F184)=0,"",INDEX(Inputs!$B$28:$B$32,IFERROR(MATCH(F184,Inputs!$A$28:$A$32,1),0)+1))</f>
        <v/>
      </c>
      <c r="AM184" s="34"/>
      <c r="AN184" s="33" t="str">
        <f aca="false">IF(N(AM184)&gt;0,AM184,AL184)</f>
        <v/>
      </c>
      <c r="AO184" s="29" t="str">
        <f aca="false">IF(N(AN184)=0,"",AN184+IF(I184="yes",AN184*Inputs!$B$10*Inputs!$B$9,0)+IFERROR(INDEX(Inputs!$B$13:$B$15,MATCH(G184,Inputs!$A$13:$A$15,0)),0)+IFERROR(INDEX(Inputs!$B$18:$B$24,MATCH(H184,Inputs!$A$18:$A$24,0)),0))</f>
        <v/>
      </c>
      <c r="AP184" s="28" t="str">
        <f aca="false">IF(OR(N(AO184)&lt;=0,N(AG184)=0,N(L184)=0),"",MIN(L184,AG184/AO184))</f>
        <v/>
      </c>
      <c r="AQ184" s="29" t="str">
        <f aca="false">IF(OR(AP184="",N(O184)=0),"",AP184/O184-1)</f>
        <v/>
      </c>
      <c r="AR184" s="29" t="str">
        <f aca="false">IF(OR(AQ184="",N(O184)=0),"",AQ184+AG184/O184)</f>
        <v/>
      </c>
      <c r="AS184" s="32" t="str">
        <f aca="false">IF(OR(AR184="",N(AJ184)=0),"",AR184-AJ184)</f>
        <v/>
      </c>
      <c r="AT184" s="28" t="n">
        <v>25</v>
      </c>
      <c r="AU184" s="28" t="n">
        <v>2.125</v>
      </c>
      <c r="AV184" s="28" t="n">
        <f aca="false">IF(N(AT184)&gt;0,AT184,L184)</f>
        <v>25</v>
      </c>
      <c r="AW184" s="28" t="n">
        <f aca="false">IF(AND(N(M184)&gt;0,N(AV184)&gt;0),M184*AV184,IF(N(AU184)&gt;0,AU184,N184))</f>
        <v>2.125</v>
      </c>
      <c r="AX184" s="29" t="str">
        <f aca="false">IF(N(AN184)=0,"",AN184+IF(I184="yes",AN184*Inputs!$B$10*Inputs!$B$9,0)+IFERROR(INDEX(Inputs!$B$13:$B$15,MATCH(G184,Inputs!$A$13:$A$15,0)),0)+IFERROR(INDEX(Inputs!$B$18:$B$24,MATCH(H184,Inputs!$A$18:$A$24,0)),0))</f>
        <v/>
      </c>
      <c r="AY184" s="28" t="str">
        <f aca="false">IF(OR(N(AX184)&lt;=0,N(AW184)=0,N(AV184)=0),"",MIN(AV184,AW184/AX184))</f>
        <v/>
      </c>
      <c r="AZ184" s="29" t="str">
        <f aca="false">IF(OR(AY184="",N(O184)=0),"",AY184/O184-1)</f>
        <v/>
      </c>
      <c r="BA184" s="29" t="str">
        <f aca="false">IF(OR(AZ184="",N(O184)=0),"",AZ184+AW184/O184)</f>
        <v/>
      </c>
      <c r="BB184" s="32" t="str">
        <f aca="false">IF(OR(BA184="",N(AR184)=0),"",BA184-AR184)</f>
        <v/>
      </c>
      <c r="BC184" s="35" t="str">
        <f aca="false">IF(OR(BA184="",N(U184)=0),"",BA184-U184)</f>
        <v/>
      </c>
      <c r="BD184" s="37"/>
    </row>
    <row r="185" customFormat="false" ht="15" hidden="false" customHeight="false" outlineLevel="0" collapsed="false">
      <c r="A185" s="2" t="s">
        <v>140</v>
      </c>
      <c r="B185" s="2" t="n">
        <v>367</v>
      </c>
      <c r="C185" s="2" t="s">
        <v>473</v>
      </c>
      <c r="D185" s="2" t="s">
        <v>472</v>
      </c>
      <c r="E185" s="2" t="s">
        <v>143</v>
      </c>
      <c r="F185" s="27"/>
      <c r="G185" s="2" t="s">
        <v>51</v>
      </c>
      <c r="H185" s="2" t="s">
        <v>58</v>
      </c>
      <c r="I185" s="2" t="s">
        <v>151</v>
      </c>
      <c r="J185" s="2" t="s">
        <v>145</v>
      </c>
      <c r="K185" s="2" t="n">
        <v>4</v>
      </c>
      <c r="L185" s="28" t="n">
        <v>25</v>
      </c>
      <c r="M185" s="29" t="n">
        <v>0.07875</v>
      </c>
      <c r="N185" s="28" t="n">
        <v>1.96875</v>
      </c>
      <c r="O185" s="28" t="n">
        <v>25.89</v>
      </c>
      <c r="P185" s="2" t="s">
        <v>146</v>
      </c>
      <c r="Q185" s="29" t="n">
        <v>0.08</v>
      </c>
      <c r="R185" s="30" t="n">
        <v>0.076</v>
      </c>
      <c r="S185" s="31" t="n">
        <v>25</v>
      </c>
      <c r="T185" s="30" t="n">
        <v>-0.0343762070297412</v>
      </c>
      <c r="U185" s="30" t="n">
        <v>0.0416666666666667</v>
      </c>
      <c r="V185" s="29" t="n">
        <v>0</v>
      </c>
      <c r="W185" s="29" t="n">
        <f aca="false">IF(N(Q185)=0,"",Q185+IF(I185="yes",Q185*Inputs!$B$10*Inputs!$B$9,0)+V185)</f>
        <v>0.076</v>
      </c>
      <c r="X185" s="28" t="n">
        <f aca="false">IF(OR(N(W185)&lt;=0,N(N185)=0,N(L185)=0),"",MIN(L185,N185/W185))</f>
        <v>25</v>
      </c>
      <c r="Y185" s="29" t="n">
        <f aca="false">IF(OR(X185="",N(O185)=0),"",X185/O185-1)</f>
        <v>-0.0343762070297412</v>
      </c>
      <c r="Z185" s="29" t="n">
        <f aca="false">IF(OR(Y185="",N(O185)=0),"",Y185+N185/O185)</f>
        <v>0.0416666666666667</v>
      </c>
      <c r="AA185" s="32" t="n">
        <f aca="false">IF(OR(Z185="",N(U185)=0),"",Z185-U185)</f>
        <v>0</v>
      </c>
      <c r="AB185" s="29" t="n">
        <f aca="false">IF(N(Q185)=0,"",Q185+IF(I185="yes",Q185*Inputs!$B$10*Inputs!$B$9,0)+IFERROR(INDEX(Inputs!$B$13:$B$15,MATCH(G185,Inputs!$A$13:$A$15,0)),0)+IFERROR(INDEX(Inputs!$B$18:$B$24,MATCH(H185,Inputs!$A$18:$A$24,0)),0))</f>
        <v>0.076</v>
      </c>
      <c r="AC185" s="28" t="n">
        <f aca="false">IF(OR(N(AB185)&lt;=0,N(N185)=0,N(L185)=0),"",MIN(L185,N185/AB185))</f>
        <v>25</v>
      </c>
      <c r="AD185" s="29" t="n">
        <f aca="false">IF(OR(AC185="",N(O185)=0),"",AC185/O185-1)</f>
        <v>-0.0343762070297412</v>
      </c>
      <c r="AE185" s="29" t="n">
        <f aca="false">IF(OR(AD185="",N(O185)=0),"",AD185+N185/O185)</f>
        <v>0.0416666666666667</v>
      </c>
      <c r="AF185" s="32" t="n">
        <f aca="false">IF(OR(AE185="",N(Z185)=0),"",AE185-Z185)</f>
        <v>0</v>
      </c>
      <c r="AG185" s="28" t="n">
        <f aca="false">IF(AND(N(M185)&gt;0,N(L185)&gt;0),M185*L185,N185)</f>
        <v>1.96875</v>
      </c>
      <c r="AH185" s="28" t="n">
        <f aca="false">IF(OR(N(AB185)&lt;=0,N(AG185)=0,N(L185)=0),"",MIN(L185,AG185/AB185))</f>
        <v>25</v>
      </c>
      <c r="AI185" s="29" t="n">
        <f aca="false">IF(OR(AH185="",N(O185)=0),"",AH185/O185-1)</f>
        <v>-0.0343762070297412</v>
      </c>
      <c r="AJ185" s="29" t="n">
        <f aca="false">IF(OR(AI185="",N(O185)=0),"",AI185+AG185/O185)</f>
        <v>0.0416666666666667</v>
      </c>
      <c r="AK185" s="32" t="n">
        <f aca="false">IF(OR(AJ185="",N(AE185)=0),"",AJ185-AE185)</f>
        <v>0</v>
      </c>
      <c r="AL185" s="33" t="str">
        <f aca="false">IF(N(F185)=0,"",INDEX(Inputs!$B$28:$B$32,IFERROR(MATCH(F185,Inputs!$A$28:$A$32,1),0)+1))</f>
        <v/>
      </c>
      <c r="AM185" s="34"/>
      <c r="AN185" s="33" t="str">
        <f aca="false">IF(N(AM185)&gt;0,AM185,AL185)</f>
        <v/>
      </c>
      <c r="AO185" s="29" t="str">
        <f aca="false">IF(N(AN185)=0,"",AN185+IF(I185="yes",AN185*Inputs!$B$10*Inputs!$B$9,0)+IFERROR(INDEX(Inputs!$B$13:$B$15,MATCH(G185,Inputs!$A$13:$A$15,0)),0)+IFERROR(INDEX(Inputs!$B$18:$B$24,MATCH(H185,Inputs!$A$18:$A$24,0)),0))</f>
        <v/>
      </c>
      <c r="AP185" s="28" t="str">
        <f aca="false">IF(OR(N(AO185)&lt;=0,N(AG185)=0,N(L185)=0),"",MIN(L185,AG185/AO185))</f>
        <v/>
      </c>
      <c r="AQ185" s="29" t="str">
        <f aca="false">IF(OR(AP185="",N(O185)=0),"",AP185/O185-1)</f>
        <v/>
      </c>
      <c r="AR185" s="29" t="str">
        <f aca="false">IF(OR(AQ185="",N(O185)=0),"",AQ185+AG185/O185)</f>
        <v/>
      </c>
      <c r="AS185" s="32" t="str">
        <f aca="false">IF(OR(AR185="",N(AJ185)=0),"",AR185-AJ185)</f>
        <v/>
      </c>
      <c r="AT185" s="28" t="n">
        <v>25</v>
      </c>
      <c r="AU185" s="28" t="n">
        <v>1.97</v>
      </c>
      <c r="AV185" s="28" t="n">
        <f aca="false">IF(N(AT185)&gt;0,AT185,L185)</f>
        <v>25</v>
      </c>
      <c r="AW185" s="28" t="n">
        <f aca="false">IF(AND(N(M185)&gt;0,N(AV185)&gt;0),M185*AV185,IF(N(AU185)&gt;0,AU185,N185))</f>
        <v>1.96875</v>
      </c>
      <c r="AX185" s="29" t="str">
        <f aca="false">IF(N(AN185)=0,"",AN185+IF(I185="yes",AN185*Inputs!$B$10*Inputs!$B$9,0)+IFERROR(INDEX(Inputs!$B$13:$B$15,MATCH(G185,Inputs!$A$13:$A$15,0)),0)+IFERROR(INDEX(Inputs!$B$18:$B$24,MATCH(H185,Inputs!$A$18:$A$24,0)),0))</f>
        <v/>
      </c>
      <c r="AY185" s="28" t="str">
        <f aca="false">IF(OR(N(AX185)&lt;=0,N(AW185)=0,N(AV185)=0),"",MIN(AV185,AW185/AX185))</f>
        <v/>
      </c>
      <c r="AZ185" s="29" t="str">
        <f aca="false">IF(OR(AY185="",N(O185)=0),"",AY185/O185-1)</f>
        <v/>
      </c>
      <c r="BA185" s="29" t="str">
        <f aca="false">IF(OR(AZ185="",N(O185)=0),"",AZ185+AW185/O185)</f>
        <v/>
      </c>
      <c r="BB185" s="32" t="str">
        <f aca="false">IF(OR(BA185="",N(AR185)=0),"",BA185-AR185)</f>
        <v/>
      </c>
      <c r="BC185" s="35" t="str">
        <f aca="false">IF(OR(BA185="",N(U185)=0),"",BA185-U185)</f>
        <v/>
      </c>
      <c r="BD185" s="37"/>
    </row>
    <row r="186" customFormat="false" ht="15" hidden="false" customHeight="false" outlineLevel="0" collapsed="false">
      <c r="A186" s="2" t="s">
        <v>140</v>
      </c>
      <c r="B186" s="2" t="n">
        <v>368</v>
      </c>
      <c r="C186" s="2" t="s">
        <v>474</v>
      </c>
      <c r="D186" s="2" t="s">
        <v>472</v>
      </c>
      <c r="E186" s="2" t="s">
        <v>143</v>
      </c>
      <c r="F186" s="27"/>
      <c r="G186" s="2" t="s">
        <v>51</v>
      </c>
      <c r="H186" s="2" t="s">
        <v>58</v>
      </c>
      <c r="I186" s="2" t="s">
        <v>151</v>
      </c>
      <c r="J186" s="2" t="s">
        <v>145</v>
      </c>
      <c r="K186" s="2" t="n">
        <v>4</v>
      </c>
      <c r="L186" s="28" t="n">
        <v>25</v>
      </c>
      <c r="M186" s="29" t="n">
        <v>0.08</v>
      </c>
      <c r="N186" s="28" t="n">
        <v>2</v>
      </c>
      <c r="O186" s="28" t="n">
        <v>26.71</v>
      </c>
      <c r="P186" s="2" t="s">
        <v>146</v>
      </c>
      <c r="Q186" s="29" t="n">
        <v>0.08</v>
      </c>
      <c r="R186" s="30" t="n">
        <v>0.076</v>
      </c>
      <c r="S186" s="31" t="n">
        <v>25</v>
      </c>
      <c r="T186" s="30" t="n">
        <v>-0.0640209659303632</v>
      </c>
      <c r="U186" s="30" t="n">
        <v>0.0108573567952077</v>
      </c>
      <c r="V186" s="29" t="n">
        <v>0</v>
      </c>
      <c r="W186" s="29" t="n">
        <f aca="false">IF(N(Q186)=0,"",Q186+IF(I186="yes",Q186*Inputs!$B$10*Inputs!$B$9,0)+V186)</f>
        <v>0.076</v>
      </c>
      <c r="X186" s="28" t="n">
        <f aca="false">IF(OR(N(W186)&lt;=0,N(N186)=0,N(L186)=0),"",MIN(L186,N186/W186))</f>
        <v>25</v>
      </c>
      <c r="Y186" s="29" t="n">
        <f aca="false">IF(OR(X186="",N(O186)=0),"",X186/O186-1)</f>
        <v>-0.0640209659303632</v>
      </c>
      <c r="Z186" s="29" t="n">
        <f aca="false">IF(OR(Y186="",N(O186)=0),"",Y186+N186/O186)</f>
        <v>0.0108573567952077</v>
      </c>
      <c r="AA186" s="32" t="n">
        <f aca="false">IF(OR(Z186="",N(U186)=0),"",Z186-U186)</f>
        <v>0</v>
      </c>
      <c r="AB186" s="29" t="n">
        <f aca="false">IF(N(Q186)=0,"",Q186+IF(I186="yes",Q186*Inputs!$B$10*Inputs!$B$9,0)+IFERROR(INDEX(Inputs!$B$13:$B$15,MATCH(G186,Inputs!$A$13:$A$15,0)),0)+IFERROR(INDEX(Inputs!$B$18:$B$24,MATCH(H186,Inputs!$A$18:$A$24,0)),0))</f>
        <v>0.076</v>
      </c>
      <c r="AC186" s="28" t="n">
        <f aca="false">IF(OR(N(AB186)&lt;=0,N(N186)=0,N(L186)=0),"",MIN(L186,N186/AB186))</f>
        <v>25</v>
      </c>
      <c r="AD186" s="29" t="n">
        <f aca="false">IF(OR(AC186="",N(O186)=0),"",AC186/O186-1)</f>
        <v>-0.0640209659303632</v>
      </c>
      <c r="AE186" s="29" t="n">
        <f aca="false">IF(OR(AD186="",N(O186)=0),"",AD186+N186/O186)</f>
        <v>0.0108573567952077</v>
      </c>
      <c r="AF186" s="32" t="n">
        <f aca="false">IF(OR(AE186="",N(Z186)=0),"",AE186-Z186)</f>
        <v>0</v>
      </c>
      <c r="AG186" s="28" t="n">
        <f aca="false">IF(AND(N(M186)&gt;0,N(L186)&gt;0),M186*L186,N186)</f>
        <v>2</v>
      </c>
      <c r="AH186" s="28" t="n">
        <f aca="false">IF(OR(N(AB186)&lt;=0,N(AG186)=0,N(L186)=0),"",MIN(L186,AG186/AB186))</f>
        <v>25</v>
      </c>
      <c r="AI186" s="29" t="n">
        <f aca="false">IF(OR(AH186="",N(O186)=0),"",AH186/O186-1)</f>
        <v>-0.0640209659303632</v>
      </c>
      <c r="AJ186" s="29" t="n">
        <f aca="false">IF(OR(AI186="",N(O186)=0),"",AI186+AG186/O186)</f>
        <v>0.0108573567952077</v>
      </c>
      <c r="AK186" s="32" t="n">
        <f aca="false">IF(OR(AJ186="",N(AE186)=0),"",AJ186-AE186)</f>
        <v>0</v>
      </c>
      <c r="AL186" s="33" t="str">
        <f aca="false">IF(N(F186)=0,"",INDEX(Inputs!$B$28:$B$32,IFERROR(MATCH(F186,Inputs!$A$28:$A$32,1),0)+1))</f>
        <v/>
      </c>
      <c r="AM186" s="34"/>
      <c r="AN186" s="33" t="str">
        <f aca="false">IF(N(AM186)&gt;0,AM186,AL186)</f>
        <v/>
      </c>
      <c r="AO186" s="29" t="str">
        <f aca="false">IF(N(AN186)=0,"",AN186+IF(I186="yes",AN186*Inputs!$B$10*Inputs!$B$9,0)+IFERROR(INDEX(Inputs!$B$13:$B$15,MATCH(G186,Inputs!$A$13:$A$15,0)),0)+IFERROR(INDEX(Inputs!$B$18:$B$24,MATCH(H186,Inputs!$A$18:$A$24,0)),0))</f>
        <v/>
      </c>
      <c r="AP186" s="28" t="str">
        <f aca="false">IF(OR(N(AO186)&lt;=0,N(AG186)=0,N(L186)=0),"",MIN(L186,AG186/AO186))</f>
        <v/>
      </c>
      <c r="AQ186" s="29" t="str">
        <f aca="false">IF(OR(AP186="",N(O186)=0),"",AP186/O186-1)</f>
        <v/>
      </c>
      <c r="AR186" s="29" t="str">
        <f aca="false">IF(OR(AQ186="",N(O186)=0),"",AQ186+AG186/O186)</f>
        <v/>
      </c>
      <c r="AS186" s="32" t="str">
        <f aca="false">IF(OR(AR186="",N(AJ186)=0),"",AR186-AJ186)</f>
        <v/>
      </c>
      <c r="AT186" s="28" t="n">
        <v>25</v>
      </c>
      <c r="AU186" s="28" t="n">
        <v>2</v>
      </c>
      <c r="AV186" s="28" t="n">
        <f aca="false">IF(N(AT186)&gt;0,AT186,L186)</f>
        <v>25</v>
      </c>
      <c r="AW186" s="28" t="n">
        <f aca="false">IF(AND(N(M186)&gt;0,N(AV186)&gt;0),M186*AV186,IF(N(AU186)&gt;0,AU186,N186))</f>
        <v>2</v>
      </c>
      <c r="AX186" s="29" t="str">
        <f aca="false">IF(N(AN186)=0,"",AN186+IF(I186="yes",AN186*Inputs!$B$10*Inputs!$B$9,0)+IFERROR(INDEX(Inputs!$B$13:$B$15,MATCH(G186,Inputs!$A$13:$A$15,0)),0)+IFERROR(INDEX(Inputs!$B$18:$B$24,MATCH(H186,Inputs!$A$18:$A$24,0)),0))</f>
        <v/>
      </c>
      <c r="AY186" s="28" t="str">
        <f aca="false">IF(OR(N(AX186)&lt;=0,N(AW186)=0,N(AV186)=0),"",MIN(AV186,AW186/AX186))</f>
        <v/>
      </c>
      <c r="AZ186" s="29" t="str">
        <f aca="false">IF(OR(AY186="",N(O186)=0),"",AY186/O186-1)</f>
        <v/>
      </c>
      <c r="BA186" s="29" t="str">
        <f aca="false">IF(OR(AZ186="",N(O186)=0),"",AZ186+AW186/O186)</f>
        <v/>
      </c>
      <c r="BB186" s="32" t="str">
        <f aca="false">IF(OR(BA186="",N(AR186)=0),"",BA186-AR186)</f>
        <v/>
      </c>
      <c r="BC186" s="35" t="str">
        <f aca="false">IF(OR(BA186="",N(U186)=0),"",BA186-U186)</f>
        <v/>
      </c>
      <c r="BD186" s="37"/>
    </row>
    <row r="187" customFormat="false" ht="15" hidden="false" customHeight="false" outlineLevel="0" collapsed="false">
      <c r="A187" s="2" t="s">
        <v>140</v>
      </c>
      <c r="B187" s="2" t="n">
        <v>369</v>
      </c>
      <c r="C187" s="2" t="s">
        <v>475</v>
      </c>
      <c r="D187" s="2" t="s">
        <v>472</v>
      </c>
      <c r="E187" s="2" t="s">
        <v>143</v>
      </c>
      <c r="F187" s="27"/>
      <c r="G187" s="2" t="s">
        <v>51</v>
      </c>
      <c r="H187" s="2" t="s">
        <v>58</v>
      </c>
      <c r="I187" s="2" t="s">
        <v>151</v>
      </c>
      <c r="J187" s="2" t="s">
        <v>145</v>
      </c>
      <c r="K187" s="2" t="n">
        <v>4</v>
      </c>
      <c r="L187" s="28" t="n">
        <v>25</v>
      </c>
      <c r="M187" s="29" t="n">
        <v>0.075</v>
      </c>
      <c r="N187" s="28" t="n">
        <v>1.875</v>
      </c>
      <c r="O187" s="28" t="n">
        <v>25.36</v>
      </c>
      <c r="P187" s="2" t="s">
        <v>146</v>
      </c>
      <c r="Q187" s="29" t="n">
        <v>0.08</v>
      </c>
      <c r="R187" s="30" t="n">
        <v>0.076</v>
      </c>
      <c r="S187" s="31" t="n">
        <v>24.671052631579</v>
      </c>
      <c r="T187" s="30" t="n">
        <v>-0.0271666943383695</v>
      </c>
      <c r="U187" s="30" t="n">
        <v>0.0467686368919144</v>
      </c>
      <c r="V187" s="29" t="n">
        <v>0</v>
      </c>
      <c r="W187" s="29" t="n">
        <f aca="false">IF(N(Q187)=0,"",Q187+IF(I187="yes",Q187*Inputs!$B$10*Inputs!$B$9,0)+V187)</f>
        <v>0.076</v>
      </c>
      <c r="X187" s="28" t="n">
        <f aca="false">IF(OR(N(W187)&lt;=0,N(N187)=0,N(L187)=0),"",MIN(L187,N187/W187))</f>
        <v>24.671052631579</v>
      </c>
      <c r="Y187" s="29" t="n">
        <f aca="false">IF(OR(X187="",N(O187)=0),"",X187/O187-1)</f>
        <v>-0.0271666943383695</v>
      </c>
      <c r="Z187" s="29" t="n">
        <f aca="false">IF(OR(Y187="",N(O187)=0),"",Y187+N187/O187)</f>
        <v>0.0467686368919144</v>
      </c>
      <c r="AA187" s="32" t="n">
        <f aca="false">IF(OR(Z187="",N(U187)=0),"",Z187-U187)</f>
        <v>0</v>
      </c>
      <c r="AB187" s="29" t="n">
        <f aca="false">IF(N(Q187)=0,"",Q187+IF(I187="yes",Q187*Inputs!$B$10*Inputs!$B$9,0)+IFERROR(INDEX(Inputs!$B$13:$B$15,MATCH(G187,Inputs!$A$13:$A$15,0)),0)+IFERROR(INDEX(Inputs!$B$18:$B$24,MATCH(H187,Inputs!$A$18:$A$24,0)),0))</f>
        <v>0.076</v>
      </c>
      <c r="AC187" s="28" t="n">
        <f aca="false">IF(OR(N(AB187)&lt;=0,N(N187)=0,N(L187)=0),"",MIN(L187,N187/AB187))</f>
        <v>24.671052631579</v>
      </c>
      <c r="AD187" s="29" t="n">
        <f aca="false">IF(OR(AC187="",N(O187)=0),"",AC187/O187-1)</f>
        <v>-0.0271666943383695</v>
      </c>
      <c r="AE187" s="29" t="n">
        <f aca="false">IF(OR(AD187="",N(O187)=0),"",AD187+N187/O187)</f>
        <v>0.0467686368919144</v>
      </c>
      <c r="AF187" s="32" t="n">
        <f aca="false">IF(OR(AE187="",N(Z187)=0),"",AE187-Z187)</f>
        <v>0</v>
      </c>
      <c r="AG187" s="28" t="n">
        <f aca="false">IF(AND(N(M187)&gt;0,N(L187)&gt;0),M187*L187,N187)</f>
        <v>1.875</v>
      </c>
      <c r="AH187" s="28" t="n">
        <f aca="false">IF(OR(N(AB187)&lt;=0,N(AG187)=0,N(L187)=0),"",MIN(L187,AG187/AB187))</f>
        <v>24.671052631579</v>
      </c>
      <c r="AI187" s="29" t="n">
        <f aca="false">IF(OR(AH187="",N(O187)=0),"",AH187/O187-1)</f>
        <v>-0.0271666943383695</v>
      </c>
      <c r="AJ187" s="29" t="n">
        <f aca="false">IF(OR(AI187="",N(O187)=0),"",AI187+AG187/O187)</f>
        <v>0.0467686368919144</v>
      </c>
      <c r="AK187" s="32" t="n">
        <f aca="false">IF(OR(AJ187="",N(AE187)=0),"",AJ187-AE187)</f>
        <v>0</v>
      </c>
      <c r="AL187" s="33" t="str">
        <f aca="false">IF(N(F187)=0,"",INDEX(Inputs!$B$28:$B$32,IFERROR(MATCH(F187,Inputs!$A$28:$A$32,1),0)+1))</f>
        <v/>
      </c>
      <c r="AM187" s="34"/>
      <c r="AN187" s="33" t="str">
        <f aca="false">IF(N(AM187)&gt;0,AM187,AL187)</f>
        <v/>
      </c>
      <c r="AO187" s="29" t="str">
        <f aca="false">IF(N(AN187)=0,"",AN187+IF(I187="yes",AN187*Inputs!$B$10*Inputs!$B$9,0)+IFERROR(INDEX(Inputs!$B$13:$B$15,MATCH(G187,Inputs!$A$13:$A$15,0)),0)+IFERROR(INDEX(Inputs!$B$18:$B$24,MATCH(H187,Inputs!$A$18:$A$24,0)),0))</f>
        <v/>
      </c>
      <c r="AP187" s="28" t="str">
        <f aca="false">IF(OR(N(AO187)&lt;=0,N(AG187)=0,N(L187)=0),"",MIN(L187,AG187/AO187))</f>
        <v/>
      </c>
      <c r="AQ187" s="29" t="str">
        <f aca="false">IF(OR(AP187="",N(O187)=0),"",AP187/O187-1)</f>
        <v/>
      </c>
      <c r="AR187" s="29" t="str">
        <f aca="false">IF(OR(AQ187="",N(O187)=0),"",AQ187+AG187/O187)</f>
        <v/>
      </c>
      <c r="AS187" s="32" t="str">
        <f aca="false">IF(OR(AR187="",N(AJ187)=0),"",AR187-AJ187)</f>
        <v/>
      </c>
      <c r="AT187" s="28" t="n">
        <v>25</v>
      </c>
      <c r="AU187" s="28" t="n">
        <v>1.88</v>
      </c>
      <c r="AV187" s="28" t="n">
        <f aca="false">IF(N(AT187)&gt;0,AT187,L187)</f>
        <v>25</v>
      </c>
      <c r="AW187" s="28" t="n">
        <f aca="false">IF(AND(N(M187)&gt;0,N(AV187)&gt;0),M187*AV187,IF(N(AU187)&gt;0,AU187,N187))</f>
        <v>1.875</v>
      </c>
      <c r="AX187" s="29" t="str">
        <f aca="false">IF(N(AN187)=0,"",AN187+IF(I187="yes",AN187*Inputs!$B$10*Inputs!$B$9,0)+IFERROR(INDEX(Inputs!$B$13:$B$15,MATCH(G187,Inputs!$A$13:$A$15,0)),0)+IFERROR(INDEX(Inputs!$B$18:$B$24,MATCH(H187,Inputs!$A$18:$A$24,0)),0))</f>
        <v/>
      </c>
      <c r="AY187" s="28" t="str">
        <f aca="false">IF(OR(N(AX187)&lt;=0,N(AW187)=0,N(AV187)=0),"",MIN(AV187,AW187/AX187))</f>
        <v/>
      </c>
      <c r="AZ187" s="29" t="str">
        <f aca="false">IF(OR(AY187="",N(O187)=0),"",AY187/O187-1)</f>
        <v/>
      </c>
      <c r="BA187" s="29" t="str">
        <f aca="false">IF(OR(AZ187="",N(O187)=0),"",AZ187+AW187/O187)</f>
        <v/>
      </c>
      <c r="BB187" s="32" t="str">
        <f aca="false">IF(OR(BA187="",N(AR187)=0),"",BA187-AR187)</f>
        <v/>
      </c>
      <c r="BC187" s="35" t="str">
        <f aca="false">IF(OR(BA187="",N(U187)=0),"",BA187-U187)</f>
        <v/>
      </c>
      <c r="BD187" s="37"/>
    </row>
    <row r="188" customFormat="false" ht="15" hidden="false" customHeight="false" outlineLevel="0" collapsed="false">
      <c r="A188" s="2" t="s">
        <v>140</v>
      </c>
      <c r="B188" s="2" t="n">
        <v>370</v>
      </c>
      <c r="C188" s="2" t="s">
        <v>476</v>
      </c>
      <c r="D188" s="2" t="s">
        <v>472</v>
      </c>
      <c r="E188" s="2" t="s">
        <v>143</v>
      </c>
      <c r="F188" s="27"/>
      <c r="G188" s="2" t="s">
        <v>51</v>
      </c>
      <c r="H188" s="2" t="s">
        <v>58</v>
      </c>
      <c r="I188" s="2" t="s">
        <v>151</v>
      </c>
      <c r="J188" s="2" t="s">
        <v>145</v>
      </c>
      <c r="K188" s="2" t="n">
        <v>4</v>
      </c>
      <c r="L188" s="28" t="n">
        <v>25</v>
      </c>
      <c r="M188" s="29" t="n">
        <v>0.0675</v>
      </c>
      <c r="N188" s="28" t="n">
        <v>1.6875</v>
      </c>
      <c r="O188" s="28" t="n">
        <v>24.3</v>
      </c>
      <c r="P188" s="2" t="s">
        <v>146</v>
      </c>
      <c r="Q188" s="29" t="n">
        <v>0.08</v>
      </c>
      <c r="R188" s="30" t="n">
        <v>0.076</v>
      </c>
      <c r="S188" s="31" t="n">
        <v>22.2039473684211</v>
      </c>
      <c r="T188" s="30" t="n">
        <v>-0.0862573099415204</v>
      </c>
      <c r="U188" s="30" t="n">
        <v>-0.0168128654970759</v>
      </c>
      <c r="V188" s="29" t="n">
        <v>0</v>
      </c>
      <c r="W188" s="29" t="n">
        <f aca="false">IF(N(Q188)=0,"",Q188+IF(I188="yes",Q188*Inputs!$B$10*Inputs!$B$9,0)+V188)</f>
        <v>0.076</v>
      </c>
      <c r="X188" s="28" t="n">
        <f aca="false">IF(OR(N(W188)&lt;=0,N(N188)=0,N(L188)=0),"",MIN(L188,N188/W188))</f>
        <v>22.2039473684211</v>
      </c>
      <c r="Y188" s="29" t="n">
        <f aca="false">IF(OR(X188="",N(O188)=0),"",X188/O188-1)</f>
        <v>-0.0862573099415204</v>
      </c>
      <c r="Z188" s="29" t="n">
        <f aca="false">IF(OR(Y188="",N(O188)=0),"",Y188+N188/O188)</f>
        <v>-0.0168128654970759</v>
      </c>
      <c r="AA188" s="32" t="n">
        <f aca="false">IF(OR(Z188="",N(U188)=0),"",Z188-U188)</f>
        <v>0</v>
      </c>
      <c r="AB188" s="29" t="n">
        <f aca="false">IF(N(Q188)=0,"",Q188+IF(I188="yes",Q188*Inputs!$B$10*Inputs!$B$9,0)+IFERROR(INDEX(Inputs!$B$13:$B$15,MATCH(G188,Inputs!$A$13:$A$15,0)),0)+IFERROR(INDEX(Inputs!$B$18:$B$24,MATCH(H188,Inputs!$A$18:$A$24,0)),0))</f>
        <v>0.076</v>
      </c>
      <c r="AC188" s="28" t="n">
        <f aca="false">IF(OR(N(AB188)&lt;=0,N(N188)=0,N(L188)=0),"",MIN(L188,N188/AB188))</f>
        <v>22.2039473684211</v>
      </c>
      <c r="AD188" s="29" t="n">
        <f aca="false">IF(OR(AC188="",N(O188)=0),"",AC188/O188-1)</f>
        <v>-0.0862573099415204</v>
      </c>
      <c r="AE188" s="29" t="n">
        <f aca="false">IF(OR(AD188="",N(O188)=0),"",AD188+N188/O188)</f>
        <v>-0.0168128654970759</v>
      </c>
      <c r="AF188" s="32" t="n">
        <f aca="false">IF(OR(AE188="",N(Z188)=0),"",AE188-Z188)</f>
        <v>0</v>
      </c>
      <c r="AG188" s="28" t="n">
        <f aca="false">IF(AND(N(M188)&gt;0,N(L188)&gt;0),M188*L188,N188)</f>
        <v>1.6875</v>
      </c>
      <c r="AH188" s="28" t="n">
        <f aca="false">IF(OR(N(AB188)&lt;=0,N(AG188)=0,N(L188)=0),"",MIN(L188,AG188/AB188))</f>
        <v>22.2039473684211</v>
      </c>
      <c r="AI188" s="29" t="n">
        <f aca="false">IF(OR(AH188="",N(O188)=0),"",AH188/O188-1)</f>
        <v>-0.0862573099415204</v>
      </c>
      <c r="AJ188" s="29" t="n">
        <f aca="false">IF(OR(AI188="",N(O188)=0),"",AI188+AG188/O188)</f>
        <v>-0.0168128654970759</v>
      </c>
      <c r="AK188" s="32" t="n">
        <f aca="false">IF(OR(AJ188="",N(AE188)=0),"",AJ188-AE188)</f>
        <v>0</v>
      </c>
      <c r="AL188" s="33" t="str">
        <f aca="false">IF(N(F188)=0,"",INDEX(Inputs!$B$28:$B$32,IFERROR(MATCH(F188,Inputs!$A$28:$A$32,1),0)+1))</f>
        <v/>
      </c>
      <c r="AM188" s="34"/>
      <c r="AN188" s="33" t="str">
        <f aca="false">IF(N(AM188)&gt;0,AM188,AL188)</f>
        <v/>
      </c>
      <c r="AO188" s="29" t="str">
        <f aca="false">IF(N(AN188)=0,"",AN188+IF(I188="yes",AN188*Inputs!$B$10*Inputs!$B$9,0)+IFERROR(INDEX(Inputs!$B$13:$B$15,MATCH(G188,Inputs!$A$13:$A$15,0)),0)+IFERROR(INDEX(Inputs!$B$18:$B$24,MATCH(H188,Inputs!$A$18:$A$24,0)),0))</f>
        <v/>
      </c>
      <c r="AP188" s="28" t="str">
        <f aca="false">IF(OR(N(AO188)&lt;=0,N(AG188)=0,N(L188)=0),"",MIN(L188,AG188/AO188))</f>
        <v/>
      </c>
      <c r="AQ188" s="29" t="str">
        <f aca="false">IF(OR(AP188="",N(O188)=0),"",AP188/O188-1)</f>
        <v/>
      </c>
      <c r="AR188" s="29" t="str">
        <f aca="false">IF(OR(AQ188="",N(O188)=0),"",AQ188+AG188/O188)</f>
        <v/>
      </c>
      <c r="AS188" s="32" t="str">
        <f aca="false">IF(OR(AR188="",N(AJ188)=0),"",AR188-AJ188)</f>
        <v/>
      </c>
      <c r="AT188" s="28" t="n">
        <v>25</v>
      </c>
      <c r="AU188" s="28" t="n">
        <v>1.69</v>
      </c>
      <c r="AV188" s="28" t="n">
        <f aca="false">IF(N(AT188)&gt;0,AT188,L188)</f>
        <v>25</v>
      </c>
      <c r="AW188" s="28" t="n">
        <f aca="false">IF(AND(N(M188)&gt;0,N(AV188)&gt;0),M188*AV188,IF(N(AU188)&gt;0,AU188,N188))</f>
        <v>1.6875</v>
      </c>
      <c r="AX188" s="29" t="str">
        <f aca="false">IF(N(AN188)=0,"",AN188+IF(I188="yes",AN188*Inputs!$B$10*Inputs!$B$9,0)+IFERROR(INDEX(Inputs!$B$13:$B$15,MATCH(G188,Inputs!$A$13:$A$15,0)),0)+IFERROR(INDEX(Inputs!$B$18:$B$24,MATCH(H188,Inputs!$A$18:$A$24,0)),0))</f>
        <v/>
      </c>
      <c r="AY188" s="28" t="str">
        <f aca="false">IF(OR(N(AX188)&lt;=0,N(AW188)=0,N(AV188)=0),"",MIN(AV188,AW188/AX188))</f>
        <v/>
      </c>
      <c r="AZ188" s="29" t="str">
        <f aca="false">IF(OR(AY188="",N(O188)=0),"",AY188/O188-1)</f>
        <v/>
      </c>
      <c r="BA188" s="29" t="str">
        <f aca="false">IF(OR(AZ188="",N(O188)=0),"",AZ188+AW188/O188)</f>
        <v/>
      </c>
      <c r="BB188" s="32" t="str">
        <f aca="false">IF(OR(BA188="",N(AR188)=0),"",BA188-AR188)</f>
        <v/>
      </c>
      <c r="BC188" s="35" t="str">
        <f aca="false">IF(OR(BA188="",N(U188)=0),"",BA188-U188)</f>
        <v/>
      </c>
      <c r="BD188" s="37"/>
    </row>
    <row r="189" customFormat="false" ht="15" hidden="false" customHeight="false" outlineLevel="0" collapsed="false">
      <c r="A189" s="2" t="s">
        <v>140</v>
      </c>
      <c r="B189" s="2" t="n">
        <v>371</v>
      </c>
      <c r="C189" s="2" t="s">
        <v>477</v>
      </c>
      <c r="D189" s="2" t="s">
        <v>472</v>
      </c>
      <c r="E189" s="2" t="s">
        <v>143</v>
      </c>
      <c r="F189" s="27"/>
      <c r="G189" s="2" t="s">
        <v>51</v>
      </c>
      <c r="H189" s="2" t="s">
        <v>58</v>
      </c>
      <c r="I189" s="2" t="s">
        <v>151</v>
      </c>
      <c r="J189" s="2" t="s">
        <v>145</v>
      </c>
      <c r="K189" s="2" t="n">
        <v>4</v>
      </c>
      <c r="L189" s="28" t="n">
        <v>25</v>
      </c>
      <c r="M189" s="29" t="n">
        <v>0.071</v>
      </c>
      <c r="N189" s="28" t="n">
        <v>1.775</v>
      </c>
      <c r="O189" s="28" t="n">
        <v>25.17</v>
      </c>
      <c r="P189" s="2" t="s">
        <v>146</v>
      </c>
      <c r="Q189" s="29" t="n">
        <v>0.08</v>
      </c>
      <c r="R189" s="30" t="n">
        <v>0.076</v>
      </c>
      <c r="S189" s="31" t="n">
        <v>23.3552631578947</v>
      </c>
      <c r="T189" s="30" t="n">
        <v>-0.0720991991301258</v>
      </c>
      <c r="U189" s="30" t="n">
        <v>-0.00157873826401531</v>
      </c>
      <c r="V189" s="29" t="n">
        <v>0</v>
      </c>
      <c r="W189" s="29" t="n">
        <f aca="false">IF(N(Q189)=0,"",Q189+IF(I189="yes",Q189*Inputs!$B$10*Inputs!$B$9,0)+V189)</f>
        <v>0.076</v>
      </c>
      <c r="X189" s="28" t="n">
        <f aca="false">IF(OR(N(W189)&lt;=0,N(N189)=0,N(L189)=0),"",MIN(L189,N189/W189))</f>
        <v>23.3552631578947</v>
      </c>
      <c r="Y189" s="29" t="n">
        <f aca="false">IF(OR(X189="",N(O189)=0),"",X189/O189-1)</f>
        <v>-0.0720991991301258</v>
      </c>
      <c r="Z189" s="29" t="n">
        <f aca="false">IF(OR(Y189="",N(O189)=0),"",Y189+N189/O189)</f>
        <v>-0.00157873826401531</v>
      </c>
      <c r="AA189" s="32" t="n">
        <f aca="false">IF(OR(Z189="",N(U189)=0),"",Z189-U189)</f>
        <v>0</v>
      </c>
      <c r="AB189" s="29" t="n">
        <f aca="false">IF(N(Q189)=0,"",Q189+IF(I189="yes",Q189*Inputs!$B$10*Inputs!$B$9,0)+IFERROR(INDEX(Inputs!$B$13:$B$15,MATCH(G189,Inputs!$A$13:$A$15,0)),0)+IFERROR(INDEX(Inputs!$B$18:$B$24,MATCH(H189,Inputs!$A$18:$A$24,0)),0))</f>
        <v>0.076</v>
      </c>
      <c r="AC189" s="28" t="n">
        <f aca="false">IF(OR(N(AB189)&lt;=0,N(N189)=0,N(L189)=0),"",MIN(L189,N189/AB189))</f>
        <v>23.3552631578947</v>
      </c>
      <c r="AD189" s="29" t="n">
        <f aca="false">IF(OR(AC189="",N(O189)=0),"",AC189/O189-1)</f>
        <v>-0.0720991991301258</v>
      </c>
      <c r="AE189" s="29" t="n">
        <f aca="false">IF(OR(AD189="",N(O189)=0),"",AD189+N189/O189)</f>
        <v>-0.00157873826401531</v>
      </c>
      <c r="AF189" s="32" t="n">
        <f aca="false">IF(OR(AE189="",N(Z189)=0),"",AE189-Z189)</f>
        <v>0</v>
      </c>
      <c r="AG189" s="28" t="n">
        <f aca="false">IF(AND(N(M189)&gt;0,N(L189)&gt;0),M189*L189,N189)</f>
        <v>1.775</v>
      </c>
      <c r="AH189" s="28" t="n">
        <f aca="false">IF(OR(N(AB189)&lt;=0,N(AG189)=0,N(L189)=0),"",MIN(L189,AG189/AB189))</f>
        <v>23.3552631578947</v>
      </c>
      <c r="AI189" s="29" t="n">
        <f aca="false">IF(OR(AH189="",N(O189)=0),"",AH189/O189-1)</f>
        <v>-0.0720991991301258</v>
      </c>
      <c r="AJ189" s="29" t="n">
        <f aca="false">IF(OR(AI189="",N(O189)=0),"",AI189+AG189/O189)</f>
        <v>-0.00157873826401531</v>
      </c>
      <c r="AK189" s="32" t="n">
        <f aca="false">IF(OR(AJ189="",N(AE189)=0),"",AJ189-AE189)</f>
        <v>0</v>
      </c>
      <c r="AL189" s="33" t="str">
        <f aca="false">IF(N(F189)=0,"",INDEX(Inputs!$B$28:$B$32,IFERROR(MATCH(F189,Inputs!$A$28:$A$32,1),0)+1))</f>
        <v/>
      </c>
      <c r="AM189" s="34"/>
      <c r="AN189" s="33" t="str">
        <f aca="false">IF(N(AM189)&gt;0,AM189,AL189)</f>
        <v/>
      </c>
      <c r="AO189" s="29" t="str">
        <f aca="false">IF(N(AN189)=0,"",AN189+IF(I189="yes",AN189*Inputs!$B$10*Inputs!$B$9,0)+IFERROR(INDEX(Inputs!$B$13:$B$15,MATCH(G189,Inputs!$A$13:$A$15,0)),0)+IFERROR(INDEX(Inputs!$B$18:$B$24,MATCH(H189,Inputs!$A$18:$A$24,0)),0))</f>
        <v/>
      </c>
      <c r="AP189" s="28" t="str">
        <f aca="false">IF(OR(N(AO189)&lt;=0,N(AG189)=0,N(L189)=0),"",MIN(L189,AG189/AO189))</f>
        <v/>
      </c>
      <c r="AQ189" s="29" t="str">
        <f aca="false">IF(OR(AP189="",N(O189)=0),"",AP189/O189-1)</f>
        <v/>
      </c>
      <c r="AR189" s="29" t="str">
        <f aca="false">IF(OR(AQ189="",N(O189)=0),"",AQ189+AG189/O189)</f>
        <v/>
      </c>
      <c r="AS189" s="32" t="str">
        <f aca="false">IF(OR(AR189="",N(AJ189)=0),"",AR189-AJ189)</f>
        <v/>
      </c>
      <c r="AT189" s="28" t="n">
        <v>25</v>
      </c>
      <c r="AU189" s="28" t="n">
        <v>1.78</v>
      </c>
      <c r="AV189" s="28" t="n">
        <f aca="false">IF(N(AT189)&gt;0,AT189,L189)</f>
        <v>25</v>
      </c>
      <c r="AW189" s="28" t="n">
        <f aca="false">IF(AND(N(M189)&gt;0,N(AV189)&gt;0),M189*AV189,IF(N(AU189)&gt;0,AU189,N189))</f>
        <v>1.775</v>
      </c>
      <c r="AX189" s="29" t="str">
        <f aca="false">IF(N(AN189)=0,"",AN189+IF(I189="yes",AN189*Inputs!$B$10*Inputs!$B$9,0)+IFERROR(INDEX(Inputs!$B$13:$B$15,MATCH(G189,Inputs!$A$13:$A$15,0)),0)+IFERROR(INDEX(Inputs!$B$18:$B$24,MATCH(H189,Inputs!$A$18:$A$24,0)),0))</f>
        <v/>
      </c>
      <c r="AY189" s="28" t="str">
        <f aca="false">IF(OR(N(AX189)&lt;=0,N(AW189)=0,N(AV189)=0),"",MIN(AV189,AW189/AX189))</f>
        <v/>
      </c>
      <c r="AZ189" s="29" t="str">
        <f aca="false">IF(OR(AY189="",N(O189)=0),"",AY189/O189-1)</f>
        <v/>
      </c>
      <c r="BA189" s="29" t="str">
        <f aca="false">IF(OR(AZ189="",N(O189)=0),"",AZ189+AW189/O189)</f>
        <v/>
      </c>
      <c r="BB189" s="32" t="str">
        <f aca="false">IF(OR(BA189="",N(AR189)=0),"",BA189-AR189)</f>
        <v/>
      </c>
      <c r="BC189" s="35" t="str">
        <f aca="false">IF(OR(BA189="",N(U189)=0),"",BA189-U189)</f>
        <v/>
      </c>
      <c r="BD189" s="37"/>
    </row>
    <row r="190" customFormat="false" ht="15" hidden="false" customHeight="false" outlineLevel="0" collapsed="false">
      <c r="A190" s="2" t="s">
        <v>140</v>
      </c>
      <c r="B190" s="2" t="n">
        <v>374</v>
      </c>
      <c r="C190" s="2" t="s">
        <v>478</v>
      </c>
      <c r="D190" s="2" t="s">
        <v>479</v>
      </c>
      <c r="E190" s="2" t="s">
        <v>480</v>
      </c>
      <c r="F190" s="27" t="n">
        <v>969</v>
      </c>
      <c r="G190" s="2" t="s">
        <v>51</v>
      </c>
      <c r="H190" s="2" t="s">
        <v>58</v>
      </c>
      <c r="I190" s="2" t="s">
        <v>144</v>
      </c>
      <c r="J190" s="2" t="s">
        <v>145</v>
      </c>
      <c r="K190" s="2" t="n">
        <v>4</v>
      </c>
      <c r="L190" s="28" t="n">
        <v>25</v>
      </c>
      <c r="M190" s="29" t="n">
        <v>0.08</v>
      </c>
      <c r="N190" s="28" t="n">
        <v>2</v>
      </c>
      <c r="O190" s="28" t="n">
        <v>21.96</v>
      </c>
      <c r="P190" s="2" t="s">
        <v>146</v>
      </c>
      <c r="Q190" s="29" t="n">
        <v>0.08</v>
      </c>
      <c r="R190" s="30" t="n">
        <v>0.08</v>
      </c>
      <c r="S190" s="31" t="n">
        <v>25</v>
      </c>
      <c r="T190" s="30" t="n">
        <v>0.138433515482696</v>
      </c>
      <c r="U190" s="30" t="n">
        <v>0.229508196721311</v>
      </c>
      <c r="V190" s="29" t="n">
        <v>0</v>
      </c>
      <c r="W190" s="29" t="n">
        <f aca="false">IF(N(Q190)=0,"",Q190+IF(I190="yes",Q190*Inputs!$B$10*Inputs!$B$9,0)+V190)</f>
        <v>0.08</v>
      </c>
      <c r="X190" s="28" t="n">
        <f aca="false">IF(OR(N(W190)&lt;=0,N(N190)=0,N(L190)=0),"",MIN(L190,N190/W190))</f>
        <v>25</v>
      </c>
      <c r="Y190" s="29" t="n">
        <f aca="false">IF(OR(X190="",N(O190)=0),"",X190/O190-1)</f>
        <v>0.138433515482696</v>
      </c>
      <c r="Z190" s="29" t="n">
        <f aca="false">IF(OR(Y190="",N(O190)=0),"",Y190+N190/O190)</f>
        <v>0.229508196721311</v>
      </c>
      <c r="AA190" s="32" t="n">
        <f aca="false">IF(OR(Z190="",N(U190)=0),"",Z190-U190)</f>
        <v>0</v>
      </c>
      <c r="AB190" s="29" t="n">
        <f aca="false">IF(N(Q190)=0,"",Q190+IF(I190="yes",Q190*Inputs!$B$10*Inputs!$B$9,0)+IFERROR(INDEX(Inputs!$B$13:$B$15,MATCH(G190,Inputs!$A$13:$A$15,0)),0)+IFERROR(INDEX(Inputs!$B$18:$B$24,MATCH(H190,Inputs!$A$18:$A$24,0)),0))</f>
        <v>0.08</v>
      </c>
      <c r="AC190" s="28" t="n">
        <f aca="false">IF(OR(N(AB190)&lt;=0,N(N190)=0,N(L190)=0),"",MIN(L190,N190/AB190))</f>
        <v>25</v>
      </c>
      <c r="AD190" s="29" t="n">
        <f aca="false">IF(OR(AC190="",N(O190)=0),"",AC190/O190-1)</f>
        <v>0.138433515482696</v>
      </c>
      <c r="AE190" s="29" t="n">
        <f aca="false">IF(OR(AD190="",N(O190)=0),"",AD190+N190/O190)</f>
        <v>0.229508196721311</v>
      </c>
      <c r="AF190" s="32" t="n">
        <f aca="false">IF(OR(AE190="",N(Z190)=0),"",AE190-Z190)</f>
        <v>0</v>
      </c>
      <c r="AG190" s="28" t="n">
        <f aca="false">IF(AND(N(M190)&gt;0,N(L190)&gt;0),M190*L190,N190)</f>
        <v>2</v>
      </c>
      <c r="AH190" s="28" t="n">
        <f aca="false">IF(OR(N(AB190)&lt;=0,N(AG190)=0,N(L190)=0),"",MIN(L190,AG190/AB190))</f>
        <v>25</v>
      </c>
      <c r="AI190" s="29" t="n">
        <f aca="false">IF(OR(AH190="",N(O190)=0),"",AH190/O190-1)</f>
        <v>0.138433515482696</v>
      </c>
      <c r="AJ190" s="29" t="n">
        <f aca="false">IF(OR(AI190="",N(O190)=0),"",AI190+AG190/O190)</f>
        <v>0.229508196721311</v>
      </c>
      <c r="AK190" s="32" t="n">
        <f aca="false">IF(OR(AJ190="",N(AE190)=0),"",AJ190-AE190)</f>
        <v>0</v>
      </c>
      <c r="AL190" s="33" t="n">
        <f aca="false">IF(N(F190)=0,"",INDEX(Inputs!$B$28:$B$32,IFERROR(MATCH(F190,Inputs!$A$28:$A$32,1),0)+1))</f>
        <v>0.09</v>
      </c>
      <c r="AM190" s="34"/>
      <c r="AN190" s="33" t="n">
        <f aca="false">IF(N(AM190)&gt;0,AM190,AL190)</f>
        <v>0.09</v>
      </c>
      <c r="AO190" s="29" t="n">
        <f aca="false">IF(N(AN190)=0,"",AN190+IF(I190="yes",AN190*Inputs!$B$10*Inputs!$B$9,0)+IFERROR(INDEX(Inputs!$B$13:$B$15,MATCH(G190,Inputs!$A$13:$A$15,0)),0)+IFERROR(INDEX(Inputs!$B$18:$B$24,MATCH(H190,Inputs!$A$18:$A$24,0)),0))</f>
        <v>0.09</v>
      </c>
      <c r="AP190" s="28" t="n">
        <f aca="false">IF(OR(N(AO190)&lt;=0,N(AG190)=0,N(L190)=0),"",MIN(L190,AG190/AO190))</f>
        <v>22.2222222222222</v>
      </c>
      <c r="AQ190" s="29" t="n">
        <f aca="false">IF(OR(AP190="",N(O190)=0),"",AP190/O190-1)</f>
        <v>0.0119409026512851</v>
      </c>
      <c r="AR190" s="29" t="n">
        <f aca="false">IF(OR(AQ190="",N(O190)=0),"",AQ190+AG190/O190)</f>
        <v>0.103015583889901</v>
      </c>
      <c r="AS190" s="32" t="n">
        <f aca="false">IF(OR(AR190="",N(AJ190)=0),"",AR190-AJ190)</f>
        <v>-0.126492612831411</v>
      </c>
      <c r="AT190" s="28" t="n">
        <v>25</v>
      </c>
      <c r="AU190" s="28" t="n">
        <v>2</v>
      </c>
      <c r="AV190" s="28" t="n">
        <f aca="false">IF(N(AT190)&gt;0,AT190,L190)</f>
        <v>25</v>
      </c>
      <c r="AW190" s="28" t="n">
        <f aca="false">IF(AND(N(M190)&gt;0,N(AV190)&gt;0),M190*AV190,IF(N(AU190)&gt;0,AU190,N190))</f>
        <v>2</v>
      </c>
      <c r="AX190" s="29" t="n">
        <f aca="false">IF(N(AN190)=0,"",AN190+IF(I190="yes",AN190*Inputs!$B$10*Inputs!$B$9,0)+IFERROR(INDEX(Inputs!$B$13:$B$15,MATCH(G190,Inputs!$A$13:$A$15,0)),0)+IFERROR(INDEX(Inputs!$B$18:$B$24,MATCH(H190,Inputs!$A$18:$A$24,0)),0))</f>
        <v>0.09</v>
      </c>
      <c r="AY190" s="28" t="n">
        <f aca="false">IF(OR(N(AX190)&lt;=0,N(AW190)=0,N(AV190)=0),"",MIN(AV190,AW190/AX190))</f>
        <v>22.2222222222222</v>
      </c>
      <c r="AZ190" s="29" t="n">
        <f aca="false">IF(OR(AY190="",N(O190)=0),"",AY190/O190-1)</f>
        <v>0.0119409026512851</v>
      </c>
      <c r="BA190" s="29" t="n">
        <f aca="false">IF(OR(AZ190="",N(O190)=0),"",AZ190+AW190/O190)</f>
        <v>0.103015583889901</v>
      </c>
      <c r="BB190" s="32" t="n">
        <f aca="false">IF(OR(BA190="",N(AR190)=0),"",BA190-AR190)</f>
        <v>0</v>
      </c>
      <c r="BC190" s="35" t="n">
        <f aca="false">IF(OR(BA190="",N(U190)=0),"",BA190-U190)</f>
        <v>-0.126492612831411</v>
      </c>
      <c r="BD190" s="37"/>
    </row>
    <row r="191" customFormat="false" ht="15" hidden="false" customHeight="false" outlineLevel="0" collapsed="false">
      <c r="A191" s="2" t="s">
        <v>140</v>
      </c>
      <c r="B191" s="2" t="n">
        <v>375</v>
      </c>
      <c r="C191" s="2" t="s">
        <v>481</v>
      </c>
      <c r="D191" s="2" t="s">
        <v>479</v>
      </c>
      <c r="E191" s="2" t="s">
        <v>480</v>
      </c>
      <c r="F191" s="27" t="n">
        <v>969</v>
      </c>
      <c r="G191" s="2" t="s">
        <v>51</v>
      </c>
      <c r="H191" s="2" t="s">
        <v>59</v>
      </c>
      <c r="I191" s="2" t="s">
        <v>144</v>
      </c>
      <c r="J191" s="2" t="s">
        <v>145</v>
      </c>
      <c r="K191" s="2" t="n">
        <v>4</v>
      </c>
      <c r="L191" s="28" t="n">
        <v>25</v>
      </c>
      <c r="M191" s="29" t="n">
        <v>0.08</v>
      </c>
      <c r="N191" s="28" t="n">
        <v>2</v>
      </c>
      <c r="O191" s="28" t="n">
        <v>24.58</v>
      </c>
      <c r="P191" s="2" t="s">
        <v>146</v>
      </c>
      <c r="Q191" s="29" t="n">
        <v>0.08</v>
      </c>
      <c r="R191" s="30" t="n">
        <v>0.08</v>
      </c>
      <c r="S191" s="31" t="n">
        <v>25</v>
      </c>
      <c r="T191" s="30" t="n">
        <v>0.017087062652563</v>
      </c>
      <c r="U191" s="30" t="n">
        <v>0.098454027664768</v>
      </c>
      <c r="V191" s="29" t="n">
        <v>0</v>
      </c>
      <c r="W191" s="29" t="n">
        <f aca="false">IF(N(Q191)=0,"",Q191+IF(I191="yes",Q191*Inputs!$B$10*Inputs!$B$9,0)+V191)</f>
        <v>0.08</v>
      </c>
      <c r="X191" s="28" t="n">
        <f aca="false">IF(OR(N(W191)&lt;=0,N(N191)=0,N(L191)=0),"",MIN(L191,N191/W191))</f>
        <v>25</v>
      </c>
      <c r="Y191" s="29" t="n">
        <f aca="false">IF(OR(X191="",N(O191)=0),"",X191/O191-1)</f>
        <v>0.0170870626525632</v>
      </c>
      <c r="Z191" s="29" t="n">
        <f aca="false">IF(OR(Y191="",N(O191)=0),"",Y191+N191/O191)</f>
        <v>0.0984540276647683</v>
      </c>
      <c r="AA191" s="32" t="n">
        <f aca="false">IF(OR(Z191="",N(U191)=0),"",Z191-U191)</f>
        <v>0</v>
      </c>
      <c r="AB191" s="29" t="n">
        <f aca="false">IF(N(Q191)=0,"",Q191+IF(I191="yes",Q191*Inputs!$B$10*Inputs!$B$9,0)+IFERROR(INDEX(Inputs!$B$13:$B$15,MATCH(G191,Inputs!$A$13:$A$15,0)),0)+IFERROR(INDEX(Inputs!$B$18:$B$24,MATCH(H191,Inputs!$A$18:$A$24,0)),0))</f>
        <v>0.08</v>
      </c>
      <c r="AC191" s="28" t="n">
        <f aca="false">IF(OR(N(AB191)&lt;=0,N(N191)=0,N(L191)=0),"",MIN(L191,N191/AB191))</f>
        <v>25</v>
      </c>
      <c r="AD191" s="29" t="n">
        <f aca="false">IF(OR(AC191="",N(O191)=0),"",AC191/O191-1)</f>
        <v>0.0170870626525632</v>
      </c>
      <c r="AE191" s="29" t="n">
        <f aca="false">IF(OR(AD191="",N(O191)=0),"",AD191+N191/O191)</f>
        <v>0.0984540276647683</v>
      </c>
      <c r="AF191" s="32" t="n">
        <f aca="false">IF(OR(AE191="",N(Z191)=0),"",AE191-Z191)</f>
        <v>0</v>
      </c>
      <c r="AG191" s="28" t="n">
        <f aca="false">IF(AND(N(M191)&gt;0,N(L191)&gt;0),M191*L191,N191)</f>
        <v>2</v>
      </c>
      <c r="AH191" s="28" t="n">
        <f aca="false">IF(OR(N(AB191)&lt;=0,N(AG191)=0,N(L191)=0),"",MIN(L191,AG191/AB191))</f>
        <v>25</v>
      </c>
      <c r="AI191" s="29" t="n">
        <f aca="false">IF(OR(AH191="",N(O191)=0),"",AH191/O191-1)</f>
        <v>0.0170870626525632</v>
      </c>
      <c r="AJ191" s="29" t="n">
        <f aca="false">IF(OR(AI191="",N(O191)=0),"",AI191+AG191/O191)</f>
        <v>0.0984540276647683</v>
      </c>
      <c r="AK191" s="32" t="n">
        <f aca="false">IF(OR(AJ191="",N(AE191)=0),"",AJ191-AE191)</f>
        <v>0</v>
      </c>
      <c r="AL191" s="33" t="n">
        <f aca="false">IF(N(F191)=0,"",INDEX(Inputs!$B$28:$B$32,IFERROR(MATCH(F191,Inputs!$A$28:$A$32,1),0)+1))</f>
        <v>0.09</v>
      </c>
      <c r="AM191" s="34"/>
      <c r="AN191" s="33" t="n">
        <f aca="false">IF(N(AM191)&gt;0,AM191,AL191)</f>
        <v>0.09</v>
      </c>
      <c r="AO191" s="29" t="n">
        <f aca="false">IF(N(AN191)=0,"",AN191+IF(I191="yes",AN191*Inputs!$B$10*Inputs!$B$9,0)+IFERROR(INDEX(Inputs!$B$13:$B$15,MATCH(G191,Inputs!$A$13:$A$15,0)),0)+IFERROR(INDEX(Inputs!$B$18:$B$24,MATCH(H191,Inputs!$A$18:$A$24,0)),0))</f>
        <v>0.09</v>
      </c>
      <c r="AP191" s="28" t="n">
        <f aca="false">IF(OR(N(AO191)&lt;=0,N(AG191)=0,N(L191)=0),"",MIN(L191,AG191/AO191))</f>
        <v>22.2222222222222</v>
      </c>
      <c r="AQ191" s="29" t="n">
        <f aca="false">IF(OR(AP191="",N(O191)=0),"",AP191/O191-1)</f>
        <v>-0.0959226109754995</v>
      </c>
      <c r="AR191" s="29" t="n">
        <f aca="false">IF(OR(AQ191="",N(O191)=0),"",AQ191+AG191/O191)</f>
        <v>-0.0145556459632944</v>
      </c>
      <c r="AS191" s="32" t="n">
        <f aca="false">IF(OR(AR191="",N(AJ191)=0),"",AR191-AJ191)</f>
        <v>-0.113009673628063</v>
      </c>
      <c r="AT191" s="28" t="n">
        <v>25</v>
      </c>
      <c r="AU191" s="28" t="n">
        <v>2</v>
      </c>
      <c r="AV191" s="28" t="n">
        <f aca="false">IF(N(AT191)&gt;0,AT191,L191)</f>
        <v>25</v>
      </c>
      <c r="AW191" s="28" t="n">
        <f aca="false">IF(AND(N(M191)&gt;0,N(AV191)&gt;0),M191*AV191,IF(N(AU191)&gt;0,AU191,N191))</f>
        <v>2</v>
      </c>
      <c r="AX191" s="29" t="n">
        <f aca="false">IF(N(AN191)=0,"",AN191+IF(I191="yes",AN191*Inputs!$B$10*Inputs!$B$9,0)+IFERROR(INDEX(Inputs!$B$13:$B$15,MATCH(G191,Inputs!$A$13:$A$15,0)),0)+IFERROR(INDEX(Inputs!$B$18:$B$24,MATCH(H191,Inputs!$A$18:$A$24,0)),0))</f>
        <v>0.09</v>
      </c>
      <c r="AY191" s="28" t="n">
        <f aca="false">IF(OR(N(AX191)&lt;=0,N(AW191)=0,N(AV191)=0),"",MIN(AV191,AW191/AX191))</f>
        <v>22.2222222222222</v>
      </c>
      <c r="AZ191" s="29" t="n">
        <f aca="false">IF(OR(AY191="",N(O191)=0),"",AY191/O191-1)</f>
        <v>-0.0959226109754995</v>
      </c>
      <c r="BA191" s="29" t="n">
        <f aca="false">IF(OR(AZ191="",N(O191)=0),"",AZ191+AW191/O191)</f>
        <v>-0.0145556459632944</v>
      </c>
      <c r="BB191" s="32" t="n">
        <f aca="false">IF(OR(BA191="",N(AR191)=0),"",BA191-AR191)</f>
        <v>0</v>
      </c>
      <c r="BC191" s="35" t="n">
        <f aca="false">IF(OR(BA191="",N(U191)=0),"",BA191-U191)</f>
        <v>-0.113009673628062</v>
      </c>
      <c r="BD191" s="37"/>
    </row>
    <row r="192" customFormat="false" ht="15" hidden="false" customHeight="false" outlineLevel="0" collapsed="false">
      <c r="A192" s="2" t="s">
        <v>140</v>
      </c>
      <c r="B192" s="2" t="n">
        <v>376</v>
      </c>
      <c r="C192" s="2" t="s">
        <v>482</v>
      </c>
      <c r="D192" s="2" t="s">
        <v>479</v>
      </c>
      <c r="E192" s="2" t="s">
        <v>480</v>
      </c>
      <c r="F192" s="27" t="n">
        <v>969</v>
      </c>
      <c r="G192" s="2" t="s">
        <v>51</v>
      </c>
      <c r="H192" s="2" t="s">
        <v>59</v>
      </c>
      <c r="I192" s="2" t="s">
        <v>144</v>
      </c>
      <c r="J192" s="2" t="s">
        <v>145</v>
      </c>
      <c r="K192" s="2" t="n">
        <v>4</v>
      </c>
      <c r="L192" s="28" t="n">
        <v>25</v>
      </c>
      <c r="M192" s="29" t="n">
        <v>0.0775</v>
      </c>
      <c r="N192" s="28" t="n">
        <v>1.9375</v>
      </c>
      <c r="O192" s="28" t="n">
        <v>23.5</v>
      </c>
      <c r="P192" s="2" t="s">
        <v>146</v>
      </c>
      <c r="Q192" s="29" t="n">
        <v>0.08</v>
      </c>
      <c r="R192" s="30" t="n">
        <v>0.08</v>
      </c>
      <c r="S192" s="31" t="n">
        <v>24.21875</v>
      </c>
      <c r="T192" s="30" t="n">
        <v>0.0305851063829787</v>
      </c>
      <c r="U192" s="30" t="n">
        <v>0.113031914893617</v>
      </c>
      <c r="V192" s="29" t="n">
        <v>0</v>
      </c>
      <c r="W192" s="29" t="n">
        <f aca="false">IF(N(Q192)=0,"",Q192+IF(I192="yes",Q192*Inputs!$B$10*Inputs!$B$9,0)+V192)</f>
        <v>0.08</v>
      </c>
      <c r="X192" s="28" t="n">
        <f aca="false">IF(OR(N(W192)&lt;=0,N(N192)=0,N(L192)=0),"",MIN(L192,N192/W192))</f>
        <v>24.21875</v>
      </c>
      <c r="Y192" s="29" t="n">
        <f aca="false">IF(OR(X192="",N(O192)=0),"",X192/O192-1)</f>
        <v>0.0305851063829787</v>
      </c>
      <c r="Z192" s="29" t="n">
        <f aca="false">IF(OR(Y192="",N(O192)=0),"",Y192+N192/O192)</f>
        <v>0.113031914893617</v>
      </c>
      <c r="AA192" s="32" t="n">
        <f aca="false">IF(OR(Z192="",N(U192)=0),"",Z192-U192)</f>
        <v>0</v>
      </c>
      <c r="AB192" s="29" t="n">
        <f aca="false">IF(N(Q192)=0,"",Q192+IF(I192="yes",Q192*Inputs!$B$10*Inputs!$B$9,0)+IFERROR(INDEX(Inputs!$B$13:$B$15,MATCH(G192,Inputs!$A$13:$A$15,0)),0)+IFERROR(INDEX(Inputs!$B$18:$B$24,MATCH(H192,Inputs!$A$18:$A$24,0)),0))</f>
        <v>0.08</v>
      </c>
      <c r="AC192" s="28" t="n">
        <f aca="false">IF(OR(N(AB192)&lt;=0,N(N192)=0,N(L192)=0),"",MIN(L192,N192/AB192))</f>
        <v>24.21875</v>
      </c>
      <c r="AD192" s="29" t="n">
        <f aca="false">IF(OR(AC192="",N(O192)=0),"",AC192/O192-1)</f>
        <v>0.0305851063829787</v>
      </c>
      <c r="AE192" s="29" t="n">
        <f aca="false">IF(OR(AD192="",N(O192)=0),"",AD192+N192/O192)</f>
        <v>0.113031914893617</v>
      </c>
      <c r="AF192" s="32" t="n">
        <f aca="false">IF(OR(AE192="",N(Z192)=0),"",AE192-Z192)</f>
        <v>0</v>
      </c>
      <c r="AG192" s="28" t="n">
        <f aca="false">IF(AND(N(M192)&gt;0,N(L192)&gt;0),M192*L192,N192)</f>
        <v>1.9375</v>
      </c>
      <c r="AH192" s="28" t="n">
        <f aca="false">IF(OR(N(AB192)&lt;=0,N(AG192)=0,N(L192)=0),"",MIN(L192,AG192/AB192))</f>
        <v>24.21875</v>
      </c>
      <c r="AI192" s="29" t="n">
        <f aca="false">IF(OR(AH192="",N(O192)=0),"",AH192/O192-1)</f>
        <v>0.0305851063829787</v>
      </c>
      <c r="AJ192" s="29" t="n">
        <f aca="false">IF(OR(AI192="",N(O192)=0),"",AI192+AG192/O192)</f>
        <v>0.113031914893617</v>
      </c>
      <c r="AK192" s="32" t="n">
        <f aca="false">IF(OR(AJ192="",N(AE192)=0),"",AJ192-AE192)</f>
        <v>0</v>
      </c>
      <c r="AL192" s="33" t="n">
        <f aca="false">IF(N(F192)=0,"",INDEX(Inputs!$B$28:$B$32,IFERROR(MATCH(F192,Inputs!$A$28:$A$32,1),0)+1))</f>
        <v>0.09</v>
      </c>
      <c r="AM192" s="34"/>
      <c r="AN192" s="33" t="n">
        <f aca="false">IF(N(AM192)&gt;0,AM192,AL192)</f>
        <v>0.09</v>
      </c>
      <c r="AO192" s="29" t="n">
        <f aca="false">IF(N(AN192)=0,"",AN192+IF(I192="yes",AN192*Inputs!$B$10*Inputs!$B$9,0)+IFERROR(INDEX(Inputs!$B$13:$B$15,MATCH(G192,Inputs!$A$13:$A$15,0)),0)+IFERROR(INDEX(Inputs!$B$18:$B$24,MATCH(H192,Inputs!$A$18:$A$24,0)),0))</f>
        <v>0.09</v>
      </c>
      <c r="AP192" s="28" t="n">
        <f aca="false">IF(OR(N(AO192)&lt;=0,N(AG192)=0,N(L192)=0),"",MIN(L192,AG192/AO192))</f>
        <v>21.5277777777778</v>
      </c>
      <c r="AQ192" s="29" t="n">
        <f aca="false">IF(OR(AP192="",N(O192)=0),"",AP192/O192-1)</f>
        <v>-0.0839243498817966</v>
      </c>
      <c r="AR192" s="29" t="n">
        <f aca="false">IF(OR(AQ192="",N(O192)=0),"",AQ192+AG192/O192)</f>
        <v>-0.00147754137115835</v>
      </c>
      <c r="AS192" s="32" t="n">
        <f aca="false">IF(OR(AR192="",N(AJ192)=0),"",AR192-AJ192)</f>
        <v>-0.114509456264775</v>
      </c>
      <c r="AT192" s="28" t="n">
        <v>25</v>
      </c>
      <c r="AU192" s="28" t="n">
        <v>1.94</v>
      </c>
      <c r="AV192" s="28" t="n">
        <f aca="false">IF(N(AT192)&gt;0,AT192,L192)</f>
        <v>25</v>
      </c>
      <c r="AW192" s="28" t="n">
        <f aca="false">IF(AND(N(M192)&gt;0,N(AV192)&gt;0),M192*AV192,IF(N(AU192)&gt;0,AU192,N192))</f>
        <v>1.9375</v>
      </c>
      <c r="AX192" s="29" t="n">
        <f aca="false">IF(N(AN192)=0,"",AN192+IF(I192="yes",AN192*Inputs!$B$10*Inputs!$B$9,0)+IFERROR(INDEX(Inputs!$B$13:$B$15,MATCH(G192,Inputs!$A$13:$A$15,0)),0)+IFERROR(INDEX(Inputs!$B$18:$B$24,MATCH(H192,Inputs!$A$18:$A$24,0)),0))</f>
        <v>0.09</v>
      </c>
      <c r="AY192" s="28" t="n">
        <f aca="false">IF(OR(N(AX192)&lt;=0,N(AW192)=0,N(AV192)=0),"",MIN(AV192,AW192/AX192))</f>
        <v>21.5277777777778</v>
      </c>
      <c r="AZ192" s="29" t="n">
        <f aca="false">IF(OR(AY192="",N(O192)=0),"",AY192/O192-1)</f>
        <v>-0.0839243498817966</v>
      </c>
      <c r="BA192" s="29" t="n">
        <f aca="false">IF(OR(AZ192="",N(O192)=0),"",AZ192+AW192/O192)</f>
        <v>-0.00147754137115835</v>
      </c>
      <c r="BB192" s="32" t="n">
        <f aca="false">IF(OR(BA192="",N(AR192)=0),"",BA192-AR192)</f>
        <v>0</v>
      </c>
      <c r="BC192" s="35" t="n">
        <f aca="false">IF(OR(BA192="",N(U192)=0),"",BA192-U192)</f>
        <v>-0.114509456264775</v>
      </c>
      <c r="BD192" s="37"/>
    </row>
    <row r="193" customFormat="false" ht="15" hidden="false" customHeight="false" outlineLevel="0" collapsed="false">
      <c r="A193" s="2" t="s">
        <v>140</v>
      </c>
      <c r="B193" s="2" t="n">
        <v>377</v>
      </c>
      <c r="C193" s="2" t="s">
        <v>483</v>
      </c>
      <c r="D193" s="2" t="s">
        <v>479</v>
      </c>
      <c r="E193" s="2" t="s">
        <v>480</v>
      </c>
      <c r="F193" s="27" t="n">
        <v>969</v>
      </c>
      <c r="G193" s="2" t="s">
        <v>51</v>
      </c>
      <c r="H193" s="2" t="s">
        <v>59</v>
      </c>
      <c r="I193" s="2" t="s">
        <v>144</v>
      </c>
      <c r="J193" s="2" t="s">
        <v>145</v>
      </c>
      <c r="K193" s="2" t="n">
        <v>4</v>
      </c>
      <c r="L193" s="28" t="n">
        <v>25</v>
      </c>
      <c r="M193" s="29" t="n">
        <v>0.08</v>
      </c>
      <c r="N193" s="28" t="n">
        <v>2</v>
      </c>
      <c r="O193" s="28" t="n">
        <v>24.6</v>
      </c>
      <c r="P193" s="2" t="s">
        <v>146</v>
      </c>
      <c r="Q193" s="29" t="n">
        <v>0.08</v>
      </c>
      <c r="R193" s="30" t="n">
        <v>0.08</v>
      </c>
      <c r="S193" s="31" t="n">
        <v>25</v>
      </c>
      <c r="T193" s="30" t="n">
        <v>0.0162601626016259</v>
      </c>
      <c r="U193" s="30" t="n">
        <v>0.097560975609756</v>
      </c>
      <c r="V193" s="29" t="n">
        <v>0</v>
      </c>
      <c r="W193" s="29" t="n">
        <f aca="false">IF(N(Q193)=0,"",Q193+IF(I193="yes",Q193*Inputs!$B$10*Inputs!$B$9,0)+V193)</f>
        <v>0.08</v>
      </c>
      <c r="X193" s="28" t="n">
        <f aca="false">IF(OR(N(W193)&lt;=0,N(N193)=0,N(L193)=0),"",MIN(L193,N193/W193))</f>
        <v>25</v>
      </c>
      <c r="Y193" s="29" t="n">
        <f aca="false">IF(OR(X193="",N(O193)=0),"",X193/O193-1)</f>
        <v>0.0162601626016259</v>
      </c>
      <c r="Z193" s="29" t="n">
        <f aca="false">IF(OR(Y193="",N(O193)=0),"",Y193+N193/O193)</f>
        <v>0.097560975609756</v>
      </c>
      <c r="AA193" s="32" t="n">
        <f aca="false">IF(OR(Z193="",N(U193)=0),"",Z193-U193)</f>
        <v>0</v>
      </c>
      <c r="AB193" s="29" t="n">
        <f aca="false">IF(N(Q193)=0,"",Q193+IF(I193="yes",Q193*Inputs!$B$10*Inputs!$B$9,0)+IFERROR(INDEX(Inputs!$B$13:$B$15,MATCH(G193,Inputs!$A$13:$A$15,0)),0)+IFERROR(INDEX(Inputs!$B$18:$B$24,MATCH(H193,Inputs!$A$18:$A$24,0)),0))</f>
        <v>0.08</v>
      </c>
      <c r="AC193" s="28" t="n">
        <f aca="false">IF(OR(N(AB193)&lt;=0,N(N193)=0,N(L193)=0),"",MIN(L193,N193/AB193))</f>
        <v>25</v>
      </c>
      <c r="AD193" s="29" t="n">
        <f aca="false">IF(OR(AC193="",N(O193)=0),"",AC193/O193-1)</f>
        <v>0.0162601626016259</v>
      </c>
      <c r="AE193" s="29" t="n">
        <f aca="false">IF(OR(AD193="",N(O193)=0),"",AD193+N193/O193)</f>
        <v>0.097560975609756</v>
      </c>
      <c r="AF193" s="32" t="n">
        <f aca="false">IF(OR(AE193="",N(Z193)=0),"",AE193-Z193)</f>
        <v>0</v>
      </c>
      <c r="AG193" s="28" t="n">
        <f aca="false">IF(AND(N(M193)&gt;0,N(L193)&gt;0),M193*L193,N193)</f>
        <v>2</v>
      </c>
      <c r="AH193" s="28" t="n">
        <f aca="false">IF(OR(N(AB193)&lt;=0,N(AG193)=0,N(L193)=0),"",MIN(L193,AG193/AB193))</f>
        <v>25</v>
      </c>
      <c r="AI193" s="29" t="n">
        <f aca="false">IF(OR(AH193="",N(O193)=0),"",AH193/O193-1)</f>
        <v>0.0162601626016259</v>
      </c>
      <c r="AJ193" s="29" t="n">
        <f aca="false">IF(OR(AI193="",N(O193)=0),"",AI193+AG193/O193)</f>
        <v>0.097560975609756</v>
      </c>
      <c r="AK193" s="32" t="n">
        <f aca="false">IF(OR(AJ193="",N(AE193)=0),"",AJ193-AE193)</f>
        <v>0</v>
      </c>
      <c r="AL193" s="33" t="n">
        <f aca="false">IF(N(F193)=0,"",INDEX(Inputs!$B$28:$B$32,IFERROR(MATCH(F193,Inputs!$A$28:$A$32,1),0)+1))</f>
        <v>0.09</v>
      </c>
      <c r="AM193" s="34"/>
      <c r="AN193" s="33" t="n">
        <f aca="false">IF(N(AM193)&gt;0,AM193,AL193)</f>
        <v>0.09</v>
      </c>
      <c r="AO193" s="29" t="n">
        <f aca="false">IF(N(AN193)=0,"",AN193+IF(I193="yes",AN193*Inputs!$B$10*Inputs!$B$9,0)+IFERROR(INDEX(Inputs!$B$13:$B$15,MATCH(G193,Inputs!$A$13:$A$15,0)),0)+IFERROR(INDEX(Inputs!$B$18:$B$24,MATCH(H193,Inputs!$A$18:$A$24,0)),0))</f>
        <v>0.09</v>
      </c>
      <c r="AP193" s="28" t="n">
        <f aca="false">IF(OR(N(AO193)&lt;=0,N(AG193)=0,N(L193)=0),"",MIN(L193,AG193/AO193))</f>
        <v>22.2222222222222</v>
      </c>
      <c r="AQ193" s="29" t="n">
        <f aca="false">IF(OR(AP193="",N(O193)=0),"",AP193/O193-1)</f>
        <v>-0.0966576332429991</v>
      </c>
      <c r="AR193" s="29" t="n">
        <f aca="false">IF(OR(AQ193="",N(O193)=0),"",AQ193+AG193/O193)</f>
        <v>-0.0153568202348691</v>
      </c>
      <c r="AS193" s="32" t="n">
        <f aca="false">IF(OR(AR193="",N(AJ193)=0),"",AR193-AJ193)</f>
        <v>-0.112917795844625</v>
      </c>
      <c r="AT193" s="28" t="n">
        <v>25</v>
      </c>
      <c r="AU193" s="28" t="n">
        <v>2</v>
      </c>
      <c r="AV193" s="28" t="n">
        <f aca="false">IF(N(AT193)&gt;0,AT193,L193)</f>
        <v>25</v>
      </c>
      <c r="AW193" s="28" t="n">
        <f aca="false">IF(AND(N(M193)&gt;0,N(AV193)&gt;0),M193*AV193,IF(N(AU193)&gt;0,AU193,N193))</f>
        <v>2</v>
      </c>
      <c r="AX193" s="29" t="n">
        <f aca="false">IF(N(AN193)=0,"",AN193+IF(I193="yes",AN193*Inputs!$B$10*Inputs!$B$9,0)+IFERROR(INDEX(Inputs!$B$13:$B$15,MATCH(G193,Inputs!$A$13:$A$15,0)),0)+IFERROR(INDEX(Inputs!$B$18:$B$24,MATCH(H193,Inputs!$A$18:$A$24,0)),0))</f>
        <v>0.09</v>
      </c>
      <c r="AY193" s="28" t="n">
        <f aca="false">IF(OR(N(AX193)&lt;=0,N(AW193)=0,N(AV193)=0),"",MIN(AV193,AW193/AX193))</f>
        <v>22.2222222222222</v>
      </c>
      <c r="AZ193" s="29" t="n">
        <f aca="false">IF(OR(AY193="",N(O193)=0),"",AY193/O193-1)</f>
        <v>-0.0966576332429991</v>
      </c>
      <c r="BA193" s="29" t="n">
        <f aca="false">IF(OR(AZ193="",N(O193)=0),"",AZ193+AW193/O193)</f>
        <v>-0.0153568202348691</v>
      </c>
      <c r="BB193" s="32" t="n">
        <f aca="false">IF(OR(BA193="",N(AR193)=0),"",BA193-AR193)</f>
        <v>0</v>
      </c>
      <c r="BC193" s="35" t="n">
        <f aca="false">IF(OR(BA193="",N(U193)=0),"",BA193-U193)</f>
        <v>-0.112917795844625</v>
      </c>
      <c r="BD193" s="37"/>
    </row>
    <row r="194" customFormat="false" ht="15" hidden="false" customHeight="false" outlineLevel="0" collapsed="false">
      <c r="A194" s="2" t="s">
        <v>140</v>
      </c>
      <c r="B194" s="2" t="n">
        <v>380</v>
      </c>
      <c r="C194" s="2" t="s">
        <v>484</v>
      </c>
      <c r="D194" s="2" t="s">
        <v>485</v>
      </c>
      <c r="E194" s="2" t="s">
        <v>143</v>
      </c>
      <c r="F194" s="27"/>
      <c r="G194" s="2" t="s">
        <v>51</v>
      </c>
      <c r="H194" s="2" t="s">
        <v>58</v>
      </c>
      <c r="I194" s="2" t="s">
        <v>144</v>
      </c>
      <c r="J194" s="2" t="s">
        <v>145</v>
      </c>
      <c r="K194" s="2" t="n">
        <v>4</v>
      </c>
      <c r="L194" s="28" t="n">
        <v>25</v>
      </c>
      <c r="M194" s="29" t="n">
        <v>0.06625</v>
      </c>
      <c r="N194" s="28" t="n">
        <v>1.65625</v>
      </c>
      <c r="O194" s="28" t="n">
        <v>0</v>
      </c>
      <c r="P194" s="2" t="s">
        <v>146</v>
      </c>
      <c r="Q194" s="29" t="n">
        <v>0.08</v>
      </c>
      <c r="R194" s="30" t="n">
        <v>0.08</v>
      </c>
      <c r="S194" s="31" t="n">
        <v>20.703125</v>
      </c>
      <c r="T194" s="30"/>
      <c r="U194" s="30"/>
      <c r="V194" s="29" t="n">
        <v>0</v>
      </c>
      <c r="W194" s="29" t="n">
        <f aca="false">IF(N(Q194)=0,"",Q194+IF(I194="yes",Q194*Inputs!$B$10*Inputs!$B$9,0)+V194)</f>
        <v>0.08</v>
      </c>
      <c r="X194" s="28" t="n">
        <f aca="false">IF(OR(N(W194)&lt;=0,N(N194)=0,N(L194)=0),"",MIN(L194,N194/W194))</f>
        <v>20.703125</v>
      </c>
      <c r="Y194" s="29" t="str">
        <f aca="false">IF(OR(X194="",N(O194)=0),"",X194/O194-1)</f>
        <v/>
      </c>
      <c r="Z194" s="29" t="str">
        <f aca="false">IF(OR(Y194="",N(O194)=0),"",Y194+N194/O194)</f>
        <v/>
      </c>
      <c r="AA194" s="32" t="str">
        <f aca="false">IF(OR(Z194="",N(U194)=0),"",Z194-U194)</f>
        <v/>
      </c>
      <c r="AB194" s="29" t="n">
        <f aca="false">IF(N(Q194)=0,"",Q194+IF(I194="yes",Q194*Inputs!$B$10*Inputs!$B$9,0)+IFERROR(INDEX(Inputs!$B$13:$B$15,MATCH(G194,Inputs!$A$13:$A$15,0)),0)+IFERROR(INDEX(Inputs!$B$18:$B$24,MATCH(H194,Inputs!$A$18:$A$24,0)),0))</f>
        <v>0.08</v>
      </c>
      <c r="AC194" s="28" t="n">
        <f aca="false">IF(OR(N(AB194)&lt;=0,N(N194)=0,N(L194)=0),"",MIN(L194,N194/AB194))</f>
        <v>20.703125</v>
      </c>
      <c r="AD194" s="29" t="str">
        <f aca="false">IF(OR(AC194="",N(O194)=0),"",AC194/O194-1)</f>
        <v/>
      </c>
      <c r="AE194" s="29" t="str">
        <f aca="false">IF(OR(AD194="",N(O194)=0),"",AD194+N194/O194)</f>
        <v/>
      </c>
      <c r="AF194" s="32" t="str">
        <f aca="false">IF(OR(AE194="",N(Z194)=0),"",AE194-Z194)</f>
        <v/>
      </c>
      <c r="AG194" s="28" t="n">
        <f aca="false">IF(AND(N(M194)&gt;0,N(L194)&gt;0),M194*L194,N194)</f>
        <v>1.65625</v>
      </c>
      <c r="AH194" s="28" t="n">
        <f aca="false">IF(OR(N(AB194)&lt;=0,N(AG194)=0,N(L194)=0),"",MIN(L194,AG194/AB194))</f>
        <v>20.703125</v>
      </c>
      <c r="AI194" s="29" t="str">
        <f aca="false">IF(OR(AH194="",N(O194)=0),"",AH194/O194-1)</f>
        <v/>
      </c>
      <c r="AJ194" s="29" t="str">
        <f aca="false">IF(OR(AI194="",N(O194)=0),"",AI194+AG194/O194)</f>
        <v/>
      </c>
      <c r="AK194" s="32" t="str">
        <f aca="false">IF(OR(AJ194="",N(AE194)=0),"",AJ194-AE194)</f>
        <v/>
      </c>
      <c r="AL194" s="33" t="str">
        <f aca="false">IF(N(F194)=0,"",INDEX(Inputs!$B$28:$B$32,IFERROR(MATCH(F194,Inputs!$A$28:$A$32,1),0)+1))</f>
        <v/>
      </c>
      <c r="AM194" s="34"/>
      <c r="AN194" s="33" t="str">
        <f aca="false">IF(N(AM194)&gt;0,AM194,AL194)</f>
        <v/>
      </c>
      <c r="AO194" s="29" t="str">
        <f aca="false">IF(N(AN194)=0,"",AN194+IF(I194="yes",AN194*Inputs!$B$10*Inputs!$B$9,0)+IFERROR(INDEX(Inputs!$B$13:$B$15,MATCH(G194,Inputs!$A$13:$A$15,0)),0)+IFERROR(INDEX(Inputs!$B$18:$B$24,MATCH(H194,Inputs!$A$18:$A$24,0)),0))</f>
        <v/>
      </c>
      <c r="AP194" s="28" t="str">
        <f aca="false">IF(OR(N(AO194)&lt;=0,N(AG194)=0,N(L194)=0),"",MIN(L194,AG194/AO194))</f>
        <v/>
      </c>
      <c r="AQ194" s="29" t="str">
        <f aca="false">IF(OR(AP194="",N(O194)=0),"",AP194/O194-1)</f>
        <v/>
      </c>
      <c r="AR194" s="29" t="str">
        <f aca="false">IF(OR(AQ194="",N(O194)=0),"",AQ194+AG194/O194)</f>
        <v/>
      </c>
      <c r="AS194" s="32" t="str">
        <f aca="false">IF(OR(AR194="",N(AJ194)=0),"",AR194-AJ194)</f>
        <v/>
      </c>
      <c r="AT194" s="28"/>
      <c r="AU194" s="28"/>
      <c r="AV194" s="28" t="n">
        <f aca="false">IF(N(AT194)&gt;0,AT194,L194)</f>
        <v>25</v>
      </c>
      <c r="AW194" s="28" t="n">
        <f aca="false">IF(AND(N(M194)&gt;0,N(AV194)&gt;0),M194*AV194,IF(N(AU194)&gt;0,AU194,N194))</f>
        <v>1.65625</v>
      </c>
      <c r="AX194" s="29" t="str">
        <f aca="false">IF(N(AN194)=0,"",AN194+IF(I194="yes",AN194*Inputs!$B$10*Inputs!$B$9,0)+IFERROR(INDEX(Inputs!$B$13:$B$15,MATCH(G194,Inputs!$A$13:$A$15,0)),0)+IFERROR(INDEX(Inputs!$B$18:$B$24,MATCH(H194,Inputs!$A$18:$A$24,0)),0))</f>
        <v/>
      </c>
      <c r="AY194" s="28" t="str">
        <f aca="false">IF(OR(N(AX194)&lt;=0,N(AW194)=0,N(AV194)=0),"",MIN(AV194,AW194/AX194))</f>
        <v/>
      </c>
      <c r="AZ194" s="29" t="str">
        <f aca="false">IF(OR(AY194="",N(O194)=0),"",AY194/O194-1)</f>
        <v/>
      </c>
      <c r="BA194" s="29" t="str">
        <f aca="false">IF(OR(AZ194="",N(O194)=0),"",AZ194+AW194/O194)</f>
        <v/>
      </c>
      <c r="BB194" s="32" t="str">
        <f aca="false">IF(OR(BA194="",N(AR194)=0),"",BA194-AR194)</f>
        <v/>
      </c>
      <c r="BC194" s="35" t="str">
        <f aca="false">IF(OR(BA194="",N(U194)=0),"",BA194-U194)</f>
        <v/>
      </c>
      <c r="BD194" s="36" t="s">
        <v>198</v>
      </c>
    </row>
    <row r="195" customFormat="false" ht="15" hidden="false" customHeight="false" outlineLevel="0" collapsed="false">
      <c r="A195" s="2" t="s">
        <v>140</v>
      </c>
      <c r="B195" s="2" t="n">
        <v>384</v>
      </c>
      <c r="C195" s="2" t="s">
        <v>486</v>
      </c>
      <c r="D195" s="2" t="s">
        <v>487</v>
      </c>
      <c r="E195" s="2" t="s">
        <v>488</v>
      </c>
      <c r="F195" s="27" t="n">
        <v>623</v>
      </c>
      <c r="G195" s="2" t="s">
        <v>51</v>
      </c>
      <c r="H195" s="2" t="s">
        <v>58</v>
      </c>
      <c r="I195" s="2" t="s">
        <v>144</v>
      </c>
      <c r="J195" s="2" t="s">
        <v>145</v>
      </c>
      <c r="K195" s="2" t="n">
        <v>4</v>
      </c>
      <c r="L195" s="28" t="n">
        <v>25</v>
      </c>
      <c r="M195" s="29" t="n">
        <v>0.06625</v>
      </c>
      <c r="N195" s="28" t="n">
        <v>1.65625</v>
      </c>
      <c r="O195" s="28" t="n">
        <v>20.06</v>
      </c>
      <c r="P195" s="2" t="s">
        <v>146</v>
      </c>
      <c r="Q195" s="29" t="n">
        <v>0.08</v>
      </c>
      <c r="R195" s="30" t="n">
        <v>0.08</v>
      </c>
      <c r="S195" s="31" t="n">
        <v>20.703125</v>
      </c>
      <c r="T195" s="30" t="n">
        <v>0.0320600697906281</v>
      </c>
      <c r="U195" s="30" t="n">
        <v>0.114624875373878</v>
      </c>
      <c r="V195" s="29" t="n">
        <v>0</v>
      </c>
      <c r="W195" s="29" t="n">
        <f aca="false">IF(N(Q195)=0,"",Q195+IF(I195="yes",Q195*Inputs!$B$10*Inputs!$B$9,0)+V195)</f>
        <v>0.08</v>
      </c>
      <c r="X195" s="28" t="n">
        <f aca="false">IF(OR(N(W195)&lt;=0,N(N195)=0,N(L195)=0),"",MIN(L195,N195/W195))</f>
        <v>20.703125</v>
      </c>
      <c r="Y195" s="29" t="n">
        <f aca="false">IF(OR(X195="",N(O195)=0),"",X195/O195-1)</f>
        <v>0.0320600697906281</v>
      </c>
      <c r="Z195" s="29" t="n">
        <f aca="false">IF(OR(Y195="",N(O195)=0),"",Y195+N195/O195)</f>
        <v>0.114624875373878</v>
      </c>
      <c r="AA195" s="32" t="n">
        <f aca="false">IF(OR(Z195="",N(U195)=0),"",Z195-U195)</f>
        <v>0</v>
      </c>
      <c r="AB195" s="29" t="n">
        <f aca="false">IF(N(Q195)=0,"",Q195+IF(I195="yes",Q195*Inputs!$B$10*Inputs!$B$9,0)+IFERROR(INDEX(Inputs!$B$13:$B$15,MATCH(G195,Inputs!$A$13:$A$15,0)),0)+IFERROR(INDEX(Inputs!$B$18:$B$24,MATCH(H195,Inputs!$A$18:$A$24,0)),0))</f>
        <v>0.08</v>
      </c>
      <c r="AC195" s="28" t="n">
        <f aca="false">IF(OR(N(AB195)&lt;=0,N(N195)=0,N(L195)=0),"",MIN(L195,N195/AB195))</f>
        <v>20.703125</v>
      </c>
      <c r="AD195" s="29" t="n">
        <f aca="false">IF(OR(AC195="",N(O195)=0),"",AC195/O195-1)</f>
        <v>0.0320600697906281</v>
      </c>
      <c r="AE195" s="29" t="n">
        <f aca="false">IF(OR(AD195="",N(O195)=0),"",AD195+N195/O195)</f>
        <v>0.114624875373878</v>
      </c>
      <c r="AF195" s="32" t="n">
        <f aca="false">IF(OR(AE195="",N(Z195)=0),"",AE195-Z195)</f>
        <v>0</v>
      </c>
      <c r="AG195" s="28" t="n">
        <f aca="false">IF(AND(N(M195)&gt;0,N(L195)&gt;0),M195*L195,N195)</f>
        <v>1.65625</v>
      </c>
      <c r="AH195" s="28" t="n">
        <f aca="false">IF(OR(N(AB195)&lt;=0,N(AG195)=0,N(L195)=0),"",MIN(L195,AG195/AB195))</f>
        <v>20.703125</v>
      </c>
      <c r="AI195" s="29" t="n">
        <f aca="false">IF(OR(AH195="",N(O195)=0),"",AH195/O195-1)</f>
        <v>0.0320600697906281</v>
      </c>
      <c r="AJ195" s="29" t="n">
        <f aca="false">IF(OR(AI195="",N(O195)=0),"",AI195+AG195/O195)</f>
        <v>0.114624875373878</v>
      </c>
      <c r="AK195" s="32" t="n">
        <f aca="false">IF(OR(AJ195="",N(AE195)=0),"",AJ195-AE195)</f>
        <v>0</v>
      </c>
      <c r="AL195" s="33" t="n">
        <f aca="false">IF(N(F195)=0,"",INDEX(Inputs!$B$28:$B$32,IFERROR(MATCH(F195,Inputs!$A$28:$A$32,1),0)+1))</f>
        <v>0.09</v>
      </c>
      <c r="AM195" s="34"/>
      <c r="AN195" s="33" t="n">
        <f aca="false">IF(N(AM195)&gt;0,AM195,AL195)</f>
        <v>0.09</v>
      </c>
      <c r="AO195" s="29" t="n">
        <f aca="false">IF(N(AN195)=0,"",AN195+IF(I195="yes",AN195*Inputs!$B$10*Inputs!$B$9,0)+IFERROR(INDEX(Inputs!$B$13:$B$15,MATCH(G195,Inputs!$A$13:$A$15,0)),0)+IFERROR(INDEX(Inputs!$B$18:$B$24,MATCH(H195,Inputs!$A$18:$A$24,0)),0))</f>
        <v>0.09</v>
      </c>
      <c r="AP195" s="28" t="n">
        <f aca="false">IF(OR(N(AO195)&lt;=0,N(AG195)=0,N(L195)=0),"",MIN(L195,AG195/AO195))</f>
        <v>18.4027777777778</v>
      </c>
      <c r="AQ195" s="29" t="n">
        <f aca="false">IF(OR(AP195="",N(O195)=0),"",AP195/O195-1)</f>
        <v>-0.0826132712972194</v>
      </c>
      <c r="AR195" s="29" t="n">
        <f aca="false">IF(OR(AQ195="",N(O195)=0),"",AQ195+AG195/O195)</f>
        <v>-4.84657139691452E-005</v>
      </c>
      <c r="AS195" s="32" t="n">
        <f aca="false">IF(OR(AR195="",N(AJ195)=0),"",AR195-AJ195)</f>
        <v>-0.114673341087848</v>
      </c>
      <c r="AT195" s="28" t="n">
        <v>25</v>
      </c>
      <c r="AU195" s="28" t="n">
        <v>1.65625</v>
      </c>
      <c r="AV195" s="28" t="n">
        <f aca="false">IF(N(AT195)&gt;0,AT195,L195)</f>
        <v>25</v>
      </c>
      <c r="AW195" s="28" t="n">
        <f aca="false">IF(AND(N(M195)&gt;0,N(AV195)&gt;0),M195*AV195,IF(N(AU195)&gt;0,AU195,N195))</f>
        <v>1.65625</v>
      </c>
      <c r="AX195" s="29" t="n">
        <f aca="false">IF(N(AN195)=0,"",AN195+IF(I195="yes",AN195*Inputs!$B$10*Inputs!$B$9,0)+IFERROR(INDEX(Inputs!$B$13:$B$15,MATCH(G195,Inputs!$A$13:$A$15,0)),0)+IFERROR(INDEX(Inputs!$B$18:$B$24,MATCH(H195,Inputs!$A$18:$A$24,0)),0))</f>
        <v>0.09</v>
      </c>
      <c r="AY195" s="28" t="n">
        <f aca="false">IF(OR(N(AX195)&lt;=0,N(AW195)=0,N(AV195)=0),"",MIN(AV195,AW195/AX195))</f>
        <v>18.4027777777778</v>
      </c>
      <c r="AZ195" s="29" t="n">
        <f aca="false">IF(OR(AY195="",N(O195)=0),"",AY195/O195-1)</f>
        <v>-0.0826132712972194</v>
      </c>
      <c r="BA195" s="29" t="n">
        <f aca="false">IF(OR(AZ195="",N(O195)=0),"",AZ195+AW195/O195)</f>
        <v>-4.84657139691452E-005</v>
      </c>
      <c r="BB195" s="32" t="n">
        <f aca="false">IF(OR(BA195="",N(AR195)=0),"",BA195-AR195)</f>
        <v>0</v>
      </c>
      <c r="BC195" s="35" t="n">
        <f aca="false">IF(OR(BA195="",N(U195)=0),"",BA195-U195)</f>
        <v>-0.114673341087848</v>
      </c>
      <c r="BD195" s="37"/>
    </row>
    <row r="196" customFormat="false" ht="15" hidden="false" customHeight="false" outlineLevel="0" collapsed="false">
      <c r="A196" s="2" t="s">
        <v>140</v>
      </c>
      <c r="B196" s="2" t="n">
        <v>388</v>
      </c>
      <c r="C196" s="2" t="s">
        <v>489</v>
      </c>
      <c r="D196" s="2" t="s">
        <v>490</v>
      </c>
      <c r="E196" s="2" t="s">
        <v>491</v>
      </c>
      <c r="F196" s="27" t="n">
        <v>1300</v>
      </c>
      <c r="G196" s="2" t="s">
        <v>51</v>
      </c>
      <c r="H196" s="2" t="s">
        <v>64</v>
      </c>
      <c r="I196" s="2" t="s">
        <v>144</v>
      </c>
      <c r="J196" s="2" t="s">
        <v>145</v>
      </c>
      <c r="K196" s="2" t="n">
        <v>4</v>
      </c>
      <c r="L196" s="28" t="n">
        <v>100</v>
      </c>
      <c r="M196" s="29" t="n">
        <v>0.0525</v>
      </c>
      <c r="N196" s="28" t="n">
        <v>5.25</v>
      </c>
      <c r="O196" s="28" t="n">
        <v>0</v>
      </c>
      <c r="P196" s="2" t="s">
        <v>146</v>
      </c>
      <c r="Q196" s="29" t="n">
        <v>0.08</v>
      </c>
      <c r="R196" s="30" t="n">
        <v>0.08</v>
      </c>
      <c r="S196" s="31" t="n">
        <v>65.625</v>
      </c>
      <c r="T196" s="30"/>
      <c r="U196" s="30"/>
      <c r="V196" s="29" t="n">
        <v>0</v>
      </c>
      <c r="W196" s="29" t="n">
        <f aca="false">IF(N(Q196)=0,"",Q196+IF(I196="yes",Q196*Inputs!$B$10*Inputs!$B$9,0)+V196)</f>
        <v>0.08</v>
      </c>
      <c r="X196" s="28" t="n">
        <f aca="false">IF(OR(N(W196)&lt;=0,N(N196)=0,N(L196)=0),"",MIN(L196,N196/W196))</f>
        <v>65.625</v>
      </c>
      <c r="Y196" s="29" t="str">
        <f aca="false">IF(OR(X196="",N(O196)=0),"",X196/O196-1)</f>
        <v/>
      </c>
      <c r="Z196" s="29" t="str">
        <f aca="false">IF(OR(Y196="",N(O196)=0),"",Y196+N196/O196)</f>
        <v/>
      </c>
      <c r="AA196" s="32" t="str">
        <f aca="false">IF(OR(Z196="",N(U196)=0),"",Z196-U196)</f>
        <v/>
      </c>
      <c r="AB196" s="29" t="n">
        <f aca="false">IF(N(Q196)=0,"",Q196+IF(I196="yes",Q196*Inputs!$B$10*Inputs!$B$9,0)+IFERROR(INDEX(Inputs!$B$13:$B$15,MATCH(G196,Inputs!$A$13:$A$15,0)),0)+IFERROR(INDEX(Inputs!$B$18:$B$24,MATCH(H196,Inputs!$A$18:$A$24,0)),0))</f>
        <v>0.08</v>
      </c>
      <c r="AC196" s="28" t="n">
        <f aca="false">IF(OR(N(AB196)&lt;=0,N(N196)=0,N(L196)=0),"",MIN(L196,N196/AB196))</f>
        <v>65.625</v>
      </c>
      <c r="AD196" s="29" t="str">
        <f aca="false">IF(OR(AC196="",N(O196)=0),"",AC196/O196-1)</f>
        <v/>
      </c>
      <c r="AE196" s="29" t="str">
        <f aca="false">IF(OR(AD196="",N(O196)=0),"",AD196+N196/O196)</f>
        <v/>
      </c>
      <c r="AF196" s="32" t="str">
        <f aca="false">IF(OR(AE196="",N(Z196)=0),"",AE196-Z196)</f>
        <v/>
      </c>
      <c r="AG196" s="28" t="n">
        <f aca="false">IF(AND(N(M196)&gt;0,N(L196)&gt;0),M196*L196,N196)</f>
        <v>5.25</v>
      </c>
      <c r="AH196" s="28" t="n">
        <f aca="false">IF(OR(N(AB196)&lt;=0,N(AG196)=0,N(L196)=0),"",MIN(L196,AG196/AB196))</f>
        <v>65.625</v>
      </c>
      <c r="AI196" s="29" t="str">
        <f aca="false">IF(OR(AH196="",N(O196)=0),"",AH196/O196-1)</f>
        <v/>
      </c>
      <c r="AJ196" s="29" t="str">
        <f aca="false">IF(OR(AI196="",N(O196)=0),"",AI196+AG196/O196)</f>
        <v/>
      </c>
      <c r="AK196" s="32" t="str">
        <f aca="false">IF(OR(AJ196="",N(AE196)=0),"",AJ196-AE196)</f>
        <v/>
      </c>
      <c r="AL196" s="33" t="n">
        <f aca="false">IF(N(F196)=0,"",INDEX(Inputs!$B$28:$B$32,IFERROR(MATCH(F196,Inputs!$A$28:$A$32,1),0)+1))</f>
        <v>0.085</v>
      </c>
      <c r="AM196" s="34"/>
      <c r="AN196" s="33" t="n">
        <f aca="false">IF(N(AM196)&gt;0,AM196,AL196)</f>
        <v>0.085</v>
      </c>
      <c r="AO196" s="29" t="n">
        <f aca="false">IF(N(AN196)=0,"",AN196+IF(I196="yes",AN196*Inputs!$B$10*Inputs!$B$9,0)+IFERROR(INDEX(Inputs!$B$13:$B$15,MATCH(G196,Inputs!$A$13:$A$15,0)),0)+IFERROR(INDEX(Inputs!$B$18:$B$24,MATCH(H196,Inputs!$A$18:$A$24,0)),0))</f>
        <v>0.085</v>
      </c>
      <c r="AP196" s="28" t="n">
        <f aca="false">IF(OR(N(AO196)&lt;=0,N(AG196)=0,N(L196)=0),"",MIN(L196,AG196/AO196))</f>
        <v>61.7647058823529</v>
      </c>
      <c r="AQ196" s="29" t="str">
        <f aca="false">IF(OR(AP196="",N(O196)=0),"",AP196/O196-1)</f>
        <v/>
      </c>
      <c r="AR196" s="29" t="str">
        <f aca="false">IF(OR(AQ196="",N(O196)=0),"",AQ196+AG196/O196)</f>
        <v/>
      </c>
      <c r="AS196" s="32" t="str">
        <f aca="false">IF(OR(AR196="",N(AJ196)=0),"",AR196-AJ196)</f>
        <v/>
      </c>
      <c r="AT196" s="28"/>
      <c r="AU196" s="28"/>
      <c r="AV196" s="28" t="n">
        <f aca="false">IF(N(AT196)&gt;0,AT196,L196)</f>
        <v>100</v>
      </c>
      <c r="AW196" s="28" t="n">
        <f aca="false">IF(AND(N(M196)&gt;0,N(AV196)&gt;0),M196*AV196,IF(N(AU196)&gt;0,AU196,N196))</f>
        <v>5.25</v>
      </c>
      <c r="AX196" s="29" t="n">
        <f aca="false">IF(N(AN196)=0,"",AN196+IF(I196="yes",AN196*Inputs!$B$10*Inputs!$B$9,0)+IFERROR(INDEX(Inputs!$B$13:$B$15,MATCH(G196,Inputs!$A$13:$A$15,0)),0)+IFERROR(INDEX(Inputs!$B$18:$B$24,MATCH(H196,Inputs!$A$18:$A$24,0)),0))</f>
        <v>0.085</v>
      </c>
      <c r="AY196" s="28" t="n">
        <f aca="false">IF(OR(N(AX196)&lt;=0,N(AW196)=0,N(AV196)=0),"",MIN(AV196,AW196/AX196))</f>
        <v>61.7647058823529</v>
      </c>
      <c r="AZ196" s="29" t="str">
        <f aca="false">IF(OR(AY196="",N(O196)=0),"",AY196/O196-1)</f>
        <v/>
      </c>
      <c r="BA196" s="29" t="str">
        <f aca="false">IF(OR(AZ196="",N(O196)=0),"",AZ196+AW196/O196)</f>
        <v/>
      </c>
      <c r="BB196" s="32" t="str">
        <f aca="false">IF(OR(BA196="",N(AR196)=0),"",BA196-AR196)</f>
        <v/>
      </c>
      <c r="BC196" s="35" t="str">
        <f aca="false">IF(OR(BA196="",N(U196)=0),"",BA196-U196)</f>
        <v/>
      </c>
      <c r="BD196" s="36" t="s">
        <v>198</v>
      </c>
    </row>
    <row r="197" customFormat="false" ht="15" hidden="false" customHeight="false" outlineLevel="0" collapsed="false">
      <c r="A197" s="2" t="s">
        <v>140</v>
      </c>
      <c r="B197" s="2" t="n">
        <v>392</v>
      </c>
      <c r="C197" s="2" t="s">
        <v>492</v>
      </c>
      <c r="D197" s="2" t="s">
        <v>493</v>
      </c>
      <c r="E197" s="2" t="s">
        <v>494</v>
      </c>
      <c r="F197" s="27" t="n">
        <v>1800</v>
      </c>
      <c r="G197" s="2" t="s">
        <v>51</v>
      </c>
      <c r="H197" s="2" t="s">
        <v>58</v>
      </c>
      <c r="I197" s="2" t="s">
        <v>151</v>
      </c>
      <c r="J197" s="2" t="s">
        <v>145</v>
      </c>
      <c r="K197" s="2" t="n">
        <v>4</v>
      </c>
      <c r="L197" s="28" t="n">
        <v>25</v>
      </c>
      <c r="M197" s="29" t="n">
        <v>0.07625</v>
      </c>
      <c r="N197" s="28" t="n">
        <v>1.90625</v>
      </c>
      <c r="O197" s="28" t="n">
        <v>25.8</v>
      </c>
      <c r="P197" s="2" t="s">
        <v>146</v>
      </c>
      <c r="Q197" s="29" t="n">
        <v>0.08</v>
      </c>
      <c r="R197" s="30" t="n">
        <v>0.076</v>
      </c>
      <c r="S197" s="31" t="n">
        <v>25</v>
      </c>
      <c r="T197" s="30" t="n">
        <v>-0.0310077519379846</v>
      </c>
      <c r="U197" s="30" t="n">
        <v>0.0428779069767441</v>
      </c>
      <c r="V197" s="29" t="n">
        <v>0</v>
      </c>
      <c r="W197" s="29" t="n">
        <f aca="false">IF(N(Q197)=0,"",Q197+IF(I197="yes",Q197*Inputs!$B$10*Inputs!$B$9,0)+V197)</f>
        <v>0.076</v>
      </c>
      <c r="X197" s="28" t="n">
        <f aca="false">IF(OR(N(W197)&lt;=0,N(N197)=0,N(L197)=0),"",MIN(L197,N197/W197))</f>
        <v>25</v>
      </c>
      <c r="Y197" s="29" t="n">
        <f aca="false">IF(OR(X197="",N(O197)=0),"",X197/O197-1)</f>
        <v>-0.0310077519379846</v>
      </c>
      <c r="Z197" s="29" t="n">
        <f aca="false">IF(OR(Y197="",N(O197)=0),"",Y197+N197/O197)</f>
        <v>0.0428779069767441</v>
      </c>
      <c r="AA197" s="32" t="n">
        <f aca="false">IF(OR(Z197="",N(U197)=0),"",Z197-U197)</f>
        <v>0</v>
      </c>
      <c r="AB197" s="29" t="n">
        <f aca="false">IF(N(Q197)=0,"",Q197+IF(I197="yes",Q197*Inputs!$B$10*Inputs!$B$9,0)+IFERROR(INDEX(Inputs!$B$13:$B$15,MATCH(G197,Inputs!$A$13:$A$15,0)),0)+IFERROR(INDEX(Inputs!$B$18:$B$24,MATCH(H197,Inputs!$A$18:$A$24,0)),0))</f>
        <v>0.076</v>
      </c>
      <c r="AC197" s="28" t="n">
        <f aca="false">IF(OR(N(AB197)&lt;=0,N(N197)=0,N(L197)=0),"",MIN(L197,N197/AB197))</f>
        <v>25</v>
      </c>
      <c r="AD197" s="29" t="n">
        <f aca="false">IF(OR(AC197="",N(O197)=0),"",AC197/O197-1)</f>
        <v>-0.0310077519379846</v>
      </c>
      <c r="AE197" s="29" t="n">
        <f aca="false">IF(OR(AD197="",N(O197)=0),"",AD197+N197/O197)</f>
        <v>0.0428779069767441</v>
      </c>
      <c r="AF197" s="32" t="n">
        <f aca="false">IF(OR(AE197="",N(Z197)=0),"",AE197-Z197)</f>
        <v>0</v>
      </c>
      <c r="AG197" s="28" t="n">
        <f aca="false">IF(AND(N(M197)&gt;0,N(L197)&gt;0),M197*L197,N197)</f>
        <v>1.90625</v>
      </c>
      <c r="AH197" s="28" t="n">
        <f aca="false">IF(OR(N(AB197)&lt;=0,N(AG197)=0,N(L197)=0),"",MIN(L197,AG197/AB197))</f>
        <v>25</v>
      </c>
      <c r="AI197" s="29" t="n">
        <f aca="false">IF(OR(AH197="",N(O197)=0),"",AH197/O197-1)</f>
        <v>-0.0310077519379846</v>
      </c>
      <c r="AJ197" s="29" t="n">
        <f aca="false">IF(OR(AI197="",N(O197)=0),"",AI197+AG197/O197)</f>
        <v>0.0428779069767441</v>
      </c>
      <c r="AK197" s="32" t="n">
        <f aca="false">IF(OR(AJ197="",N(AE197)=0),"",AJ197-AE197)</f>
        <v>0</v>
      </c>
      <c r="AL197" s="33" t="n">
        <f aca="false">IF(N(F197)=0,"",INDEX(Inputs!$B$28:$B$32,IFERROR(MATCH(F197,Inputs!$A$28:$A$32,1),0)+1))</f>
        <v>0.085</v>
      </c>
      <c r="AM197" s="34"/>
      <c r="AN197" s="33" t="n">
        <f aca="false">IF(N(AM197)&gt;0,AM197,AL197)</f>
        <v>0.085</v>
      </c>
      <c r="AO197" s="29" t="n">
        <f aca="false">IF(N(AN197)=0,"",AN197+IF(I197="yes",AN197*Inputs!$B$10*Inputs!$B$9,0)+IFERROR(INDEX(Inputs!$B$13:$B$15,MATCH(G197,Inputs!$A$13:$A$15,0)),0)+IFERROR(INDEX(Inputs!$B$18:$B$24,MATCH(H197,Inputs!$A$18:$A$24,0)),0))</f>
        <v>0.08075</v>
      </c>
      <c r="AP197" s="28" t="n">
        <f aca="false">IF(OR(N(AO197)&lt;=0,N(AG197)=0,N(L197)=0),"",MIN(L197,AG197/AO197))</f>
        <v>23.6068111455108</v>
      </c>
      <c r="AQ197" s="29" t="n">
        <f aca="false">IF(OR(AP197="",N(O197)=0),"",AP197/O197-1)</f>
        <v>-0.0850073199414405</v>
      </c>
      <c r="AR197" s="29" t="n">
        <f aca="false">IF(OR(AQ197="",N(O197)=0),"",AQ197+AG197/O197)</f>
        <v>-0.0111216610267118</v>
      </c>
      <c r="AS197" s="32" t="n">
        <f aca="false">IF(OR(AR197="",N(AJ197)=0),"",AR197-AJ197)</f>
        <v>-0.053999568003456</v>
      </c>
      <c r="AT197" s="28" t="n">
        <v>25</v>
      </c>
      <c r="AU197" s="28" t="n">
        <v>1.91</v>
      </c>
      <c r="AV197" s="28" t="n">
        <f aca="false">IF(N(AT197)&gt;0,AT197,L197)</f>
        <v>25</v>
      </c>
      <c r="AW197" s="28" t="n">
        <f aca="false">IF(AND(N(M197)&gt;0,N(AV197)&gt;0),M197*AV197,IF(N(AU197)&gt;0,AU197,N197))</f>
        <v>1.90625</v>
      </c>
      <c r="AX197" s="29" t="n">
        <f aca="false">IF(N(AN197)=0,"",AN197+IF(I197="yes",AN197*Inputs!$B$10*Inputs!$B$9,0)+IFERROR(INDEX(Inputs!$B$13:$B$15,MATCH(G197,Inputs!$A$13:$A$15,0)),0)+IFERROR(INDEX(Inputs!$B$18:$B$24,MATCH(H197,Inputs!$A$18:$A$24,0)),0))</f>
        <v>0.08075</v>
      </c>
      <c r="AY197" s="28" t="n">
        <f aca="false">IF(OR(N(AX197)&lt;=0,N(AW197)=0,N(AV197)=0),"",MIN(AV197,AW197/AX197))</f>
        <v>23.6068111455108</v>
      </c>
      <c r="AZ197" s="29" t="n">
        <f aca="false">IF(OR(AY197="",N(O197)=0),"",AY197/O197-1)</f>
        <v>-0.0850073199414405</v>
      </c>
      <c r="BA197" s="29" t="n">
        <f aca="false">IF(OR(AZ197="",N(O197)=0),"",AZ197+AW197/O197)</f>
        <v>-0.0111216610267118</v>
      </c>
      <c r="BB197" s="32" t="n">
        <f aca="false">IF(OR(BA197="",N(AR197)=0),"",BA197-AR197)</f>
        <v>0</v>
      </c>
      <c r="BC197" s="35" t="n">
        <f aca="false">IF(OR(BA197="",N(U197)=0),"",BA197-U197)</f>
        <v>-0.053999568003456</v>
      </c>
      <c r="BD197" s="37"/>
    </row>
    <row r="198" customFormat="false" ht="15" hidden="false" customHeight="false" outlineLevel="0" collapsed="false">
      <c r="A198" s="2" t="s">
        <v>140</v>
      </c>
      <c r="B198" s="2" t="n">
        <v>393</v>
      </c>
      <c r="C198" s="2" t="s">
        <v>495</v>
      </c>
      <c r="D198" s="2" t="s">
        <v>493</v>
      </c>
      <c r="E198" s="2" t="s">
        <v>494</v>
      </c>
      <c r="F198" s="27" t="n">
        <v>1800</v>
      </c>
      <c r="G198" s="2" t="s">
        <v>51</v>
      </c>
      <c r="H198" s="2" t="s">
        <v>58</v>
      </c>
      <c r="I198" s="2" t="s">
        <v>151</v>
      </c>
      <c r="J198" s="2" t="s">
        <v>145</v>
      </c>
      <c r="K198" s="2" t="n">
        <v>4</v>
      </c>
      <c r="L198" s="28" t="n">
        <v>25</v>
      </c>
      <c r="M198" s="29" t="n">
        <v>0.085</v>
      </c>
      <c r="N198" s="28" t="n">
        <v>2.125</v>
      </c>
      <c r="O198" s="28" t="n">
        <v>26.71</v>
      </c>
      <c r="P198" s="2" t="s">
        <v>146</v>
      </c>
      <c r="Q198" s="29" t="n">
        <v>0.08</v>
      </c>
      <c r="R198" s="30" t="n">
        <v>0.076</v>
      </c>
      <c r="S198" s="31" t="n">
        <v>25</v>
      </c>
      <c r="T198" s="30" t="n">
        <v>-0.0640209659303632</v>
      </c>
      <c r="U198" s="30" t="n">
        <v>0.0155372519655559</v>
      </c>
      <c r="V198" s="29" t="n">
        <v>0</v>
      </c>
      <c r="W198" s="29" t="n">
        <f aca="false">IF(N(Q198)=0,"",Q198+IF(I198="yes",Q198*Inputs!$B$10*Inputs!$B$9,0)+V198)</f>
        <v>0.076</v>
      </c>
      <c r="X198" s="28" t="n">
        <f aca="false">IF(OR(N(W198)&lt;=0,N(N198)=0,N(L198)=0),"",MIN(L198,N198/W198))</f>
        <v>25</v>
      </c>
      <c r="Y198" s="29" t="n">
        <f aca="false">IF(OR(X198="",N(O198)=0),"",X198/O198-1)</f>
        <v>-0.0640209659303632</v>
      </c>
      <c r="Z198" s="29" t="n">
        <f aca="false">IF(OR(Y198="",N(O198)=0),"",Y198+N198/O198)</f>
        <v>0.0155372519655559</v>
      </c>
      <c r="AA198" s="32" t="n">
        <f aca="false">IF(OR(Z198="",N(U198)=0),"",Z198-U198)</f>
        <v>0</v>
      </c>
      <c r="AB198" s="29" t="n">
        <f aca="false">IF(N(Q198)=0,"",Q198+IF(I198="yes",Q198*Inputs!$B$10*Inputs!$B$9,0)+IFERROR(INDEX(Inputs!$B$13:$B$15,MATCH(G198,Inputs!$A$13:$A$15,0)),0)+IFERROR(INDEX(Inputs!$B$18:$B$24,MATCH(H198,Inputs!$A$18:$A$24,0)),0))</f>
        <v>0.076</v>
      </c>
      <c r="AC198" s="28" t="n">
        <f aca="false">IF(OR(N(AB198)&lt;=0,N(N198)=0,N(L198)=0),"",MIN(L198,N198/AB198))</f>
        <v>25</v>
      </c>
      <c r="AD198" s="29" t="n">
        <f aca="false">IF(OR(AC198="",N(O198)=0),"",AC198/O198-1)</f>
        <v>-0.0640209659303632</v>
      </c>
      <c r="AE198" s="29" t="n">
        <f aca="false">IF(OR(AD198="",N(O198)=0),"",AD198+N198/O198)</f>
        <v>0.0155372519655559</v>
      </c>
      <c r="AF198" s="32" t="n">
        <f aca="false">IF(OR(AE198="",N(Z198)=0),"",AE198-Z198)</f>
        <v>0</v>
      </c>
      <c r="AG198" s="28" t="n">
        <f aca="false">IF(AND(N(M198)&gt;0,N(L198)&gt;0),M198*L198,N198)</f>
        <v>2.125</v>
      </c>
      <c r="AH198" s="28" t="n">
        <f aca="false">IF(OR(N(AB198)&lt;=0,N(AG198)=0,N(L198)=0),"",MIN(L198,AG198/AB198))</f>
        <v>25</v>
      </c>
      <c r="AI198" s="29" t="n">
        <f aca="false">IF(OR(AH198="",N(O198)=0),"",AH198/O198-1)</f>
        <v>-0.0640209659303632</v>
      </c>
      <c r="AJ198" s="29" t="n">
        <f aca="false">IF(OR(AI198="",N(O198)=0),"",AI198+AG198/O198)</f>
        <v>0.0155372519655559</v>
      </c>
      <c r="AK198" s="32" t="n">
        <f aca="false">IF(OR(AJ198="",N(AE198)=0),"",AJ198-AE198)</f>
        <v>0</v>
      </c>
      <c r="AL198" s="33" t="n">
        <f aca="false">IF(N(F198)=0,"",INDEX(Inputs!$B$28:$B$32,IFERROR(MATCH(F198,Inputs!$A$28:$A$32,1),0)+1))</f>
        <v>0.085</v>
      </c>
      <c r="AM198" s="34"/>
      <c r="AN198" s="33" t="n">
        <f aca="false">IF(N(AM198)&gt;0,AM198,AL198)</f>
        <v>0.085</v>
      </c>
      <c r="AO198" s="29" t="n">
        <f aca="false">IF(N(AN198)=0,"",AN198+IF(I198="yes",AN198*Inputs!$B$10*Inputs!$B$9,0)+IFERROR(INDEX(Inputs!$B$13:$B$15,MATCH(G198,Inputs!$A$13:$A$15,0)),0)+IFERROR(INDEX(Inputs!$B$18:$B$24,MATCH(H198,Inputs!$A$18:$A$24,0)),0))</f>
        <v>0.08075</v>
      </c>
      <c r="AP198" s="28" t="n">
        <f aca="false">IF(OR(N(AO198)&lt;=0,N(AG198)=0,N(L198)=0),"",MIN(L198,AG198/AO198))</f>
        <v>25</v>
      </c>
      <c r="AQ198" s="29" t="n">
        <f aca="false">IF(OR(AP198="",N(O198)=0),"",AP198/O198-1)</f>
        <v>-0.0640209659303632</v>
      </c>
      <c r="AR198" s="29" t="n">
        <f aca="false">IF(OR(AQ198="",N(O198)=0),"",AQ198+AG198/O198)</f>
        <v>0.0155372519655559</v>
      </c>
      <c r="AS198" s="32" t="n">
        <f aca="false">IF(OR(AR198="",N(AJ198)=0),"",AR198-AJ198)</f>
        <v>0</v>
      </c>
      <c r="AT198" s="28" t="n">
        <v>25</v>
      </c>
      <c r="AU198" s="28" t="n">
        <v>2.13</v>
      </c>
      <c r="AV198" s="28" t="n">
        <f aca="false">IF(N(AT198)&gt;0,AT198,L198)</f>
        <v>25</v>
      </c>
      <c r="AW198" s="28" t="n">
        <f aca="false">IF(AND(N(M198)&gt;0,N(AV198)&gt;0),M198*AV198,IF(N(AU198)&gt;0,AU198,N198))</f>
        <v>2.125</v>
      </c>
      <c r="AX198" s="29" t="n">
        <f aca="false">IF(N(AN198)=0,"",AN198+IF(I198="yes",AN198*Inputs!$B$10*Inputs!$B$9,0)+IFERROR(INDEX(Inputs!$B$13:$B$15,MATCH(G198,Inputs!$A$13:$A$15,0)),0)+IFERROR(INDEX(Inputs!$B$18:$B$24,MATCH(H198,Inputs!$A$18:$A$24,0)),0))</f>
        <v>0.08075</v>
      </c>
      <c r="AY198" s="28" t="n">
        <f aca="false">IF(OR(N(AX198)&lt;=0,N(AW198)=0,N(AV198)=0),"",MIN(AV198,AW198/AX198))</f>
        <v>25</v>
      </c>
      <c r="AZ198" s="29" t="n">
        <f aca="false">IF(OR(AY198="",N(O198)=0),"",AY198/O198-1)</f>
        <v>-0.0640209659303632</v>
      </c>
      <c r="BA198" s="29" t="n">
        <f aca="false">IF(OR(AZ198="",N(O198)=0),"",AZ198+AW198/O198)</f>
        <v>0.0155372519655559</v>
      </c>
      <c r="BB198" s="32" t="n">
        <f aca="false">IF(OR(BA198="",N(AR198)=0),"",BA198-AR198)</f>
        <v>0</v>
      </c>
      <c r="BC198" s="35" t="n">
        <f aca="false">IF(OR(BA198="",N(U198)=0),"",BA198-U198)</f>
        <v>0</v>
      </c>
      <c r="BD198" s="37"/>
    </row>
    <row r="199" customFormat="false" ht="15" hidden="false" customHeight="false" outlineLevel="0" collapsed="false">
      <c r="A199" s="2" t="s">
        <v>140</v>
      </c>
      <c r="B199" s="2" t="n">
        <v>394</v>
      </c>
      <c r="C199" s="2" t="s">
        <v>496</v>
      </c>
      <c r="D199" s="2" t="s">
        <v>493</v>
      </c>
      <c r="E199" s="2" t="s">
        <v>494</v>
      </c>
      <c r="F199" s="27" t="n">
        <v>1800</v>
      </c>
      <c r="G199" s="2" t="s">
        <v>51</v>
      </c>
      <c r="H199" s="2" t="s">
        <v>58</v>
      </c>
      <c r="I199" s="2" t="s">
        <v>151</v>
      </c>
      <c r="J199" s="2" t="s">
        <v>145</v>
      </c>
      <c r="K199" s="2" t="n">
        <v>4</v>
      </c>
      <c r="L199" s="28" t="n">
        <v>25</v>
      </c>
      <c r="M199" s="29" t="n">
        <v>0.0875</v>
      </c>
      <c r="N199" s="28" t="n">
        <v>2.1875</v>
      </c>
      <c r="O199" s="28" t="n">
        <v>27.07</v>
      </c>
      <c r="P199" s="2" t="s">
        <v>146</v>
      </c>
      <c r="Q199" s="29" t="n">
        <v>0.08</v>
      </c>
      <c r="R199" s="30" t="n">
        <v>0.076</v>
      </c>
      <c r="S199" s="31" t="n">
        <v>25</v>
      </c>
      <c r="T199" s="30" t="n">
        <v>-0.0764684152198005</v>
      </c>
      <c r="U199" s="30" t="n">
        <v>0.00434059844846693</v>
      </c>
      <c r="V199" s="29" t="n">
        <v>0</v>
      </c>
      <c r="W199" s="29" t="n">
        <f aca="false">IF(N(Q199)=0,"",Q199+IF(I199="yes",Q199*Inputs!$B$10*Inputs!$B$9,0)+V199)</f>
        <v>0.076</v>
      </c>
      <c r="X199" s="28" t="n">
        <f aca="false">IF(OR(N(W199)&lt;=0,N(N199)=0,N(L199)=0),"",MIN(L199,N199/W199))</f>
        <v>25</v>
      </c>
      <c r="Y199" s="29" t="n">
        <f aca="false">IF(OR(X199="",N(O199)=0),"",X199/O199-1)</f>
        <v>-0.0764684152198005</v>
      </c>
      <c r="Z199" s="29" t="n">
        <f aca="false">IF(OR(Y199="",N(O199)=0),"",Y199+N199/O199)</f>
        <v>0.00434059844846693</v>
      </c>
      <c r="AA199" s="32" t="n">
        <f aca="false">IF(OR(Z199="",N(U199)=0),"",Z199-U199)</f>
        <v>0</v>
      </c>
      <c r="AB199" s="29" t="n">
        <f aca="false">IF(N(Q199)=0,"",Q199+IF(I199="yes",Q199*Inputs!$B$10*Inputs!$B$9,0)+IFERROR(INDEX(Inputs!$B$13:$B$15,MATCH(G199,Inputs!$A$13:$A$15,0)),0)+IFERROR(INDEX(Inputs!$B$18:$B$24,MATCH(H199,Inputs!$A$18:$A$24,0)),0))</f>
        <v>0.076</v>
      </c>
      <c r="AC199" s="28" t="n">
        <f aca="false">IF(OR(N(AB199)&lt;=0,N(N199)=0,N(L199)=0),"",MIN(L199,N199/AB199))</f>
        <v>25</v>
      </c>
      <c r="AD199" s="29" t="n">
        <f aca="false">IF(OR(AC199="",N(O199)=0),"",AC199/O199-1)</f>
        <v>-0.0764684152198005</v>
      </c>
      <c r="AE199" s="29" t="n">
        <f aca="false">IF(OR(AD199="",N(O199)=0),"",AD199+N199/O199)</f>
        <v>0.00434059844846693</v>
      </c>
      <c r="AF199" s="32" t="n">
        <f aca="false">IF(OR(AE199="",N(Z199)=0),"",AE199-Z199)</f>
        <v>0</v>
      </c>
      <c r="AG199" s="28" t="n">
        <f aca="false">IF(AND(N(M199)&gt;0,N(L199)&gt;0),M199*L199,N199)</f>
        <v>2.1875</v>
      </c>
      <c r="AH199" s="28" t="n">
        <f aca="false">IF(OR(N(AB199)&lt;=0,N(AG199)=0,N(L199)=0),"",MIN(L199,AG199/AB199))</f>
        <v>25</v>
      </c>
      <c r="AI199" s="29" t="n">
        <f aca="false">IF(OR(AH199="",N(O199)=0),"",AH199/O199-1)</f>
        <v>-0.0764684152198005</v>
      </c>
      <c r="AJ199" s="29" t="n">
        <f aca="false">IF(OR(AI199="",N(O199)=0),"",AI199+AG199/O199)</f>
        <v>0.00434059844846693</v>
      </c>
      <c r="AK199" s="32" t="n">
        <f aca="false">IF(OR(AJ199="",N(AE199)=0),"",AJ199-AE199)</f>
        <v>0</v>
      </c>
      <c r="AL199" s="33" t="n">
        <f aca="false">IF(N(F199)=0,"",INDEX(Inputs!$B$28:$B$32,IFERROR(MATCH(F199,Inputs!$A$28:$A$32,1),0)+1))</f>
        <v>0.085</v>
      </c>
      <c r="AM199" s="34"/>
      <c r="AN199" s="33" t="n">
        <f aca="false">IF(N(AM199)&gt;0,AM199,AL199)</f>
        <v>0.085</v>
      </c>
      <c r="AO199" s="29" t="n">
        <f aca="false">IF(N(AN199)=0,"",AN199+IF(I199="yes",AN199*Inputs!$B$10*Inputs!$B$9,0)+IFERROR(INDEX(Inputs!$B$13:$B$15,MATCH(G199,Inputs!$A$13:$A$15,0)),0)+IFERROR(INDEX(Inputs!$B$18:$B$24,MATCH(H199,Inputs!$A$18:$A$24,0)),0))</f>
        <v>0.08075</v>
      </c>
      <c r="AP199" s="28" t="n">
        <f aca="false">IF(OR(N(AO199)&lt;=0,N(AG199)=0,N(L199)=0),"",MIN(L199,AG199/AO199))</f>
        <v>25</v>
      </c>
      <c r="AQ199" s="29" t="n">
        <f aca="false">IF(OR(AP199="",N(O199)=0),"",AP199/O199-1)</f>
        <v>-0.0764684152198005</v>
      </c>
      <c r="AR199" s="29" t="n">
        <f aca="false">IF(OR(AQ199="",N(O199)=0),"",AQ199+AG199/O199)</f>
        <v>0.00434059844846693</v>
      </c>
      <c r="AS199" s="32" t="n">
        <f aca="false">IF(OR(AR199="",N(AJ199)=0),"",AR199-AJ199)</f>
        <v>0</v>
      </c>
      <c r="AT199" s="28" t="n">
        <v>25</v>
      </c>
      <c r="AU199" s="28" t="n">
        <v>2.19</v>
      </c>
      <c r="AV199" s="28" t="n">
        <f aca="false">IF(N(AT199)&gt;0,AT199,L199)</f>
        <v>25</v>
      </c>
      <c r="AW199" s="28" t="n">
        <f aca="false">IF(AND(N(M199)&gt;0,N(AV199)&gt;0),M199*AV199,IF(N(AU199)&gt;0,AU199,N199))</f>
        <v>2.1875</v>
      </c>
      <c r="AX199" s="29" t="n">
        <f aca="false">IF(N(AN199)=0,"",AN199+IF(I199="yes",AN199*Inputs!$B$10*Inputs!$B$9,0)+IFERROR(INDEX(Inputs!$B$13:$B$15,MATCH(G199,Inputs!$A$13:$A$15,0)),0)+IFERROR(INDEX(Inputs!$B$18:$B$24,MATCH(H199,Inputs!$A$18:$A$24,0)),0))</f>
        <v>0.08075</v>
      </c>
      <c r="AY199" s="28" t="n">
        <f aca="false">IF(OR(N(AX199)&lt;=0,N(AW199)=0,N(AV199)=0),"",MIN(AV199,AW199/AX199))</f>
        <v>25</v>
      </c>
      <c r="AZ199" s="29" t="n">
        <f aca="false">IF(OR(AY199="",N(O199)=0),"",AY199/O199-1)</f>
        <v>-0.0764684152198005</v>
      </c>
      <c r="BA199" s="29" t="n">
        <f aca="false">IF(OR(AZ199="",N(O199)=0),"",AZ199+AW199/O199)</f>
        <v>0.00434059844846693</v>
      </c>
      <c r="BB199" s="32" t="n">
        <f aca="false">IF(OR(BA199="",N(AR199)=0),"",BA199-AR199)</f>
        <v>0</v>
      </c>
      <c r="BC199" s="35" t="n">
        <f aca="false">IF(OR(BA199="",N(U199)=0),"",BA199-U199)</f>
        <v>0</v>
      </c>
      <c r="BD199" s="37"/>
    </row>
    <row r="200" customFormat="false" ht="15" hidden="false" customHeight="false" outlineLevel="0" collapsed="false">
      <c r="A200" s="2" t="s">
        <v>140</v>
      </c>
      <c r="B200" s="2" t="n">
        <v>395</v>
      </c>
      <c r="C200" s="2" t="s">
        <v>497</v>
      </c>
      <c r="D200" s="2" t="s">
        <v>493</v>
      </c>
      <c r="E200" s="2" t="s">
        <v>494</v>
      </c>
      <c r="F200" s="27" t="n">
        <v>1800</v>
      </c>
      <c r="G200" s="2" t="s">
        <v>51</v>
      </c>
      <c r="H200" s="2" t="s">
        <v>58</v>
      </c>
      <c r="I200" s="2" t="s">
        <v>151</v>
      </c>
      <c r="J200" s="2" t="s">
        <v>145</v>
      </c>
      <c r="K200" s="2" t="n">
        <v>4</v>
      </c>
      <c r="L200" s="28" t="n">
        <v>25</v>
      </c>
      <c r="M200" s="29" t="n">
        <v>0.08875</v>
      </c>
      <c r="N200" s="28" t="n">
        <v>2.21875</v>
      </c>
      <c r="O200" s="28" t="n">
        <v>0</v>
      </c>
      <c r="P200" s="2" t="s">
        <v>146</v>
      </c>
      <c r="Q200" s="29" t="n">
        <v>0.08</v>
      </c>
      <c r="R200" s="30" t="n">
        <v>0.076</v>
      </c>
      <c r="S200" s="31" t="n">
        <v>25</v>
      </c>
      <c r="T200" s="30"/>
      <c r="U200" s="30"/>
      <c r="V200" s="29" t="n">
        <v>0</v>
      </c>
      <c r="W200" s="29" t="n">
        <f aca="false">IF(N(Q200)=0,"",Q200+IF(I200="yes",Q200*Inputs!$B$10*Inputs!$B$9,0)+V200)</f>
        <v>0.076</v>
      </c>
      <c r="X200" s="28" t="n">
        <f aca="false">IF(OR(N(W200)&lt;=0,N(N200)=0,N(L200)=0),"",MIN(L200,N200/W200))</f>
        <v>25</v>
      </c>
      <c r="Y200" s="29" t="str">
        <f aca="false">IF(OR(X200="",N(O200)=0),"",X200/O200-1)</f>
        <v/>
      </c>
      <c r="Z200" s="29" t="str">
        <f aca="false">IF(OR(Y200="",N(O200)=0),"",Y200+N200/O200)</f>
        <v/>
      </c>
      <c r="AA200" s="32" t="str">
        <f aca="false">IF(OR(Z200="",N(U200)=0),"",Z200-U200)</f>
        <v/>
      </c>
      <c r="AB200" s="29" t="n">
        <f aca="false">IF(N(Q200)=0,"",Q200+IF(I200="yes",Q200*Inputs!$B$10*Inputs!$B$9,0)+IFERROR(INDEX(Inputs!$B$13:$B$15,MATCH(G200,Inputs!$A$13:$A$15,0)),0)+IFERROR(INDEX(Inputs!$B$18:$B$24,MATCH(H200,Inputs!$A$18:$A$24,0)),0))</f>
        <v>0.076</v>
      </c>
      <c r="AC200" s="28" t="n">
        <f aca="false">IF(OR(N(AB200)&lt;=0,N(N200)=0,N(L200)=0),"",MIN(L200,N200/AB200))</f>
        <v>25</v>
      </c>
      <c r="AD200" s="29" t="str">
        <f aca="false">IF(OR(AC200="",N(O200)=0),"",AC200/O200-1)</f>
        <v/>
      </c>
      <c r="AE200" s="29" t="str">
        <f aca="false">IF(OR(AD200="",N(O200)=0),"",AD200+N200/O200)</f>
        <v/>
      </c>
      <c r="AF200" s="32" t="str">
        <f aca="false">IF(OR(AE200="",N(Z200)=0),"",AE200-Z200)</f>
        <v/>
      </c>
      <c r="AG200" s="28" t="n">
        <f aca="false">IF(AND(N(M200)&gt;0,N(L200)&gt;0),M200*L200,N200)</f>
        <v>2.21875</v>
      </c>
      <c r="AH200" s="28" t="n">
        <f aca="false">IF(OR(N(AB200)&lt;=0,N(AG200)=0,N(L200)=0),"",MIN(L200,AG200/AB200))</f>
        <v>25</v>
      </c>
      <c r="AI200" s="29" t="str">
        <f aca="false">IF(OR(AH200="",N(O200)=0),"",AH200/O200-1)</f>
        <v/>
      </c>
      <c r="AJ200" s="29" t="str">
        <f aca="false">IF(OR(AI200="",N(O200)=0),"",AI200+AG200/O200)</f>
        <v/>
      </c>
      <c r="AK200" s="32" t="str">
        <f aca="false">IF(OR(AJ200="",N(AE200)=0),"",AJ200-AE200)</f>
        <v/>
      </c>
      <c r="AL200" s="33" t="n">
        <f aca="false">IF(N(F200)=0,"",INDEX(Inputs!$B$28:$B$32,IFERROR(MATCH(F200,Inputs!$A$28:$A$32,1),0)+1))</f>
        <v>0.085</v>
      </c>
      <c r="AM200" s="34"/>
      <c r="AN200" s="33" t="n">
        <f aca="false">IF(N(AM200)&gt;0,AM200,AL200)</f>
        <v>0.085</v>
      </c>
      <c r="AO200" s="29" t="n">
        <f aca="false">IF(N(AN200)=0,"",AN200+IF(I200="yes",AN200*Inputs!$B$10*Inputs!$B$9,0)+IFERROR(INDEX(Inputs!$B$13:$B$15,MATCH(G200,Inputs!$A$13:$A$15,0)),0)+IFERROR(INDEX(Inputs!$B$18:$B$24,MATCH(H200,Inputs!$A$18:$A$24,0)),0))</f>
        <v>0.08075</v>
      </c>
      <c r="AP200" s="28" t="n">
        <f aca="false">IF(OR(N(AO200)&lt;=0,N(AG200)=0,N(L200)=0),"",MIN(L200,AG200/AO200))</f>
        <v>25</v>
      </c>
      <c r="AQ200" s="29" t="str">
        <f aca="false">IF(OR(AP200="",N(O200)=0),"",AP200/O200-1)</f>
        <v/>
      </c>
      <c r="AR200" s="29" t="str">
        <f aca="false">IF(OR(AQ200="",N(O200)=0),"",AQ200+AG200/O200)</f>
        <v/>
      </c>
      <c r="AS200" s="32" t="str">
        <f aca="false">IF(OR(AR200="",N(AJ200)=0),"",AR200-AJ200)</f>
        <v/>
      </c>
      <c r="AT200" s="28"/>
      <c r="AU200" s="28"/>
      <c r="AV200" s="28" t="n">
        <f aca="false">IF(N(AT200)&gt;0,AT200,L200)</f>
        <v>25</v>
      </c>
      <c r="AW200" s="28" t="n">
        <f aca="false">IF(AND(N(M200)&gt;0,N(AV200)&gt;0),M200*AV200,IF(N(AU200)&gt;0,AU200,N200))</f>
        <v>2.21875</v>
      </c>
      <c r="AX200" s="29" t="n">
        <f aca="false">IF(N(AN200)=0,"",AN200+IF(I200="yes",AN200*Inputs!$B$10*Inputs!$B$9,0)+IFERROR(INDEX(Inputs!$B$13:$B$15,MATCH(G200,Inputs!$A$13:$A$15,0)),0)+IFERROR(INDEX(Inputs!$B$18:$B$24,MATCH(H200,Inputs!$A$18:$A$24,0)),0))</f>
        <v>0.08075</v>
      </c>
      <c r="AY200" s="28" t="n">
        <f aca="false">IF(OR(N(AX200)&lt;=0,N(AW200)=0,N(AV200)=0),"",MIN(AV200,AW200/AX200))</f>
        <v>25</v>
      </c>
      <c r="AZ200" s="29" t="str">
        <f aca="false">IF(OR(AY200="",N(O200)=0),"",AY200/O200-1)</f>
        <v/>
      </c>
      <c r="BA200" s="29" t="str">
        <f aca="false">IF(OR(AZ200="",N(O200)=0),"",AZ200+AW200/O200)</f>
        <v/>
      </c>
      <c r="BB200" s="32" t="str">
        <f aca="false">IF(OR(BA200="",N(AR200)=0),"",BA200-AR200)</f>
        <v/>
      </c>
      <c r="BC200" s="35" t="str">
        <f aca="false">IF(OR(BA200="",N(U200)=0),"",BA200-U200)</f>
        <v/>
      </c>
      <c r="BD200" s="36" t="s">
        <v>198</v>
      </c>
    </row>
    <row r="201" customFormat="false" ht="15" hidden="false" customHeight="false" outlineLevel="0" collapsed="false">
      <c r="A201" s="2" t="s">
        <v>140</v>
      </c>
      <c r="B201" s="2" t="n">
        <v>398</v>
      </c>
      <c r="C201" s="2" t="s">
        <v>498</v>
      </c>
      <c r="D201" s="2" t="s">
        <v>499</v>
      </c>
      <c r="E201" s="2" t="s">
        <v>500</v>
      </c>
      <c r="F201" s="27" t="n">
        <v>21900</v>
      </c>
      <c r="G201" s="2" t="s">
        <v>52</v>
      </c>
      <c r="H201" s="2" t="s">
        <v>58</v>
      </c>
      <c r="I201" s="2" t="s">
        <v>144</v>
      </c>
      <c r="J201" s="2" t="s">
        <v>145</v>
      </c>
      <c r="K201" s="2" t="n">
        <v>4</v>
      </c>
      <c r="L201" s="28" t="n">
        <v>25</v>
      </c>
      <c r="M201" s="29" t="n">
        <v>0.05625</v>
      </c>
      <c r="N201" s="28" t="n">
        <v>1.40625</v>
      </c>
      <c r="O201" s="28" t="n">
        <v>20.24</v>
      </c>
      <c r="P201" s="2" t="s">
        <v>146</v>
      </c>
      <c r="Q201" s="29" t="n">
        <v>0.08</v>
      </c>
      <c r="R201" s="30" t="n">
        <v>0.0725</v>
      </c>
      <c r="S201" s="31" t="n">
        <v>19.3965517241379</v>
      </c>
      <c r="T201" s="30" t="n">
        <v>-0.0416723456453594</v>
      </c>
      <c r="U201" s="30" t="n">
        <v>0.0278064092953521</v>
      </c>
      <c r="V201" s="29" t="n">
        <v>-0.0075</v>
      </c>
      <c r="W201" s="29" t="n">
        <f aca="false">IF(N(Q201)=0,"",Q201+IF(I201="yes",Q201*Inputs!$B$10*Inputs!$B$9,0)+V201)</f>
        <v>0.0725</v>
      </c>
      <c r="X201" s="28" t="n">
        <f aca="false">IF(OR(N(W201)&lt;=0,N(N201)=0,N(L201)=0),"",MIN(L201,N201/W201))</f>
        <v>19.3965517241379</v>
      </c>
      <c r="Y201" s="29" t="n">
        <f aca="false">IF(OR(X201="",N(O201)=0),"",X201/O201-1)</f>
        <v>-0.0416723456453592</v>
      </c>
      <c r="Z201" s="29" t="n">
        <f aca="false">IF(OR(Y201="",N(O201)=0),"",Y201+N201/O201)</f>
        <v>0.0278064092953523</v>
      </c>
      <c r="AA201" s="32" t="n">
        <f aca="false">IF(OR(Z201="",N(U201)=0),"",Z201-U201)</f>
        <v>2.35922392732846E-016</v>
      </c>
      <c r="AB201" s="29" t="n">
        <f aca="false">IF(N(Q201)=0,"",Q201+IF(I201="yes",Q201*Inputs!$B$10*Inputs!$B$9,0)+IFERROR(INDEX(Inputs!$B$13:$B$15,MATCH(G201,Inputs!$A$13:$A$15,0)),0)+IFERROR(INDEX(Inputs!$B$18:$B$24,MATCH(H201,Inputs!$A$18:$A$24,0)),0))</f>
        <v>0.075</v>
      </c>
      <c r="AC201" s="28" t="n">
        <f aca="false">IF(OR(N(AB201)&lt;=0,N(N201)=0,N(L201)=0),"",MIN(L201,N201/AB201))</f>
        <v>18.75</v>
      </c>
      <c r="AD201" s="29" t="n">
        <f aca="false">IF(OR(AC201="",N(O201)=0),"",AC201/O201-1)</f>
        <v>-0.0736166007905138</v>
      </c>
      <c r="AE201" s="29" t="n">
        <f aca="false">IF(OR(AD201="",N(O201)=0),"",AD201+N201/O201)</f>
        <v>-0.00413784584980233</v>
      </c>
      <c r="AF201" s="32" t="n">
        <f aca="false">IF(OR(AE201="",N(Z201)=0),"",AE201-Z201)</f>
        <v>-0.0319442551451546</v>
      </c>
      <c r="AG201" s="28" t="n">
        <f aca="false">IF(AND(N(M201)&gt;0,N(L201)&gt;0),M201*L201,N201)</f>
        <v>1.40625</v>
      </c>
      <c r="AH201" s="28" t="n">
        <f aca="false">IF(OR(N(AB201)&lt;=0,N(AG201)=0,N(L201)=0),"",MIN(L201,AG201/AB201))</f>
        <v>18.75</v>
      </c>
      <c r="AI201" s="29" t="n">
        <f aca="false">IF(OR(AH201="",N(O201)=0),"",AH201/O201-1)</f>
        <v>-0.0736166007905138</v>
      </c>
      <c r="AJ201" s="29" t="n">
        <f aca="false">IF(OR(AI201="",N(O201)=0),"",AI201+AG201/O201)</f>
        <v>-0.00413784584980233</v>
      </c>
      <c r="AK201" s="32" t="n">
        <f aca="false">IF(OR(AJ201="",N(AE201)=0),"",AJ201-AE201)</f>
        <v>0</v>
      </c>
      <c r="AL201" s="33" t="n">
        <f aca="false">IF(N(F201)=0,"",INDEX(Inputs!$B$28:$B$32,IFERROR(MATCH(F201,Inputs!$A$28:$A$32,1),0)+1))</f>
        <v>0.075</v>
      </c>
      <c r="AM201" s="34"/>
      <c r="AN201" s="33" t="n">
        <f aca="false">IF(N(AM201)&gt;0,AM201,AL201)</f>
        <v>0.075</v>
      </c>
      <c r="AO201" s="29" t="n">
        <f aca="false">IF(N(AN201)=0,"",AN201+IF(I201="yes",AN201*Inputs!$B$10*Inputs!$B$9,0)+IFERROR(INDEX(Inputs!$B$13:$B$15,MATCH(G201,Inputs!$A$13:$A$15,0)),0)+IFERROR(INDEX(Inputs!$B$18:$B$24,MATCH(H201,Inputs!$A$18:$A$24,0)),0))</f>
        <v>0.07</v>
      </c>
      <c r="AP201" s="28" t="n">
        <f aca="false">IF(OR(N(AO201)&lt;=0,N(AG201)=0,N(L201)=0),"",MIN(L201,AG201/AO201))</f>
        <v>20.0892857142857</v>
      </c>
      <c r="AQ201" s="29" t="n">
        <f aca="false">IF(OR(AP201="",N(O201)=0),"",AP201/O201-1)</f>
        <v>-0.00744635798983617</v>
      </c>
      <c r="AR201" s="29" t="n">
        <f aca="false">IF(OR(AQ201="",N(O201)=0),"",AQ201+AG201/O201)</f>
        <v>0.0620323969508753</v>
      </c>
      <c r="AS201" s="32" t="n">
        <f aca="false">IF(OR(AR201="",N(AJ201)=0),"",AR201-AJ201)</f>
        <v>0.0661702428006776</v>
      </c>
      <c r="AT201" s="28" t="n">
        <v>25</v>
      </c>
      <c r="AU201" s="28" t="n">
        <v>1.41</v>
      </c>
      <c r="AV201" s="28" t="n">
        <f aca="false">IF(N(AT201)&gt;0,AT201,L201)</f>
        <v>25</v>
      </c>
      <c r="AW201" s="28" t="n">
        <f aca="false">IF(AND(N(M201)&gt;0,N(AV201)&gt;0),M201*AV201,IF(N(AU201)&gt;0,AU201,N201))</f>
        <v>1.40625</v>
      </c>
      <c r="AX201" s="29" t="n">
        <f aca="false">IF(N(AN201)=0,"",AN201+IF(I201="yes",AN201*Inputs!$B$10*Inputs!$B$9,0)+IFERROR(INDEX(Inputs!$B$13:$B$15,MATCH(G201,Inputs!$A$13:$A$15,0)),0)+IFERROR(INDEX(Inputs!$B$18:$B$24,MATCH(H201,Inputs!$A$18:$A$24,0)),0))</f>
        <v>0.07</v>
      </c>
      <c r="AY201" s="28" t="n">
        <f aca="false">IF(OR(N(AX201)&lt;=0,N(AW201)=0,N(AV201)=0),"",MIN(AV201,AW201/AX201))</f>
        <v>20.0892857142857</v>
      </c>
      <c r="AZ201" s="29" t="n">
        <f aca="false">IF(OR(AY201="",N(O201)=0),"",AY201/O201-1)</f>
        <v>-0.00744635798983617</v>
      </c>
      <c r="BA201" s="29" t="n">
        <f aca="false">IF(OR(AZ201="",N(O201)=0),"",AZ201+AW201/O201)</f>
        <v>0.0620323969508753</v>
      </c>
      <c r="BB201" s="32" t="n">
        <f aca="false">IF(OR(BA201="",N(AR201)=0),"",BA201-AR201)</f>
        <v>0</v>
      </c>
      <c r="BC201" s="35" t="n">
        <f aca="false">IF(OR(BA201="",N(U201)=0),"",BA201-U201)</f>
        <v>0.0342259876555232</v>
      </c>
      <c r="BD201" s="37"/>
    </row>
    <row r="202" customFormat="false" ht="15" hidden="false" customHeight="false" outlineLevel="0" collapsed="false">
      <c r="A202" s="2" t="s">
        <v>140</v>
      </c>
      <c r="B202" s="2" t="n">
        <v>399</v>
      </c>
      <c r="C202" s="2" t="s">
        <v>501</v>
      </c>
      <c r="D202" s="2" t="s">
        <v>499</v>
      </c>
      <c r="E202" s="2" t="s">
        <v>500</v>
      </c>
      <c r="F202" s="27" t="n">
        <v>21900</v>
      </c>
      <c r="G202" s="2" t="s">
        <v>52</v>
      </c>
      <c r="H202" s="2" t="s">
        <v>58</v>
      </c>
      <c r="I202" s="2" t="s">
        <v>144</v>
      </c>
      <c r="J202" s="2" t="s">
        <v>145</v>
      </c>
      <c r="K202" s="2" t="n">
        <v>4</v>
      </c>
      <c r="L202" s="28" t="n">
        <v>25</v>
      </c>
      <c r="M202" s="29" t="n">
        <v>0.05875</v>
      </c>
      <c r="N202" s="28" t="n">
        <v>1.46875</v>
      </c>
      <c r="O202" s="28" t="n">
        <v>21.22</v>
      </c>
      <c r="P202" s="2" t="s">
        <v>146</v>
      </c>
      <c r="Q202" s="29" t="n">
        <v>0.08</v>
      </c>
      <c r="R202" s="30" t="n">
        <v>0.0725</v>
      </c>
      <c r="S202" s="31" t="n">
        <v>20.2586206896552</v>
      </c>
      <c r="T202" s="30" t="n">
        <v>-0.0453053397900485</v>
      </c>
      <c r="U202" s="30" t="n">
        <v>0.023910023075173</v>
      </c>
      <c r="V202" s="29" t="n">
        <v>-0.0075</v>
      </c>
      <c r="W202" s="29" t="n">
        <f aca="false">IF(N(Q202)=0,"",Q202+IF(I202="yes",Q202*Inputs!$B$10*Inputs!$B$9,0)+V202)</f>
        <v>0.0725</v>
      </c>
      <c r="X202" s="28" t="n">
        <f aca="false">IF(OR(N(W202)&lt;=0,N(N202)=0,N(L202)=0),"",MIN(L202,N202/W202))</f>
        <v>20.2586206896552</v>
      </c>
      <c r="Y202" s="29" t="n">
        <f aca="false">IF(OR(X202="",N(O202)=0),"",X202/O202-1)</f>
        <v>-0.0453053397900485</v>
      </c>
      <c r="Z202" s="29" t="n">
        <f aca="false">IF(OR(Y202="",N(O202)=0),"",Y202+N202/O202)</f>
        <v>0.023910023075173</v>
      </c>
      <c r="AA202" s="32" t="n">
        <f aca="false">IF(OR(Z202="",N(U202)=0),"",Z202-U202)</f>
        <v>0</v>
      </c>
      <c r="AB202" s="29" t="n">
        <f aca="false">IF(N(Q202)=0,"",Q202+IF(I202="yes",Q202*Inputs!$B$10*Inputs!$B$9,0)+IFERROR(INDEX(Inputs!$B$13:$B$15,MATCH(G202,Inputs!$A$13:$A$15,0)),0)+IFERROR(INDEX(Inputs!$B$18:$B$24,MATCH(H202,Inputs!$A$18:$A$24,0)),0))</f>
        <v>0.075</v>
      </c>
      <c r="AC202" s="28" t="n">
        <f aca="false">IF(OR(N(AB202)&lt;=0,N(N202)=0,N(L202)=0),"",MIN(L202,N202/AB202))</f>
        <v>19.5833333333333</v>
      </c>
      <c r="AD202" s="29" t="n">
        <f aca="false">IF(OR(AC202="",N(O202)=0),"",AC202/O202-1)</f>
        <v>-0.07712849513038</v>
      </c>
      <c r="AE202" s="29" t="n">
        <f aca="false">IF(OR(AD202="",N(O202)=0),"",AD202+N202/O202)</f>
        <v>-0.00791313226515851</v>
      </c>
      <c r="AF202" s="32" t="n">
        <f aca="false">IF(OR(AE202="",N(Z202)=0),"",AE202-Z202)</f>
        <v>-0.0318231553403315</v>
      </c>
      <c r="AG202" s="28" t="n">
        <f aca="false">IF(AND(N(M202)&gt;0,N(L202)&gt;0),M202*L202,N202)</f>
        <v>1.46875</v>
      </c>
      <c r="AH202" s="28" t="n">
        <f aca="false">IF(OR(N(AB202)&lt;=0,N(AG202)=0,N(L202)=0),"",MIN(L202,AG202/AB202))</f>
        <v>19.5833333333333</v>
      </c>
      <c r="AI202" s="29" t="n">
        <f aca="false">IF(OR(AH202="",N(O202)=0),"",AH202/O202-1)</f>
        <v>-0.07712849513038</v>
      </c>
      <c r="AJ202" s="29" t="n">
        <f aca="false">IF(OR(AI202="",N(O202)=0),"",AI202+AG202/O202)</f>
        <v>-0.00791313226515851</v>
      </c>
      <c r="AK202" s="32" t="n">
        <f aca="false">IF(OR(AJ202="",N(AE202)=0),"",AJ202-AE202)</f>
        <v>0</v>
      </c>
      <c r="AL202" s="33" t="n">
        <f aca="false">IF(N(F202)=0,"",INDEX(Inputs!$B$28:$B$32,IFERROR(MATCH(F202,Inputs!$A$28:$A$32,1),0)+1))</f>
        <v>0.075</v>
      </c>
      <c r="AM202" s="34"/>
      <c r="AN202" s="33" t="n">
        <f aca="false">IF(N(AM202)&gt;0,AM202,AL202)</f>
        <v>0.075</v>
      </c>
      <c r="AO202" s="29" t="n">
        <f aca="false">IF(N(AN202)=0,"",AN202+IF(I202="yes",AN202*Inputs!$B$10*Inputs!$B$9,0)+IFERROR(INDEX(Inputs!$B$13:$B$15,MATCH(G202,Inputs!$A$13:$A$15,0)),0)+IFERROR(INDEX(Inputs!$B$18:$B$24,MATCH(H202,Inputs!$A$18:$A$24,0)),0))</f>
        <v>0.07</v>
      </c>
      <c r="AP202" s="28" t="n">
        <f aca="false">IF(OR(N(AO202)&lt;=0,N(AG202)=0,N(L202)=0),"",MIN(L202,AG202/AO202))</f>
        <v>20.9821428571429</v>
      </c>
      <c r="AQ202" s="29" t="n">
        <f aca="false">IF(OR(AP202="",N(O202)=0),"",AP202/O202-1)</f>
        <v>-0.0112091019254073</v>
      </c>
      <c r="AR202" s="29" t="n">
        <f aca="false">IF(OR(AQ202="",N(O202)=0),"",AQ202+AG202/O202)</f>
        <v>0.0580062609398142</v>
      </c>
      <c r="AS202" s="32" t="n">
        <f aca="false">IF(OR(AR202="",N(AJ202)=0),"",AR202-AJ202)</f>
        <v>0.0659193932049728</v>
      </c>
      <c r="AT202" s="28" t="n">
        <v>25</v>
      </c>
      <c r="AU202" s="28" t="n">
        <v>1.47</v>
      </c>
      <c r="AV202" s="28" t="n">
        <f aca="false">IF(N(AT202)&gt;0,AT202,L202)</f>
        <v>25</v>
      </c>
      <c r="AW202" s="28" t="n">
        <f aca="false">IF(AND(N(M202)&gt;0,N(AV202)&gt;0),M202*AV202,IF(N(AU202)&gt;0,AU202,N202))</f>
        <v>1.46875</v>
      </c>
      <c r="AX202" s="29" t="n">
        <f aca="false">IF(N(AN202)=0,"",AN202+IF(I202="yes",AN202*Inputs!$B$10*Inputs!$B$9,0)+IFERROR(INDEX(Inputs!$B$13:$B$15,MATCH(G202,Inputs!$A$13:$A$15,0)),0)+IFERROR(INDEX(Inputs!$B$18:$B$24,MATCH(H202,Inputs!$A$18:$A$24,0)),0))</f>
        <v>0.07</v>
      </c>
      <c r="AY202" s="28" t="n">
        <f aca="false">IF(OR(N(AX202)&lt;=0,N(AW202)=0,N(AV202)=0),"",MIN(AV202,AW202/AX202))</f>
        <v>20.9821428571429</v>
      </c>
      <c r="AZ202" s="29" t="n">
        <f aca="false">IF(OR(AY202="",N(O202)=0),"",AY202/O202-1)</f>
        <v>-0.0112091019254073</v>
      </c>
      <c r="BA202" s="29" t="n">
        <f aca="false">IF(OR(AZ202="",N(O202)=0),"",AZ202+AW202/O202)</f>
        <v>0.0580062609398142</v>
      </c>
      <c r="BB202" s="32" t="n">
        <f aca="false">IF(OR(BA202="",N(AR202)=0),"",BA202-AR202)</f>
        <v>0</v>
      </c>
      <c r="BC202" s="35" t="n">
        <f aca="false">IF(OR(BA202="",N(U202)=0),"",BA202-U202)</f>
        <v>0.0340962378646412</v>
      </c>
      <c r="BD202" s="37"/>
    </row>
    <row r="203" customFormat="false" ht="15" hidden="false" customHeight="false" outlineLevel="0" collapsed="false">
      <c r="A203" s="2" t="s">
        <v>140</v>
      </c>
      <c r="B203" s="2" t="n">
        <v>400</v>
      </c>
      <c r="C203" s="2" t="s">
        <v>502</v>
      </c>
      <c r="D203" s="2" t="s">
        <v>499</v>
      </c>
      <c r="E203" s="2" t="s">
        <v>500</v>
      </c>
      <c r="F203" s="27" t="n">
        <v>21900</v>
      </c>
      <c r="G203" s="2" t="s">
        <v>52</v>
      </c>
      <c r="H203" s="2" t="s">
        <v>58</v>
      </c>
      <c r="I203" s="2" t="s">
        <v>144</v>
      </c>
      <c r="J203" s="2" t="s">
        <v>145</v>
      </c>
      <c r="K203" s="2" t="n">
        <v>4</v>
      </c>
      <c r="L203" s="28" t="n">
        <v>25</v>
      </c>
      <c r="M203" s="29" t="n">
        <v>0.05875</v>
      </c>
      <c r="N203" s="28" t="n">
        <v>1.46875</v>
      </c>
      <c r="O203" s="28" t="n">
        <v>21.11</v>
      </c>
      <c r="P203" s="2" t="s">
        <v>146</v>
      </c>
      <c r="Q203" s="29" t="n">
        <v>0.08</v>
      </c>
      <c r="R203" s="30" t="n">
        <v>0.0725</v>
      </c>
      <c r="S203" s="31" t="n">
        <v>20.2586206896552</v>
      </c>
      <c r="T203" s="30" t="n">
        <v>-0.0403306163119294</v>
      </c>
      <c r="U203" s="30" t="n">
        <v>0.0292454140054558</v>
      </c>
      <c r="V203" s="29" t="n">
        <v>-0.0075</v>
      </c>
      <c r="W203" s="29" t="n">
        <f aca="false">IF(N(Q203)=0,"",Q203+IF(I203="yes",Q203*Inputs!$B$10*Inputs!$B$9,0)+V203)</f>
        <v>0.0725</v>
      </c>
      <c r="X203" s="28" t="n">
        <f aca="false">IF(OR(N(W203)&lt;=0,N(N203)=0,N(L203)=0),"",MIN(L203,N203/W203))</f>
        <v>20.2586206896552</v>
      </c>
      <c r="Y203" s="29" t="n">
        <f aca="false">IF(OR(X203="",N(O203)=0),"",X203/O203-1)</f>
        <v>-0.0403306163119294</v>
      </c>
      <c r="Z203" s="29" t="n">
        <f aca="false">IF(OR(Y203="",N(O203)=0),"",Y203+N203/O203)</f>
        <v>0.0292454140054558</v>
      </c>
      <c r="AA203" s="32" t="n">
        <f aca="false">IF(OR(Z203="",N(U203)=0),"",Z203-U203)</f>
        <v>0</v>
      </c>
      <c r="AB203" s="29" t="n">
        <f aca="false">IF(N(Q203)=0,"",Q203+IF(I203="yes",Q203*Inputs!$B$10*Inputs!$B$9,0)+IFERROR(INDEX(Inputs!$B$13:$B$15,MATCH(G203,Inputs!$A$13:$A$15,0)),0)+IFERROR(INDEX(Inputs!$B$18:$B$24,MATCH(H203,Inputs!$A$18:$A$24,0)),0))</f>
        <v>0.075</v>
      </c>
      <c r="AC203" s="28" t="n">
        <f aca="false">IF(OR(N(AB203)&lt;=0,N(N203)=0,N(L203)=0),"",MIN(L203,N203/AB203))</f>
        <v>19.5833333333333</v>
      </c>
      <c r="AD203" s="29" t="n">
        <f aca="false">IF(OR(AC203="",N(O203)=0),"",AC203/O203-1)</f>
        <v>-0.0723195957681982</v>
      </c>
      <c r="AE203" s="29" t="n">
        <f aca="false">IF(OR(AD203="",N(O203)=0),"",AD203+N203/O203)</f>
        <v>-0.00274356545081311</v>
      </c>
      <c r="AF203" s="32" t="n">
        <f aca="false">IF(OR(AE203="",N(Z203)=0),"",AE203-Z203)</f>
        <v>-0.0319889794562689</v>
      </c>
      <c r="AG203" s="28" t="n">
        <f aca="false">IF(AND(N(M203)&gt;0,N(L203)&gt;0),M203*L203,N203)</f>
        <v>1.46875</v>
      </c>
      <c r="AH203" s="28" t="n">
        <f aca="false">IF(OR(N(AB203)&lt;=0,N(AG203)=0,N(L203)=0),"",MIN(L203,AG203/AB203))</f>
        <v>19.5833333333333</v>
      </c>
      <c r="AI203" s="29" t="n">
        <f aca="false">IF(OR(AH203="",N(O203)=0),"",AH203/O203-1)</f>
        <v>-0.0723195957681982</v>
      </c>
      <c r="AJ203" s="29" t="n">
        <f aca="false">IF(OR(AI203="",N(O203)=0),"",AI203+AG203/O203)</f>
        <v>-0.00274356545081311</v>
      </c>
      <c r="AK203" s="32" t="n">
        <f aca="false">IF(OR(AJ203="",N(AE203)=0),"",AJ203-AE203)</f>
        <v>0</v>
      </c>
      <c r="AL203" s="33" t="n">
        <f aca="false">IF(N(F203)=0,"",INDEX(Inputs!$B$28:$B$32,IFERROR(MATCH(F203,Inputs!$A$28:$A$32,1),0)+1))</f>
        <v>0.075</v>
      </c>
      <c r="AM203" s="34"/>
      <c r="AN203" s="33" t="n">
        <f aca="false">IF(N(AM203)&gt;0,AM203,AL203)</f>
        <v>0.075</v>
      </c>
      <c r="AO203" s="29" t="n">
        <f aca="false">IF(N(AN203)=0,"",AN203+IF(I203="yes",AN203*Inputs!$B$10*Inputs!$B$9,0)+IFERROR(INDEX(Inputs!$B$13:$B$15,MATCH(G203,Inputs!$A$13:$A$15,0)),0)+IFERROR(INDEX(Inputs!$B$18:$B$24,MATCH(H203,Inputs!$A$18:$A$24,0)),0))</f>
        <v>0.07</v>
      </c>
      <c r="AP203" s="28" t="n">
        <f aca="false">IF(OR(N(AO203)&lt;=0,N(AG203)=0,N(L203)=0),"",MIN(L203,AG203/AO203))</f>
        <v>20.9821428571429</v>
      </c>
      <c r="AQ203" s="29" t="n">
        <f aca="false">IF(OR(AP203="",N(O203)=0),"",AP203/O203-1)</f>
        <v>-0.00605670975164097</v>
      </c>
      <c r="AR203" s="29" t="n">
        <f aca="false">IF(OR(AQ203="",N(O203)=0),"",AQ203+AG203/O203)</f>
        <v>0.0635193205657442</v>
      </c>
      <c r="AS203" s="32" t="n">
        <f aca="false">IF(OR(AR203="",N(AJ203)=0),"",AR203-AJ203)</f>
        <v>0.0662628860165573</v>
      </c>
      <c r="AT203" s="28" t="n">
        <v>25</v>
      </c>
      <c r="AU203" s="28" t="n">
        <v>1.47</v>
      </c>
      <c r="AV203" s="28" t="n">
        <f aca="false">IF(N(AT203)&gt;0,AT203,L203)</f>
        <v>25</v>
      </c>
      <c r="AW203" s="28" t="n">
        <f aca="false">IF(AND(N(M203)&gt;0,N(AV203)&gt;0),M203*AV203,IF(N(AU203)&gt;0,AU203,N203))</f>
        <v>1.46875</v>
      </c>
      <c r="AX203" s="29" t="n">
        <f aca="false">IF(N(AN203)=0,"",AN203+IF(I203="yes",AN203*Inputs!$B$10*Inputs!$B$9,0)+IFERROR(INDEX(Inputs!$B$13:$B$15,MATCH(G203,Inputs!$A$13:$A$15,0)),0)+IFERROR(INDEX(Inputs!$B$18:$B$24,MATCH(H203,Inputs!$A$18:$A$24,0)),0))</f>
        <v>0.07</v>
      </c>
      <c r="AY203" s="28" t="n">
        <f aca="false">IF(OR(N(AX203)&lt;=0,N(AW203)=0,N(AV203)=0),"",MIN(AV203,AW203/AX203))</f>
        <v>20.9821428571429</v>
      </c>
      <c r="AZ203" s="29" t="n">
        <f aca="false">IF(OR(AY203="",N(O203)=0),"",AY203/O203-1)</f>
        <v>-0.00605670975164097</v>
      </c>
      <c r="BA203" s="29" t="n">
        <f aca="false">IF(OR(AZ203="",N(O203)=0),"",AZ203+AW203/O203)</f>
        <v>0.0635193205657442</v>
      </c>
      <c r="BB203" s="32" t="n">
        <f aca="false">IF(OR(BA203="",N(AR203)=0),"",BA203-AR203)</f>
        <v>0</v>
      </c>
      <c r="BC203" s="35" t="n">
        <f aca="false">IF(OR(BA203="",N(U203)=0),"",BA203-U203)</f>
        <v>0.0342739065602884</v>
      </c>
      <c r="BD203" s="37"/>
    </row>
    <row r="204" customFormat="false" ht="15" hidden="false" customHeight="false" outlineLevel="0" collapsed="false">
      <c r="A204" s="2" t="s">
        <v>140</v>
      </c>
      <c r="B204" s="2" t="n">
        <v>401</v>
      </c>
      <c r="C204" s="2" t="s">
        <v>503</v>
      </c>
      <c r="D204" s="2" t="s">
        <v>499</v>
      </c>
      <c r="E204" s="2" t="s">
        <v>500</v>
      </c>
      <c r="F204" s="27" t="n">
        <v>21900</v>
      </c>
      <c r="G204" s="2" t="s">
        <v>51</v>
      </c>
      <c r="H204" s="2" t="s">
        <v>58</v>
      </c>
      <c r="I204" s="2" t="s">
        <v>151</v>
      </c>
      <c r="J204" s="2" t="s">
        <v>145</v>
      </c>
      <c r="K204" s="2" t="n">
        <v>4</v>
      </c>
      <c r="L204" s="28" t="n">
        <v>100</v>
      </c>
      <c r="M204" s="29" t="n">
        <v>0.045</v>
      </c>
      <c r="N204" s="28" t="n">
        <v>4.5</v>
      </c>
      <c r="O204" s="28" t="n">
        <v>76.24</v>
      </c>
      <c r="P204" s="2" t="s">
        <v>146</v>
      </c>
      <c r="Q204" s="29" t="n">
        <v>0.08</v>
      </c>
      <c r="R204" s="30" t="n">
        <v>0.076</v>
      </c>
      <c r="S204" s="31" t="n">
        <v>59.2105263157895</v>
      </c>
      <c r="T204" s="30" t="n">
        <v>-0.223366653780306</v>
      </c>
      <c r="U204" s="30" t="n">
        <v>-0.164342519467609</v>
      </c>
      <c r="V204" s="29" t="n">
        <v>0</v>
      </c>
      <c r="W204" s="29" t="n">
        <f aca="false">IF(N(Q204)=0,"",Q204+IF(I204="yes",Q204*Inputs!$B$10*Inputs!$B$9,0)+V204)</f>
        <v>0.076</v>
      </c>
      <c r="X204" s="28" t="n">
        <f aca="false">IF(OR(N(W204)&lt;=0,N(N204)=0,N(L204)=0),"",MIN(L204,N204/W204))</f>
        <v>59.2105263157895</v>
      </c>
      <c r="Y204" s="29" t="n">
        <f aca="false">IF(OR(X204="",N(O204)=0),"",X204/O204-1)</f>
        <v>-0.223366653780306</v>
      </c>
      <c r="Z204" s="29" t="n">
        <f aca="false">IF(OR(Y204="",N(O204)=0),"",Y204+N204/O204)</f>
        <v>-0.164342519467609</v>
      </c>
      <c r="AA204" s="32" t="n">
        <f aca="false">IF(OR(Z204="",N(U204)=0),"",Z204-U204)</f>
        <v>0</v>
      </c>
      <c r="AB204" s="29" t="n">
        <f aca="false">IF(N(Q204)=0,"",Q204+IF(I204="yes",Q204*Inputs!$B$10*Inputs!$B$9,0)+IFERROR(INDEX(Inputs!$B$13:$B$15,MATCH(G204,Inputs!$A$13:$A$15,0)),0)+IFERROR(INDEX(Inputs!$B$18:$B$24,MATCH(H204,Inputs!$A$18:$A$24,0)),0))</f>
        <v>0.076</v>
      </c>
      <c r="AC204" s="28" t="n">
        <f aca="false">IF(OR(N(AB204)&lt;=0,N(N204)=0,N(L204)=0),"",MIN(L204,N204/AB204))</f>
        <v>59.2105263157895</v>
      </c>
      <c r="AD204" s="29" t="n">
        <f aca="false">IF(OR(AC204="",N(O204)=0),"",AC204/O204-1)</f>
        <v>-0.223366653780306</v>
      </c>
      <c r="AE204" s="29" t="n">
        <f aca="false">IF(OR(AD204="",N(O204)=0),"",AD204+N204/O204)</f>
        <v>-0.164342519467609</v>
      </c>
      <c r="AF204" s="32" t="n">
        <f aca="false">IF(OR(AE204="",N(Z204)=0),"",AE204-Z204)</f>
        <v>0</v>
      </c>
      <c r="AG204" s="28" t="n">
        <f aca="false">IF(AND(N(M204)&gt;0,N(L204)&gt;0),M204*L204,N204)</f>
        <v>4.5</v>
      </c>
      <c r="AH204" s="28" t="n">
        <f aca="false">IF(OR(N(AB204)&lt;=0,N(AG204)=0,N(L204)=0),"",MIN(L204,AG204/AB204))</f>
        <v>59.2105263157895</v>
      </c>
      <c r="AI204" s="29" t="n">
        <f aca="false">IF(OR(AH204="",N(O204)=0),"",AH204/O204-1)</f>
        <v>-0.223366653780306</v>
      </c>
      <c r="AJ204" s="29" t="n">
        <f aca="false">IF(OR(AI204="",N(O204)=0),"",AI204+AG204/O204)</f>
        <v>-0.164342519467609</v>
      </c>
      <c r="AK204" s="32" t="n">
        <f aca="false">IF(OR(AJ204="",N(AE204)=0),"",AJ204-AE204)</f>
        <v>0</v>
      </c>
      <c r="AL204" s="33" t="n">
        <f aca="false">IF(N(F204)=0,"",INDEX(Inputs!$B$28:$B$32,IFERROR(MATCH(F204,Inputs!$A$28:$A$32,1),0)+1))</f>
        <v>0.075</v>
      </c>
      <c r="AM204" s="34"/>
      <c r="AN204" s="33" t="n">
        <f aca="false">IF(N(AM204)&gt;0,AM204,AL204)</f>
        <v>0.075</v>
      </c>
      <c r="AO204" s="29" t="n">
        <f aca="false">IF(N(AN204)=0,"",AN204+IF(I204="yes",AN204*Inputs!$B$10*Inputs!$B$9,0)+IFERROR(INDEX(Inputs!$B$13:$B$15,MATCH(G204,Inputs!$A$13:$A$15,0)),0)+IFERROR(INDEX(Inputs!$B$18:$B$24,MATCH(H204,Inputs!$A$18:$A$24,0)),0))</f>
        <v>0.07125</v>
      </c>
      <c r="AP204" s="28" t="n">
        <f aca="false">IF(OR(N(AO204)&lt;=0,N(AG204)=0,N(L204)=0),"",MIN(L204,AG204/AO204))</f>
        <v>63.1578947368421</v>
      </c>
      <c r="AQ204" s="29" t="n">
        <f aca="false">IF(OR(AP204="",N(O204)=0),"",AP204/O204-1)</f>
        <v>-0.17159109736566</v>
      </c>
      <c r="AR204" s="29" t="n">
        <f aca="false">IF(OR(AQ204="",N(O204)=0),"",AQ204+AG204/O204)</f>
        <v>-0.112566963052963</v>
      </c>
      <c r="AS204" s="32" t="n">
        <f aca="false">IF(OR(AR204="",N(AJ204)=0),"",AR204-AJ204)</f>
        <v>0.0517755564146464</v>
      </c>
      <c r="AT204" s="28" t="n">
        <v>100</v>
      </c>
      <c r="AU204" s="28" t="n">
        <v>4.5</v>
      </c>
      <c r="AV204" s="28" t="n">
        <f aca="false">IF(N(AT204)&gt;0,AT204,L204)</f>
        <v>100</v>
      </c>
      <c r="AW204" s="28" t="n">
        <f aca="false">IF(AND(N(M204)&gt;0,N(AV204)&gt;0),M204*AV204,IF(N(AU204)&gt;0,AU204,N204))</f>
        <v>4.5</v>
      </c>
      <c r="AX204" s="29" t="n">
        <f aca="false">IF(N(AN204)=0,"",AN204+IF(I204="yes",AN204*Inputs!$B$10*Inputs!$B$9,0)+IFERROR(INDEX(Inputs!$B$13:$B$15,MATCH(G204,Inputs!$A$13:$A$15,0)),0)+IFERROR(INDEX(Inputs!$B$18:$B$24,MATCH(H204,Inputs!$A$18:$A$24,0)),0))</f>
        <v>0.07125</v>
      </c>
      <c r="AY204" s="28" t="n">
        <f aca="false">IF(OR(N(AX204)&lt;=0,N(AW204)=0,N(AV204)=0),"",MIN(AV204,AW204/AX204))</f>
        <v>63.1578947368421</v>
      </c>
      <c r="AZ204" s="29" t="n">
        <f aca="false">IF(OR(AY204="",N(O204)=0),"",AY204/O204-1)</f>
        <v>-0.17159109736566</v>
      </c>
      <c r="BA204" s="29" t="n">
        <f aca="false">IF(OR(AZ204="",N(O204)=0),"",AZ204+AW204/O204)</f>
        <v>-0.112566963052963</v>
      </c>
      <c r="BB204" s="32" t="n">
        <f aca="false">IF(OR(BA204="",N(AR204)=0),"",BA204-AR204)</f>
        <v>0</v>
      </c>
      <c r="BC204" s="35" t="n">
        <f aca="false">IF(OR(BA204="",N(U204)=0),"",BA204-U204)</f>
        <v>0.0517755564146464</v>
      </c>
      <c r="BD204" s="37"/>
    </row>
    <row r="205" customFormat="false" ht="15" hidden="false" customHeight="false" outlineLevel="0" collapsed="false">
      <c r="A205" s="2" t="s">
        <v>140</v>
      </c>
      <c r="B205" s="2" t="n">
        <v>402</v>
      </c>
      <c r="C205" s="2" t="s">
        <v>504</v>
      </c>
      <c r="D205" s="2" t="s">
        <v>499</v>
      </c>
      <c r="E205" s="2" t="s">
        <v>500</v>
      </c>
      <c r="F205" s="27" t="n">
        <v>21900</v>
      </c>
      <c r="G205" s="2" t="s">
        <v>51</v>
      </c>
      <c r="H205" s="2" t="s">
        <v>58</v>
      </c>
      <c r="I205" s="2" t="s">
        <v>151</v>
      </c>
      <c r="J205" s="2" t="s">
        <v>145</v>
      </c>
      <c r="K205" s="2" t="n">
        <v>4</v>
      </c>
      <c r="L205" s="28" t="n">
        <v>25</v>
      </c>
      <c r="M205" s="29" t="n">
        <v>0.042</v>
      </c>
      <c r="N205" s="28" t="n">
        <v>1.05</v>
      </c>
      <c r="O205" s="28" t="n">
        <v>16.28</v>
      </c>
      <c r="P205" s="2" t="s">
        <v>146</v>
      </c>
      <c r="Q205" s="29" t="n">
        <v>0.08</v>
      </c>
      <c r="R205" s="30" t="n">
        <v>0.076</v>
      </c>
      <c r="S205" s="31" t="n">
        <v>13.8157894736842</v>
      </c>
      <c r="T205" s="30" t="n">
        <v>-0.15136428294323</v>
      </c>
      <c r="U205" s="30" t="n">
        <v>-0.0868679684469159</v>
      </c>
      <c r="V205" s="29" t="n">
        <v>0</v>
      </c>
      <c r="W205" s="29" t="n">
        <f aca="false">IF(N(Q205)=0,"",Q205+IF(I205="yes",Q205*Inputs!$B$10*Inputs!$B$9,0)+V205)</f>
        <v>0.076</v>
      </c>
      <c r="X205" s="28" t="n">
        <f aca="false">IF(OR(N(W205)&lt;=0,N(N205)=0,N(L205)=0),"",MIN(L205,N205/W205))</f>
        <v>13.8157894736842</v>
      </c>
      <c r="Y205" s="29" t="n">
        <f aca="false">IF(OR(X205="",N(O205)=0),"",X205/O205-1)</f>
        <v>-0.15136428294323</v>
      </c>
      <c r="Z205" s="29" t="n">
        <f aca="false">IF(OR(Y205="",N(O205)=0),"",Y205+N205/O205)</f>
        <v>-0.0868679684469159</v>
      </c>
      <c r="AA205" s="32" t="n">
        <f aca="false">IF(OR(Z205="",N(U205)=0),"",Z205-U205)</f>
        <v>0</v>
      </c>
      <c r="AB205" s="29" t="n">
        <f aca="false">IF(N(Q205)=0,"",Q205+IF(I205="yes",Q205*Inputs!$B$10*Inputs!$B$9,0)+IFERROR(INDEX(Inputs!$B$13:$B$15,MATCH(G205,Inputs!$A$13:$A$15,0)),0)+IFERROR(INDEX(Inputs!$B$18:$B$24,MATCH(H205,Inputs!$A$18:$A$24,0)),0))</f>
        <v>0.076</v>
      </c>
      <c r="AC205" s="28" t="n">
        <f aca="false">IF(OR(N(AB205)&lt;=0,N(N205)=0,N(L205)=0),"",MIN(L205,N205/AB205))</f>
        <v>13.8157894736842</v>
      </c>
      <c r="AD205" s="29" t="n">
        <f aca="false">IF(OR(AC205="",N(O205)=0),"",AC205/O205-1)</f>
        <v>-0.15136428294323</v>
      </c>
      <c r="AE205" s="29" t="n">
        <f aca="false">IF(OR(AD205="",N(O205)=0),"",AD205+N205/O205)</f>
        <v>-0.0868679684469159</v>
      </c>
      <c r="AF205" s="32" t="n">
        <f aca="false">IF(OR(AE205="",N(Z205)=0),"",AE205-Z205)</f>
        <v>0</v>
      </c>
      <c r="AG205" s="28" t="n">
        <f aca="false">IF(AND(N(M205)&gt;0,N(L205)&gt;0),M205*L205,N205)</f>
        <v>1.05</v>
      </c>
      <c r="AH205" s="28" t="n">
        <f aca="false">IF(OR(N(AB205)&lt;=0,N(AG205)=0,N(L205)=0),"",MIN(L205,AG205/AB205))</f>
        <v>13.8157894736842</v>
      </c>
      <c r="AI205" s="29" t="n">
        <f aca="false">IF(OR(AH205="",N(O205)=0),"",AH205/O205-1)</f>
        <v>-0.15136428294323</v>
      </c>
      <c r="AJ205" s="29" t="n">
        <f aca="false">IF(OR(AI205="",N(O205)=0),"",AI205+AG205/O205)</f>
        <v>-0.0868679684469159</v>
      </c>
      <c r="AK205" s="32" t="n">
        <f aca="false">IF(OR(AJ205="",N(AE205)=0),"",AJ205-AE205)</f>
        <v>0</v>
      </c>
      <c r="AL205" s="33" t="n">
        <f aca="false">IF(N(F205)=0,"",INDEX(Inputs!$B$28:$B$32,IFERROR(MATCH(F205,Inputs!$A$28:$A$32,1),0)+1))</f>
        <v>0.075</v>
      </c>
      <c r="AM205" s="34"/>
      <c r="AN205" s="33" t="n">
        <f aca="false">IF(N(AM205)&gt;0,AM205,AL205)</f>
        <v>0.075</v>
      </c>
      <c r="AO205" s="29" t="n">
        <f aca="false">IF(N(AN205)=0,"",AN205+IF(I205="yes",AN205*Inputs!$B$10*Inputs!$B$9,0)+IFERROR(INDEX(Inputs!$B$13:$B$15,MATCH(G205,Inputs!$A$13:$A$15,0)),0)+IFERROR(INDEX(Inputs!$B$18:$B$24,MATCH(H205,Inputs!$A$18:$A$24,0)),0))</f>
        <v>0.07125</v>
      </c>
      <c r="AP205" s="28" t="n">
        <f aca="false">IF(OR(N(AO205)&lt;=0,N(AG205)=0,N(L205)=0),"",MIN(L205,AG205/AO205))</f>
        <v>14.7368421052632</v>
      </c>
      <c r="AQ205" s="29" t="n">
        <f aca="false">IF(OR(AP205="",N(O205)=0),"",AP205/O205-1)</f>
        <v>-0.0947885684727789</v>
      </c>
      <c r="AR205" s="29" t="n">
        <f aca="false">IF(OR(AQ205="",N(O205)=0),"",AQ205+AG205/O205)</f>
        <v>-0.0302922539764645</v>
      </c>
      <c r="AS205" s="32" t="n">
        <f aca="false">IF(OR(AR205="",N(AJ205)=0),"",AR205-AJ205)</f>
        <v>0.0565757144704514</v>
      </c>
      <c r="AT205" s="28" t="n">
        <v>25</v>
      </c>
      <c r="AU205" s="28" t="n">
        <v>1.05</v>
      </c>
      <c r="AV205" s="28" t="n">
        <f aca="false">IF(N(AT205)&gt;0,AT205,L205)</f>
        <v>25</v>
      </c>
      <c r="AW205" s="28" t="n">
        <f aca="false">IF(AND(N(M205)&gt;0,N(AV205)&gt;0),M205*AV205,IF(N(AU205)&gt;0,AU205,N205))</f>
        <v>1.05</v>
      </c>
      <c r="AX205" s="29" t="n">
        <f aca="false">IF(N(AN205)=0,"",AN205+IF(I205="yes",AN205*Inputs!$B$10*Inputs!$B$9,0)+IFERROR(INDEX(Inputs!$B$13:$B$15,MATCH(G205,Inputs!$A$13:$A$15,0)),0)+IFERROR(INDEX(Inputs!$B$18:$B$24,MATCH(H205,Inputs!$A$18:$A$24,0)),0))</f>
        <v>0.07125</v>
      </c>
      <c r="AY205" s="28" t="n">
        <f aca="false">IF(OR(N(AX205)&lt;=0,N(AW205)=0,N(AV205)=0),"",MIN(AV205,AW205/AX205))</f>
        <v>14.7368421052632</v>
      </c>
      <c r="AZ205" s="29" t="n">
        <f aca="false">IF(OR(AY205="",N(O205)=0),"",AY205/O205-1)</f>
        <v>-0.0947885684727789</v>
      </c>
      <c r="BA205" s="29" t="n">
        <f aca="false">IF(OR(AZ205="",N(O205)=0),"",AZ205+AW205/O205)</f>
        <v>-0.0302922539764645</v>
      </c>
      <c r="BB205" s="32" t="n">
        <f aca="false">IF(OR(BA205="",N(AR205)=0),"",BA205-AR205)</f>
        <v>0</v>
      </c>
      <c r="BC205" s="35" t="n">
        <f aca="false">IF(OR(BA205="",N(U205)=0),"",BA205-U205)</f>
        <v>0.0565757144704514</v>
      </c>
      <c r="BD205" s="37"/>
    </row>
    <row r="206" customFormat="false" ht="15" hidden="false" customHeight="false" outlineLevel="0" collapsed="false">
      <c r="A206" s="2" t="s">
        <v>140</v>
      </c>
      <c r="B206" s="2" t="n">
        <v>405</v>
      </c>
      <c r="C206" s="2" t="s">
        <v>505</v>
      </c>
      <c r="D206" s="2" t="s">
        <v>506</v>
      </c>
      <c r="E206" s="2" t="s">
        <v>143</v>
      </c>
      <c r="F206" s="27"/>
      <c r="G206" s="2" t="s">
        <v>52</v>
      </c>
      <c r="H206" s="2" t="s">
        <v>58</v>
      </c>
      <c r="I206" s="2" t="s">
        <v>144</v>
      </c>
      <c r="J206" s="2" t="s">
        <v>145</v>
      </c>
      <c r="K206" s="2" t="n">
        <v>4</v>
      </c>
      <c r="L206" s="28" t="n">
        <v>25</v>
      </c>
      <c r="M206" s="29" t="n">
        <v>0.0675</v>
      </c>
      <c r="N206" s="28" t="n">
        <v>1.6875</v>
      </c>
      <c r="O206" s="28" t="n">
        <v>0</v>
      </c>
      <c r="P206" s="2" t="s">
        <v>146</v>
      </c>
      <c r="Q206" s="29" t="n">
        <v>0.08</v>
      </c>
      <c r="R206" s="30" t="n">
        <v>0.0725</v>
      </c>
      <c r="S206" s="31" t="n">
        <v>23.2758620689655</v>
      </c>
      <c r="T206" s="30"/>
      <c r="U206" s="30"/>
      <c r="V206" s="29" t="n">
        <v>-0.0075</v>
      </c>
      <c r="W206" s="29" t="n">
        <f aca="false">IF(N(Q206)=0,"",Q206+IF(I206="yes",Q206*Inputs!$B$10*Inputs!$B$9,0)+V206)</f>
        <v>0.0725</v>
      </c>
      <c r="X206" s="28" t="n">
        <f aca="false">IF(OR(N(W206)&lt;=0,N(N206)=0,N(L206)=0),"",MIN(L206,N206/W206))</f>
        <v>23.2758620689655</v>
      </c>
      <c r="Y206" s="29" t="str">
        <f aca="false">IF(OR(X206="",N(O206)=0),"",X206/O206-1)</f>
        <v/>
      </c>
      <c r="Z206" s="29" t="str">
        <f aca="false">IF(OR(Y206="",N(O206)=0),"",Y206+N206/O206)</f>
        <v/>
      </c>
      <c r="AA206" s="32" t="str">
        <f aca="false">IF(OR(Z206="",N(U206)=0),"",Z206-U206)</f>
        <v/>
      </c>
      <c r="AB206" s="29" t="n">
        <f aca="false">IF(N(Q206)=0,"",Q206+IF(I206="yes",Q206*Inputs!$B$10*Inputs!$B$9,0)+IFERROR(INDEX(Inputs!$B$13:$B$15,MATCH(G206,Inputs!$A$13:$A$15,0)),0)+IFERROR(INDEX(Inputs!$B$18:$B$24,MATCH(H206,Inputs!$A$18:$A$24,0)),0))</f>
        <v>0.075</v>
      </c>
      <c r="AC206" s="28" t="n">
        <f aca="false">IF(OR(N(AB206)&lt;=0,N(N206)=0,N(L206)=0),"",MIN(L206,N206/AB206))</f>
        <v>22.5</v>
      </c>
      <c r="AD206" s="29" t="str">
        <f aca="false">IF(OR(AC206="",N(O206)=0),"",AC206/O206-1)</f>
        <v/>
      </c>
      <c r="AE206" s="29" t="str">
        <f aca="false">IF(OR(AD206="",N(O206)=0),"",AD206+N206/O206)</f>
        <v/>
      </c>
      <c r="AF206" s="32" t="str">
        <f aca="false">IF(OR(AE206="",N(Z206)=0),"",AE206-Z206)</f>
        <v/>
      </c>
      <c r="AG206" s="28" t="n">
        <f aca="false">IF(AND(N(M206)&gt;0,N(L206)&gt;0),M206*L206,N206)</f>
        <v>1.6875</v>
      </c>
      <c r="AH206" s="28" t="n">
        <f aca="false">IF(OR(N(AB206)&lt;=0,N(AG206)=0,N(L206)=0),"",MIN(L206,AG206/AB206))</f>
        <v>22.5</v>
      </c>
      <c r="AI206" s="29" t="str">
        <f aca="false">IF(OR(AH206="",N(O206)=0),"",AH206/O206-1)</f>
        <v/>
      </c>
      <c r="AJ206" s="29" t="str">
        <f aca="false">IF(OR(AI206="",N(O206)=0),"",AI206+AG206/O206)</f>
        <v/>
      </c>
      <c r="AK206" s="32" t="str">
        <f aca="false">IF(OR(AJ206="",N(AE206)=0),"",AJ206-AE206)</f>
        <v/>
      </c>
      <c r="AL206" s="33" t="str">
        <f aca="false">IF(N(F206)=0,"",INDEX(Inputs!$B$28:$B$32,IFERROR(MATCH(F206,Inputs!$A$28:$A$32,1),0)+1))</f>
        <v/>
      </c>
      <c r="AM206" s="34"/>
      <c r="AN206" s="33" t="str">
        <f aca="false">IF(N(AM206)&gt;0,AM206,AL206)</f>
        <v/>
      </c>
      <c r="AO206" s="29" t="str">
        <f aca="false">IF(N(AN206)=0,"",AN206+IF(I206="yes",AN206*Inputs!$B$10*Inputs!$B$9,0)+IFERROR(INDEX(Inputs!$B$13:$B$15,MATCH(G206,Inputs!$A$13:$A$15,0)),0)+IFERROR(INDEX(Inputs!$B$18:$B$24,MATCH(H206,Inputs!$A$18:$A$24,0)),0))</f>
        <v/>
      </c>
      <c r="AP206" s="28" t="str">
        <f aca="false">IF(OR(N(AO206)&lt;=0,N(AG206)=0,N(L206)=0),"",MIN(L206,AG206/AO206))</f>
        <v/>
      </c>
      <c r="AQ206" s="29" t="str">
        <f aca="false">IF(OR(AP206="",N(O206)=0),"",AP206/O206-1)</f>
        <v/>
      </c>
      <c r="AR206" s="29" t="str">
        <f aca="false">IF(OR(AQ206="",N(O206)=0),"",AQ206+AG206/O206)</f>
        <v/>
      </c>
      <c r="AS206" s="32" t="str">
        <f aca="false">IF(OR(AR206="",N(AJ206)=0),"",AR206-AJ206)</f>
        <v/>
      </c>
      <c r="AT206" s="28"/>
      <c r="AU206" s="28"/>
      <c r="AV206" s="28" t="n">
        <f aca="false">IF(N(AT206)&gt;0,AT206,L206)</f>
        <v>25</v>
      </c>
      <c r="AW206" s="28" t="n">
        <f aca="false">IF(AND(N(M206)&gt;0,N(AV206)&gt;0),M206*AV206,IF(N(AU206)&gt;0,AU206,N206))</f>
        <v>1.6875</v>
      </c>
      <c r="AX206" s="29" t="str">
        <f aca="false">IF(N(AN206)=0,"",AN206+IF(I206="yes",AN206*Inputs!$B$10*Inputs!$B$9,0)+IFERROR(INDEX(Inputs!$B$13:$B$15,MATCH(G206,Inputs!$A$13:$A$15,0)),0)+IFERROR(INDEX(Inputs!$B$18:$B$24,MATCH(H206,Inputs!$A$18:$A$24,0)),0))</f>
        <v/>
      </c>
      <c r="AY206" s="28" t="str">
        <f aca="false">IF(OR(N(AX206)&lt;=0,N(AW206)=0,N(AV206)=0),"",MIN(AV206,AW206/AX206))</f>
        <v/>
      </c>
      <c r="AZ206" s="29" t="str">
        <f aca="false">IF(OR(AY206="",N(O206)=0),"",AY206/O206-1)</f>
        <v/>
      </c>
      <c r="BA206" s="29" t="str">
        <f aca="false">IF(OR(AZ206="",N(O206)=0),"",AZ206+AW206/O206)</f>
        <v/>
      </c>
      <c r="BB206" s="32" t="str">
        <f aca="false">IF(OR(BA206="",N(AR206)=0),"",BA206-AR206)</f>
        <v/>
      </c>
      <c r="BC206" s="35" t="str">
        <f aca="false">IF(OR(BA206="",N(U206)=0),"",BA206-U206)</f>
        <v/>
      </c>
      <c r="BD206" s="36" t="s">
        <v>198</v>
      </c>
    </row>
    <row r="207" customFormat="false" ht="15" hidden="false" customHeight="false" outlineLevel="0" collapsed="false">
      <c r="A207" s="2" t="s">
        <v>140</v>
      </c>
      <c r="B207" s="2" t="n">
        <v>406</v>
      </c>
      <c r="C207" s="2" t="s">
        <v>507</v>
      </c>
      <c r="D207" s="2" t="s">
        <v>506</v>
      </c>
      <c r="E207" s="2" t="s">
        <v>143</v>
      </c>
      <c r="F207" s="27"/>
      <c r="G207" s="2" t="s">
        <v>52</v>
      </c>
      <c r="H207" s="2" t="s">
        <v>58</v>
      </c>
      <c r="I207" s="2" t="s">
        <v>144</v>
      </c>
      <c r="J207" s="2" t="s">
        <v>145</v>
      </c>
      <c r="K207" s="2" t="n">
        <v>4</v>
      </c>
      <c r="L207" s="28" t="n">
        <v>25</v>
      </c>
      <c r="M207" s="29" t="n">
        <v>0.0975</v>
      </c>
      <c r="N207" s="28" t="n">
        <v>2.4375</v>
      </c>
      <c r="O207" s="28" t="n">
        <v>0</v>
      </c>
      <c r="P207" s="2" t="s">
        <v>223</v>
      </c>
      <c r="Q207" s="29" t="n">
        <v>0.08</v>
      </c>
      <c r="R207" s="30" t="n">
        <v>0.08</v>
      </c>
      <c r="S207" s="31" t="n">
        <v>25</v>
      </c>
      <c r="T207" s="30"/>
      <c r="U207" s="30"/>
      <c r="V207" s="29" t="n">
        <v>-0.005</v>
      </c>
      <c r="W207" s="29" t="n">
        <f aca="false">IF(N(Q207)=0,"",Q207+IF(I207="yes",Q207*Inputs!$B$10*Inputs!$B$9,0)+V207)</f>
        <v>0.075</v>
      </c>
      <c r="X207" s="28" t="n">
        <f aca="false">IF(OR(N(W207)&lt;=0,N(N207)=0,N(L207)=0),"",MIN(L207,N207/W207))</f>
        <v>25</v>
      </c>
      <c r="Y207" s="29" t="str">
        <f aca="false">IF(OR(X207="",N(O207)=0),"",X207/O207-1)</f>
        <v/>
      </c>
      <c r="Z207" s="29" t="str">
        <f aca="false">IF(OR(Y207="",N(O207)=0),"",Y207+N207/O207)</f>
        <v/>
      </c>
      <c r="AA207" s="32" t="str">
        <f aca="false">IF(OR(Z207="",N(U207)=0),"",Z207-U207)</f>
        <v/>
      </c>
      <c r="AB207" s="29" t="n">
        <f aca="false">IF(N(Q207)=0,"",Q207+IF(I207="yes",Q207*Inputs!$B$10*Inputs!$B$9,0)+IFERROR(INDEX(Inputs!$B$13:$B$15,MATCH(G207,Inputs!$A$13:$A$15,0)),0)+IFERROR(INDEX(Inputs!$B$18:$B$24,MATCH(H207,Inputs!$A$18:$A$24,0)),0))</f>
        <v>0.075</v>
      </c>
      <c r="AC207" s="28" t="n">
        <f aca="false">IF(OR(N(AB207)&lt;=0,N(N207)=0,N(L207)=0),"",MIN(L207,N207/AB207))</f>
        <v>25</v>
      </c>
      <c r="AD207" s="29" t="str">
        <f aca="false">IF(OR(AC207="",N(O207)=0),"",AC207/O207-1)</f>
        <v/>
      </c>
      <c r="AE207" s="29" t="str">
        <f aca="false">IF(OR(AD207="",N(O207)=0),"",AD207+N207/O207)</f>
        <v/>
      </c>
      <c r="AF207" s="32" t="str">
        <f aca="false">IF(OR(AE207="",N(Z207)=0),"",AE207-Z207)</f>
        <v/>
      </c>
      <c r="AG207" s="28" t="n">
        <f aca="false">IF(AND(N(M207)&gt;0,N(L207)&gt;0),M207*L207,N207)</f>
        <v>2.4375</v>
      </c>
      <c r="AH207" s="28" t="n">
        <f aca="false">IF(OR(N(AB207)&lt;=0,N(AG207)=0,N(L207)=0),"",MIN(L207,AG207/AB207))</f>
        <v>25</v>
      </c>
      <c r="AI207" s="29" t="str">
        <f aca="false">IF(OR(AH207="",N(O207)=0),"",AH207/O207-1)</f>
        <v/>
      </c>
      <c r="AJ207" s="29" t="str">
        <f aca="false">IF(OR(AI207="",N(O207)=0),"",AI207+AG207/O207)</f>
        <v/>
      </c>
      <c r="AK207" s="32" t="str">
        <f aca="false">IF(OR(AJ207="",N(AE207)=0),"",AJ207-AE207)</f>
        <v/>
      </c>
      <c r="AL207" s="33" t="str">
        <f aca="false">IF(N(F207)=0,"",INDEX(Inputs!$B$28:$B$32,IFERROR(MATCH(F207,Inputs!$A$28:$A$32,1),0)+1))</f>
        <v/>
      </c>
      <c r="AM207" s="34"/>
      <c r="AN207" s="33" t="str">
        <f aca="false">IF(N(AM207)&gt;0,AM207,AL207)</f>
        <v/>
      </c>
      <c r="AO207" s="29" t="str">
        <f aca="false">IF(N(AN207)=0,"",AN207+IF(I207="yes",AN207*Inputs!$B$10*Inputs!$B$9,0)+IFERROR(INDEX(Inputs!$B$13:$B$15,MATCH(G207,Inputs!$A$13:$A$15,0)),0)+IFERROR(INDEX(Inputs!$B$18:$B$24,MATCH(H207,Inputs!$A$18:$A$24,0)),0))</f>
        <v/>
      </c>
      <c r="AP207" s="28" t="str">
        <f aca="false">IF(OR(N(AO207)&lt;=0,N(AG207)=0,N(L207)=0),"",MIN(L207,AG207/AO207))</f>
        <v/>
      </c>
      <c r="AQ207" s="29" t="str">
        <f aca="false">IF(OR(AP207="",N(O207)=0),"",AP207/O207-1)</f>
        <v/>
      </c>
      <c r="AR207" s="29" t="str">
        <f aca="false">IF(OR(AQ207="",N(O207)=0),"",AQ207+AG207/O207)</f>
        <v/>
      </c>
      <c r="AS207" s="32" t="str">
        <f aca="false">IF(OR(AR207="",N(AJ207)=0),"",AR207-AJ207)</f>
        <v/>
      </c>
      <c r="AT207" s="28"/>
      <c r="AU207" s="28"/>
      <c r="AV207" s="28" t="n">
        <f aca="false">IF(N(AT207)&gt;0,AT207,L207)</f>
        <v>25</v>
      </c>
      <c r="AW207" s="28" t="n">
        <f aca="false">IF(AND(N(M207)&gt;0,N(AV207)&gt;0),M207*AV207,IF(N(AU207)&gt;0,AU207,N207))</f>
        <v>2.4375</v>
      </c>
      <c r="AX207" s="29" t="str">
        <f aca="false">IF(N(AN207)=0,"",AN207+IF(I207="yes",AN207*Inputs!$B$10*Inputs!$B$9,0)+IFERROR(INDEX(Inputs!$B$13:$B$15,MATCH(G207,Inputs!$A$13:$A$15,0)),0)+IFERROR(INDEX(Inputs!$B$18:$B$24,MATCH(H207,Inputs!$A$18:$A$24,0)),0))</f>
        <v/>
      </c>
      <c r="AY207" s="28" t="str">
        <f aca="false">IF(OR(N(AX207)&lt;=0,N(AW207)=0,N(AV207)=0),"",MIN(AV207,AW207/AX207))</f>
        <v/>
      </c>
      <c r="AZ207" s="29" t="str">
        <f aca="false">IF(OR(AY207="",N(O207)=0),"",AY207/O207-1)</f>
        <v/>
      </c>
      <c r="BA207" s="29" t="str">
        <f aca="false">IF(OR(AZ207="",N(O207)=0),"",AZ207+AW207/O207)</f>
        <v/>
      </c>
      <c r="BB207" s="32" t="str">
        <f aca="false">IF(OR(BA207="",N(AR207)=0),"",BA207-AR207)</f>
        <v/>
      </c>
      <c r="BC207" s="35" t="str">
        <f aca="false">IF(OR(BA207="",N(U207)=0),"",BA207-U207)</f>
        <v/>
      </c>
      <c r="BD207" s="36" t="s">
        <v>508</v>
      </c>
    </row>
    <row r="208" customFormat="false" ht="15" hidden="false" customHeight="false" outlineLevel="0" collapsed="false">
      <c r="A208" s="2" t="s">
        <v>140</v>
      </c>
      <c r="B208" s="2" t="n">
        <v>409</v>
      </c>
      <c r="C208" s="2" t="s">
        <v>509</v>
      </c>
      <c r="D208" s="2" t="s">
        <v>510</v>
      </c>
      <c r="E208" s="2" t="s">
        <v>511</v>
      </c>
      <c r="F208" s="27" t="n">
        <v>4900</v>
      </c>
      <c r="G208" s="2" t="s">
        <v>52</v>
      </c>
      <c r="H208" s="2" t="s">
        <v>58</v>
      </c>
      <c r="I208" s="2" t="s">
        <v>144</v>
      </c>
      <c r="J208" s="2" t="s">
        <v>145</v>
      </c>
      <c r="K208" s="2" t="n">
        <v>4</v>
      </c>
      <c r="L208" s="28" t="n">
        <v>25</v>
      </c>
      <c r="M208" s="29" t="n">
        <v>0.05125</v>
      </c>
      <c r="N208" s="28" t="n">
        <v>1.28125</v>
      </c>
      <c r="O208" s="28" t="n">
        <v>16.29</v>
      </c>
      <c r="P208" s="2" t="s">
        <v>146</v>
      </c>
      <c r="Q208" s="29" t="n">
        <v>0.08</v>
      </c>
      <c r="R208" s="30" t="n">
        <v>0.075</v>
      </c>
      <c r="S208" s="31" t="n">
        <v>17.0833333333333</v>
      </c>
      <c r="T208" s="30" t="n">
        <v>0.0487006343359937</v>
      </c>
      <c r="U208" s="30" t="n">
        <v>0.127353181911193</v>
      </c>
      <c r="V208" s="29" t="n">
        <v>-0.005</v>
      </c>
      <c r="W208" s="29" t="n">
        <f aca="false">IF(N(Q208)=0,"",Q208+IF(I208="yes",Q208*Inputs!$B$10*Inputs!$B$9,0)+V208)</f>
        <v>0.075</v>
      </c>
      <c r="X208" s="28" t="n">
        <f aca="false">IF(OR(N(W208)&lt;=0,N(N208)=0,N(L208)=0),"",MIN(L208,N208/W208))</f>
        <v>17.0833333333333</v>
      </c>
      <c r="Y208" s="29" t="n">
        <f aca="false">IF(OR(X208="",N(O208)=0),"",X208/O208-1)</f>
        <v>0.0487006343359937</v>
      </c>
      <c r="Z208" s="29" t="n">
        <f aca="false">IF(OR(Y208="",N(O208)=0),"",Y208+N208/O208)</f>
        <v>0.127353181911193</v>
      </c>
      <c r="AA208" s="32" t="n">
        <f aca="false">IF(OR(Z208="",N(U208)=0),"",Z208-U208)</f>
        <v>0</v>
      </c>
      <c r="AB208" s="29" t="n">
        <f aca="false">IF(N(Q208)=0,"",Q208+IF(I208="yes",Q208*Inputs!$B$10*Inputs!$B$9,0)+IFERROR(INDEX(Inputs!$B$13:$B$15,MATCH(G208,Inputs!$A$13:$A$15,0)),0)+IFERROR(INDEX(Inputs!$B$18:$B$24,MATCH(H208,Inputs!$A$18:$A$24,0)),0))</f>
        <v>0.075</v>
      </c>
      <c r="AC208" s="28" t="n">
        <f aca="false">IF(OR(N(AB208)&lt;=0,N(N208)=0,N(L208)=0),"",MIN(L208,N208/AB208))</f>
        <v>17.0833333333333</v>
      </c>
      <c r="AD208" s="29" t="n">
        <f aca="false">IF(OR(AC208="",N(O208)=0),"",AC208/O208-1)</f>
        <v>0.0487006343359937</v>
      </c>
      <c r="AE208" s="29" t="n">
        <f aca="false">IF(OR(AD208="",N(O208)=0),"",AD208+N208/O208)</f>
        <v>0.127353181911193</v>
      </c>
      <c r="AF208" s="32" t="n">
        <f aca="false">IF(OR(AE208="",N(Z208)=0),"",AE208-Z208)</f>
        <v>0</v>
      </c>
      <c r="AG208" s="28" t="n">
        <f aca="false">IF(AND(N(M208)&gt;0,N(L208)&gt;0),M208*L208,N208)</f>
        <v>1.28125</v>
      </c>
      <c r="AH208" s="28" t="n">
        <f aca="false">IF(OR(N(AB208)&lt;=0,N(AG208)=0,N(L208)=0),"",MIN(L208,AG208/AB208))</f>
        <v>17.0833333333333</v>
      </c>
      <c r="AI208" s="29" t="n">
        <f aca="false">IF(OR(AH208="",N(O208)=0),"",AH208/O208-1)</f>
        <v>0.0487006343359937</v>
      </c>
      <c r="AJ208" s="29" t="n">
        <f aca="false">IF(OR(AI208="",N(O208)=0),"",AI208+AG208/O208)</f>
        <v>0.127353181911193</v>
      </c>
      <c r="AK208" s="32" t="n">
        <f aca="false">IF(OR(AJ208="",N(AE208)=0),"",AJ208-AE208)</f>
        <v>0</v>
      </c>
      <c r="AL208" s="33" t="n">
        <f aca="false">IF(N(F208)=0,"",INDEX(Inputs!$B$28:$B$32,IFERROR(MATCH(F208,Inputs!$A$28:$A$32,1),0)+1))</f>
        <v>0.085</v>
      </c>
      <c r="AM208" s="34"/>
      <c r="AN208" s="33" t="n">
        <f aca="false">IF(N(AM208)&gt;0,AM208,AL208)</f>
        <v>0.085</v>
      </c>
      <c r="AO208" s="29" t="n">
        <f aca="false">IF(N(AN208)=0,"",AN208+IF(I208="yes",AN208*Inputs!$B$10*Inputs!$B$9,0)+IFERROR(INDEX(Inputs!$B$13:$B$15,MATCH(G208,Inputs!$A$13:$A$15,0)),0)+IFERROR(INDEX(Inputs!$B$18:$B$24,MATCH(H208,Inputs!$A$18:$A$24,0)),0))</f>
        <v>0.08</v>
      </c>
      <c r="AP208" s="28" t="n">
        <f aca="false">IF(OR(N(AO208)&lt;=0,N(AG208)=0,N(L208)=0),"",MIN(L208,AG208/AO208))</f>
        <v>16.015625</v>
      </c>
      <c r="AQ208" s="29" t="n">
        <f aca="false">IF(OR(AP208="",N(O208)=0),"",AP208/O208-1)</f>
        <v>-0.0168431553100061</v>
      </c>
      <c r="AR208" s="29" t="n">
        <f aca="false">IF(OR(AQ208="",N(O208)=0),"",AQ208+AG208/O208)</f>
        <v>0.0618093922651934</v>
      </c>
      <c r="AS208" s="32" t="n">
        <f aca="false">IF(OR(AR208="",N(AJ208)=0),"",AR208-AJ208)</f>
        <v>-0.0655437896459998</v>
      </c>
      <c r="AT208" s="28" t="n">
        <v>25</v>
      </c>
      <c r="AU208" s="28" t="n">
        <v>1.28125</v>
      </c>
      <c r="AV208" s="28" t="n">
        <f aca="false">IF(N(AT208)&gt;0,AT208,L208)</f>
        <v>25</v>
      </c>
      <c r="AW208" s="28" t="n">
        <f aca="false">IF(AND(N(M208)&gt;0,N(AV208)&gt;0),M208*AV208,IF(N(AU208)&gt;0,AU208,N208))</f>
        <v>1.28125</v>
      </c>
      <c r="AX208" s="29" t="n">
        <f aca="false">IF(N(AN208)=0,"",AN208+IF(I208="yes",AN208*Inputs!$B$10*Inputs!$B$9,0)+IFERROR(INDEX(Inputs!$B$13:$B$15,MATCH(G208,Inputs!$A$13:$A$15,0)),0)+IFERROR(INDEX(Inputs!$B$18:$B$24,MATCH(H208,Inputs!$A$18:$A$24,0)),0))</f>
        <v>0.08</v>
      </c>
      <c r="AY208" s="28" t="n">
        <f aca="false">IF(OR(N(AX208)&lt;=0,N(AW208)=0,N(AV208)=0),"",MIN(AV208,AW208/AX208))</f>
        <v>16.015625</v>
      </c>
      <c r="AZ208" s="29" t="n">
        <f aca="false">IF(OR(AY208="",N(O208)=0),"",AY208/O208-1)</f>
        <v>-0.0168431553100061</v>
      </c>
      <c r="BA208" s="29" t="n">
        <f aca="false">IF(OR(AZ208="",N(O208)=0),"",AZ208+AW208/O208)</f>
        <v>0.0618093922651934</v>
      </c>
      <c r="BB208" s="32" t="n">
        <f aca="false">IF(OR(BA208="",N(AR208)=0),"",BA208-AR208)</f>
        <v>0</v>
      </c>
      <c r="BC208" s="35" t="n">
        <f aca="false">IF(OR(BA208="",N(U208)=0),"",BA208-U208)</f>
        <v>-0.0655437896459998</v>
      </c>
      <c r="BD208" s="37"/>
    </row>
    <row r="209" customFormat="false" ht="15" hidden="false" customHeight="false" outlineLevel="0" collapsed="false">
      <c r="A209" s="2" t="s">
        <v>140</v>
      </c>
      <c r="B209" s="2" t="n">
        <v>413</v>
      </c>
      <c r="C209" s="2" t="s">
        <v>512</v>
      </c>
      <c r="D209" s="2" t="s">
        <v>510</v>
      </c>
      <c r="E209" s="2" t="s">
        <v>511</v>
      </c>
      <c r="F209" s="27" t="n">
        <v>4900</v>
      </c>
      <c r="G209" s="2" t="s">
        <v>51</v>
      </c>
      <c r="H209" s="2" t="s">
        <v>59</v>
      </c>
      <c r="I209" s="2" t="s">
        <v>151</v>
      </c>
      <c r="J209" s="2" t="s">
        <v>145</v>
      </c>
      <c r="K209" s="2" t="n">
        <v>4</v>
      </c>
      <c r="L209" s="28" t="n">
        <v>100</v>
      </c>
      <c r="M209" s="29" t="n">
        <v>0.062</v>
      </c>
      <c r="N209" s="28" t="n">
        <v>6.2</v>
      </c>
      <c r="O209" s="28" t="n">
        <v>0</v>
      </c>
      <c r="P209" s="2" t="s">
        <v>146</v>
      </c>
      <c r="Q209" s="29" t="n">
        <v>0.08</v>
      </c>
      <c r="R209" s="30" t="n">
        <v>0.076</v>
      </c>
      <c r="S209" s="31" t="n">
        <v>81.5789473684211</v>
      </c>
      <c r="T209" s="30"/>
      <c r="U209" s="30"/>
      <c r="V209" s="29" t="n">
        <v>0</v>
      </c>
      <c r="W209" s="29" t="n">
        <f aca="false">IF(N(Q209)=0,"",Q209+IF(I209="yes",Q209*Inputs!$B$10*Inputs!$B$9,0)+V209)</f>
        <v>0.076</v>
      </c>
      <c r="X209" s="28" t="n">
        <f aca="false">IF(OR(N(W209)&lt;=0,N(N209)=0,N(L209)=0),"",MIN(L209,N209/W209))</f>
        <v>81.5789473684211</v>
      </c>
      <c r="Y209" s="29" t="str">
        <f aca="false">IF(OR(X209="",N(O209)=0),"",X209/O209-1)</f>
        <v/>
      </c>
      <c r="Z209" s="29" t="str">
        <f aca="false">IF(OR(Y209="",N(O209)=0),"",Y209+N209/O209)</f>
        <v/>
      </c>
      <c r="AA209" s="32" t="str">
        <f aca="false">IF(OR(Z209="",N(U209)=0),"",Z209-U209)</f>
        <v/>
      </c>
      <c r="AB209" s="29" t="n">
        <f aca="false">IF(N(Q209)=0,"",Q209+IF(I209="yes",Q209*Inputs!$B$10*Inputs!$B$9,0)+IFERROR(INDEX(Inputs!$B$13:$B$15,MATCH(G209,Inputs!$A$13:$A$15,0)),0)+IFERROR(INDEX(Inputs!$B$18:$B$24,MATCH(H209,Inputs!$A$18:$A$24,0)),0))</f>
        <v>0.076</v>
      </c>
      <c r="AC209" s="28" t="n">
        <f aca="false">IF(OR(N(AB209)&lt;=0,N(N209)=0,N(L209)=0),"",MIN(L209,N209/AB209))</f>
        <v>81.5789473684211</v>
      </c>
      <c r="AD209" s="29" t="str">
        <f aca="false">IF(OR(AC209="",N(O209)=0),"",AC209/O209-1)</f>
        <v/>
      </c>
      <c r="AE209" s="29" t="str">
        <f aca="false">IF(OR(AD209="",N(O209)=0),"",AD209+N209/O209)</f>
        <v/>
      </c>
      <c r="AF209" s="32" t="str">
        <f aca="false">IF(OR(AE209="",N(Z209)=0),"",AE209-Z209)</f>
        <v/>
      </c>
      <c r="AG209" s="28" t="n">
        <f aca="false">IF(AND(N(M209)&gt;0,N(L209)&gt;0),M209*L209,N209)</f>
        <v>6.2</v>
      </c>
      <c r="AH209" s="28" t="n">
        <f aca="false">IF(OR(N(AB209)&lt;=0,N(AG209)=0,N(L209)=0),"",MIN(L209,AG209/AB209))</f>
        <v>81.5789473684211</v>
      </c>
      <c r="AI209" s="29" t="str">
        <f aca="false">IF(OR(AH209="",N(O209)=0),"",AH209/O209-1)</f>
        <v/>
      </c>
      <c r="AJ209" s="29" t="str">
        <f aca="false">IF(OR(AI209="",N(O209)=0),"",AI209+AG209/O209)</f>
        <v/>
      </c>
      <c r="AK209" s="32" t="str">
        <f aca="false">IF(OR(AJ209="",N(AE209)=0),"",AJ209-AE209)</f>
        <v/>
      </c>
      <c r="AL209" s="33" t="n">
        <f aca="false">IF(N(F209)=0,"",INDEX(Inputs!$B$28:$B$32,IFERROR(MATCH(F209,Inputs!$A$28:$A$32,1),0)+1))</f>
        <v>0.085</v>
      </c>
      <c r="AM209" s="34"/>
      <c r="AN209" s="33" t="n">
        <f aca="false">IF(N(AM209)&gt;0,AM209,AL209)</f>
        <v>0.085</v>
      </c>
      <c r="AO209" s="29" t="n">
        <f aca="false">IF(N(AN209)=0,"",AN209+IF(I209="yes",AN209*Inputs!$B$10*Inputs!$B$9,0)+IFERROR(INDEX(Inputs!$B$13:$B$15,MATCH(G209,Inputs!$A$13:$A$15,0)),0)+IFERROR(INDEX(Inputs!$B$18:$B$24,MATCH(H209,Inputs!$A$18:$A$24,0)),0))</f>
        <v>0.08075</v>
      </c>
      <c r="AP209" s="28" t="n">
        <f aca="false">IF(OR(N(AO209)&lt;=0,N(AG209)=0,N(L209)=0),"",MIN(L209,AG209/AO209))</f>
        <v>76.7801857585139</v>
      </c>
      <c r="AQ209" s="29" t="str">
        <f aca="false">IF(OR(AP209="",N(O209)=0),"",AP209/O209-1)</f>
        <v/>
      </c>
      <c r="AR209" s="29" t="str">
        <f aca="false">IF(OR(AQ209="",N(O209)=0),"",AQ209+AG209/O209)</f>
        <v/>
      </c>
      <c r="AS209" s="32" t="str">
        <f aca="false">IF(OR(AR209="",N(AJ209)=0),"",AR209-AJ209)</f>
        <v/>
      </c>
      <c r="AT209" s="28"/>
      <c r="AU209" s="28"/>
      <c r="AV209" s="28" t="n">
        <f aca="false">IF(N(AT209)&gt;0,AT209,L209)</f>
        <v>100</v>
      </c>
      <c r="AW209" s="28" t="n">
        <f aca="false">IF(AND(N(M209)&gt;0,N(AV209)&gt;0),M209*AV209,IF(N(AU209)&gt;0,AU209,N209))</f>
        <v>6.2</v>
      </c>
      <c r="AX209" s="29" t="n">
        <f aca="false">IF(N(AN209)=0,"",AN209+IF(I209="yes",AN209*Inputs!$B$10*Inputs!$B$9,0)+IFERROR(INDEX(Inputs!$B$13:$B$15,MATCH(G209,Inputs!$A$13:$A$15,0)),0)+IFERROR(INDEX(Inputs!$B$18:$B$24,MATCH(H209,Inputs!$A$18:$A$24,0)),0))</f>
        <v>0.08075</v>
      </c>
      <c r="AY209" s="28" t="n">
        <f aca="false">IF(OR(N(AX209)&lt;=0,N(AW209)=0,N(AV209)=0),"",MIN(AV209,AW209/AX209))</f>
        <v>76.7801857585139</v>
      </c>
      <c r="AZ209" s="29" t="str">
        <f aca="false">IF(OR(AY209="",N(O209)=0),"",AY209/O209-1)</f>
        <v/>
      </c>
      <c r="BA209" s="29" t="str">
        <f aca="false">IF(OR(AZ209="",N(O209)=0),"",AZ209+AW209/O209)</f>
        <v/>
      </c>
      <c r="BB209" s="32" t="str">
        <f aca="false">IF(OR(BA209="",N(AR209)=0),"",BA209-AR209)</f>
        <v/>
      </c>
      <c r="BC209" s="35" t="str">
        <f aca="false">IF(OR(BA209="",N(U209)=0),"",BA209-U209)</f>
        <v/>
      </c>
      <c r="BD209" s="36" t="s">
        <v>198</v>
      </c>
    </row>
    <row r="210" customFormat="false" ht="15" hidden="false" customHeight="false" outlineLevel="0" collapsed="false">
      <c r="A210" s="2" t="s">
        <v>140</v>
      </c>
      <c r="B210" s="2" t="n">
        <v>417</v>
      </c>
      <c r="C210" s="2" t="s">
        <v>513</v>
      </c>
      <c r="D210" s="2" t="s">
        <v>514</v>
      </c>
      <c r="E210" s="2" t="s">
        <v>515</v>
      </c>
      <c r="F210" s="27" t="n">
        <v>869</v>
      </c>
      <c r="G210" s="2" t="s">
        <v>51</v>
      </c>
      <c r="H210" s="2" t="s">
        <v>58</v>
      </c>
      <c r="I210" s="2" t="s">
        <v>144</v>
      </c>
      <c r="J210" s="2" t="s">
        <v>145</v>
      </c>
      <c r="K210" s="2" t="n">
        <v>4</v>
      </c>
      <c r="L210" s="28" t="n">
        <v>25</v>
      </c>
      <c r="M210" s="29" t="n">
        <v>0.0725</v>
      </c>
      <c r="N210" s="28" t="n">
        <v>1.8125</v>
      </c>
      <c r="O210" s="28" t="n">
        <v>19.72</v>
      </c>
      <c r="P210" s="2" t="s">
        <v>146</v>
      </c>
      <c r="Q210" s="29" t="n">
        <v>0.08</v>
      </c>
      <c r="R210" s="30" t="n">
        <v>0.08</v>
      </c>
      <c r="S210" s="31" t="n">
        <v>22.65625</v>
      </c>
      <c r="T210" s="30" t="n">
        <v>0.148897058823529</v>
      </c>
      <c r="U210" s="30" t="n">
        <v>0.240808823529412</v>
      </c>
      <c r="V210" s="29" t="n">
        <v>0</v>
      </c>
      <c r="W210" s="29" t="n">
        <f aca="false">IF(N(Q210)=0,"",Q210+IF(I210="yes",Q210*Inputs!$B$10*Inputs!$B$9,0)+V210)</f>
        <v>0.08</v>
      </c>
      <c r="X210" s="28" t="n">
        <f aca="false">IF(OR(N(W210)&lt;=0,N(N210)=0,N(L210)=0),"",MIN(L210,N210/W210))</f>
        <v>22.65625</v>
      </c>
      <c r="Y210" s="29" t="n">
        <f aca="false">IF(OR(X210="",N(O210)=0),"",X210/O210-1)</f>
        <v>0.148897058823529</v>
      </c>
      <c r="Z210" s="29" t="n">
        <f aca="false">IF(OR(Y210="",N(O210)=0),"",Y210+N210/O210)</f>
        <v>0.240808823529412</v>
      </c>
      <c r="AA210" s="32" t="n">
        <f aca="false">IF(OR(Z210="",N(U210)=0),"",Z210-U210)</f>
        <v>0</v>
      </c>
      <c r="AB210" s="29" t="n">
        <f aca="false">IF(N(Q210)=0,"",Q210+IF(I210="yes",Q210*Inputs!$B$10*Inputs!$B$9,0)+IFERROR(INDEX(Inputs!$B$13:$B$15,MATCH(G210,Inputs!$A$13:$A$15,0)),0)+IFERROR(INDEX(Inputs!$B$18:$B$24,MATCH(H210,Inputs!$A$18:$A$24,0)),0))</f>
        <v>0.08</v>
      </c>
      <c r="AC210" s="28" t="n">
        <f aca="false">IF(OR(N(AB210)&lt;=0,N(N210)=0,N(L210)=0),"",MIN(L210,N210/AB210))</f>
        <v>22.65625</v>
      </c>
      <c r="AD210" s="29" t="n">
        <f aca="false">IF(OR(AC210="",N(O210)=0),"",AC210/O210-1)</f>
        <v>0.148897058823529</v>
      </c>
      <c r="AE210" s="29" t="n">
        <f aca="false">IF(OR(AD210="",N(O210)=0),"",AD210+N210/O210)</f>
        <v>0.240808823529412</v>
      </c>
      <c r="AF210" s="32" t="n">
        <f aca="false">IF(OR(AE210="",N(Z210)=0),"",AE210-Z210)</f>
        <v>0</v>
      </c>
      <c r="AG210" s="28" t="n">
        <f aca="false">IF(AND(N(M210)&gt;0,N(L210)&gt;0),M210*L210,N210)</f>
        <v>1.8125</v>
      </c>
      <c r="AH210" s="28" t="n">
        <f aca="false">IF(OR(N(AB210)&lt;=0,N(AG210)=0,N(L210)=0),"",MIN(L210,AG210/AB210))</f>
        <v>22.65625</v>
      </c>
      <c r="AI210" s="29" t="n">
        <f aca="false">IF(OR(AH210="",N(O210)=0),"",AH210/O210-1)</f>
        <v>0.148897058823529</v>
      </c>
      <c r="AJ210" s="29" t="n">
        <f aca="false">IF(OR(AI210="",N(O210)=0),"",AI210+AG210/O210)</f>
        <v>0.240808823529412</v>
      </c>
      <c r="AK210" s="32" t="n">
        <f aca="false">IF(OR(AJ210="",N(AE210)=0),"",AJ210-AE210)</f>
        <v>0</v>
      </c>
      <c r="AL210" s="33" t="n">
        <f aca="false">IF(N(F210)=0,"",INDEX(Inputs!$B$28:$B$32,IFERROR(MATCH(F210,Inputs!$A$28:$A$32,1),0)+1))</f>
        <v>0.09</v>
      </c>
      <c r="AM210" s="34"/>
      <c r="AN210" s="33" t="n">
        <f aca="false">IF(N(AM210)&gt;0,AM210,AL210)</f>
        <v>0.09</v>
      </c>
      <c r="AO210" s="29" t="n">
        <f aca="false">IF(N(AN210)=0,"",AN210+IF(I210="yes",AN210*Inputs!$B$10*Inputs!$B$9,0)+IFERROR(INDEX(Inputs!$B$13:$B$15,MATCH(G210,Inputs!$A$13:$A$15,0)),0)+IFERROR(INDEX(Inputs!$B$18:$B$24,MATCH(H210,Inputs!$A$18:$A$24,0)),0))</f>
        <v>0.09</v>
      </c>
      <c r="AP210" s="28" t="n">
        <f aca="false">IF(OR(N(AO210)&lt;=0,N(AG210)=0,N(L210)=0),"",MIN(L210,AG210/AO210))</f>
        <v>20.1388888888889</v>
      </c>
      <c r="AQ210" s="29" t="n">
        <f aca="false">IF(OR(AP210="",N(O210)=0),"",AP210/O210-1)</f>
        <v>0.0212418300653594</v>
      </c>
      <c r="AR210" s="29" t="n">
        <f aca="false">IF(OR(AQ210="",N(O210)=0),"",AQ210+AG210/O210)</f>
        <v>0.113153594771242</v>
      </c>
      <c r="AS210" s="32" t="n">
        <f aca="false">IF(OR(AR210="",N(AJ210)=0),"",AR210-AJ210)</f>
        <v>-0.12765522875817</v>
      </c>
      <c r="AT210" s="28" t="n">
        <v>25</v>
      </c>
      <c r="AU210" s="28" t="n">
        <v>1.81</v>
      </c>
      <c r="AV210" s="28" t="n">
        <f aca="false">IF(N(AT210)&gt;0,AT210,L210)</f>
        <v>25</v>
      </c>
      <c r="AW210" s="28" t="n">
        <f aca="false">IF(AND(N(M210)&gt;0,N(AV210)&gt;0),M210*AV210,IF(N(AU210)&gt;0,AU210,N210))</f>
        <v>1.8125</v>
      </c>
      <c r="AX210" s="29" t="n">
        <f aca="false">IF(N(AN210)=0,"",AN210+IF(I210="yes",AN210*Inputs!$B$10*Inputs!$B$9,0)+IFERROR(INDEX(Inputs!$B$13:$B$15,MATCH(G210,Inputs!$A$13:$A$15,0)),0)+IFERROR(INDEX(Inputs!$B$18:$B$24,MATCH(H210,Inputs!$A$18:$A$24,0)),0))</f>
        <v>0.09</v>
      </c>
      <c r="AY210" s="28" t="n">
        <f aca="false">IF(OR(N(AX210)&lt;=0,N(AW210)=0,N(AV210)=0),"",MIN(AV210,AW210/AX210))</f>
        <v>20.1388888888889</v>
      </c>
      <c r="AZ210" s="29" t="n">
        <f aca="false">IF(OR(AY210="",N(O210)=0),"",AY210/O210-1)</f>
        <v>0.0212418300653594</v>
      </c>
      <c r="BA210" s="29" t="n">
        <f aca="false">IF(OR(AZ210="",N(O210)=0),"",AZ210+AW210/O210)</f>
        <v>0.113153594771242</v>
      </c>
      <c r="BB210" s="32" t="n">
        <f aca="false">IF(OR(BA210="",N(AR210)=0),"",BA210-AR210)</f>
        <v>0</v>
      </c>
      <c r="BC210" s="35" t="n">
        <f aca="false">IF(OR(BA210="",N(U210)=0),"",BA210-U210)</f>
        <v>-0.12765522875817</v>
      </c>
      <c r="BD210" s="37"/>
    </row>
    <row r="211" customFormat="false" ht="15" hidden="false" customHeight="false" outlineLevel="0" collapsed="false">
      <c r="A211" s="2" t="s">
        <v>140</v>
      </c>
      <c r="B211" s="2" t="n">
        <v>418</v>
      </c>
      <c r="C211" s="2" t="s">
        <v>516</v>
      </c>
      <c r="D211" s="2" t="s">
        <v>514</v>
      </c>
      <c r="E211" s="2" t="s">
        <v>515</v>
      </c>
      <c r="F211" s="27" t="n">
        <v>869</v>
      </c>
      <c r="G211" s="2" t="s">
        <v>51</v>
      </c>
      <c r="H211" s="2" t="s">
        <v>59</v>
      </c>
      <c r="I211" s="2" t="s">
        <v>144</v>
      </c>
      <c r="J211" s="2" t="s">
        <v>145</v>
      </c>
      <c r="K211" s="2" t="n">
        <v>4</v>
      </c>
      <c r="L211" s="28" t="n">
        <v>25</v>
      </c>
      <c r="M211" s="29" t="n">
        <v>0.07875</v>
      </c>
      <c r="N211" s="28" t="n">
        <v>1.96875</v>
      </c>
      <c r="O211" s="28" t="n">
        <v>22.43</v>
      </c>
      <c r="P211" s="2" t="s">
        <v>146</v>
      </c>
      <c r="Q211" s="29" t="n">
        <v>0.08</v>
      </c>
      <c r="R211" s="30" t="n">
        <v>0.08</v>
      </c>
      <c r="S211" s="31" t="n">
        <v>24.609375</v>
      </c>
      <c r="T211" s="30" t="n">
        <v>0.0971633972358448</v>
      </c>
      <c r="U211" s="30" t="n">
        <v>0.184936469014712</v>
      </c>
      <c r="V211" s="29" t="n">
        <v>0</v>
      </c>
      <c r="W211" s="29" t="n">
        <f aca="false">IF(N(Q211)=0,"",Q211+IF(I211="yes",Q211*Inputs!$B$10*Inputs!$B$9,0)+V211)</f>
        <v>0.08</v>
      </c>
      <c r="X211" s="28" t="n">
        <f aca="false">IF(OR(N(W211)&lt;=0,N(N211)=0,N(L211)=0),"",MIN(L211,N211/W211))</f>
        <v>24.609375</v>
      </c>
      <c r="Y211" s="29" t="n">
        <f aca="false">IF(OR(X211="",N(O211)=0),"",X211/O211-1)</f>
        <v>0.0971633972358448</v>
      </c>
      <c r="Z211" s="29" t="n">
        <f aca="false">IF(OR(Y211="",N(O211)=0),"",Y211+N211/O211)</f>
        <v>0.184936469014712</v>
      </c>
      <c r="AA211" s="32" t="n">
        <f aca="false">IF(OR(Z211="",N(U211)=0),"",Z211-U211)</f>
        <v>0</v>
      </c>
      <c r="AB211" s="29" t="n">
        <f aca="false">IF(N(Q211)=0,"",Q211+IF(I211="yes",Q211*Inputs!$B$10*Inputs!$B$9,0)+IFERROR(INDEX(Inputs!$B$13:$B$15,MATCH(G211,Inputs!$A$13:$A$15,0)),0)+IFERROR(INDEX(Inputs!$B$18:$B$24,MATCH(H211,Inputs!$A$18:$A$24,0)),0))</f>
        <v>0.08</v>
      </c>
      <c r="AC211" s="28" t="n">
        <f aca="false">IF(OR(N(AB211)&lt;=0,N(N211)=0,N(L211)=0),"",MIN(L211,N211/AB211))</f>
        <v>24.609375</v>
      </c>
      <c r="AD211" s="29" t="n">
        <f aca="false">IF(OR(AC211="",N(O211)=0),"",AC211/O211-1)</f>
        <v>0.0971633972358448</v>
      </c>
      <c r="AE211" s="29" t="n">
        <f aca="false">IF(OR(AD211="",N(O211)=0),"",AD211+N211/O211)</f>
        <v>0.184936469014712</v>
      </c>
      <c r="AF211" s="32" t="n">
        <f aca="false">IF(OR(AE211="",N(Z211)=0),"",AE211-Z211)</f>
        <v>0</v>
      </c>
      <c r="AG211" s="28" t="n">
        <f aca="false">IF(AND(N(M211)&gt;0,N(L211)&gt;0),M211*L211,N211)</f>
        <v>1.96875</v>
      </c>
      <c r="AH211" s="28" t="n">
        <f aca="false">IF(OR(N(AB211)&lt;=0,N(AG211)=0,N(L211)=0),"",MIN(L211,AG211/AB211))</f>
        <v>24.609375</v>
      </c>
      <c r="AI211" s="29" t="n">
        <f aca="false">IF(OR(AH211="",N(O211)=0),"",AH211/O211-1)</f>
        <v>0.0971633972358448</v>
      </c>
      <c r="AJ211" s="29" t="n">
        <f aca="false">IF(OR(AI211="",N(O211)=0),"",AI211+AG211/O211)</f>
        <v>0.184936469014712</v>
      </c>
      <c r="AK211" s="32" t="n">
        <f aca="false">IF(OR(AJ211="",N(AE211)=0),"",AJ211-AE211)</f>
        <v>0</v>
      </c>
      <c r="AL211" s="33" t="n">
        <f aca="false">IF(N(F211)=0,"",INDEX(Inputs!$B$28:$B$32,IFERROR(MATCH(F211,Inputs!$A$28:$A$32,1),0)+1))</f>
        <v>0.09</v>
      </c>
      <c r="AM211" s="34"/>
      <c r="AN211" s="33" t="n">
        <f aca="false">IF(N(AM211)&gt;0,AM211,AL211)</f>
        <v>0.09</v>
      </c>
      <c r="AO211" s="29" t="n">
        <f aca="false">IF(N(AN211)=0,"",AN211+IF(I211="yes",AN211*Inputs!$B$10*Inputs!$B$9,0)+IFERROR(INDEX(Inputs!$B$13:$B$15,MATCH(G211,Inputs!$A$13:$A$15,0)),0)+IFERROR(INDEX(Inputs!$B$18:$B$24,MATCH(H211,Inputs!$A$18:$A$24,0)),0))</f>
        <v>0.09</v>
      </c>
      <c r="AP211" s="28" t="n">
        <f aca="false">IF(OR(N(AO211)&lt;=0,N(AG211)=0,N(L211)=0),"",MIN(L211,AG211/AO211))</f>
        <v>21.875</v>
      </c>
      <c r="AQ211" s="29" t="n">
        <f aca="false">IF(OR(AP211="",N(O211)=0),"",AP211/O211-1)</f>
        <v>-0.0247436469014712</v>
      </c>
      <c r="AR211" s="29" t="n">
        <f aca="false">IF(OR(AQ211="",N(O211)=0),"",AQ211+AG211/O211)</f>
        <v>0.0630294248773964</v>
      </c>
      <c r="AS211" s="32" t="n">
        <f aca="false">IF(OR(AR211="",N(AJ211)=0),"",AR211-AJ211)</f>
        <v>-0.121907044137316</v>
      </c>
      <c r="AT211" s="28" t="n">
        <v>25</v>
      </c>
      <c r="AU211" s="28" t="n">
        <v>1.97</v>
      </c>
      <c r="AV211" s="28" t="n">
        <f aca="false">IF(N(AT211)&gt;0,AT211,L211)</f>
        <v>25</v>
      </c>
      <c r="AW211" s="28" t="n">
        <f aca="false">IF(AND(N(M211)&gt;0,N(AV211)&gt;0),M211*AV211,IF(N(AU211)&gt;0,AU211,N211))</f>
        <v>1.96875</v>
      </c>
      <c r="AX211" s="29" t="n">
        <f aca="false">IF(N(AN211)=0,"",AN211+IF(I211="yes",AN211*Inputs!$B$10*Inputs!$B$9,0)+IFERROR(INDEX(Inputs!$B$13:$B$15,MATCH(G211,Inputs!$A$13:$A$15,0)),0)+IFERROR(INDEX(Inputs!$B$18:$B$24,MATCH(H211,Inputs!$A$18:$A$24,0)),0))</f>
        <v>0.09</v>
      </c>
      <c r="AY211" s="28" t="n">
        <f aca="false">IF(OR(N(AX211)&lt;=0,N(AW211)=0,N(AV211)=0),"",MIN(AV211,AW211/AX211))</f>
        <v>21.875</v>
      </c>
      <c r="AZ211" s="29" t="n">
        <f aca="false">IF(OR(AY211="",N(O211)=0),"",AY211/O211-1)</f>
        <v>-0.0247436469014712</v>
      </c>
      <c r="BA211" s="29" t="n">
        <f aca="false">IF(OR(AZ211="",N(O211)=0),"",AZ211+AW211/O211)</f>
        <v>0.0630294248773964</v>
      </c>
      <c r="BB211" s="32" t="n">
        <f aca="false">IF(OR(BA211="",N(AR211)=0),"",BA211-AR211)</f>
        <v>0</v>
      </c>
      <c r="BC211" s="35" t="n">
        <f aca="false">IF(OR(BA211="",N(U211)=0),"",BA211-U211)</f>
        <v>-0.121907044137316</v>
      </c>
      <c r="BD211" s="37"/>
    </row>
    <row r="212" customFormat="false" ht="15" hidden="false" customHeight="false" outlineLevel="0" collapsed="false">
      <c r="A212" s="2" t="s">
        <v>140</v>
      </c>
      <c r="B212" s="2" t="n">
        <v>419</v>
      </c>
      <c r="C212" s="2" t="s">
        <v>517</v>
      </c>
      <c r="D212" s="2" t="s">
        <v>514</v>
      </c>
      <c r="E212" s="2" t="s">
        <v>515</v>
      </c>
      <c r="F212" s="27" t="n">
        <v>869</v>
      </c>
      <c r="G212" s="2" t="s">
        <v>51</v>
      </c>
      <c r="H212" s="2" t="s">
        <v>58</v>
      </c>
      <c r="I212" s="2" t="s">
        <v>144</v>
      </c>
      <c r="J212" s="2" t="s">
        <v>145</v>
      </c>
      <c r="K212" s="2" t="n">
        <v>4</v>
      </c>
      <c r="L212" s="28" t="n">
        <v>25</v>
      </c>
      <c r="M212" s="29" t="n">
        <v>0.07875</v>
      </c>
      <c r="N212" s="28" t="n">
        <v>1.96875</v>
      </c>
      <c r="O212" s="28" t="n">
        <v>22.05</v>
      </c>
      <c r="P212" s="2" t="s">
        <v>146</v>
      </c>
      <c r="Q212" s="29" t="n">
        <v>0.08</v>
      </c>
      <c r="R212" s="30" t="n">
        <v>0.08</v>
      </c>
      <c r="S212" s="31" t="n">
        <v>24.609375</v>
      </c>
      <c r="T212" s="30" t="n">
        <v>0.116071428571429</v>
      </c>
      <c r="U212" s="30" t="n">
        <v>0.205357142857143</v>
      </c>
      <c r="V212" s="29" t="n">
        <v>0</v>
      </c>
      <c r="W212" s="29" t="n">
        <f aca="false">IF(N(Q212)=0,"",Q212+IF(I212="yes",Q212*Inputs!$B$10*Inputs!$B$9,0)+V212)</f>
        <v>0.08</v>
      </c>
      <c r="X212" s="28" t="n">
        <f aca="false">IF(OR(N(W212)&lt;=0,N(N212)=0,N(L212)=0),"",MIN(L212,N212/W212))</f>
        <v>24.609375</v>
      </c>
      <c r="Y212" s="29" t="n">
        <f aca="false">IF(OR(X212="",N(O212)=0),"",X212/O212-1)</f>
        <v>0.116071428571429</v>
      </c>
      <c r="Z212" s="29" t="n">
        <f aca="false">IF(OR(Y212="",N(O212)=0),"",Y212+N212/O212)</f>
        <v>0.205357142857143</v>
      </c>
      <c r="AA212" s="32" t="n">
        <f aca="false">IF(OR(Z212="",N(U212)=0),"",Z212-U212)</f>
        <v>0</v>
      </c>
      <c r="AB212" s="29" t="n">
        <f aca="false">IF(N(Q212)=0,"",Q212+IF(I212="yes",Q212*Inputs!$B$10*Inputs!$B$9,0)+IFERROR(INDEX(Inputs!$B$13:$B$15,MATCH(G212,Inputs!$A$13:$A$15,0)),0)+IFERROR(INDEX(Inputs!$B$18:$B$24,MATCH(H212,Inputs!$A$18:$A$24,0)),0))</f>
        <v>0.08</v>
      </c>
      <c r="AC212" s="28" t="n">
        <f aca="false">IF(OR(N(AB212)&lt;=0,N(N212)=0,N(L212)=0),"",MIN(L212,N212/AB212))</f>
        <v>24.609375</v>
      </c>
      <c r="AD212" s="29" t="n">
        <f aca="false">IF(OR(AC212="",N(O212)=0),"",AC212/O212-1)</f>
        <v>0.116071428571429</v>
      </c>
      <c r="AE212" s="29" t="n">
        <f aca="false">IF(OR(AD212="",N(O212)=0),"",AD212+N212/O212)</f>
        <v>0.205357142857143</v>
      </c>
      <c r="AF212" s="32" t="n">
        <f aca="false">IF(OR(AE212="",N(Z212)=0),"",AE212-Z212)</f>
        <v>0</v>
      </c>
      <c r="AG212" s="28" t="n">
        <f aca="false">IF(AND(N(M212)&gt;0,N(L212)&gt;0),M212*L212,N212)</f>
        <v>1.96875</v>
      </c>
      <c r="AH212" s="28" t="n">
        <f aca="false">IF(OR(N(AB212)&lt;=0,N(AG212)=0,N(L212)=0),"",MIN(L212,AG212/AB212))</f>
        <v>24.609375</v>
      </c>
      <c r="AI212" s="29" t="n">
        <f aca="false">IF(OR(AH212="",N(O212)=0),"",AH212/O212-1)</f>
        <v>0.116071428571429</v>
      </c>
      <c r="AJ212" s="29" t="n">
        <f aca="false">IF(OR(AI212="",N(O212)=0),"",AI212+AG212/O212)</f>
        <v>0.205357142857143</v>
      </c>
      <c r="AK212" s="32" t="n">
        <f aca="false">IF(OR(AJ212="",N(AE212)=0),"",AJ212-AE212)</f>
        <v>0</v>
      </c>
      <c r="AL212" s="33" t="n">
        <f aca="false">IF(N(F212)=0,"",INDEX(Inputs!$B$28:$B$32,IFERROR(MATCH(F212,Inputs!$A$28:$A$32,1),0)+1))</f>
        <v>0.09</v>
      </c>
      <c r="AM212" s="34"/>
      <c r="AN212" s="33" t="n">
        <f aca="false">IF(N(AM212)&gt;0,AM212,AL212)</f>
        <v>0.09</v>
      </c>
      <c r="AO212" s="29" t="n">
        <f aca="false">IF(N(AN212)=0,"",AN212+IF(I212="yes",AN212*Inputs!$B$10*Inputs!$B$9,0)+IFERROR(INDEX(Inputs!$B$13:$B$15,MATCH(G212,Inputs!$A$13:$A$15,0)),0)+IFERROR(INDEX(Inputs!$B$18:$B$24,MATCH(H212,Inputs!$A$18:$A$24,0)),0))</f>
        <v>0.09</v>
      </c>
      <c r="AP212" s="28" t="n">
        <f aca="false">IF(OR(N(AO212)&lt;=0,N(AG212)=0,N(L212)=0),"",MIN(L212,AG212/AO212))</f>
        <v>21.875</v>
      </c>
      <c r="AQ212" s="29" t="n">
        <f aca="false">IF(OR(AP212="",N(O212)=0),"",AP212/O212-1)</f>
        <v>-0.00793650793650802</v>
      </c>
      <c r="AR212" s="29" t="n">
        <f aca="false">IF(OR(AQ212="",N(O212)=0),"",AQ212+AG212/O212)</f>
        <v>0.0813492063492063</v>
      </c>
      <c r="AS212" s="32" t="n">
        <f aca="false">IF(OR(AR212="",N(AJ212)=0),"",AR212-AJ212)</f>
        <v>-0.124007936507937</v>
      </c>
      <c r="AT212" s="28" t="n">
        <v>25</v>
      </c>
      <c r="AU212" s="28" t="n">
        <v>1.97</v>
      </c>
      <c r="AV212" s="28" t="n">
        <f aca="false">IF(N(AT212)&gt;0,AT212,L212)</f>
        <v>25</v>
      </c>
      <c r="AW212" s="28" t="n">
        <f aca="false">IF(AND(N(M212)&gt;0,N(AV212)&gt;0),M212*AV212,IF(N(AU212)&gt;0,AU212,N212))</f>
        <v>1.96875</v>
      </c>
      <c r="AX212" s="29" t="n">
        <f aca="false">IF(N(AN212)=0,"",AN212+IF(I212="yes",AN212*Inputs!$B$10*Inputs!$B$9,0)+IFERROR(INDEX(Inputs!$B$13:$B$15,MATCH(G212,Inputs!$A$13:$A$15,0)),0)+IFERROR(INDEX(Inputs!$B$18:$B$24,MATCH(H212,Inputs!$A$18:$A$24,0)),0))</f>
        <v>0.09</v>
      </c>
      <c r="AY212" s="28" t="n">
        <f aca="false">IF(OR(N(AX212)&lt;=0,N(AW212)=0,N(AV212)=0),"",MIN(AV212,AW212/AX212))</f>
        <v>21.875</v>
      </c>
      <c r="AZ212" s="29" t="n">
        <f aca="false">IF(OR(AY212="",N(O212)=0),"",AY212/O212-1)</f>
        <v>-0.00793650793650802</v>
      </c>
      <c r="BA212" s="29" t="n">
        <f aca="false">IF(OR(AZ212="",N(O212)=0),"",AZ212+AW212/O212)</f>
        <v>0.0813492063492063</v>
      </c>
      <c r="BB212" s="32" t="n">
        <f aca="false">IF(OR(BA212="",N(AR212)=0),"",BA212-AR212)</f>
        <v>0</v>
      </c>
      <c r="BC212" s="35" t="n">
        <f aca="false">IF(OR(BA212="",N(U212)=0),"",BA212-U212)</f>
        <v>-0.124007936507937</v>
      </c>
      <c r="BD212" s="37"/>
    </row>
    <row r="213" customFormat="false" ht="15" hidden="false" customHeight="false" outlineLevel="0" collapsed="false">
      <c r="A213" s="2" t="s">
        <v>140</v>
      </c>
      <c r="B213" s="2" t="n">
        <v>422</v>
      </c>
      <c r="C213" s="2" t="s">
        <v>518</v>
      </c>
      <c r="D213" s="2" t="s">
        <v>519</v>
      </c>
      <c r="E213" s="2" t="s">
        <v>520</v>
      </c>
      <c r="F213" s="27" t="n">
        <v>130400</v>
      </c>
      <c r="G213" s="2" t="s">
        <v>51</v>
      </c>
      <c r="H213" s="2" t="s">
        <v>58</v>
      </c>
      <c r="I213" s="2" t="s">
        <v>151</v>
      </c>
      <c r="J213" s="2" t="s">
        <v>145</v>
      </c>
      <c r="K213" s="2" t="n">
        <v>4</v>
      </c>
      <c r="L213" s="28" t="n">
        <v>25</v>
      </c>
      <c r="M213" s="29" t="n">
        <v>0.05</v>
      </c>
      <c r="N213" s="28" t="n">
        <v>1.25</v>
      </c>
      <c r="O213" s="28" t="n">
        <v>17.68</v>
      </c>
      <c r="P213" s="2" t="s">
        <v>146</v>
      </c>
      <c r="Q213" s="29" t="n">
        <v>0.08</v>
      </c>
      <c r="R213" s="30" t="n">
        <v>0.076</v>
      </c>
      <c r="S213" s="31" t="n">
        <v>16.4473684210526</v>
      </c>
      <c r="T213" s="30" t="n">
        <v>-0.0697189807096926</v>
      </c>
      <c r="U213" s="30" t="n">
        <v>0.000982376756370723</v>
      </c>
      <c r="V213" s="29" t="n">
        <v>0</v>
      </c>
      <c r="W213" s="29" t="n">
        <f aca="false">IF(N(Q213)=0,"",Q213+IF(I213="yes",Q213*Inputs!$B$10*Inputs!$B$9,0)+V213)</f>
        <v>0.076</v>
      </c>
      <c r="X213" s="28" t="n">
        <f aca="false">IF(OR(N(W213)&lt;=0,N(N213)=0,N(L213)=0),"",MIN(L213,N213/W213))</f>
        <v>16.4473684210526</v>
      </c>
      <c r="Y213" s="29" t="n">
        <f aca="false">IF(OR(X213="",N(O213)=0),"",X213/O213-1)</f>
        <v>-0.0697189807096926</v>
      </c>
      <c r="Z213" s="29" t="n">
        <f aca="false">IF(OR(Y213="",N(O213)=0),"",Y213+N213/O213)</f>
        <v>0.000982376756370723</v>
      </c>
      <c r="AA213" s="32" t="n">
        <f aca="false">IF(OR(Z213="",N(U213)=0),"",Z213-U213)</f>
        <v>0</v>
      </c>
      <c r="AB213" s="29" t="n">
        <f aca="false">IF(N(Q213)=0,"",Q213+IF(I213="yes",Q213*Inputs!$B$10*Inputs!$B$9,0)+IFERROR(INDEX(Inputs!$B$13:$B$15,MATCH(G213,Inputs!$A$13:$A$15,0)),0)+IFERROR(INDEX(Inputs!$B$18:$B$24,MATCH(H213,Inputs!$A$18:$A$24,0)),0))</f>
        <v>0.076</v>
      </c>
      <c r="AC213" s="28" t="n">
        <f aca="false">IF(OR(N(AB213)&lt;=0,N(N213)=0,N(L213)=0),"",MIN(L213,N213/AB213))</f>
        <v>16.4473684210526</v>
      </c>
      <c r="AD213" s="29" t="n">
        <f aca="false">IF(OR(AC213="",N(O213)=0),"",AC213/O213-1)</f>
        <v>-0.0697189807096926</v>
      </c>
      <c r="AE213" s="29" t="n">
        <f aca="false">IF(OR(AD213="",N(O213)=0),"",AD213+N213/O213)</f>
        <v>0.000982376756370723</v>
      </c>
      <c r="AF213" s="32" t="n">
        <f aca="false">IF(OR(AE213="",N(Z213)=0),"",AE213-Z213)</f>
        <v>0</v>
      </c>
      <c r="AG213" s="28" t="n">
        <f aca="false">IF(AND(N(M213)&gt;0,N(L213)&gt;0),M213*L213,N213)</f>
        <v>1.25</v>
      </c>
      <c r="AH213" s="28" t="n">
        <f aca="false">IF(OR(N(AB213)&lt;=0,N(AG213)=0,N(L213)=0),"",MIN(L213,AG213/AB213))</f>
        <v>16.4473684210526</v>
      </c>
      <c r="AI213" s="29" t="n">
        <f aca="false">IF(OR(AH213="",N(O213)=0),"",AH213/O213-1)</f>
        <v>-0.0697189807096926</v>
      </c>
      <c r="AJ213" s="29" t="n">
        <f aca="false">IF(OR(AI213="",N(O213)=0),"",AI213+AG213/O213)</f>
        <v>0.000982376756370723</v>
      </c>
      <c r="AK213" s="32" t="n">
        <f aca="false">IF(OR(AJ213="",N(AE213)=0),"",AJ213-AE213)</f>
        <v>0</v>
      </c>
      <c r="AL213" s="33" t="n">
        <f aca="false">IF(N(F213)=0,"",INDEX(Inputs!$B$28:$B$32,IFERROR(MATCH(F213,Inputs!$A$28:$A$32,1),0)+1))</f>
        <v>0.075</v>
      </c>
      <c r="AM213" s="34"/>
      <c r="AN213" s="33" t="n">
        <f aca="false">IF(N(AM213)&gt;0,AM213,AL213)</f>
        <v>0.075</v>
      </c>
      <c r="AO213" s="29" t="n">
        <f aca="false">IF(N(AN213)=0,"",AN213+IF(I213="yes",AN213*Inputs!$B$10*Inputs!$B$9,0)+IFERROR(INDEX(Inputs!$B$13:$B$15,MATCH(G213,Inputs!$A$13:$A$15,0)),0)+IFERROR(INDEX(Inputs!$B$18:$B$24,MATCH(H213,Inputs!$A$18:$A$24,0)),0))</f>
        <v>0.07125</v>
      </c>
      <c r="AP213" s="28" t="n">
        <f aca="false">IF(OR(N(AO213)&lt;=0,N(AG213)=0,N(L213)=0),"",MIN(L213,AG213/AO213))</f>
        <v>17.5438596491228</v>
      </c>
      <c r="AQ213" s="29" t="n">
        <f aca="false">IF(OR(AP213="",N(O213)=0),"",AP213/O213-1)</f>
        <v>-0.00770024609033893</v>
      </c>
      <c r="AR213" s="29" t="n">
        <f aca="false">IF(OR(AQ213="",N(O213)=0),"",AQ213+AG213/O213)</f>
        <v>0.0630011113757244</v>
      </c>
      <c r="AS213" s="32" t="n">
        <f aca="false">IF(OR(AR213="",N(AJ213)=0),"",AR213-AJ213)</f>
        <v>0.0620187346193537</v>
      </c>
      <c r="AT213" s="28" t="n">
        <v>25</v>
      </c>
      <c r="AU213" s="28" t="n">
        <v>1.25</v>
      </c>
      <c r="AV213" s="28" t="n">
        <f aca="false">IF(N(AT213)&gt;0,AT213,L213)</f>
        <v>25</v>
      </c>
      <c r="AW213" s="28" t="n">
        <f aca="false">IF(AND(N(M213)&gt;0,N(AV213)&gt;0),M213*AV213,IF(N(AU213)&gt;0,AU213,N213))</f>
        <v>1.25</v>
      </c>
      <c r="AX213" s="29" t="n">
        <f aca="false">IF(N(AN213)=0,"",AN213+IF(I213="yes",AN213*Inputs!$B$10*Inputs!$B$9,0)+IFERROR(INDEX(Inputs!$B$13:$B$15,MATCH(G213,Inputs!$A$13:$A$15,0)),0)+IFERROR(INDEX(Inputs!$B$18:$B$24,MATCH(H213,Inputs!$A$18:$A$24,0)),0))</f>
        <v>0.07125</v>
      </c>
      <c r="AY213" s="28" t="n">
        <f aca="false">IF(OR(N(AX213)&lt;=0,N(AW213)=0,N(AV213)=0),"",MIN(AV213,AW213/AX213))</f>
        <v>17.5438596491228</v>
      </c>
      <c r="AZ213" s="29" t="n">
        <f aca="false">IF(OR(AY213="",N(O213)=0),"",AY213/O213-1)</f>
        <v>-0.00770024609033893</v>
      </c>
      <c r="BA213" s="29" t="n">
        <f aca="false">IF(OR(AZ213="",N(O213)=0),"",AZ213+AW213/O213)</f>
        <v>0.0630011113757244</v>
      </c>
      <c r="BB213" s="32" t="n">
        <f aca="false">IF(OR(BA213="",N(AR213)=0),"",BA213-AR213)</f>
        <v>0</v>
      </c>
      <c r="BC213" s="35" t="n">
        <f aca="false">IF(OR(BA213="",N(U213)=0),"",BA213-U213)</f>
        <v>0.0620187346193537</v>
      </c>
      <c r="BD213" s="37"/>
    </row>
    <row r="214" customFormat="false" ht="15" hidden="false" customHeight="false" outlineLevel="0" collapsed="false">
      <c r="A214" s="2" t="s">
        <v>140</v>
      </c>
      <c r="B214" s="2" t="n">
        <v>423</v>
      </c>
      <c r="C214" s="2" t="s">
        <v>521</v>
      </c>
      <c r="D214" s="2" t="s">
        <v>519</v>
      </c>
      <c r="E214" s="2" t="s">
        <v>520</v>
      </c>
      <c r="F214" s="27" t="n">
        <v>130400</v>
      </c>
      <c r="G214" s="2" t="s">
        <v>51</v>
      </c>
      <c r="H214" s="2" t="s">
        <v>58</v>
      </c>
      <c r="I214" s="2" t="s">
        <v>151</v>
      </c>
      <c r="J214" s="2" t="s">
        <v>145</v>
      </c>
      <c r="K214" s="2" t="n">
        <v>4</v>
      </c>
      <c r="L214" s="28" t="n">
        <v>25</v>
      </c>
      <c r="M214" s="29" t="n">
        <v>0.048</v>
      </c>
      <c r="N214" s="28" t="n">
        <v>1.2</v>
      </c>
      <c r="O214" s="28" t="n">
        <v>16.87</v>
      </c>
      <c r="P214" s="2" t="s">
        <v>146</v>
      </c>
      <c r="Q214" s="29" t="n">
        <v>0.08</v>
      </c>
      <c r="R214" s="30" t="n">
        <v>0.076</v>
      </c>
      <c r="S214" s="31" t="n">
        <v>15.7894736842105</v>
      </c>
      <c r="T214" s="30" t="n">
        <v>-0.0640501669110537</v>
      </c>
      <c r="U214" s="30" t="n">
        <v>0.00708202040370623</v>
      </c>
      <c r="V214" s="29" t="n">
        <v>0</v>
      </c>
      <c r="W214" s="29" t="n">
        <f aca="false">IF(N(Q214)=0,"",Q214+IF(I214="yes",Q214*Inputs!$B$10*Inputs!$B$9,0)+V214)</f>
        <v>0.076</v>
      </c>
      <c r="X214" s="28" t="n">
        <f aca="false">IF(OR(N(W214)&lt;=0,N(N214)=0,N(L214)=0),"",MIN(L214,N214/W214))</f>
        <v>15.7894736842105</v>
      </c>
      <c r="Y214" s="29" t="n">
        <f aca="false">IF(OR(X214="",N(O214)=0),"",X214/O214-1)</f>
        <v>-0.0640501669110537</v>
      </c>
      <c r="Z214" s="29" t="n">
        <f aca="false">IF(OR(Y214="",N(O214)=0),"",Y214+N214/O214)</f>
        <v>0.00708202040370623</v>
      </c>
      <c r="AA214" s="32" t="n">
        <f aca="false">IF(OR(Z214="",N(U214)=0),"",Z214-U214)</f>
        <v>0</v>
      </c>
      <c r="AB214" s="29" t="n">
        <f aca="false">IF(N(Q214)=0,"",Q214+IF(I214="yes",Q214*Inputs!$B$10*Inputs!$B$9,0)+IFERROR(INDEX(Inputs!$B$13:$B$15,MATCH(G214,Inputs!$A$13:$A$15,0)),0)+IFERROR(INDEX(Inputs!$B$18:$B$24,MATCH(H214,Inputs!$A$18:$A$24,0)),0))</f>
        <v>0.076</v>
      </c>
      <c r="AC214" s="28" t="n">
        <f aca="false">IF(OR(N(AB214)&lt;=0,N(N214)=0,N(L214)=0),"",MIN(L214,N214/AB214))</f>
        <v>15.7894736842105</v>
      </c>
      <c r="AD214" s="29" t="n">
        <f aca="false">IF(OR(AC214="",N(O214)=0),"",AC214/O214-1)</f>
        <v>-0.0640501669110537</v>
      </c>
      <c r="AE214" s="29" t="n">
        <f aca="false">IF(OR(AD214="",N(O214)=0),"",AD214+N214/O214)</f>
        <v>0.00708202040370623</v>
      </c>
      <c r="AF214" s="32" t="n">
        <f aca="false">IF(OR(AE214="",N(Z214)=0),"",AE214-Z214)</f>
        <v>0</v>
      </c>
      <c r="AG214" s="28" t="n">
        <f aca="false">IF(AND(N(M214)&gt;0,N(L214)&gt;0),M214*L214,N214)</f>
        <v>1.2</v>
      </c>
      <c r="AH214" s="28" t="n">
        <f aca="false">IF(OR(N(AB214)&lt;=0,N(AG214)=0,N(L214)=0),"",MIN(L214,AG214/AB214))</f>
        <v>15.7894736842105</v>
      </c>
      <c r="AI214" s="29" t="n">
        <f aca="false">IF(OR(AH214="",N(O214)=0),"",AH214/O214-1)</f>
        <v>-0.0640501669110537</v>
      </c>
      <c r="AJ214" s="29" t="n">
        <f aca="false">IF(OR(AI214="",N(O214)=0),"",AI214+AG214/O214)</f>
        <v>0.00708202040370623</v>
      </c>
      <c r="AK214" s="32" t="n">
        <f aca="false">IF(OR(AJ214="",N(AE214)=0),"",AJ214-AE214)</f>
        <v>0</v>
      </c>
      <c r="AL214" s="33" t="n">
        <f aca="false">IF(N(F214)=0,"",INDEX(Inputs!$B$28:$B$32,IFERROR(MATCH(F214,Inputs!$A$28:$A$32,1),0)+1))</f>
        <v>0.075</v>
      </c>
      <c r="AM214" s="34"/>
      <c r="AN214" s="33" t="n">
        <f aca="false">IF(N(AM214)&gt;0,AM214,AL214)</f>
        <v>0.075</v>
      </c>
      <c r="AO214" s="29" t="n">
        <f aca="false">IF(N(AN214)=0,"",AN214+IF(I214="yes",AN214*Inputs!$B$10*Inputs!$B$9,0)+IFERROR(INDEX(Inputs!$B$13:$B$15,MATCH(G214,Inputs!$A$13:$A$15,0)),0)+IFERROR(INDEX(Inputs!$B$18:$B$24,MATCH(H214,Inputs!$A$18:$A$24,0)),0))</f>
        <v>0.07125</v>
      </c>
      <c r="AP214" s="28" t="n">
        <f aca="false">IF(OR(N(AO214)&lt;=0,N(AG214)=0,N(L214)=0),"",MIN(L214,AG214/AO214))</f>
        <v>16.8421052631579</v>
      </c>
      <c r="AQ214" s="29" t="n">
        <f aca="false">IF(OR(AP214="",N(O214)=0),"",AP214/O214-1)</f>
        <v>-0.00165351137179059</v>
      </c>
      <c r="AR214" s="29" t="n">
        <f aca="false">IF(OR(AQ214="",N(O214)=0),"",AQ214+AG214/O214)</f>
        <v>0.0694786759429693</v>
      </c>
      <c r="AS214" s="32" t="n">
        <f aca="false">IF(OR(AR214="",N(AJ214)=0),"",AR214-AJ214)</f>
        <v>0.0623966555392631</v>
      </c>
      <c r="AT214" s="28" t="n">
        <v>25</v>
      </c>
      <c r="AU214" s="28" t="n">
        <v>1.2</v>
      </c>
      <c r="AV214" s="28" t="n">
        <f aca="false">IF(N(AT214)&gt;0,AT214,L214)</f>
        <v>25</v>
      </c>
      <c r="AW214" s="28" t="n">
        <f aca="false">IF(AND(N(M214)&gt;0,N(AV214)&gt;0),M214*AV214,IF(N(AU214)&gt;0,AU214,N214))</f>
        <v>1.2</v>
      </c>
      <c r="AX214" s="29" t="n">
        <f aca="false">IF(N(AN214)=0,"",AN214+IF(I214="yes",AN214*Inputs!$B$10*Inputs!$B$9,0)+IFERROR(INDEX(Inputs!$B$13:$B$15,MATCH(G214,Inputs!$A$13:$A$15,0)),0)+IFERROR(INDEX(Inputs!$B$18:$B$24,MATCH(H214,Inputs!$A$18:$A$24,0)),0))</f>
        <v>0.07125</v>
      </c>
      <c r="AY214" s="28" t="n">
        <f aca="false">IF(OR(N(AX214)&lt;=0,N(AW214)=0,N(AV214)=0),"",MIN(AV214,AW214/AX214))</f>
        <v>16.8421052631579</v>
      </c>
      <c r="AZ214" s="29" t="n">
        <f aca="false">IF(OR(AY214="",N(O214)=0),"",AY214/O214-1)</f>
        <v>-0.00165351137179059</v>
      </c>
      <c r="BA214" s="29" t="n">
        <f aca="false">IF(OR(AZ214="",N(O214)=0),"",AZ214+AW214/O214)</f>
        <v>0.0694786759429693</v>
      </c>
      <c r="BB214" s="32" t="n">
        <f aca="false">IF(OR(BA214="",N(AR214)=0),"",BA214-AR214)</f>
        <v>0</v>
      </c>
      <c r="BC214" s="35" t="n">
        <f aca="false">IF(OR(BA214="",N(U214)=0),"",BA214-U214)</f>
        <v>0.0623966555392631</v>
      </c>
      <c r="BD214" s="37"/>
    </row>
    <row r="215" customFormat="false" ht="15" hidden="false" customHeight="false" outlineLevel="0" collapsed="false">
      <c r="A215" s="2" t="s">
        <v>140</v>
      </c>
      <c r="B215" s="2" t="n">
        <v>424</v>
      </c>
      <c r="C215" s="2" t="s">
        <v>522</v>
      </c>
      <c r="D215" s="2" t="s">
        <v>519</v>
      </c>
      <c r="E215" s="2" t="s">
        <v>520</v>
      </c>
      <c r="F215" s="27" t="n">
        <v>130400</v>
      </c>
      <c r="G215" s="2" t="s">
        <v>51</v>
      </c>
      <c r="H215" s="2" t="s">
        <v>58</v>
      </c>
      <c r="I215" s="2" t="s">
        <v>151</v>
      </c>
      <c r="J215" s="2" t="s">
        <v>145</v>
      </c>
      <c r="K215" s="2" t="n">
        <v>4</v>
      </c>
      <c r="L215" s="28" t="n">
        <v>25</v>
      </c>
      <c r="M215" s="29" t="n">
        <v>0.04625</v>
      </c>
      <c r="N215" s="28" t="n">
        <v>1.15625</v>
      </c>
      <c r="O215" s="28" t="n">
        <v>16.28</v>
      </c>
      <c r="P215" s="2" t="s">
        <v>146</v>
      </c>
      <c r="Q215" s="29" t="n">
        <v>0.08</v>
      </c>
      <c r="R215" s="30" t="n">
        <v>0.076</v>
      </c>
      <c r="S215" s="31" t="n">
        <v>15.2138157894737</v>
      </c>
      <c r="T215" s="30" t="n">
        <v>-0.0654904306220095</v>
      </c>
      <c r="U215" s="30" t="n">
        <v>0.00553229665071772</v>
      </c>
      <c r="V215" s="29" t="n">
        <v>0</v>
      </c>
      <c r="W215" s="29" t="n">
        <f aca="false">IF(N(Q215)=0,"",Q215+IF(I215="yes",Q215*Inputs!$B$10*Inputs!$B$9,0)+V215)</f>
        <v>0.076</v>
      </c>
      <c r="X215" s="28" t="n">
        <f aca="false">IF(OR(N(W215)&lt;=0,N(N215)=0,N(L215)=0),"",MIN(L215,N215/W215))</f>
        <v>15.2138157894737</v>
      </c>
      <c r="Y215" s="29" t="n">
        <f aca="false">IF(OR(X215="",N(O215)=0),"",X215/O215-1)</f>
        <v>-0.0654904306220095</v>
      </c>
      <c r="Z215" s="29" t="n">
        <f aca="false">IF(OR(Y215="",N(O215)=0),"",Y215+N215/O215)</f>
        <v>0.00553229665071772</v>
      </c>
      <c r="AA215" s="32" t="n">
        <f aca="false">IF(OR(Z215="",N(U215)=0),"",Z215-U215)</f>
        <v>0</v>
      </c>
      <c r="AB215" s="29" t="n">
        <f aca="false">IF(N(Q215)=0,"",Q215+IF(I215="yes",Q215*Inputs!$B$10*Inputs!$B$9,0)+IFERROR(INDEX(Inputs!$B$13:$B$15,MATCH(G215,Inputs!$A$13:$A$15,0)),0)+IFERROR(INDEX(Inputs!$B$18:$B$24,MATCH(H215,Inputs!$A$18:$A$24,0)),0))</f>
        <v>0.076</v>
      </c>
      <c r="AC215" s="28" t="n">
        <f aca="false">IF(OR(N(AB215)&lt;=0,N(N215)=0,N(L215)=0),"",MIN(L215,N215/AB215))</f>
        <v>15.2138157894737</v>
      </c>
      <c r="AD215" s="29" t="n">
        <f aca="false">IF(OR(AC215="",N(O215)=0),"",AC215/O215-1)</f>
        <v>-0.0654904306220095</v>
      </c>
      <c r="AE215" s="29" t="n">
        <f aca="false">IF(OR(AD215="",N(O215)=0),"",AD215+N215/O215)</f>
        <v>0.00553229665071772</v>
      </c>
      <c r="AF215" s="32" t="n">
        <f aca="false">IF(OR(AE215="",N(Z215)=0),"",AE215-Z215)</f>
        <v>0</v>
      </c>
      <c r="AG215" s="28" t="n">
        <f aca="false">IF(AND(N(M215)&gt;0,N(L215)&gt;0),M215*L215,N215)</f>
        <v>1.15625</v>
      </c>
      <c r="AH215" s="28" t="n">
        <f aca="false">IF(OR(N(AB215)&lt;=0,N(AG215)=0,N(L215)=0),"",MIN(L215,AG215/AB215))</f>
        <v>15.2138157894737</v>
      </c>
      <c r="AI215" s="29" t="n">
        <f aca="false">IF(OR(AH215="",N(O215)=0),"",AH215/O215-1)</f>
        <v>-0.0654904306220095</v>
      </c>
      <c r="AJ215" s="29" t="n">
        <f aca="false">IF(OR(AI215="",N(O215)=0),"",AI215+AG215/O215)</f>
        <v>0.00553229665071772</v>
      </c>
      <c r="AK215" s="32" t="n">
        <f aca="false">IF(OR(AJ215="",N(AE215)=0),"",AJ215-AE215)</f>
        <v>0</v>
      </c>
      <c r="AL215" s="33" t="n">
        <f aca="false">IF(N(F215)=0,"",INDEX(Inputs!$B$28:$B$32,IFERROR(MATCH(F215,Inputs!$A$28:$A$32,1),0)+1))</f>
        <v>0.075</v>
      </c>
      <c r="AM215" s="34"/>
      <c r="AN215" s="33" t="n">
        <f aca="false">IF(N(AM215)&gt;0,AM215,AL215)</f>
        <v>0.075</v>
      </c>
      <c r="AO215" s="29" t="n">
        <f aca="false">IF(N(AN215)=0,"",AN215+IF(I215="yes",AN215*Inputs!$B$10*Inputs!$B$9,0)+IFERROR(INDEX(Inputs!$B$13:$B$15,MATCH(G215,Inputs!$A$13:$A$15,0)),0)+IFERROR(INDEX(Inputs!$B$18:$B$24,MATCH(H215,Inputs!$A$18:$A$24,0)),0))</f>
        <v>0.07125</v>
      </c>
      <c r="AP215" s="28" t="n">
        <f aca="false">IF(OR(N(AO215)&lt;=0,N(AG215)=0,N(L215)=0),"",MIN(L215,AG215/AO215))</f>
        <v>16.2280701754386</v>
      </c>
      <c r="AQ215" s="29" t="n">
        <f aca="false">IF(OR(AP215="",N(O215)=0),"",AP215/O215-1)</f>
        <v>-0.00318979266347674</v>
      </c>
      <c r="AR215" s="29" t="n">
        <f aca="false">IF(OR(AQ215="",N(O215)=0),"",AQ215+AG215/O215)</f>
        <v>0.0678329346092505</v>
      </c>
      <c r="AS215" s="32" t="n">
        <f aca="false">IF(OR(AR215="",N(AJ215)=0),"",AR215-AJ215)</f>
        <v>0.0623006379585328</v>
      </c>
      <c r="AT215" s="28" t="n">
        <v>25</v>
      </c>
      <c r="AU215" s="28" t="n">
        <v>1.15625</v>
      </c>
      <c r="AV215" s="28" t="n">
        <f aca="false">IF(N(AT215)&gt;0,AT215,L215)</f>
        <v>25</v>
      </c>
      <c r="AW215" s="28" t="n">
        <f aca="false">IF(AND(N(M215)&gt;0,N(AV215)&gt;0),M215*AV215,IF(N(AU215)&gt;0,AU215,N215))</f>
        <v>1.15625</v>
      </c>
      <c r="AX215" s="29" t="n">
        <f aca="false">IF(N(AN215)=0,"",AN215+IF(I215="yes",AN215*Inputs!$B$10*Inputs!$B$9,0)+IFERROR(INDEX(Inputs!$B$13:$B$15,MATCH(G215,Inputs!$A$13:$A$15,0)),0)+IFERROR(INDEX(Inputs!$B$18:$B$24,MATCH(H215,Inputs!$A$18:$A$24,0)),0))</f>
        <v>0.07125</v>
      </c>
      <c r="AY215" s="28" t="n">
        <f aca="false">IF(OR(N(AX215)&lt;=0,N(AW215)=0,N(AV215)=0),"",MIN(AV215,AW215/AX215))</f>
        <v>16.2280701754386</v>
      </c>
      <c r="AZ215" s="29" t="n">
        <f aca="false">IF(OR(AY215="",N(O215)=0),"",AY215/O215-1)</f>
        <v>-0.00318979266347674</v>
      </c>
      <c r="BA215" s="29" t="n">
        <f aca="false">IF(OR(AZ215="",N(O215)=0),"",AZ215+AW215/O215)</f>
        <v>0.0678329346092505</v>
      </c>
      <c r="BB215" s="32" t="n">
        <f aca="false">IF(OR(BA215="",N(AR215)=0),"",BA215-AR215)</f>
        <v>0</v>
      </c>
      <c r="BC215" s="35" t="n">
        <f aca="false">IF(OR(BA215="",N(U215)=0),"",BA215-U215)</f>
        <v>0.0623006379585328</v>
      </c>
      <c r="BD215" s="37"/>
    </row>
    <row r="216" customFormat="false" ht="15" hidden="false" customHeight="false" outlineLevel="0" collapsed="false">
      <c r="A216" s="2" t="s">
        <v>140</v>
      </c>
      <c r="B216" s="2" t="n">
        <v>425</v>
      </c>
      <c r="C216" s="2" t="s">
        <v>523</v>
      </c>
      <c r="D216" s="2" t="s">
        <v>519</v>
      </c>
      <c r="E216" s="2" t="s">
        <v>520</v>
      </c>
      <c r="F216" s="27" t="n">
        <v>130400</v>
      </c>
      <c r="G216" s="2" t="s">
        <v>51</v>
      </c>
      <c r="H216" s="2" t="s">
        <v>58</v>
      </c>
      <c r="I216" s="2" t="s">
        <v>151</v>
      </c>
      <c r="J216" s="2" t="s">
        <v>145</v>
      </c>
      <c r="K216" s="2" t="n">
        <v>4</v>
      </c>
      <c r="L216" s="28" t="n">
        <v>25</v>
      </c>
      <c r="M216" s="29" t="n">
        <v>0.04375</v>
      </c>
      <c r="N216" s="28" t="n">
        <v>1.09375</v>
      </c>
      <c r="O216" s="28" t="n">
        <v>15.31</v>
      </c>
      <c r="P216" s="2" t="s">
        <v>146</v>
      </c>
      <c r="Q216" s="29" t="n">
        <v>0.08</v>
      </c>
      <c r="R216" s="30" t="n">
        <v>0.076</v>
      </c>
      <c r="S216" s="31" t="n">
        <v>14.3914473684211</v>
      </c>
      <c r="T216" s="30" t="n">
        <v>-0.0599969060469593</v>
      </c>
      <c r="U216" s="30" t="n">
        <v>0.0114433290934718</v>
      </c>
      <c r="V216" s="29" t="n">
        <v>0</v>
      </c>
      <c r="W216" s="29" t="n">
        <f aca="false">IF(N(Q216)=0,"",Q216+IF(I216="yes",Q216*Inputs!$B$10*Inputs!$B$9,0)+V216)</f>
        <v>0.076</v>
      </c>
      <c r="X216" s="28" t="n">
        <f aca="false">IF(OR(N(W216)&lt;=0,N(N216)=0,N(L216)=0),"",MIN(L216,N216/W216))</f>
        <v>14.3914473684211</v>
      </c>
      <c r="Y216" s="29" t="n">
        <f aca="false">IF(OR(X216="",N(O216)=0),"",X216/O216-1)</f>
        <v>-0.0599969060469593</v>
      </c>
      <c r="Z216" s="29" t="n">
        <f aca="false">IF(OR(Y216="",N(O216)=0),"",Y216+N216/O216)</f>
        <v>0.0114433290934718</v>
      </c>
      <c r="AA216" s="32" t="n">
        <f aca="false">IF(OR(Z216="",N(U216)=0),"",Z216-U216)</f>
        <v>0</v>
      </c>
      <c r="AB216" s="29" t="n">
        <f aca="false">IF(N(Q216)=0,"",Q216+IF(I216="yes",Q216*Inputs!$B$10*Inputs!$B$9,0)+IFERROR(INDEX(Inputs!$B$13:$B$15,MATCH(G216,Inputs!$A$13:$A$15,0)),0)+IFERROR(INDEX(Inputs!$B$18:$B$24,MATCH(H216,Inputs!$A$18:$A$24,0)),0))</f>
        <v>0.076</v>
      </c>
      <c r="AC216" s="28" t="n">
        <f aca="false">IF(OR(N(AB216)&lt;=0,N(N216)=0,N(L216)=0),"",MIN(L216,N216/AB216))</f>
        <v>14.3914473684211</v>
      </c>
      <c r="AD216" s="29" t="n">
        <f aca="false">IF(OR(AC216="",N(O216)=0),"",AC216/O216-1)</f>
        <v>-0.0599969060469593</v>
      </c>
      <c r="AE216" s="29" t="n">
        <f aca="false">IF(OR(AD216="",N(O216)=0),"",AD216+N216/O216)</f>
        <v>0.0114433290934718</v>
      </c>
      <c r="AF216" s="32" t="n">
        <f aca="false">IF(OR(AE216="",N(Z216)=0),"",AE216-Z216)</f>
        <v>0</v>
      </c>
      <c r="AG216" s="28" t="n">
        <f aca="false">IF(AND(N(M216)&gt;0,N(L216)&gt;0),M216*L216,N216)</f>
        <v>1.09375</v>
      </c>
      <c r="AH216" s="28" t="n">
        <f aca="false">IF(OR(N(AB216)&lt;=0,N(AG216)=0,N(L216)=0),"",MIN(L216,AG216/AB216))</f>
        <v>14.3914473684211</v>
      </c>
      <c r="AI216" s="29" t="n">
        <f aca="false">IF(OR(AH216="",N(O216)=0),"",AH216/O216-1)</f>
        <v>-0.0599969060469593</v>
      </c>
      <c r="AJ216" s="29" t="n">
        <f aca="false">IF(OR(AI216="",N(O216)=0),"",AI216+AG216/O216)</f>
        <v>0.0114433290934718</v>
      </c>
      <c r="AK216" s="32" t="n">
        <f aca="false">IF(OR(AJ216="",N(AE216)=0),"",AJ216-AE216)</f>
        <v>0</v>
      </c>
      <c r="AL216" s="33" t="n">
        <f aca="false">IF(N(F216)=0,"",INDEX(Inputs!$B$28:$B$32,IFERROR(MATCH(F216,Inputs!$A$28:$A$32,1),0)+1))</f>
        <v>0.075</v>
      </c>
      <c r="AM216" s="34"/>
      <c r="AN216" s="33" t="n">
        <f aca="false">IF(N(AM216)&gt;0,AM216,AL216)</f>
        <v>0.075</v>
      </c>
      <c r="AO216" s="29" t="n">
        <f aca="false">IF(N(AN216)=0,"",AN216+IF(I216="yes",AN216*Inputs!$B$10*Inputs!$B$9,0)+IFERROR(INDEX(Inputs!$B$13:$B$15,MATCH(G216,Inputs!$A$13:$A$15,0)),0)+IFERROR(INDEX(Inputs!$B$18:$B$24,MATCH(H216,Inputs!$A$18:$A$24,0)),0))</f>
        <v>0.07125</v>
      </c>
      <c r="AP216" s="28" t="n">
        <f aca="false">IF(OR(N(AO216)&lt;=0,N(AG216)=0,N(L216)=0),"",MIN(L216,AG216/AO216))</f>
        <v>15.3508771929825</v>
      </c>
      <c r="AQ216" s="29" t="n">
        <f aca="false">IF(OR(AP216="",N(O216)=0),"",AP216/O216-1)</f>
        <v>0.0026699668832435</v>
      </c>
      <c r="AR216" s="29" t="n">
        <f aca="false">IF(OR(AQ216="",N(O216)=0),"",AQ216+AG216/O216)</f>
        <v>0.0741102020236746</v>
      </c>
      <c r="AS216" s="32" t="n">
        <f aca="false">IF(OR(AR216="",N(AJ216)=0),"",AR216-AJ216)</f>
        <v>0.0626668729302028</v>
      </c>
      <c r="AT216" s="28" t="n">
        <v>25</v>
      </c>
      <c r="AU216" s="28" t="n">
        <v>1.09375</v>
      </c>
      <c r="AV216" s="28" t="n">
        <f aca="false">IF(N(AT216)&gt;0,AT216,L216)</f>
        <v>25</v>
      </c>
      <c r="AW216" s="28" t="n">
        <f aca="false">IF(AND(N(M216)&gt;0,N(AV216)&gt;0),M216*AV216,IF(N(AU216)&gt;0,AU216,N216))</f>
        <v>1.09375</v>
      </c>
      <c r="AX216" s="29" t="n">
        <f aca="false">IF(N(AN216)=0,"",AN216+IF(I216="yes",AN216*Inputs!$B$10*Inputs!$B$9,0)+IFERROR(INDEX(Inputs!$B$13:$B$15,MATCH(G216,Inputs!$A$13:$A$15,0)),0)+IFERROR(INDEX(Inputs!$B$18:$B$24,MATCH(H216,Inputs!$A$18:$A$24,0)),0))</f>
        <v>0.07125</v>
      </c>
      <c r="AY216" s="28" t="n">
        <f aca="false">IF(OR(N(AX216)&lt;=0,N(AW216)=0,N(AV216)=0),"",MIN(AV216,AW216/AX216))</f>
        <v>15.3508771929825</v>
      </c>
      <c r="AZ216" s="29" t="n">
        <f aca="false">IF(OR(AY216="",N(O216)=0),"",AY216/O216-1)</f>
        <v>0.0026699668832435</v>
      </c>
      <c r="BA216" s="29" t="n">
        <f aca="false">IF(OR(AZ216="",N(O216)=0),"",AZ216+AW216/O216)</f>
        <v>0.0741102020236746</v>
      </c>
      <c r="BB216" s="32" t="n">
        <f aca="false">IF(OR(BA216="",N(AR216)=0),"",BA216-AR216)</f>
        <v>0</v>
      </c>
      <c r="BC216" s="35" t="n">
        <f aca="false">IF(OR(BA216="",N(U216)=0),"",BA216-U216)</f>
        <v>0.0626668729302028</v>
      </c>
      <c r="BD216" s="37"/>
    </row>
    <row r="217" customFormat="false" ht="15" hidden="false" customHeight="false" outlineLevel="0" collapsed="false">
      <c r="A217" s="2" t="s">
        <v>140</v>
      </c>
      <c r="B217" s="2" t="n">
        <v>426</v>
      </c>
      <c r="C217" s="2" t="s">
        <v>524</v>
      </c>
      <c r="D217" s="2" t="s">
        <v>519</v>
      </c>
      <c r="E217" s="2" t="s">
        <v>520</v>
      </c>
      <c r="F217" s="27" t="n">
        <v>130400</v>
      </c>
      <c r="G217" s="2" t="s">
        <v>51</v>
      </c>
      <c r="H217" s="2" t="s">
        <v>58</v>
      </c>
      <c r="I217" s="2" t="s">
        <v>151</v>
      </c>
      <c r="J217" s="2" t="s">
        <v>145</v>
      </c>
      <c r="K217" s="2" t="n">
        <v>4</v>
      </c>
      <c r="L217" s="28" t="n">
        <v>25</v>
      </c>
      <c r="M217" s="29" t="n">
        <v>0.0425</v>
      </c>
      <c r="N217" s="28" t="n">
        <v>1.0625</v>
      </c>
      <c r="O217" s="28" t="n">
        <v>15.11</v>
      </c>
      <c r="P217" s="2" t="s">
        <v>146</v>
      </c>
      <c r="Q217" s="29" t="n">
        <v>0.08</v>
      </c>
      <c r="R217" s="30" t="n">
        <v>0.076</v>
      </c>
      <c r="S217" s="31" t="n">
        <v>13.9802631578947</v>
      </c>
      <c r="T217" s="30" t="n">
        <v>-0.0747674945139154</v>
      </c>
      <c r="U217" s="30" t="n">
        <v>-0.00444982409697298</v>
      </c>
      <c r="V217" s="29" t="n">
        <v>0</v>
      </c>
      <c r="W217" s="29" t="n">
        <f aca="false">IF(N(Q217)=0,"",Q217+IF(I217="yes",Q217*Inputs!$B$10*Inputs!$B$9,0)+V217)</f>
        <v>0.076</v>
      </c>
      <c r="X217" s="28" t="n">
        <f aca="false">IF(OR(N(W217)&lt;=0,N(N217)=0,N(L217)=0),"",MIN(L217,N217/W217))</f>
        <v>13.9802631578947</v>
      </c>
      <c r="Y217" s="29" t="n">
        <f aca="false">IF(OR(X217="",N(O217)=0),"",X217/O217-1)</f>
        <v>-0.0747674945139154</v>
      </c>
      <c r="Z217" s="29" t="n">
        <f aca="false">IF(OR(Y217="",N(O217)=0),"",Y217+N217/O217)</f>
        <v>-0.00444982409697298</v>
      </c>
      <c r="AA217" s="32" t="n">
        <f aca="false">IF(OR(Z217="",N(U217)=0),"",Z217-U217)</f>
        <v>0</v>
      </c>
      <c r="AB217" s="29" t="n">
        <f aca="false">IF(N(Q217)=0,"",Q217+IF(I217="yes",Q217*Inputs!$B$10*Inputs!$B$9,0)+IFERROR(INDEX(Inputs!$B$13:$B$15,MATCH(G217,Inputs!$A$13:$A$15,0)),0)+IFERROR(INDEX(Inputs!$B$18:$B$24,MATCH(H217,Inputs!$A$18:$A$24,0)),0))</f>
        <v>0.076</v>
      </c>
      <c r="AC217" s="28" t="n">
        <f aca="false">IF(OR(N(AB217)&lt;=0,N(N217)=0,N(L217)=0),"",MIN(L217,N217/AB217))</f>
        <v>13.9802631578947</v>
      </c>
      <c r="AD217" s="29" t="n">
        <f aca="false">IF(OR(AC217="",N(O217)=0),"",AC217/O217-1)</f>
        <v>-0.0747674945139154</v>
      </c>
      <c r="AE217" s="29" t="n">
        <f aca="false">IF(OR(AD217="",N(O217)=0),"",AD217+N217/O217)</f>
        <v>-0.00444982409697298</v>
      </c>
      <c r="AF217" s="32" t="n">
        <f aca="false">IF(OR(AE217="",N(Z217)=0),"",AE217-Z217)</f>
        <v>0</v>
      </c>
      <c r="AG217" s="28" t="n">
        <f aca="false">IF(AND(N(M217)&gt;0,N(L217)&gt;0),M217*L217,N217)</f>
        <v>1.0625</v>
      </c>
      <c r="AH217" s="28" t="n">
        <f aca="false">IF(OR(N(AB217)&lt;=0,N(AG217)=0,N(L217)=0),"",MIN(L217,AG217/AB217))</f>
        <v>13.9802631578947</v>
      </c>
      <c r="AI217" s="29" t="n">
        <f aca="false">IF(OR(AH217="",N(O217)=0),"",AH217/O217-1)</f>
        <v>-0.0747674945139154</v>
      </c>
      <c r="AJ217" s="29" t="n">
        <f aca="false">IF(OR(AI217="",N(O217)=0),"",AI217+AG217/O217)</f>
        <v>-0.00444982409697298</v>
      </c>
      <c r="AK217" s="32" t="n">
        <f aca="false">IF(OR(AJ217="",N(AE217)=0),"",AJ217-AE217)</f>
        <v>0</v>
      </c>
      <c r="AL217" s="33" t="n">
        <f aca="false">IF(N(F217)=0,"",INDEX(Inputs!$B$28:$B$32,IFERROR(MATCH(F217,Inputs!$A$28:$A$32,1),0)+1))</f>
        <v>0.075</v>
      </c>
      <c r="AM217" s="34"/>
      <c r="AN217" s="33" t="n">
        <f aca="false">IF(N(AM217)&gt;0,AM217,AL217)</f>
        <v>0.075</v>
      </c>
      <c r="AO217" s="29" t="n">
        <f aca="false">IF(N(AN217)=0,"",AN217+IF(I217="yes",AN217*Inputs!$B$10*Inputs!$B$9,0)+IFERROR(INDEX(Inputs!$B$13:$B$15,MATCH(G217,Inputs!$A$13:$A$15,0)),0)+IFERROR(INDEX(Inputs!$B$18:$B$24,MATCH(H217,Inputs!$A$18:$A$24,0)),0))</f>
        <v>0.07125</v>
      </c>
      <c r="AP217" s="28" t="n">
        <f aca="false">IF(OR(N(AO217)&lt;=0,N(AG217)=0,N(L217)=0),"",MIN(L217,AG217/AO217))</f>
        <v>14.9122807017544</v>
      </c>
      <c r="AQ217" s="29" t="n">
        <f aca="false">IF(OR(AP217="",N(O217)=0),"",AP217/O217-1)</f>
        <v>-0.0130853274815097</v>
      </c>
      <c r="AR217" s="29" t="n">
        <f aca="false">IF(OR(AQ217="",N(O217)=0),"",AQ217+AG217/O217)</f>
        <v>0.0572323429354327</v>
      </c>
      <c r="AS217" s="32" t="n">
        <f aca="false">IF(OR(AR217="",N(AJ217)=0),"",AR217-AJ217)</f>
        <v>0.0616821670324057</v>
      </c>
      <c r="AT217" s="28" t="n">
        <v>25</v>
      </c>
      <c r="AU217" s="28" t="n">
        <v>1.0625</v>
      </c>
      <c r="AV217" s="28" t="n">
        <f aca="false">IF(N(AT217)&gt;0,AT217,L217)</f>
        <v>25</v>
      </c>
      <c r="AW217" s="28" t="n">
        <f aca="false">IF(AND(N(M217)&gt;0,N(AV217)&gt;0),M217*AV217,IF(N(AU217)&gt;0,AU217,N217))</f>
        <v>1.0625</v>
      </c>
      <c r="AX217" s="29" t="n">
        <f aca="false">IF(N(AN217)=0,"",AN217+IF(I217="yes",AN217*Inputs!$B$10*Inputs!$B$9,0)+IFERROR(INDEX(Inputs!$B$13:$B$15,MATCH(G217,Inputs!$A$13:$A$15,0)),0)+IFERROR(INDEX(Inputs!$B$18:$B$24,MATCH(H217,Inputs!$A$18:$A$24,0)),0))</f>
        <v>0.07125</v>
      </c>
      <c r="AY217" s="28" t="n">
        <f aca="false">IF(OR(N(AX217)&lt;=0,N(AW217)=0,N(AV217)=0),"",MIN(AV217,AW217/AX217))</f>
        <v>14.9122807017544</v>
      </c>
      <c r="AZ217" s="29" t="n">
        <f aca="false">IF(OR(AY217="",N(O217)=0),"",AY217/O217-1)</f>
        <v>-0.0130853274815097</v>
      </c>
      <c r="BA217" s="29" t="n">
        <f aca="false">IF(OR(AZ217="",N(O217)=0),"",AZ217+AW217/O217)</f>
        <v>0.0572323429354327</v>
      </c>
      <c r="BB217" s="32" t="n">
        <f aca="false">IF(OR(BA217="",N(AR217)=0),"",BA217-AR217)</f>
        <v>0</v>
      </c>
      <c r="BC217" s="35" t="n">
        <f aca="false">IF(OR(BA217="",N(U217)=0),"",BA217-U217)</f>
        <v>0.0616821670324057</v>
      </c>
      <c r="BD217" s="37"/>
    </row>
    <row r="218" customFormat="false" ht="15" hidden="false" customHeight="false" outlineLevel="0" collapsed="false">
      <c r="A218" s="2" t="s">
        <v>140</v>
      </c>
      <c r="B218" s="2" t="n">
        <v>429</v>
      </c>
      <c r="C218" s="2" t="s">
        <v>525</v>
      </c>
      <c r="D218" s="2" t="s">
        <v>526</v>
      </c>
      <c r="E218" s="2" t="s">
        <v>527</v>
      </c>
      <c r="F218" s="27"/>
      <c r="G218" s="2" t="s">
        <v>51</v>
      </c>
      <c r="H218" s="2" t="s">
        <v>58</v>
      </c>
      <c r="I218" s="2" t="s">
        <v>151</v>
      </c>
      <c r="J218" s="2" t="s">
        <v>145</v>
      </c>
      <c r="K218" s="2" t="n">
        <v>4</v>
      </c>
      <c r="L218" s="28" t="n">
        <v>25</v>
      </c>
      <c r="M218" s="29" t="n">
        <v>0.0925</v>
      </c>
      <c r="N218" s="28" t="n">
        <v>2.3125</v>
      </c>
      <c r="O218" s="28" t="n">
        <v>0.0002</v>
      </c>
      <c r="P218" s="2" t="s">
        <v>146</v>
      </c>
      <c r="Q218" s="29" t="n">
        <v>0.08</v>
      </c>
      <c r="R218" s="30" t="n">
        <v>0.076</v>
      </c>
      <c r="S218" s="31" t="n">
        <v>25</v>
      </c>
      <c r="T218" s="30" t="n">
        <v>124999</v>
      </c>
      <c r="U218" s="30" t="n">
        <v>136561.5</v>
      </c>
      <c r="V218" s="29" t="n">
        <v>0</v>
      </c>
      <c r="W218" s="29" t="n">
        <f aca="false">IF(N(Q218)=0,"",Q218+IF(I218="yes",Q218*Inputs!$B$10*Inputs!$B$9,0)+V218)</f>
        <v>0.076</v>
      </c>
      <c r="X218" s="28" t="n">
        <f aca="false">IF(OR(N(W218)&lt;=0,N(N218)=0,N(L218)=0),"",MIN(L218,N218/W218))</f>
        <v>25</v>
      </c>
      <c r="Y218" s="29" t="n">
        <f aca="false">IF(OR(X218="",N(O218)=0),"",X218/O218-1)</f>
        <v>124999</v>
      </c>
      <c r="Z218" s="29" t="n">
        <f aca="false">IF(OR(Y218="",N(O218)=0),"",Y218+N218/O218)</f>
        <v>136561.5</v>
      </c>
      <c r="AA218" s="32" t="n">
        <f aca="false">IF(OR(Z218="",N(U218)=0),"",Z218-U218)</f>
        <v>0</v>
      </c>
      <c r="AB218" s="29" t="n">
        <f aca="false">IF(N(Q218)=0,"",Q218+IF(I218="yes",Q218*Inputs!$B$10*Inputs!$B$9,0)+IFERROR(INDEX(Inputs!$B$13:$B$15,MATCH(G218,Inputs!$A$13:$A$15,0)),0)+IFERROR(INDEX(Inputs!$B$18:$B$24,MATCH(H218,Inputs!$A$18:$A$24,0)),0))</f>
        <v>0.076</v>
      </c>
      <c r="AC218" s="28" t="n">
        <f aca="false">IF(OR(N(AB218)&lt;=0,N(N218)=0,N(L218)=0),"",MIN(L218,N218/AB218))</f>
        <v>25</v>
      </c>
      <c r="AD218" s="29" t="n">
        <f aca="false">IF(OR(AC218="",N(O218)=0),"",AC218/O218-1)</f>
        <v>124999</v>
      </c>
      <c r="AE218" s="29" t="n">
        <f aca="false">IF(OR(AD218="",N(O218)=0),"",AD218+N218/O218)</f>
        <v>136561.5</v>
      </c>
      <c r="AF218" s="32" t="n">
        <f aca="false">IF(OR(AE218="",N(Z218)=0),"",AE218-Z218)</f>
        <v>0</v>
      </c>
      <c r="AG218" s="28" t="n">
        <f aca="false">IF(AND(N(M218)&gt;0,N(L218)&gt;0),M218*L218,N218)</f>
        <v>2.3125</v>
      </c>
      <c r="AH218" s="28" t="n">
        <f aca="false">IF(OR(N(AB218)&lt;=0,N(AG218)=0,N(L218)=0),"",MIN(L218,AG218/AB218))</f>
        <v>25</v>
      </c>
      <c r="AI218" s="29" t="n">
        <f aca="false">IF(OR(AH218="",N(O218)=0),"",AH218/O218-1)</f>
        <v>124999</v>
      </c>
      <c r="AJ218" s="29" t="n">
        <f aca="false">IF(OR(AI218="",N(O218)=0),"",AI218+AG218/O218)</f>
        <v>136561.5</v>
      </c>
      <c r="AK218" s="32" t="n">
        <f aca="false">IF(OR(AJ218="",N(AE218)=0),"",AJ218-AE218)</f>
        <v>0</v>
      </c>
      <c r="AL218" s="33" t="str">
        <f aca="false">IF(N(F218)=0,"",INDEX(Inputs!$B$28:$B$32,IFERROR(MATCH(F218,Inputs!$A$28:$A$32,1),0)+1))</f>
        <v/>
      </c>
      <c r="AM218" s="34"/>
      <c r="AN218" s="33" t="str">
        <f aca="false">IF(N(AM218)&gt;0,AM218,AL218)</f>
        <v/>
      </c>
      <c r="AO218" s="29" t="str">
        <f aca="false">IF(N(AN218)=0,"",AN218+IF(I218="yes",AN218*Inputs!$B$10*Inputs!$B$9,0)+IFERROR(INDEX(Inputs!$B$13:$B$15,MATCH(G218,Inputs!$A$13:$A$15,0)),0)+IFERROR(INDEX(Inputs!$B$18:$B$24,MATCH(H218,Inputs!$A$18:$A$24,0)),0))</f>
        <v/>
      </c>
      <c r="AP218" s="28" t="str">
        <f aca="false">IF(OR(N(AO218)&lt;=0,N(AG218)=0,N(L218)=0),"",MIN(L218,AG218/AO218))</f>
        <v/>
      </c>
      <c r="AQ218" s="29" t="str">
        <f aca="false">IF(OR(AP218="",N(O218)=0),"",AP218/O218-1)</f>
        <v/>
      </c>
      <c r="AR218" s="29" t="str">
        <f aca="false">IF(OR(AQ218="",N(O218)=0),"",AQ218+AG218/O218)</f>
        <v/>
      </c>
      <c r="AS218" s="32" t="str">
        <f aca="false">IF(OR(AR218="",N(AJ218)=0),"",AR218-AJ218)</f>
        <v/>
      </c>
      <c r="AT218" s="28" t="n">
        <v>25</v>
      </c>
      <c r="AU218" s="28" t="n">
        <v>2.3125</v>
      </c>
      <c r="AV218" s="28" t="n">
        <f aca="false">IF(N(AT218)&gt;0,AT218,L218)</f>
        <v>25</v>
      </c>
      <c r="AW218" s="28" t="n">
        <f aca="false">IF(AND(N(M218)&gt;0,N(AV218)&gt;0),M218*AV218,IF(N(AU218)&gt;0,AU218,N218))</f>
        <v>2.3125</v>
      </c>
      <c r="AX218" s="29" t="str">
        <f aca="false">IF(N(AN218)=0,"",AN218+IF(I218="yes",AN218*Inputs!$B$10*Inputs!$B$9,0)+IFERROR(INDEX(Inputs!$B$13:$B$15,MATCH(G218,Inputs!$A$13:$A$15,0)),0)+IFERROR(INDEX(Inputs!$B$18:$B$24,MATCH(H218,Inputs!$A$18:$A$24,0)),0))</f>
        <v/>
      </c>
      <c r="AY218" s="28" t="str">
        <f aca="false">IF(OR(N(AX218)&lt;=0,N(AW218)=0,N(AV218)=0),"",MIN(AV218,AW218/AX218))</f>
        <v/>
      </c>
      <c r="AZ218" s="29" t="str">
        <f aca="false">IF(OR(AY218="",N(O218)=0),"",AY218/O218-1)</f>
        <v/>
      </c>
      <c r="BA218" s="29" t="str">
        <f aca="false">IF(OR(AZ218="",N(O218)=0),"",AZ218+AW218/O218)</f>
        <v/>
      </c>
      <c r="BB218" s="32" t="str">
        <f aca="false">IF(OR(BA218="",N(AR218)=0),"",BA218-AR218)</f>
        <v/>
      </c>
      <c r="BC218" s="35" t="str">
        <f aca="false">IF(OR(BA218="",N(U218)=0),"",BA218-U218)</f>
        <v/>
      </c>
      <c r="BD218" s="37"/>
    </row>
    <row r="219" customFormat="false" ht="15" hidden="false" customHeight="false" outlineLevel="0" collapsed="false">
      <c r="A219" s="2" t="s">
        <v>140</v>
      </c>
      <c r="B219" s="2" t="n">
        <v>433</v>
      </c>
      <c r="C219" s="2" t="s">
        <v>528</v>
      </c>
      <c r="D219" s="2" t="s">
        <v>529</v>
      </c>
      <c r="E219" s="2" t="s">
        <v>143</v>
      </c>
      <c r="F219" s="27"/>
      <c r="G219" s="2" t="s">
        <v>51</v>
      </c>
      <c r="H219" s="2" t="s">
        <v>58</v>
      </c>
      <c r="I219" s="2" t="s">
        <v>144</v>
      </c>
      <c r="J219" s="2" t="s">
        <v>145</v>
      </c>
      <c r="K219" s="2" t="n">
        <v>4</v>
      </c>
      <c r="L219" s="28" t="n">
        <v>25</v>
      </c>
      <c r="M219" s="29" t="n">
        <v>0.07375</v>
      </c>
      <c r="N219" s="28" t="n">
        <v>1.84375</v>
      </c>
      <c r="O219" s="28" t="n">
        <v>0</v>
      </c>
      <c r="P219" s="2" t="s">
        <v>146</v>
      </c>
      <c r="Q219" s="29" t="n">
        <v>0.08</v>
      </c>
      <c r="R219" s="30" t="n">
        <v>0.08</v>
      </c>
      <c r="S219" s="31" t="n">
        <v>23.046875</v>
      </c>
      <c r="T219" s="30"/>
      <c r="U219" s="30"/>
      <c r="V219" s="29" t="n">
        <v>0</v>
      </c>
      <c r="W219" s="29" t="n">
        <f aca="false">IF(N(Q219)=0,"",Q219+IF(I219="yes",Q219*Inputs!$B$10*Inputs!$B$9,0)+V219)</f>
        <v>0.08</v>
      </c>
      <c r="X219" s="28" t="n">
        <f aca="false">IF(OR(N(W219)&lt;=0,N(N219)=0,N(L219)=0),"",MIN(L219,N219/W219))</f>
        <v>23.046875</v>
      </c>
      <c r="Y219" s="29" t="str">
        <f aca="false">IF(OR(X219="",N(O219)=0),"",X219/O219-1)</f>
        <v/>
      </c>
      <c r="Z219" s="29" t="str">
        <f aca="false">IF(OR(Y219="",N(O219)=0),"",Y219+N219/O219)</f>
        <v/>
      </c>
      <c r="AA219" s="32" t="str">
        <f aca="false">IF(OR(Z219="",N(U219)=0),"",Z219-U219)</f>
        <v/>
      </c>
      <c r="AB219" s="29" t="n">
        <f aca="false">IF(N(Q219)=0,"",Q219+IF(I219="yes",Q219*Inputs!$B$10*Inputs!$B$9,0)+IFERROR(INDEX(Inputs!$B$13:$B$15,MATCH(G219,Inputs!$A$13:$A$15,0)),0)+IFERROR(INDEX(Inputs!$B$18:$B$24,MATCH(H219,Inputs!$A$18:$A$24,0)),0))</f>
        <v>0.08</v>
      </c>
      <c r="AC219" s="28" t="n">
        <f aca="false">IF(OR(N(AB219)&lt;=0,N(N219)=0,N(L219)=0),"",MIN(L219,N219/AB219))</f>
        <v>23.046875</v>
      </c>
      <c r="AD219" s="29" t="str">
        <f aca="false">IF(OR(AC219="",N(O219)=0),"",AC219/O219-1)</f>
        <v/>
      </c>
      <c r="AE219" s="29" t="str">
        <f aca="false">IF(OR(AD219="",N(O219)=0),"",AD219+N219/O219)</f>
        <v/>
      </c>
      <c r="AF219" s="32" t="str">
        <f aca="false">IF(OR(AE219="",N(Z219)=0),"",AE219-Z219)</f>
        <v/>
      </c>
      <c r="AG219" s="28" t="n">
        <f aca="false">IF(AND(N(M219)&gt;0,N(L219)&gt;0),M219*L219,N219)</f>
        <v>1.84375</v>
      </c>
      <c r="AH219" s="28" t="n">
        <f aca="false">IF(OR(N(AB219)&lt;=0,N(AG219)=0,N(L219)=0),"",MIN(L219,AG219/AB219))</f>
        <v>23.046875</v>
      </c>
      <c r="AI219" s="29" t="str">
        <f aca="false">IF(OR(AH219="",N(O219)=0),"",AH219/O219-1)</f>
        <v/>
      </c>
      <c r="AJ219" s="29" t="str">
        <f aca="false">IF(OR(AI219="",N(O219)=0),"",AI219+AG219/O219)</f>
        <v/>
      </c>
      <c r="AK219" s="32" t="str">
        <f aca="false">IF(OR(AJ219="",N(AE219)=0),"",AJ219-AE219)</f>
        <v/>
      </c>
      <c r="AL219" s="33" t="str">
        <f aca="false">IF(N(F219)=0,"",INDEX(Inputs!$B$28:$B$32,IFERROR(MATCH(F219,Inputs!$A$28:$A$32,1),0)+1))</f>
        <v/>
      </c>
      <c r="AM219" s="34"/>
      <c r="AN219" s="33" t="str">
        <f aca="false">IF(N(AM219)&gt;0,AM219,AL219)</f>
        <v/>
      </c>
      <c r="AO219" s="29" t="str">
        <f aca="false">IF(N(AN219)=0,"",AN219+IF(I219="yes",AN219*Inputs!$B$10*Inputs!$B$9,0)+IFERROR(INDEX(Inputs!$B$13:$B$15,MATCH(G219,Inputs!$A$13:$A$15,0)),0)+IFERROR(INDEX(Inputs!$B$18:$B$24,MATCH(H219,Inputs!$A$18:$A$24,0)),0))</f>
        <v/>
      </c>
      <c r="AP219" s="28" t="str">
        <f aca="false">IF(OR(N(AO219)&lt;=0,N(AG219)=0,N(L219)=0),"",MIN(L219,AG219/AO219))</f>
        <v/>
      </c>
      <c r="AQ219" s="29" t="str">
        <f aca="false">IF(OR(AP219="",N(O219)=0),"",AP219/O219-1)</f>
        <v/>
      </c>
      <c r="AR219" s="29" t="str">
        <f aca="false">IF(OR(AQ219="",N(O219)=0),"",AQ219+AG219/O219)</f>
        <v/>
      </c>
      <c r="AS219" s="32" t="str">
        <f aca="false">IF(OR(AR219="",N(AJ219)=0),"",AR219-AJ219)</f>
        <v/>
      </c>
      <c r="AT219" s="28"/>
      <c r="AU219" s="28"/>
      <c r="AV219" s="28" t="n">
        <f aca="false">IF(N(AT219)&gt;0,AT219,L219)</f>
        <v>25</v>
      </c>
      <c r="AW219" s="28" t="n">
        <f aca="false">IF(AND(N(M219)&gt;0,N(AV219)&gt;0),M219*AV219,IF(N(AU219)&gt;0,AU219,N219))</f>
        <v>1.84375</v>
      </c>
      <c r="AX219" s="29" t="str">
        <f aca="false">IF(N(AN219)=0,"",AN219+IF(I219="yes",AN219*Inputs!$B$10*Inputs!$B$9,0)+IFERROR(INDEX(Inputs!$B$13:$B$15,MATCH(G219,Inputs!$A$13:$A$15,0)),0)+IFERROR(INDEX(Inputs!$B$18:$B$24,MATCH(H219,Inputs!$A$18:$A$24,0)),0))</f>
        <v/>
      </c>
      <c r="AY219" s="28" t="str">
        <f aca="false">IF(OR(N(AX219)&lt;=0,N(AW219)=0,N(AV219)=0),"",MIN(AV219,AW219/AX219))</f>
        <v/>
      </c>
      <c r="AZ219" s="29" t="str">
        <f aca="false">IF(OR(AY219="",N(O219)=0),"",AY219/O219-1)</f>
        <v/>
      </c>
      <c r="BA219" s="29" t="str">
        <f aca="false">IF(OR(AZ219="",N(O219)=0),"",AZ219+AW219/O219)</f>
        <v/>
      </c>
      <c r="BB219" s="32" t="str">
        <f aca="false">IF(OR(BA219="",N(AR219)=0),"",BA219-AR219)</f>
        <v/>
      </c>
      <c r="BC219" s="35" t="str">
        <f aca="false">IF(OR(BA219="",N(U219)=0),"",BA219-U219)</f>
        <v/>
      </c>
      <c r="BD219" s="36" t="s">
        <v>198</v>
      </c>
    </row>
    <row r="220" customFormat="false" ht="15" hidden="false" customHeight="false" outlineLevel="0" collapsed="false">
      <c r="A220" s="2" t="s">
        <v>140</v>
      </c>
      <c r="B220" s="2" t="n">
        <v>437</v>
      </c>
      <c r="C220" s="2" t="s">
        <v>530</v>
      </c>
      <c r="D220" s="2" t="s">
        <v>531</v>
      </c>
      <c r="E220" s="2" t="s">
        <v>532</v>
      </c>
      <c r="F220" s="27" t="n">
        <v>909</v>
      </c>
      <c r="G220" s="2" t="s">
        <v>51</v>
      </c>
      <c r="H220" s="2" t="s">
        <v>58</v>
      </c>
      <c r="I220" s="2" t="s">
        <v>144</v>
      </c>
      <c r="J220" s="2" t="s">
        <v>145</v>
      </c>
      <c r="K220" s="2" t="n">
        <v>4</v>
      </c>
      <c r="L220" s="28" t="n">
        <v>25</v>
      </c>
      <c r="M220" s="29" t="n">
        <v>0.06625</v>
      </c>
      <c r="N220" s="28" t="n">
        <v>1.65625</v>
      </c>
      <c r="O220" s="28" t="n">
        <v>0</v>
      </c>
      <c r="P220" s="2" t="s">
        <v>146</v>
      </c>
      <c r="Q220" s="29" t="n">
        <v>0.08</v>
      </c>
      <c r="R220" s="30" t="n">
        <v>0.08</v>
      </c>
      <c r="S220" s="31" t="n">
        <v>20.703125</v>
      </c>
      <c r="T220" s="30"/>
      <c r="U220" s="30"/>
      <c r="V220" s="29" t="n">
        <v>0</v>
      </c>
      <c r="W220" s="29" t="n">
        <f aca="false">IF(N(Q220)=0,"",Q220+IF(I220="yes",Q220*Inputs!$B$10*Inputs!$B$9,0)+V220)</f>
        <v>0.08</v>
      </c>
      <c r="X220" s="28" t="n">
        <f aca="false">IF(OR(N(W220)&lt;=0,N(N220)=0,N(L220)=0),"",MIN(L220,N220/W220))</f>
        <v>20.703125</v>
      </c>
      <c r="Y220" s="29" t="str">
        <f aca="false">IF(OR(X220="",N(O220)=0),"",X220/O220-1)</f>
        <v/>
      </c>
      <c r="Z220" s="29" t="str">
        <f aca="false">IF(OR(Y220="",N(O220)=0),"",Y220+N220/O220)</f>
        <v/>
      </c>
      <c r="AA220" s="32" t="str">
        <f aca="false">IF(OR(Z220="",N(U220)=0),"",Z220-U220)</f>
        <v/>
      </c>
      <c r="AB220" s="29" t="n">
        <f aca="false">IF(N(Q220)=0,"",Q220+IF(I220="yes",Q220*Inputs!$B$10*Inputs!$B$9,0)+IFERROR(INDEX(Inputs!$B$13:$B$15,MATCH(G220,Inputs!$A$13:$A$15,0)),0)+IFERROR(INDEX(Inputs!$B$18:$B$24,MATCH(H220,Inputs!$A$18:$A$24,0)),0))</f>
        <v>0.08</v>
      </c>
      <c r="AC220" s="28" t="n">
        <f aca="false">IF(OR(N(AB220)&lt;=0,N(N220)=0,N(L220)=0),"",MIN(L220,N220/AB220))</f>
        <v>20.703125</v>
      </c>
      <c r="AD220" s="29" t="str">
        <f aca="false">IF(OR(AC220="",N(O220)=0),"",AC220/O220-1)</f>
        <v/>
      </c>
      <c r="AE220" s="29" t="str">
        <f aca="false">IF(OR(AD220="",N(O220)=0),"",AD220+N220/O220)</f>
        <v/>
      </c>
      <c r="AF220" s="32" t="str">
        <f aca="false">IF(OR(AE220="",N(Z220)=0),"",AE220-Z220)</f>
        <v/>
      </c>
      <c r="AG220" s="28" t="n">
        <f aca="false">IF(AND(N(M220)&gt;0,N(L220)&gt;0),M220*L220,N220)</f>
        <v>1.65625</v>
      </c>
      <c r="AH220" s="28" t="n">
        <f aca="false">IF(OR(N(AB220)&lt;=0,N(AG220)=0,N(L220)=0),"",MIN(L220,AG220/AB220))</f>
        <v>20.703125</v>
      </c>
      <c r="AI220" s="29" t="str">
        <f aca="false">IF(OR(AH220="",N(O220)=0),"",AH220/O220-1)</f>
        <v/>
      </c>
      <c r="AJ220" s="29" t="str">
        <f aca="false">IF(OR(AI220="",N(O220)=0),"",AI220+AG220/O220)</f>
        <v/>
      </c>
      <c r="AK220" s="32" t="str">
        <f aca="false">IF(OR(AJ220="",N(AE220)=0),"",AJ220-AE220)</f>
        <v/>
      </c>
      <c r="AL220" s="33" t="n">
        <f aca="false">IF(N(F220)=0,"",INDEX(Inputs!$B$28:$B$32,IFERROR(MATCH(F220,Inputs!$A$28:$A$32,1),0)+1))</f>
        <v>0.09</v>
      </c>
      <c r="AM220" s="34"/>
      <c r="AN220" s="33" t="n">
        <f aca="false">IF(N(AM220)&gt;0,AM220,AL220)</f>
        <v>0.09</v>
      </c>
      <c r="AO220" s="29" t="n">
        <f aca="false">IF(N(AN220)=0,"",AN220+IF(I220="yes",AN220*Inputs!$B$10*Inputs!$B$9,0)+IFERROR(INDEX(Inputs!$B$13:$B$15,MATCH(G220,Inputs!$A$13:$A$15,0)),0)+IFERROR(INDEX(Inputs!$B$18:$B$24,MATCH(H220,Inputs!$A$18:$A$24,0)),0))</f>
        <v>0.09</v>
      </c>
      <c r="AP220" s="28" t="n">
        <f aca="false">IF(OR(N(AO220)&lt;=0,N(AG220)=0,N(L220)=0),"",MIN(L220,AG220/AO220))</f>
        <v>18.4027777777778</v>
      </c>
      <c r="AQ220" s="29" t="str">
        <f aca="false">IF(OR(AP220="",N(O220)=0),"",AP220/O220-1)</f>
        <v/>
      </c>
      <c r="AR220" s="29" t="str">
        <f aca="false">IF(OR(AQ220="",N(O220)=0),"",AQ220+AG220/O220)</f>
        <v/>
      </c>
      <c r="AS220" s="32" t="str">
        <f aca="false">IF(OR(AR220="",N(AJ220)=0),"",AR220-AJ220)</f>
        <v/>
      </c>
      <c r="AT220" s="28"/>
      <c r="AU220" s="28"/>
      <c r="AV220" s="28" t="n">
        <f aca="false">IF(N(AT220)&gt;0,AT220,L220)</f>
        <v>25</v>
      </c>
      <c r="AW220" s="28" t="n">
        <f aca="false">IF(AND(N(M220)&gt;0,N(AV220)&gt;0),M220*AV220,IF(N(AU220)&gt;0,AU220,N220))</f>
        <v>1.65625</v>
      </c>
      <c r="AX220" s="29" t="n">
        <f aca="false">IF(N(AN220)=0,"",AN220+IF(I220="yes",AN220*Inputs!$B$10*Inputs!$B$9,0)+IFERROR(INDEX(Inputs!$B$13:$B$15,MATCH(G220,Inputs!$A$13:$A$15,0)),0)+IFERROR(INDEX(Inputs!$B$18:$B$24,MATCH(H220,Inputs!$A$18:$A$24,0)),0))</f>
        <v>0.09</v>
      </c>
      <c r="AY220" s="28" t="n">
        <f aca="false">IF(OR(N(AX220)&lt;=0,N(AW220)=0,N(AV220)=0),"",MIN(AV220,AW220/AX220))</f>
        <v>18.4027777777778</v>
      </c>
      <c r="AZ220" s="29" t="str">
        <f aca="false">IF(OR(AY220="",N(O220)=0),"",AY220/O220-1)</f>
        <v/>
      </c>
      <c r="BA220" s="29" t="str">
        <f aca="false">IF(OR(AZ220="",N(O220)=0),"",AZ220+AW220/O220)</f>
        <v/>
      </c>
      <c r="BB220" s="32" t="str">
        <f aca="false">IF(OR(BA220="",N(AR220)=0),"",BA220-AR220)</f>
        <v/>
      </c>
      <c r="BC220" s="35" t="str">
        <f aca="false">IF(OR(BA220="",N(U220)=0),"",BA220-U220)</f>
        <v/>
      </c>
      <c r="BD220" s="36" t="s">
        <v>198</v>
      </c>
    </row>
    <row r="221" customFormat="false" ht="15" hidden="false" customHeight="false" outlineLevel="0" collapsed="false">
      <c r="A221" s="2" t="s">
        <v>140</v>
      </c>
      <c r="B221" s="2" t="n">
        <v>441</v>
      </c>
      <c r="C221" s="2" t="s">
        <v>533</v>
      </c>
      <c r="D221" s="2" t="s">
        <v>534</v>
      </c>
      <c r="E221" s="2" t="s">
        <v>535</v>
      </c>
      <c r="F221" s="27" t="n">
        <v>1600</v>
      </c>
      <c r="G221" s="2" t="s">
        <v>52</v>
      </c>
      <c r="H221" s="2" t="s">
        <v>58</v>
      </c>
      <c r="I221" s="2" t="s">
        <v>144</v>
      </c>
      <c r="J221" s="2" t="s">
        <v>145</v>
      </c>
      <c r="K221" s="2" t="n">
        <v>4</v>
      </c>
      <c r="L221" s="28" t="n">
        <v>25</v>
      </c>
      <c r="M221" s="29" t="n">
        <v>0.0775</v>
      </c>
      <c r="N221" s="28" t="n">
        <v>1.9375</v>
      </c>
      <c r="O221" s="28" t="n">
        <v>0</v>
      </c>
      <c r="P221" s="2" t="s">
        <v>223</v>
      </c>
      <c r="Q221" s="29" t="n">
        <v>0.08</v>
      </c>
      <c r="R221" s="30" t="n">
        <v>0.08</v>
      </c>
      <c r="S221" s="31" t="n">
        <v>24.21875</v>
      </c>
      <c r="T221" s="30"/>
      <c r="U221" s="30"/>
      <c r="V221" s="29" t="n">
        <v>-0.005</v>
      </c>
      <c r="W221" s="29" t="n">
        <f aca="false">IF(N(Q221)=0,"",Q221+IF(I221="yes",Q221*Inputs!$B$10*Inputs!$B$9,0)+V221)</f>
        <v>0.075</v>
      </c>
      <c r="X221" s="28" t="n">
        <f aca="false">IF(OR(N(W221)&lt;=0,N(N221)=0,N(L221)=0),"",MIN(L221,N221/W221))</f>
        <v>25</v>
      </c>
      <c r="Y221" s="29" t="str">
        <f aca="false">IF(OR(X221="",N(O221)=0),"",X221/O221-1)</f>
        <v/>
      </c>
      <c r="Z221" s="29" t="str">
        <f aca="false">IF(OR(Y221="",N(O221)=0),"",Y221+N221/O221)</f>
        <v/>
      </c>
      <c r="AA221" s="32" t="str">
        <f aca="false">IF(OR(Z221="",N(U221)=0),"",Z221-U221)</f>
        <v/>
      </c>
      <c r="AB221" s="29" t="n">
        <f aca="false">IF(N(Q221)=0,"",Q221+IF(I221="yes",Q221*Inputs!$B$10*Inputs!$B$9,0)+IFERROR(INDEX(Inputs!$B$13:$B$15,MATCH(G221,Inputs!$A$13:$A$15,0)),0)+IFERROR(INDEX(Inputs!$B$18:$B$24,MATCH(H221,Inputs!$A$18:$A$24,0)),0))</f>
        <v>0.075</v>
      </c>
      <c r="AC221" s="28" t="n">
        <f aca="false">IF(OR(N(AB221)&lt;=0,N(N221)=0,N(L221)=0),"",MIN(L221,N221/AB221))</f>
        <v>25</v>
      </c>
      <c r="AD221" s="29" t="str">
        <f aca="false">IF(OR(AC221="",N(O221)=0),"",AC221/O221-1)</f>
        <v/>
      </c>
      <c r="AE221" s="29" t="str">
        <f aca="false">IF(OR(AD221="",N(O221)=0),"",AD221+N221/O221)</f>
        <v/>
      </c>
      <c r="AF221" s="32" t="str">
        <f aca="false">IF(OR(AE221="",N(Z221)=0),"",AE221-Z221)</f>
        <v/>
      </c>
      <c r="AG221" s="28" t="n">
        <f aca="false">IF(AND(N(M221)&gt;0,N(L221)&gt;0),M221*L221,N221)</f>
        <v>1.9375</v>
      </c>
      <c r="AH221" s="28" t="n">
        <f aca="false">IF(OR(N(AB221)&lt;=0,N(AG221)=0,N(L221)=0),"",MIN(L221,AG221/AB221))</f>
        <v>25</v>
      </c>
      <c r="AI221" s="29" t="str">
        <f aca="false">IF(OR(AH221="",N(O221)=0),"",AH221/O221-1)</f>
        <v/>
      </c>
      <c r="AJ221" s="29" t="str">
        <f aca="false">IF(OR(AI221="",N(O221)=0),"",AI221+AG221/O221)</f>
        <v/>
      </c>
      <c r="AK221" s="32" t="str">
        <f aca="false">IF(OR(AJ221="",N(AE221)=0),"",AJ221-AE221)</f>
        <v/>
      </c>
      <c r="AL221" s="33" t="n">
        <f aca="false">IF(N(F221)=0,"",INDEX(Inputs!$B$28:$B$32,IFERROR(MATCH(F221,Inputs!$A$28:$A$32,1),0)+1))</f>
        <v>0.085</v>
      </c>
      <c r="AM221" s="34"/>
      <c r="AN221" s="33" t="n">
        <f aca="false">IF(N(AM221)&gt;0,AM221,AL221)</f>
        <v>0.085</v>
      </c>
      <c r="AO221" s="29" t="n">
        <f aca="false">IF(N(AN221)=0,"",AN221+IF(I221="yes",AN221*Inputs!$B$10*Inputs!$B$9,0)+IFERROR(INDEX(Inputs!$B$13:$B$15,MATCH(G221,Inputs!$A$13:$A$15,0)),0)+IFERROR(INDEX(Inputs!$B$18:$B$24,MATCH(H221,Inputs!$A$18:$A$24,0)),0))</f>
        <v>0.08</v>
      </c>
      <c r="AP221" s="28" t="n">
        <f aca="false">IF(OR(N(AO221)&lt;=0,N(AG221)=0,N(L221)=0),"",MIN(L221,AG221/AO221))</f>
        <v>24.21875</v>
      </c>
      <c r="AQ221" s="29" t="str">
        <f aca="false">IF(OR(AP221="",N(O221)=0),"",AP221/O221-1)</f>
        <v/>
      </c>
      <c r="AR221" s="29" t="str">
        <f aca="false">IF(OR(AQ221="",N(O221)=0),"",AQ221+AG221/O221)</f>
        <v/>
      </c>
      <c r="AS221" s="32" t="str">
        <f aca="false">IF(OR(AR221="",N(AJ221)=0),"",AR221-AJ221)</f>
        <v/>
      </c>
      <c r="AT221" s="28" t="n">
        <v>25</v>
      </c>
      <c r="AU221" s="28" t="n">
        <v>1.9375</v>
      </c>
      <c r="AV221" s="28" t="n">
        <f aca="false">IF(N(AT221)&gt;0,AT221,L221)</f>
        <v>25</v>
      </c>
      <c r="AW221" s="28" t="n">
        <f aca="false">IF(AND(N(M221)&gt;0,N(AV221)&gt;0),M221*AV221,IF(N(AU221)&gt;0,AU221,N221))</f>
        <v>1.9375</v>
      </c>
      <c r="AX221" s="29" t="n">
        <f aca="false">IF(N(AN221)=0,"",AN221+IF(I221="yes",AN221*Inputs!$B$10*Inputs!$B$9,0)+IFERROR(INDEX(Inputs!$B$13:$B$15,MATCH(G221,Inputs!$A$13:$A$15,0)),0)+IFERROR(INDEX(Inputs!$B$18:$B$24,MATCH(H221,Inputs!$A$18:$A$24,0)),0))</f>
        <v>0.08</v>
      </c>
      <c r="AY221" s="28" t="n">
        <f aca="false">IF(OR(N(AX221)&lt;=0,N(AW221)=0,N(AV221)=0),"",MIN(AV221,AW221/AX221))</f>
        <v>24.21875</v>
      </c>
      <c r="AZ221" s="29" t="str">
        <f aca="false">IF(OR(AY221="",N(O221)=0),"",AY221/O221-1)</f>
        <v/>
      </c>
      <c r="BA221" s="29" t="str">
        <f aca="false">IF(OR(AZ221="",N(O221)=0),"",AZ221+AW221/O221)</f>
        <v/>
      </c>
      <c r="BB221" s="32" t="str">
        <f aca="false">IF(OR(BA221="",N(AR221)=0),"",BA221-AR221)</f>
        <v/>
      </c>
      <c r="BC221" s="35" t="str">
        <f aca="false">IF(OR(BA221="",N(U221)=0),"",BA221-U221)</f>
        <v/>
      </c>
      <c r="BD221" s="36" t="s">
        <v>284</v>
      </c>
    </row>
    <row r="222" customFormat="false" ht="15" hidden="false" customHeight="false" outlineLevel="0" collapsed="false">
      <c r="A222" s="2" t="s">
        <v>140</v>
      </c>
      <c r="B222" s="2" t="n">
        <v>445</v>
      </c>
      <c r="C222" s="2" t="s">
        <v>536</v>
      </c>
      <c r="D222" s="2" t="s">
        <v>537</v>
      </c>
      <c r="E222" s="2" t="s">
        <v>143</v>
      </c>
      <c r="F222" s="27"/>
      <c r="G222" s="2" t="s">
        <v>51</v>
      </c>
      <c r="H222" s="2" t="s">
        <v>58</v>
      </c>
      <c r="I222" s="2" t="s">
        <v>151</v>
      </c>
      <c r="J222" s="2" t="s">
        <v>145</v>
      </c>
      <c r="K222" s="2" t="n">
        <v>4</v>
      </c>
      <c r="L222" s="28" t="n">
        <v>25</v>
      </c>
      <c r="M222" s="29" t="n">
        <v>0.095</v>
      </c>
      <c r="N222" s="28" t="n">
        <v>2.375</v>
      </c>
      <c r="O222" s="28" t="n">
        <v>0</v>
      </c>
      <c r="P222" s="2" t="s">
        <v>146</v>
      </c>
      <c r="Q222" s="29" t="n">
        <v>0.08</v>
      </c>
      <c r="R222" s="30" t="n">
        <v>0.076</v>
      </c>
      <c r="S222" s="31" t="n">
        <v>25</v>
      </c>
      <c r="T222" s="30"/>
      <c r="U222" s="30"/>
      <c r="V222" s="29" t="n">
        <v>0</v>
      </c>
      <c r="W222" s="29" t="n">
        <f aca="false">IF(N(Q222)=0,"",Q222+IF(I222="yes",Q222*Inputs!$B$10*Inputs!$B$9,0)+V222)</f>
        <v>0.076</v>
      </c>
      <c r="X222" s="28" t="n">
        <f aca="false">IF(OR(N(W222)&lt;=0,N(N222)=0,N(L222)=0),"",MIN(L222,N222/W222))</f>
        <v>25</v>
      </c>
      <c r="Y222" s="29" t="str">
        <f aca="false">IF(OR(X222="",N(O222)=0),"",X222/O222-1)</f>
        <v/>
      </c>
      <c r="Z222" s="29" t="str">
        <f aca="false">IF(OR(Y222="",N(O222)=0),"",Y222+N222/O222)</f>
        <v/>
      </c>
      <c r="AA222" s="32" t="str">
        <f aca="false">IF(OR(Z222="",N(U222)=0),"",Z222-U222)</f>
        <v/>
      </c>
      <c r="AB222" s="29" t="n">
        <f aca="false">IF(N(Q222)=0,"",Q222+IF(I222="yes",Q222*Inputs!$B$10*Inputs!$B$9,0)+IFERROR(INDEX(Inputs!$B$13:$B$15,MATCH(G222,Inputs!$A$13:$A$15,0)),0)+IFERROR(INDEX(Inputs!$B$18:$B$24,MATCH(H222,Inputs!$A$18:$A$24,0)),0))</f>
        <v>0.076</v>
      </c>
      <c r="AC222" s="28" t="n">
        <f aca="false">IF(OR(N(AB222)&lt;=0,N(N222)=0,N(L222)=0),"",MIN(L222,N222/AB222))</f>
        <v>25</v>
      </c>
      <c r="AD222" s="29" t="str">
        <f aca="false">IF(OR(AC222="",N(O222)=0),"",AC222/O222-1)</f>
        <v/>
      </c>
      <c r="AE222" s="29" t="str">
        <f aca="false">IF(OR(AD222="",N(O222)=0),"",AD222+N222/O222)</f>
        <v/>
      </c>
      <c r="AF222" s="32" t="str">
        <f aca="false">IF(OR(AE222="",N(Z222)=0),"",AE222-Z222)</f>
        <v/>
      </c>
      <c r="AG222" s="28" t="n">
        <f aca="false">IF(AND(N(M222)&gt;0,N(L222)&gt;0),M222*L222,N222)</f>
        <v>2.375</v>
      </c>
      <c r="AH222" s="28" t="n">
        <f aca="false">IF(OR(N(AB222)&lt;=0,N(AG222)=0,N(L222)=0),"",MIN(L222,AG222/AB222))</f>
        <v>25</v>
      </c>
      <c r="AI222" s="29" t="str">
        <f aca="false">IF(OR(AH222="",N(O222)=0),"",AH222/O222-1)</f>
        <v/>
      </c>
      <c r="AJ222" s="29" t="str">
        <f aca="false">IF(OR(AI222="",N(O222)=0),"",AI222+AG222/O222)</f>
        <v/>
      </c>
      <c r="AK222" s="32" t="str">
        <f aca="false">IF(OR(AJ222="",N(AE222)=0),"",AJ222-AE222)</f>
        <v/>
      </c>
      <c r="AL222" s="33" t="str">
        <f aca="false">IF(N(F222)=0,"",INDEX(Inputs!$B$28:$B$32,IFERROR(MATCH(F222,Inputs!$A$28:$A$32,1),0)+1))</f>
        <v/>
      </c>
      <c r="AM222" s="34"/>
      <c r="AN222" s="33" t="str">
        <f aca="false">IF(N(AM222)&gt;0,AM222,AL222)</f>
        <v/>
      </c>
      <c r="AO222" s="29" t="str">
        <f aca="false">IF(N(AN222)=0,"",AN222+IF(I222="yes",AN222*Inputs!$B$10*Inputs!$B$9,0)+IFERROR(INDEX(Inputs!$B$13:$B$15,MATCH(G222,Inputs!$A$13:$A$15,0)),0)+IFERROR(INDEX(Inputs!$B$18:$B$24,MATCH(H222,Inputs!$A$18:$A$24,0)),0))</f>
        <v/>
      </c>
      <c r="AP222" s="28" t="str">
        <f aca="false">IF(OR(N(AO222)&lt;=0,N(AG222)=0,N(L222)=0),"",MIN(L222,AG222/AO222))</f>
        <v/>
      </c>
      <c r="AQ222" s="29" t="str">
        <f aca="false">IF(OR(AP222="",N(O222)=0),"",AP222/O222-1)</f>
        <v/>
      </c>
      <c r="AR222" s="29" t="str">
        <f aca="false">IF(OR(AQ222="",N(O222)=0),"",AQ222+AG222/O222)</f>
        <v/>
      </c>
      <c r="AS222" s="32" t="str">
        <f aca="false">IF(OR(AR222="",N(AJ222)=0),"",AR222-AJ222)</f>
        <v/>
      </c>
      <c r="AT222" s="28"/>
      <c r="AU222" s="28"/>
      <c r="AV222" s="28" t="n">
        <f aca="false">IF(N(AT222)&gt;0,AT222,L222)</f>
        <v>25</v>
      </c>
      <c r="AW222" s="28" t="n">
        <f aca="false">IF(AND(N(M222)&gt;0,N(AV222)&gt;0),M222*AV222,IF(N(AU222)&gt;0,AU222,N222))</f>
        <v>2.375</v>
      </c>
      <c r="AX222" s="29" t="str">
        <f aca="false">IF(N(AN222)=0,"",AN222+IF(I222="yes",AN222*Inputs!$B$10*Inputs!$B$9,0)+IFERROR(INDEX(Inputs!$B$13:$B$15,MATCH(G222,Inputs!$A$13:$A$15,0)),0)+IFERROR(INDEX(Inputs!$B$18:$B$24,MATCH(H222,Inputs!$A$18:$A$24,0)),0))</f>
        <v/>
      </c>
      <c r="AY222" s="28" t="str">
        <f aca="false">IF(OR(N(AX222)&lt;=0,N(AW222)=0,N(AV222)=0),"",MIN(AV222,AW222/AX222))</f>
        <v/>
      </c>
      <c r="AZ222" s="29" t="str">
        <f aca="false">IF(OR(AY222="",N(O222)=0),"",AY222/O222-1)</f>
        <v/>
      </c>
      <c r="BA222" s="29" t="str">
        <f aca="false">IF(OR(AZ222="",N(O222)=0),"",AZ222+AW222/O222)</f>
        <v/>
      </c>
      <c r="BB222" s="32" t="str">
        <f aca="false">IF(OR(BA222="",N(AR222)=0),"",BA222-AR222)</f>
        <v/>
      </c>
      <c r="BC222" s="35" t="str">
        <f aca="false">IF(OR(BA222="",N(U222)=0),"",BA222-U222)</f>
        <v/>
      </c>
      <c r="BD222" s="36" t="s">
        <v>198</v>
      </c>
    </row>
    <row r="223" customFormat="false" ht="15" hidden="false" customHeight="false" outlineLevel="0" collapsed="false">
      <c r="A223" s="2" t="s">
        <v>140</v>
      </c>
      <c r="B223" s="2" t="n">
        <v>446</v>
      </c>
      <c r="C223" s="2" t="s">
        <v>538</v>
      </c>
      <c r="D223" s="2" t="s">
        <v>537</v>
      </c>
      <c r="E223" s="2" t="s">
        <v>143</v>
      </c>
      <c r="F223" s="27"/>
      <c r="G223" s="2" t="s">
        <v>51</v>
      </c>
      <c r="H223" s="2" t="s">
        <v>58</v>
      </c>
      <c r="I223" s="2" t="s">
        <v>151</v>
      </c>
      <c r="J223" s="2" t="s">
        <v>168</v>
      </c>
      <c r="K223" s="2" t="n">
        <v>12</v>
      </c>
      <c r="L223" s="28" t="n">
        <v>25</v>
      </c>
      <c r="M223" s="29" t="n">
        <v>0.0975</v>
      </c>
      <c r="N223" s="28" t="n">
        <v>2.4375</v>
      </c>
      <c r="O223" s="28" t="n">
        <v>0</v>
      </c>
      <c r="P223" s="2" t="s">
        <v>146</v>
      </c>
      <c r="Q223" s="29" t="n">
        <v>0.08</v>
      </c>
      <c r="R223" s="30" t="n">
        <v>0.076</v>
      </c>
      <c r="S223" s="31" t="n">
        <v>25</v>
      </c>
      <c r="T223" s="30"/>
      <c r="U223" s="30"/>
      <c r="V223" s="29" t="n">
        <v>0</v>
      </c>
      <c r="W223" s="29" t="n">
        <f aca="false">IF(N(Q223)=0,"",Q223+IF(I223="yes",Q223*Inputs!$B$10*Inputs!$B$9,0)+V223)</f>
        <v>0.076</v>
      </c>
      <c r="X223" s="28" t="n">
        <f aca="false">IF(OR(N(W223)&lt;=0,N(N223)=0,N(L223)=0),"",MIN(L223,N223/W223))</f>
        <v>25</v>
      </c>
      <c r="Y223" s="29" t="str">
        <f aca="false">IF(OR(X223="",N(O223)=0),"",X223/O223-1)</f>
        <v/>
      </c>
      <c r="Z223" s="29" t="str">
        <f aca="false">IF(OR(Y223="",N(O223)=0),"",Y223+N223/O223)</f>
        <v/>
      </c>
      <c r="AA223" s="32" t="str">
        <f aca="false">IF(OR(Z223="",N(U223)=0),"",Z223-U223)</f>
        <v/>
      </c>
      <c r="AB223" s="29" t="n">
        <f aca="false">IF(N(Q223)=0,"",Q223+IF(I223="yes",Q223*Inputs!$B$10*Inputs!$B$9,0)+IFERROR(INDEX(Inputs!$B$13:$B$15,MATCH(G223,Inputs!$A$13:$A$15,0)),0)+IFERROR(INDEX(Inputs!$B$18:$B$24,MATCH(H223,Inputs!$A$18:$A$24,0)),0))</f>
        <v>0.076</v>
      </c>
      <c r="AC223" s="28" t="n">
        <f aca="false">IF(OR(N(AB223)&lt;=0,N(N223)=0,N(L223)=0),"",MIN(L223,N223/AB223))</f>
        <v>25</v>
      </c>
      <c r="AD223" s="29" t="str">
        <f aca="false">IF(OR(AC223="",N(O223)=0),"",AC223/O223-1)</f>
        <v/>
      </c>
      <c r="AE223" s="29" t="str">
        <f aca="false">IF(OR(AD223="",N(O223)=0),"",AD223+N223/O223)</f>
        <v/>
      </c>
      <c r="AF223" s="32" t="str">
        <f aca="false">IF(OR(AE223="",N(Z223)=0),"",AE223-Z223)</f>
        <v/>
      </c>
      <c r="AG223" s="28" t="n">
        <f aca="false">IF(AND(N(M223)&gt;0,N(L223)&gt;0),M223*L223,N223)</f>
        <v>2.4375</v>
      </c>
      <c r="AH223" s="28" t="n">
        <f aca="false">IF(OR(N(AB223)&lt;=0,N(AG223)=0,N(L223)=0),"",MIN(L223,AG223/AB223))</f>
        <v>25</v>
      </c>
      <c r="AI223" s="29" t="str">
        <f aca="false">IF(OR(AH223="",N(O223)=0),"",AH223/O223-1)</f>
        <v/>
      </c>
      <c r="AJ223" s="29" t="str">
        <f aca="false">IF(OR(AI223="",N(O223)=0),"",AI223+AG223/O223)</f>
        <v/>
      </c>
      <c r="AK223" s="32" t="str">
        <f aca="false">IF(OR(AJ223="",N(AE223)=0),"",AJ223-AE223)</f>
        <v/>
      </c>
      <c r="AL223" s="33" t="str">
        <f aca="false">IF(N(F223)=0,"",INDEX(Inputs!$B$28:$B$32,IFERROR(MATCH(F223,Inputs!$A$28:$A$32,1),0)+1))</f>
        <v/>
      </c>
      <c r="AM223" s="34"/>
      <c r="AN223" s="33" t="str">
        <f aca="false">IF(N(AM223)&gt;0,AM223,AL223)</f>
        <v/>
      </c>
      <c r="AO223" s="29" t="str">
        <f aca="false">IF(N(AN223)=0,"",AN223+IF(I223="yes",AN223*Inputs!$B$10*Inputs!$B$9,0)+IFERROR(INDEX(Inputs!$B$13:$B$15,MATCH(G223,Inputs!$A$13:$A$15,0)),0)+IFERROR(INDEX(Inputs!$B$18:$B$24,MATCH(H223,Inputs!$A$18:$A$24,0)),0))</f>
        <v/>
      </c>
      <c r="AP223" s="28" t="str">
        <f aca="false">IF(OR(N(AO223)&lt;=0,N(AG223)=0,N(L223)=0),"",MIN(L223,AG223/AO223))</f>
        <v/>
      </c>
      <c r="AQ223" s="29" t="str">
        <f aca="false">IF(OR(AP223="",N(O223)=0),"",AP223/O223-1)</f>
        <v/>
      </c>
      <c r="AR223" s="29" t="str">
        <f aca="false">IF(OR(AQ223="",N(O223)=0),"",AQ223+AG223/O223)</f>
        <v/>
      </c>
      <c r="AS223" s="32" t="str">
        <f aca="false">IF(OR(AR223="",N(AJ223)=0),"",AR223-AJ223)</f>
        <v/>
      </c>
      <c r="AT223" s="28"/>
      <c r="AU223" s="28"/>
      <c r="AV223" s="28" t="n">
        <f aca="false">IF(N(AT223)&gt;0,AT223,L223)</f>
        <v>25</v>
      </c>
      <c r="AW223" s="28" t="n">
        <f aca="false">IF(AND(N(M223)&gt;0,N(AV223)&gt;0),M223*AV223,IF(N(AU223)&gt;0,AU223,N223))</f>
        <v>2.4375</v>
      </c>
      <c r="AX223" s="29" t="str">
        <f aca="false">IF(N(AN223)=0,"",AN223+IF(I223="yes",AN223*Inputs!$B$10*Inputs!$B$9,0)+IFERROR(INDEX(Inputs!$B$13:$B$15,MATCH(G223,Inputs!$A$13:$A$15,0)),0)+IFERROR(INDEX(Inputs!$B$18:$B$24,MATCH(H223,Inputs!$A$18:$A$24,0)),0))</f>
        <v/>
      </c>
      <c r="AY223" s="28" t="str">
        <f aca="false">IF(OR(N(AX223)&lt;=0,N(AW223)=0,N(AV223)=0),"",MIN(AV223,AW223/AX223))</f>
        <v/>
      </c>
      <c r="AZ223" s="29" t="str">
        <f aca="false">IF(OR(AY223="",N(O223)=0),"",AY223/O223-1)</f>
        <v/>
      </c>
      <c r="BA223" s="29" t="str">
        <f aca="false">IF(OR(AZ223="",N(O223)=0),"",AZ223+AW223/O223)</f>
        <v/>
      </c>
      <c r="BB223" s="32" t="str">
        <f aca="false">IF(OR(BA223="",N(AR223)=0),"",BA223-AR223)</f>
        <v/>
      </c>
      <c r="BC223" s="35" t="str">
        <f aca="false">IF(OR(BA223="",N(U223)=0),"",BA223-U223)</f>
        <v/>
      </c>
      <c r="BD223" s="36" t="s">
        <v>198</v>
      </c>
    </row>
    <row r="224" customFormat="false" ht="15" hidden="false" customHeight="false" outlineLevel="0" collapsed="false">
      <c r="A224" s="2" t="s">
        <v>140</v>
      </c>
      <c r="B224" s="2" t="n">
        <v>449</v>
      </c>
      <c r="C224" s="2" t="s">
        <v>539</v>
      </c>
      <c r="D224" s="2" t="s">
        <v>540</v>
      </c>
      <c r="E224" s="2" t="s">
        <v>143</v>
      </c>
      <c r="F224" s="27"/>
      <c r="G224" s="2" t="s">
        <v>51</v>
      </c>
      <c r="H224" s="2" t="s">
        <v>63</v>
      </c>
      <c r="I224" s="2" t="s">
        <v>151</v>
      </c>
      <c r="J224" s="2" t="s">
        <v>541</v>
      </c>
      <c r="K224" s="2" t="n">
        <v>2</v>
      </c>
      <c r="L224" s="28" t="n">
        <v>10</v>
      </c>
      <c r="M224" s="29" t="n">
        <v>0.15</v>
      </c>
      <c r="N224" s="28" t="n">
        <v>1.5</v>
      </c>
      <c r="O224" s="28" t="n">
        <v>0</v>
      </c>
      <c r="P224" s="2" t="s">
        <v>146</v>
      </c>
      <c r="Q224" s="29" t="n">
        <v>0.08</v>
      </c>
      <c r="R224" s="30" t="n">
        <v>0.076</v>
      </c>
      <c r="S224" s="31" t="n">
        <v>10</v>
      </c>
      <c r="T224" s="30"/>
      <c r="U224" s="30"/>
      <c r="V224" s="29" t="n">
        <v>0</v>
      </c>
      <c r="W224" s="29" t="n">
        <f aca="false">IF(N(Q224)=0,"",Q224+IF(I224="yes",Q224*Inputs!$B$10*Inputs!$B$9,0)+V224)</f>
        <v>0.076</v>
      </c>
      <c r="X224" s="28" t="n">
        <f aca="false">IF(OR(N(W224)&lt;=0,N(N224)=0,N(L224)=0),"",MIN(L224,N224/W224))</f>
        <v>10</v>
      </c>
      <c r="Y224" s="29" t="str">
        <f aca="false">IF(OR(X224="",N(O224)=0),"",X224/O224-1)</f>
        <v/>
      </c>
      <c r="Z224" s="29" t="str">
        <f aca="false">IF(OR(Y224="",N(O224)=0),"",Y224+N224/O224)</f>
        <v/>
      </c>
      <c r="AA224" s="32" t="str">
        <f aca="false">IF(OR(Z224="",N(U224)=0),"",Z224-U224)</f>
        <v/>
      </c>
      <c r="AB224" s="29" t="n">
        <f aca="false">IF(N(Q224)=0,"",Q224+IF(I224="yes",Q224*Inputs!$B$10*Inputs!$B$9,0)+IFERROR(INDEX(Inputs!$B$13:$B$15,MATCH(G224,Inputs!$A$13:$A$15,0)),0)+IFERROR(INDEX(Inputs!$B$18:$B$24,MATCH(H224,Inputs!$A$18:$A$24,0)),0))</f>
        <v>0.076</v>
      </c>
      <c r="AC224" s="28" t="n">
        <f aca="false">IF(OR(N(AB224)&lt;=0,N(N224)=0,N(L224)=0),"",MIN(L224,N224/AB224))</f>
        <v>10</v>
      </c>
      <c r="AD224" s="29" t="str">
        <f aca="false">IF(OR(AC224="",N(O224)=0),"",AC224/O224-1)</f>
        <v/>
      </c>
      <c r="AE224" s="29" t="str">
        <f aca="false">IF(OR(AD224="",N(O224)=0),"",AD224+N224/O224)</f>
        <v/>
      </c>
      <c r="AF224" s="32" t="str">
        <f aca="false">IF(OR(AE224="",N(Z224)=0),"",AE224-Z224)</f>
        <v/>
      </c>
      <c r="AG224" s="28" t="n">
        <f aca="false">IF(AND(N(M224)&gt;0,N(L224)&gt;0),M224*L224,N224)</f>
        <v>1.5</v>
      </c>
      <c r="AH224" s="28" t="n">
        <f aca="false">IF(OR(N(AB224)&lt;=0,N(AG224)=0,N(L224)=0),"",MIN(L224,AG224/AB224))</f>
        <v>10</v>
      </c>
      <c r="AI224" s="29" t="str">
        <f aca="false">IF(OR(AH224="",N(O224)=0),"",AH224/O224-1)</f>
        <v/>
      </c>
      <c r="AJ224" s="29" t="str">
        <f aca="false">IF(OR(AI224="",N(O224)=0),"",AI224+AG224/O224)</f>
        <v/>
      </c>
      <c r="AK224" s="32" t="str">
        <f aca="false">IF(OR(AJ224="",N(AE224)=0),"",AJ224-AE224)</f>
        <v/>
      </c>
      <c r="AL224" s="33" t="str">
        <f aca="false">IF(N(F224)=0,"",INDEX(Inputs!$B$28:$B$32,IFERROR(MATCH(F224,Inputs!$A$28:$A$32,1),0)+1))</f>
        <v/>
      </c>
      <c r="AM224" s="34"/>
      <c r="AN224" s="33" t="str">
        <f aca="false">IF(N(AM224)&gt;0,AM224,AL224)</f>
        <v/>
      </c>
      <c r="AO224" s="29" t="str">
        <f aca="false">IF(N(AN224)=0,"",AN224+IF(I224="yes",AN224*Inputs!$B$10*Inputs!$B$9,0)+IFERROR(INDEX(Inputs!$B$13:$B$15,MATCH(G224,Inputs!$A$13:$A$15,0)),0)+IFERROR(INDEX(Inputs!$B$18:$B$24,MATCH(H224,Inputs!$A$18:$A$24,0)),0))</f>
        <v/>
      </c>
      <c r="AP224" s="28" t="str">
        <f aca="false">IF(OR(N(AO224)&lt;=0,N(AG224)=0,N(L224)=0),"",MIN(L224,AG224/AO224))</f>
        <v/>
      </c>
      <c r="AQ224" s="29" t="str">
        <f aca="false">IF(OR(AP224="",N(O224)=0),"",AP224/O224-1)</f>
        <v/>
      </c>
      <c r="AR224" s="29" t="str">
        <f aca="false">IF(OR(AQ224="",N(O224)=0),"",AQ224+AG224/O224)</f>
        <v/>
      </c>
      <c r="AS224" s="32" t="str">
        <f aca="false">IF(OR(AR224="",N(AJ224)=0),"",AR224-AJ224)</f>
        <v/>
      </c>
      <c r="AT224" s="28"/>
      <c r="AU224" s="28"/>
      <c r="AV224" s="28" t="n">
        <f aca="false">IF(N(AT224)&gt;0,AT224,L224)</f>
        <v>10</v>
      </c>
      <c r="AW224" s="28" t="n">
        <f aca="false">IF(AND(N(M224)&gt;0,N(AV224)&gt;0),M224*AV224,IF(N(AU224)&gt;0,AU224,N224))</f>
        <v>1.5</v>
      </c>
      <c r="AX224" s="29" t="str">
        <f aca="false">IF(N(AN224)=0,"",AN224+IF(I224="yes",AN224*Inputs!$B$10*Inputs!$B$9,0)+IFERROR(INDEX(Inputs!$B$13:$B$15,MATCH(G224,Inputs!$A$13:$A$15,0)),0)+IFERROR(INDEX(Inputs!$B$18:$B$24,MATCH(H224,Inputs!$A$18:$A$24,0)),0))</f>
        <v/>
      </c>
      <c r="AY224" s="28" t="str">
        <f aca="false">IF(OR(N(AX224)&lt;=0,N(AW224)=0,N(AV224)=0),"",MIN(AV224,AW224/AX224))</f>
        <v/>
      </c>
      <c r="AZ224" s="29" t="str">
        <f aca="false">IF(OR(AY224="",N(O224)=0),"",AY224/O224-1)</f>
        <v/>
      </c>
      <c r="BA224" s="29" t="str">
        <f aca="false">IF(OR(AZ224="",N(O224)=0),"",AZ224+AW224/O224)</f>
        <v/>
      </c>
      <c r="BB224" s="32" t="str">
        <f aca="false">IF(OR(BA224="",N(AR224)=0),"",BA224-AR224)</f>
        <v/>
      </c>
      <c r="BC224" s="35" t="str">
        <f aca="false">IF(OR(BA224="",N(U224)=0),"",BA224-U224)</f>
        <v/>
      </c>
      <c r="BD224" s="36" t="s">
        <v>198</v>
      </c>
    </row>
    <row r="225" customFormat="false" ht="15" hidden="false" customHeight="false" outlineLevel="0" collapsed="false">
      <c r="A225" s="2" t="s">
        <v>140</v>
      </c>
      <c r="B225" s="2" t="n">
        <v>453</v>
      </c>
      <c r="C225" s="2" t="s">
        <v>542</v>
      </c>
      <c r="D225" s="2" t="s">
        <v>543</v>
      </c>
      <c r="E225" s="2" t="s">
        <v>544</v>
      </c>
      <c r="F225" s="27" t="n">
        <v>823</v>
      </c>
      <c r="G225" s="2" t="s">
        <v>51</v>
      </c>
      <c r="H225" s="2" t="s">
        <v>58</v>
      </c>
      <c r="I225" s="2" t="s">
        <v>144</v>
      </c>
      <c r="J225" s="2" t="s">
        <v>145</v>
      </c>
      <c r="K225" s="2" t="n">
        <v>4</v>
      </c>
      <c r="L225" s="28" t="n">
        <v>25</v>
      </c>
      <c r="M225" s="29" t="n">
        <v>0.06375</v>
      </c>
      <c r="N225" s="28" t="n">
        <v>1.59375</v>
      </c>
      <c r="O225" s="28" t="n">
        <v>21.56</v>
      </c>
      <c r="P225" s="2" t="s">
        <v>146</v>
      </c>
      <c r="Q225" s="29" t="n">
        <v>0.08</v>
      </c>
      <c r="R225" s="30" t="n">
        <v>0.08</v>
      </c>
      <c r="S225" s="31" t="n">
        <v>19.921875</v>
      </c>
      <c r="T225" s="30" t="n">
        <v>-0.0759798237476809</v>
      </c>
      <c r="U225" s="30" t="n">
        <v>-0.00205820964749533</v>
      </c>
      <c r="V225" s="29" t="n">
        <v>0</v>
      </c>
      <c r="W225" s="29" t="n">
        <f aca="false">IF(N(Q225)=0,"",Q225+IF(I225="yes",Q225*Inputs!$B$10*Inputs!$B$9,0)+V225)</f>
        <v>0.08</v>
      </c>
      <c r="X225" s="28" t="n">
        <f aca="false">IF(OR(N(W225)&lt;=0,N(N225)=0,N(L225)=0),"",MIN(L225,N225/W225))</f>
        <v>19.921875</v>
      </c>
      <c r="Y225" s="29" t="n">
        <f aca="false">IF(OR(X225="",N(O225)=0),"",X225/O225-1)</f>
        <v>-0.0759798237476809</v>
      </c>
      <c r="Z225" s="29" t="n">
        <f aca="false">IF(OR(Y225="",N(O225)=0),"",Y225+N225/O225)</f>
        <v>-0.00205820964749533</v>
      </c>
      <c r="AA225" s="32" t="n">
        <f aca="false">IF(OR(Z225="",N(U225)=0),"",Z225-U225)</f>
        <v>0</v>
      </c>
      <c r="AB225" s="29" t="n">
        <f aca="false">IF(N(Q225)=0,"",Q225+IF(I225="yes",Q225*Inputs!$B$10*Inputs!$B$9,0)+IFERROR(INDEX(Inputs!$B$13:$B$15,MATCH(G225,Inputs!$A$13:$A$15,0)),0)+IFERROR(INDEX(Inputs!$B$18:$B$24,MATCH(H225,Inputs!$A$18:$A$24,0)),0))</f>
        <v>0.08</v>
      </c>
      <c r="AC225" s="28" t="n">
        <f aca="false">IF(OR(N(AB225)&lt;=0,N(N225)=0,N(L225)=0),"",MIN(L225,N225/AB225))</f>
        <v>19.921875</v>
      </c>
      <c r="AD225" s="29" t="n">
        <f aca="false">IF(OR(AC225="",N(O225)=0),"",AC225/O225-1)</f>
        <v>-0.0759798237476809</v>
      </c>
      <c r="AE225" s="29" t="n">
        <f aca="false">IF(OR(AD225="",N(O225)=0),"",AD225+N225/O225)</f>
        <v>-0.00205820964749533</v>
      </c>
      <c r="AF225" s="32" t="n">
        <f aca="false">IF(OR(AE225="",N(Z225)=0),"",AE225-Z225)</f>
        <v>0</v>
      </c>
      <c r="AG225" s="28" t="n">
        <f aca="false">IF(AND(N(M225)&gt;0,N(L225)&gt;0),M225*L225,N225)</f>
        <v>1.59375</v>
      </c>
      <c r="AH225" s="28" t="n">
        <f aca="false">IF(OR(N(AB225)&lt;=0,N(AG225)=0,N(L225)=0),"",MIN(L225,AG225/AB225))</f>
        <v>19.921875</v>
      </c>
      <c r="AI225" s="29" t="n">
        <f aca="false">IF(OR(AH225="",N(O225)=0),"",AH225/O225-1)</f>
        <v>-0.0759798237476809</v>
      </c>
      <c r="AJ225" s="29" t="n">
        <f aca="false">IF(OR(AI225="",N(O225)=0),"",AI225+AG225/O225)</f>
        <v>-0.00205820964749533</v>
      </c>
      <c r="AK225" s="32" t="n">
        <f aca="false">IF(OR(AJ225="",N(AE225)=0),"",AJ225-AE225)</f>
        <v>0</v>
      </c>
      <c r="AL225" s="33" t="n">
        <f aca="false">IF(N(F225)=0,"",INDEX(Inputs!$B$28:$B$32,IFERROR(MATCH(F225,Inputs!$A$28:$A$32,1),0)+1))</f>
        <v>0.09</v>
      </c>
      <c r="AM225" s="34"/>
      <c r="AN225" s="33" t="n">
        <f aca="false">IF(N(AM225)&gt;0,AM225,AL225)</f>
        <v>0.09</v>
      </c>
      <c r="AO225" s="29" t="n">
        <f aca="false">IF(N(AN225)=0,"",AN225+IF(I225="yes",AN225*Inputs!$B$10*Inputs!$B$9,0)+IFERROR(INDEX(Inputs!$B$13:$B$15,MATCH(G225,Inputs!$A$13:$A$15,0)),0)+IFERROR(INDEX(Inputs!$B$18:$B$24,MATCH(H225,Inputs!$A$18:$A$24,0)),0))</f>
        <v>0.09</v>
      </c>
      <c r="AP225" s="28" t="n">
        <f aca="false">IF(OR(N(AO225)&lt;=0,N(AG225)=0,N(L225)=0),"",MIN(L225,AG225/AO225))</f>
        <v>17.7083333333333</v>
      </c>
      <c r="AQ225" s="29" t="n">
        <f aca="false">IF(OR(AP225="",N(O225)=0),"",AP225/O225-1)</f>
        <v>-0.178648732220161</v>
      </c>
      <c r="AR225" s="29" t="n">
        <f aca="false">IF(OR(AQ225="",N(O225)=0),"",AQ225+AG225/O225)</f>
        <v>-0.104727118119975</v>
      </c>
      <c r="AS225" s="32" t="n">
        <f aca="false">IF(OR(AR225="",N(AJ225)=0),"",AR225-AJ225)</f>
        <v>-0.10266890847248</v>
      </c>
      <c r="AT225" s="28" t="n">
        <v>25</v>
      </c>
      <c r="AU225" s="28" t="n">
        <v>1.59375</v>
      </c>
      <c r="AV225" s="28" t="n">
        <f aca="false">IF(N(AT225)&gt;0,AT225,L225)</f>
        <v>25</v>
      </c>
      <c r="AW225" s="28" t="n">
        <f aca="false">IF(AND(N(M225)&gt;0,N(AV225)&gt;0),M225*AV225,IF(N(AU225)&gt;0,AU225,N225))</f>
        <v>1.59375</v>
      </c>
      <c r="AX225" s="29" t="n">
        <f aca="false">IF(N(AN225)=0,"",AN225+IF(I225="yes",AN225*Inputs!$B$10*Inputs!$B$9,0)+IFERROR(INDEX(Inputs!$B$13:$B$15,MATCH(G225,Inputs!$A$13:$A$15,0)),0)+IFERROR(INDEX(Inputs!$B$18:$B$24,MATCH(H225,Inputs!$A$18:$A$24,0)),0))</f>
        <v>0.09</v>
      </c>
      <c r="AY225" s="28" t="n">
        <f aca="false">IF(OR(N(AX225)&lt;=0,N(AW225)=0,N(AV225)=0),"",MIN(AV225,AW225/AX225))</f>
        <v>17.7083333333333</v>
      </c>
      <c r="AZ225" s="29" t="n">
        <f aca="false">IF(OR(AY225="",N(O225)=0),"",AY225/O225-1)</f>
        <v>-0.178648732220161</v>
      </c>
      <c r="BA225" s="29" t="n">
        <f aca="false">IF(OR(AZ225="",N(O225)=0),"",AZ225+AW225/O225)</f>
        <v>-0.104727118119975</v>
      </c>
      <c r="BB225" s="32" t="n">
        <f aca="false">IF(OR(BA225="",N(AR225)=0),"",BA225-AR225)</f>
        <v>0</v>
      </c>
      <c r="BC225" s="35" t="n">
        <f aca="false">IF(OR(BA225="",N(U225)=0),"",BA225-U225)</f>
        <v>-0.10266890847248</v>
      </c>
      <c r="BD225" s="37"/>
    </row>
    <row r="226" customFormat="false" ht="15" hidden="false" customHeight="false" outlineLevel="0" collapsed="false">
      <c r="A226" s="2" t="s">
        <v>140</v>
      </c>
      <c r="B226" s="2" t="n">
        <v>457</v>
      </c>
      <c r="C226" s="2" t="s">
        <v>545</v>
      </c>
      <c r="D226" s="2" t="s">
        <v>546</v>
      </c>
      <c r="E226" s="2" t="s">
        <v>547</v>
      </c>
      <c r="F226" s="27" t="n">
        <v>53000</v>
      </c>
      <c r="G226" s="2" t="s">
        <v>51</v>
      </c>
      <c r="H226" s="2" t="s">
        <v>58</v>
      </c>
      <c r="I226" s="2" t="s">
        <v>151</v>
      </c>
      <c r="J226" s="2" t="s">
        <v>145</v>
      </c>
      <c r="K226" s="2" t="n">
        <v>4</v>
      </c>
      <c r="L226" s="28" t="n">
        <v>100</v>
      </c>
      <c r="M226" s="29" t="n">
        <v>0.035</v>
      </c>
      <c r="N226" s="28" t="n">
        <v>3.5</v>
      </c>
      <c r="O226" s="28" t="n">
        <v>52.87</v>
      </c>
      <c r="P226" s="2" t="s">
        <v>146</v>
      </c>
      <c r="Q226" s="29" t="n">
        <v>0.08</v>
      </c>
      <c r="R226" s="30" t="n">
        <v>0.076</v>
      </c>
      <c r="S226" s="31" t="n">
        <v>46.0526315789474</v>
      </c>
      <c r="T226" s="30" t="n">
        <v>-0.12894587518541</v>
      </c>
      <c r="U226" s="30" t="n">
        <v>-0.0627457616995013</v>
      </c>
      <c r="V226" s="29" t="n">
        <v>0</v>
      </c>
      <c r="W226" s="29" t="n">
        <f aca="false">IF(N(Q226)=0,"",Q226+IF(I226="yes",Q226*Inputs!$B$10*Inputs!$B$9,0)+V226)</f>
        <v>0.076</v>
      </c>
      <c r="X226" s="28" t="n">
        <f aca="false">IF(OR(N(W226)&lt;=0,N(N226)=0,N(L226)=0),"",MIN(L226,N226/W226))</f>
        <v>46.0526315789474</v>
      </c>
      <c r="Y226" s="29" t="n">
        <f aca="false">IF(OR(X226="",N(O226)=0),"",X226/O226-1)</f>
        <v>-0.12894587518541</v>
      </c>
      <c r="Z226" s="29" t="n">
        <f aca="false">IF(OR(Y226="",N(O226)=0),"",Y226+N226/O226)</f>
        <v>-0.0627457616995012</v>
      </c>
      <c r="AA226" s="32" t="n">
        <f aca="false">IF(OR(Z226="",N(U226)=0),"",Z226-U226)</f>
        <v>0</v>
      </c>
      <c r="AB226" s="29" t="n">
        <f aca="false">IF(N(Q226)=0,"",Q226+IF(I226="yes",Q226*Inputs!$B$10*Inputs!$B$9,0)+IFERROR(INDEX(Inputs!$B$13:$B$15,MATCH(G226,Inputs!$A$13:$A$15,0)),0)+IFERROR(INDEX(Inputs!$B$18:$B$24,MATCH(H226,Inputs!$A$18:$A$24,0)),0))</f>
        <v>0.076</v>
      </c>
      <c r="AC226" s="28" t="n">
        <f aca="false">IF(OR(N(AB226)&lt;=0,N(N226)=0,N(L226)=0),"",MIN(L226,N226/AB226))</f>
        <v>46.0526315789474</v>
      </c>
      <c r="AD226" s="29" t="n">
        <f aca="false">IF(OR(AC226="",N(O226)=0),"",AC226/O226-1)</f>
        <v>-0.12894587518541</v>
      </c>
      <c r="AE226" s="29" t="n">
        <f aca="false">IF(OR(AD226="",N(O226)=0),"",AD226+N226/O226)</f>
        <v>-0.0627457616995012</v>
      </c>
      <c r="AF226" s="32" t="n">
        <f aca="false">IF(OR(AE226="",N(Z226)=0),"",AE226-Z226)</f>
        <v>0</v>
      </c>
      <c r="AG226" s="28" t="n">
        <f aca="false">IF(AND(N(M226)&gt;0,N(L226)&gt;0),M226*L226,N226)</f>
        <v>3.5</v>
      </c>
      <c r="AH226" s="28" t="n">
        <f aca="false">IF(OR(N(AB226)&lt;=0,N(AG226)=0,N(L226)=0),"",MIN(L226,AG226/AB226))</f>
        <v>46.0526315789474</v>
      </c>
      <c r="AI226" s="29" t="n">
        <f aca="false">IF(OR(AH226="",N(O226)=0),"",AH226/O226-1)</f>
        <v>-0.12894587518541</v>
      </c>
      <c r="AJ226" s="29" t="n">
        <f aca="false">IF(OR(AI226="",N(O226)=0),"",AI226+AG226/O226)</f>
        <v>-0.0627457616995011</v>
      </c>
      <c r="AK226" s="32" t="n">
        <f aca="false">IF(OR(AJ226="",N(AE226)=0),"",AJ226-AE226)</f>
        <v>0</v>
      </c>
      <c r="AL226" s="33" t="n">
        <f aca="false">IF(N(F226)=0,"",INDEX(Inputs!$B$28:$B$32,IFERROR(MATCH(F226,Inputs!$A$28:$A$32,1),0)+1))</f>
        <v>0.075</v>
      </c>
      <c r="AM226" s="34"/>
      <c r="AN226" s="33" t="n">
        <f aca="false">IF(N(AM226)&gt;0,AM226,AL226)</f>
        <v>0.075</v>
      </c>
      <c r="AO226" s="29" t="n">
        <f aca="false">IF(N(AN226)=0,"",AN226+IF(I226="yes",AN226*Inputs!$B$10*Inputs!$B$9,0)+IFERROR(INDEX(Inputs!$B$13:$B$15,MATCH(G226,Inputs!$A$13:$A$15,0)),0)+IFERROR(INDEX(Inputs!$B$18:$B$24,MATCH(H226,Inputs!$A$18:$A$24,0)),0))</f>
        <v>0.07125</v>
      </c>
      <c r="AP226" s="28" t="n">
        <f aca="false">IF(OR(N(AO226)&lt;=0,N(AG226)=0,N(L226)=0),"",MIN(L226,AG226/AO226))</f>
        <v>49.1228070175439</v>
      </c>
      <c r="AQ226" s="29" t="n">
        <f aca="false">IF(OR(AP226="",N(O226)=0),"",AP226/O226-1)</f>
        <v>-0.0708756001977705</v>
      </c>
      <c r="AR226" s="29" t="n">
        <f aca="false">IF(OR(AQ226="",N(O226)=0),"",AQ226+AG226/O226)</f>
        <v>-0.00467548671186166</v>
      </c>
      <c r="AS226" s="32" t="n">
        <f aca="false">IF(OR(AR226="",N(AJ226)=0),"",AR226-AJ226)</f>
        <v>0.0580702749876394</v>
      </c>
      <c r="AT226" s="28" t="n">
        <v>100</v>
      </c>
      <c r="AU226" s="28" t="n">
        <v>3.5</v>
      </c>
      <c r="AV226" s="28" t="n">
        <f aca="false">IF(N(AT226)&gt;0,AT226,L226)</f>
        <v>100</v>
      </c>
      <c r="AW226" s="28" t="n">
        <f aca="false">IF(AND(N(M226)&gt;0,N(AV226)&gt;0),M226*AV226,IF(N(AU226)&gt;0,AU226,N226))</f>
        <v>3.5</v>
      </c>
      <c r="AX226" s="29" t="n">
        <f aca="false">IF(N(AN226)=0,"",AN226+IF(I226="yes",AN226*Inputs!$B$10*Inputs!$B$9,0)+IFERROR(INDEX(Inputs!$B$13:$B$15,MATCH(G226,Inputs!$A$13:$A$15,0)),0)+IFERROR(INDEX(Inputs!$B$18:$B$24,MATCH(H226,Inputs!$A$18:$A$24,0)),0))</f>
        <v>0.07125</v>
      </c>
      <c r="AY226" s="28" t="n">
        <f aca="false">IF(OR(N(AX226)&lt;=0,N(AW226)=0,N(AV226)=0),"",MIN(AV226,AW226/AX226))</f>
        <v>49.1228070175439</v>
      </c>
      <c r="AZ226" s="29" t="n">
        <f aca="false">IF(OR(AY226="",N(O226)=0),"",AY226/O226-1)</f>
        <v>-0.0708756001977705</v>
      </c>
      <c r="BA226" s="29" t="n">
        <f aca="false">IF(OR(AZ226="",N(O226)=0),"",AZ226+AW226/O226)</f>
        <v>-0.00467548671186166</v>
      </c>
      <c r="BB226" s="32" t="n">
        <f aca="false">IF(OR(BA226="",N(AR226)=0),"",BA226-AR226)</f>
        <v>0</v>
      </c>
      <c r="BC226" s="35" t="n">
        <f aca="false">IF(OR(BA226="",N(U226)=0),"",BA226-U226)</f>
        <v>0.0580702749876396</v>
      </c>
      <c r="BD226" s="37"/>
    </row>
    <row r="227" customFormat="false" ht="15" hidden="false" customHeight="false" outlineLevel="0" collapsed="false">
      <c r="A227" s="2" t="s">
        <v>140</v>
      </c>
      <c r="B227" s="2" t="n">
        <v>458</v>
      </c>
      <c r="C227" s="2" t="s">
        <v>548</v>
      </c>
      <c r="D227" s="2" t="s">
        <v>546</v>
      </c>
      <c r="E227" s="2" t="s">
        <v>547</v>
      </c>
      <c r="F227" s="27" t="n">
        <v>53000</v>
      </c>
      <c r="G227" s="2" t="s">
        <v>51</v>
      </c>
      <c r="H227" s="2" t="s">
        <v>58</v>
      </c>
      <c r="I227" s="2" t="s">
        <v>151</v>
      </c>
      <c r="J227" s="2" t="s">
        <v>145</v>
      </c>
      <c r="K227" s="2" t="n">
        <v>4</v>
      </c>
      <c r="L227" s="28" t="n">
        <v>100</v>
      </c>
      <c r="M227" s="29" t="n">
        <v>0.045</v>
      </c>
      <c r="N227" s="28" t="n">
        <v>4.5</v>
      </c>
      <c r="O227" s="28" t="n">
        <v>65.33</v>
      </c>
      <c r="P227" s="2" t="s">
        <v>146</v>
      </c>
      <c r="Q227" s="29" t="n">
        <v>0.08</v>
      </c>
      <c r="R227" s="30" t="n">
        <v>0.076</v>
      </c>
      <c r="S227" s="31" t="n">
        <v>59.2105263157895</v>
      </c>
      <c r="T227" s="30" t="n">
        <v>-0.0936701926252951</v>
      </c>
      <c r="U227" s="30" t="n">
        <v>-0.0247891272648175</v>
      </c>
      <c r="V227" s="29" t="n">
        <v>0</v>
      </c>
      <c r="W227" s="29" t="n">
        <f aca="false">IF(N(Q227)=0,"",Q227+IF(I227="yes",Q227*Inputs!$B$10*Inputs!$B$9,0)+V227)</f>
        <v>0.076</v>
      </c>
      <c r="X227" s="28" t="n">
        <f aca="false">IF(OR(N(W227)&lt;=0,N(N227)=0,N(L227)=0),"",MIN(L227,N227/W227))</f>
        <v>59.2105263157895</v>
      </c>
      <c r="Y227" s="29" t="n">
        <f aca="false">IF(OR(X227="",N(O227)=0),"",X227/O227-1)</f>
        <v>-0.0936701926252951</v>
      </c>
      <c r="Z227" s="29" t="n">
        <f aca="false">IF(OR(Y227="",N(O227)=0),"",Y227+N227/O227)</f>
        <v>-0.0247891272648175</v>
      </c>
      <c r="AA227" s="32" t="n">
        <f aca="false">IF(OR(Z227="",N(U227)=0),"",Z227-U227)</f>
        <v>0</v>
      </c>
      <c r="AB227" s="29" t="n">
        <f aca="false">IF(N(Q227)=0,"",Q227+IF(I227="yes",Q227*Inputs!$B$10*Inputs!$B$9,0)+IFERROR(INDEX(Inputs!$B$13:$B$15,MATCH(G227,Inputs!$A$13:$A$15,0)),0)+IFERROR(INDEX(Inputs!$B$18:$B$24,MATCH(H227,Inputs!$A$18:$A$24,0)),0))</f>
        <v>0.076</v>
      </c>
      <c r="AC227" s="28" t="n">
        <f aca="false">IF(OR(N(AB227)&lt;=0,N(N227)=0,N(L227)=0),"",MIN(L227,N227/AB227))</f>
        <v>59.2105263157895</v>
      </c>
      <c r="AD227" s="29" t="n">
        <f aca="false">IF(OR(AC227="",N(O227)=0),"",AC227/O227-1)</f>
        <v>-0.0936701926252951</v>
      </c>
      <c r="AE227" s="29" t="n">
        <f aca="false">IF(OR(AD227="",N(O227)=0),"",AD227+N227/O227)</f>
        <v>-0.0247891272648175</v>
      </c>
      <c r="AF227" s="32" t="n">
        <f aca="false">IF(OR(AE227="",N(Z227)=0),"",AE227-Z227)</f>
        <v>0</v>
      </c>
      <c r="AG227" s="28" t="n">
        <f aca="false">IF(AND(N(M227)&gt;0,N(L227)&gt;0),M227*L227,N227)</f>
        <v>4.5</v>
      </c>
      <c r="AH227" s="28" t="n">
        <f aca="false">IF(OR(N(AB227)&lt;=0,N(AG227)=0,N(L227)=0),"",MIN(L227,AG227/AB227))</f>
        <v>59.2105263157895</v>
      </c>
      <c r="AI227" s="29" t="n">
        <f aca="false">IF(OR(AH227="",N(O227)=0),"",AH227/O227-1)</f>
        <v>-0.0936701926252951</v>
      </c>
      <c r="AJ227" s="29" t="n">
        <f aca="false">IF(OR(AI227="",N(O227)=0),"",AI227+AG227/O227)</f>
        <v>-0.0247891272648175</v>
      </c>
      <c r="AK227" s="32" t="n">
        <f aca="false">IF(OR(AJ227="",N(AE227)=0),"",AJ227-AE227)</f>
        <v>0</v>
      </c>
      <c r="AL227" s="33" t="n">
        <f aca="false">IF(N(F227)=0,"",INDEX(Inputs!$B$28:$B$32,IFERROR(MATCH(F227,Inputs!$A$28:$A$32,1),0)+1))</f>
        <v>0.075</v>
      </c>
      <c r="AM227" s="34"/>
      <c r="AN227" s="33" t="n">
        <f aca="false">IF(N(AM227)&gt;0,AM227,AL227)</f>
        <v>0.075</v>
      </c>
      <c r="AO227" s="29" t="n">
        <f aca="false">IF(N(AN227)=0,"",AN227+IF(I227="yes",AN227*Inputs!$B$10*Inputs!$B$9,0)+IFERROR(INDEX(Inputs!$B$13:$B$15,MATCH(G227,Inputs!$A$13:$A$15,0)),0)+IFERROR(INDEX(Inputs!$B$18:$B$24,MATCH(H227,Inputs!$A$18:$A$24,0)),0))</f>
        <v>0.07125</v>
      </c>
      <c r="AP227" s="28" t="n">
        <f aca="false">IF(OR(N(AO227)&lt;=0,N(AG227)=0,N(L227)=0),"",MIN(L227,AG227/AO227))</f>
        <v>63.1578947368421</v>
      </c>
      <c r="AQ227" s="29" t="n">
        <f aca="false">IF(OR(AP227="",N(O227)=0),"",AP227/O227-1)</f>
        <v>-0.0332482054669813</v>
      </c>
      <c r="AR227" s="29" t="n">
        <f aca="false">IF(OR(AQ227="",N(O227)=0),"",AQ227+AG227/O227)</f>
        <v>0.0356328598934963</v>
      </c>
      <c r="AS227" s="32" t="n">
        <f aca="false">IF(OR(AR227="",N(AJ227)=0),"",AR227-AJ227)</f>
        <v>0.0604219871583138</v>
      </c>
      <c r="AT227" s="28" t="n">
        <v>100</v>
      </c>
      <c r="AU227" s="28" t="n">
        <v>4.5</v>
      </c>
      <c r="AV227" s="28" t="n">
        <f aca="false">IF(N(AT227)&gt;0,AT227,L227)</f>
        <v>100</v>
      </c>
      <c r="AW227" s="28" t="n">
        <f aca="false">IF(AND(N(M227)&gt;0,N(AV227)&gt;0),M227*AV227,IF(N(AU227)&gt;0,AU227,N227))</f>
        <v>4.5</v>
      </c>
      <c r="AX227" s="29" t="n">
        <f aca="false">IF(N(AN227)=0,"",AN227+IF(I227="yes",AN227*Inputs!$B$10*Inputs!$B$9,0)+IFERROR(INDEX(Inputs!$B$13:$B$15,MATCH(G227,Inputs!$A$13:$A$15,0)),0)+IFERROR(INDEX(Inputs!$B$18:$B$24,MATCH(H227,Inputs!$A$18:$A$24,0)),0))</f>
        <v>0.07125</v>
      </c>
      <c r="AY227" s="28" t="n">
        <f aca="false">IF(OR(N(AX227)&lt;=0,N(AW227)=0,N(AV227)=0),"",MIN(AV227,AW227/AX227))</f>
        <v>63.1578947368421</v>
      </c>
      <c r="AZ227" s="29" t="n">
        <f aca="false">IF(OR(AY227="",N(O227)=0),"",AY227/O227-1)</f>
        <v>-0.0332482054669813</v>
      </c>
      <c r="BA227" s="29" t="n">
        <f aca="false">IF(OR(AZ227="",N(O227)=0),"",AZ227+AW227/O227)</f>
        <v>0.0356328598934963</v>
      </c>
      <c r="BB227" s="32" t="n">
        <f aca="false">IF(OR(BA227="",N(AR227)=0),"",BA227-AR227)</f>
        <v>0</v>
      </c>
      <c r="BC227" s="35" t="n">
        <f aca="false">IF(OR(BA227="",N(U227)=0),"",BA227-U227)</f>
        <v>0.0604219871583138</v>
      </c>
      <c r="BD227" s="37"/>
    </row>
    <row r="228" customFormat="false" ht="15" hidden="false" customHeight="false" outlineLevel="0" collapsed="false">
      <c r="A228" s="2" t="s">
        <v>140</v>
      </c>
      <c r="B228" s="2" t="n">
        <v>461</v>
      </c>
      <c r="C228" s="2" t="s">
        <v>549</v>
      </c>
      <c r="D228" s="2" t="s">
        <v>550</v>
      </c>
      <c r="E228" s="2" t="s">
        <v>551</v>
      </c>
      <c r="F228" s="27" t="n">
        <v>2700</v>
      </c>
      <c r="G228" s="2" t="s">
        <v>52</v>
      </c>
      <c r="H228" s="2" t="s">
        <v>58</v>
      </c>
      <c r="I228" s="2" t="s">
        <v>144</v>
      </c>
      <c r="J228" s="2" t="s">
        <v>145</v>
      </c>
      <c r="K228" s="2" t="n">
        <v>4</v>
      </c>
      <c r="L228" s="28" t="n">
        <v>25</v>
      </c>
      <c r="M228" s="29" t="n">
        <v>0.05375</v>
      </c>
      <c r="N228" s="28" t="n">
        <v>1.34375</v>
      </c>
      <c r="O228" s="28" t="n">
        <v>22.15</v>
      </c>
      <c r="P228" s="2" t="s">
        <v>146</v>
      </c>
      <c r="Q228" s="29" t="n">
        <v>0.08</v>
      </c>
      <c r="R228" s="30" t="n">
        <v>0.075</v>
      </c>
      <c r="S228" s="31" t="n">
        <v>17.9166666666667</v>
      </c>
      <c r="T228" s="30" t="n">
        <v>-0.191121143717081</v>
      </c>
      <c r="U228" s="30" t="n">
        <v>-0.130455229495862</v>
      </c>
      <c r="V228" s="29" t="n">
        <v>-0.005</v>
      </c>
      <c r="W228" s="29" t="n">
        <f aca="false">IF(N(Q228)=0,"",Q228+IF(I228="yes",Q228*Inputs!$B$10*Inputs!$B$9,0)+V228)</f>
        <v>0.075</v>
      </c>
      <c r="X228" s="28" t="n">
        <f aca="false">IF(OR(N(W228)&lt;=0,N(N228)=0,N(L228)=0),"",MIN(L228,N228/W228))</f>
        <v>17.9166666666667</v>
      </c>
      <c r="Y228" s="29" t="n">
        <f aca="false">IF(OR(X228="",N(O228)=0),"",X228/O228-1)</f>
        <v>-0.19112114371708</v>
      </c>
      <c r="Z228" s="29" t="n">
        <f aca="false">IF(OR(Y228="",N(O228)=0),"",Y228+N228/O228)</f>
        <v>-0.130455229495861</v>
      </c>
      <c r="AA228" s="32" t="n">
        <f aca="false">IF(OR(Z228="",N(U228)=0),"",Z228-U228)</f>
        <v>0</v>
      </c>
      <c r="AB228" s="29" t="n">
        <f aca="false">IF(N(Q228)=0,"",Q228+IF(I228="yes",Q228*Inputs!$B$10*Inputs!$B$9,0)+IFERROR(INDEX(Inputs!$B$13:$B$15,MATCH(G228,Inputs!$A$13:$A$15,0)),0)+IFERROR(INDEX(Inputs!$B$18:$B$24,MATCH(H228,Inputs!$A$18:$A$24,0)),0))</f>
        <v>0.075</v>
      </c>
      <c r="AC228" s="28" t="n">
        <f aca="false">IF(OR(N(AB228)&lt;=0,N(N228)=0,N(L228)=0),"",MIN(L228,N228/AB228))</f>
        <v>17.9166666666667</v>
      </c>
      <c r="AD228" s="29" t="n">
        <f aca="false">IF(OR(AC228="",N(O228)=0),"",AC228/O228-1)</f>
        <v>-0.19112114371708</v>
      </c>
      <c r="AE228" s="29" t="n">
        <f aca="false">IF(OR(AD228="",N(O228)=0),"",AD228+N228/O228)</f>
        <v>-0.130455229495861</v>
      </c>
      <c r="AF228" s="32" t="n">
        <f aca="false">IF(OR(AE228="",N(Z228)=0),"",AE228-Z228)</f>
        <v>0</v>
      </c>
      <c r="AG228" s="28" t="n">
        <f aca="false">IF(AND(N(M228)&gt;0,N(L228)&gt;0),M228*L228,N228)</f>
        <v>1.34375</v>
      </c>
      <c r="AH228" s="28" t="n">
        <f aca="false">IF(OR(N(AB228)&lt;=0,N(AG228)=0,N(L228)=0),"",MIN(L228,AG228/AB228))</f>
        <v>17.9166666666667</v>
      </c>
      <c r="AI228" s="29" t="n">
        <f aca="false">IF(OR(AH228="",N(O228)=0),"",AH228/O228-1)</f>
        <v>-0.19112114371708</v>
      </c>
      <c r="AJ228" s="29" t="n">
        <f aca="false">IF(OR(AI228="",N(O228)=0),"",AI228+AG228/O228)</f>
        <v>-0.130455229495861</v>
      </c>
      <c r="AK228" s="32" t="n">
        <f aca="false">IF(OR(AJ228="",N(AE228)=0),"",AJ228-AE228)</f>
        <v>0</v>
      </c>
      <c r="AL228" s="33" t="n">
        <f aca="false">IF(N(F228)=0,"",INDEX(Inputs!$B$28:$B$32,IFERROR(MATCH(F228,Inputs!$A$28:$A$32,1),0)+1))</f>
        <v>0.085</v>
      </c>
      <c r="AM228" s="34"/>
      <c r="AN228" s="33" t="n">
        <f aca="false">IF(N(AM228)&gt;0,AM228,AL228)</f>
        <v>0.085</v>
      </c>
      <c r="AO228" s="29" t="n">
        <f aca="false">IF(N(AN228)=0,"",AN228+IF(I228="yes",AN228*Inputs!$B$10*Inputs!$B$9,0)+IFERROR(INDEX(Inputs!$B$13:$B$15,MATCH(G228,Inputs!$A$13:$A$15,0)),0)+IFERROR(INDEX(Inputs!$B$18:$B$24,MATCH(H228,Inputs!$A$18:$A$24,0)),0))</f>
        <v>0.08</v>
      </c>
      <c r="AP228" s="28" t="n">
        <f aca="false">IF(OR(N(AO228)&lt;=0,N(AG228)=0,N(L228)=0),"",MIN(L228,AG228/AO228))</f>
        <v>16.796875</v>
      </c>
      <c r="AQ228" s="29" t="n">
        <f aca="false">IF(OR(AP228="",N(O228)=0),"",AP228/O228-1)</f>
        <v>-0.241676072234763</v>
      </c>
      <c r="AR228" s="29" t="n">
        <f aca="false">IF(OR(AQ228="",N(O228)=0),"",AQ228+AG228/O228)</f>
        <v>-0.181010158013544</v>
      </c>
      <c r="AS228" s="32" t="n">
        <f aca="false">IF(OR(AR228="",N(AJ228)=0),"",AR228-AJ228)</f>
        <v>-0.0505549285176825</v>
      </c>
      <c r="AT228" s="28" t="n">
        <v>25</v>
      </c>
      <c r="AU228" s="28" t="n">
        <v>1.34</v>
      </c>
      <c r="AV228" s="28" t="n">
        <f aca="false">IF(N(AT228)&gt;0,AT228,L228)</f>
        <v>25</v>
      </c>
      <c r="AW228" s="28" t="n">
        <f aca="false">IF(AND(N(M228)&gt;0,N(AV228)&gt;0),M228*AV228,IF(N(AU228)&gt;0,AU228,N228))</f>
        <v>1.34375</v>
      </c>
      <c r="AX228" s="29" t="n">
        <f aca="false">IF(N(AN228)=0,"",AN228+IF(I228="yes",AN228*Inputs!$B$10*Inputs!$B$9,0)+IFERROR(INDEX(Inputs!$B$13:$B$15,MATCH(G228,Inputs!$A$13:$A$15,0)),0)+IFERROR(INDEX(Inputs!$B$18:$B$24,MATCH(H228,Inputs!$A$18:$A$24,0)),0))</f>
        <v>0.08</v>
      </c>
      <c r="AY228" s="28" t="n">
        <f aca="false">IF(OR(N(AX228)&lt;=0,N(AW228)=0,N(AV228)=0),"",MIN(AV228,AW228/AX228))</f>
        <v>16.796875</v>
      </c>
      <c r="AZ228" s="29" t="n">
        <f aca="false">IF(OR(AY228="",N(O228)=0),"",AY228/O228-1)</f>
        <v>-0.241676072234763</v>
      </c>
      <c r="BA228" s="29" t="n">
        <f aca="false">IF(OR(AZ228="",N(O228)=0),"",AZ228+AW228/O228)</f>
        <v>-0.181010158013544</v>
      </c>
      <c r="BB228" s="32" t="n">
        <f aca="false">IF(OR(BA228="",N(AR228)=0),"",BA228-AR228)</f>
        <v>0</v>
      </c>
      <c r="BC228" s="35" t="n">
        <f aca="false">IF(OR(BA228="",N(U228)=0),"",BA228-U228)</f>
        <v>-0.0505549285176824</v>
      </c>
      <c r="BD228" s="37"/>
    </row>
    <row r="229" customFormat="false" ht="15" hidden="false" customHeight="false" outlineLevel="0" collapsed="false">
      <c r="A229" s="2" t="s">
        <v>140</v>
      </c>
      <c r="B229" s="2" t="n">
        <v>462</v>
      </c>
      <c r="C229" s="2" t="s">
        <v>552</v>
      </c>
      <c r="D229" s="2" t="s">
        <v>550</v>
      </c>
      <c r="E229" s="2" t="s">
        <v>551</v>
      </c>
      <c r="F229" s="27" t="n">
        <v>2700</v>
      </c>
      <c r="G229" s="2" t="s">
        <v>51</v>
      </c>
      <c r="H229" s="2" t="s">
        <v>58</v>
      </c>
      <c r="I229" s="2" t="s">
        <v>151</v>
      </c>
      <c r="J229" s="2" t="s">
        <v>145</v>
      </c>
      <c r="K229" s="2" t="n">
        <v>4</v>
      </c>
      <c r="L229" s="28" t="n">
        <v>25</v>
      </c>
      <c r="M229" s="29" t="n">
        <v>0.0645</v>
      </c>
      <c r="N229" s="28" t="n">
        <v>1.6125</v>
      </c>
      <c r="O229" s="28" t="n">
        <v>0</v>
      </c>
      <c r="P229" s="2" t="s">
        <v>146</v>
      </c>
      <c r="Q229" s="29" t="n">
        <v>0.08</v>
      </c>
      <c r="R229" s="30" t="n">
        <v>0.076</v>
      </c>
      <c r="S229" s="31" t="n">
        <v>21.2171052631579</v>
      </c>
      <c r="T229" s="30"/>
      <c r="U229" s="30"/>
      <c r="V229" s="29" t="n">
        <v>0</v>
      </c>
      <c r="W229" s="29" t="n">
        <f aca="false">IF(N(Q229)=0,"",Q229+IF(I229="yes",Q229*Inputs!$B$10*Inputs!$B$9,0)+V229)</f>
        <v>0.076</v>
      </c>
      <c r="X229" s="28" t="n">
        <f aca="false">IF(OR(N(W229)&lt;=0,N(N229)=0,N(L229)=0),"",MIN(L229,N229/W229))</f>
        <v>21.2171052631579</v>
      </c>
      <c r="Y229" s="29" t="str">
        <f aca="false">IF(OR(X229="",N(O229)=0),"",X229/O229-1)</f>
        <v/>
      </c>
      <c r="Z229" s="29" t="str">
        <f aca="false">IF(OR(Y229="",N(O229)=0),"",Y229+N229/O229)</f>
        <v/>
      </c>
      <c r="AA229" s="32" t="str">
        <f aca="false">IF(OR(Z229="",N(U229)=0),"",Z229-U229)</f>
        <v/>
      </c>
      <c r="AB229" s="29" t="n">
        <f aca="false">IF(N(Q229)=0,"",Q229+IF(I229="yes",Q229*Inputs!$B$10*Inputs!$B$9,0)+IFERROR(INDEX(Inputs!$B$13:$B$15,MATCH(G229,Inputs!$A$13:$A$15,0)),0)+IFERROR(INDEX(Inputs!$B$18:$B$24,MATCH(H229,Inputs!$A$18:$A$24,0)),0))</f>
        <v>0.076</v>
      </c>
      <c r="AC229" s="28" t="n">
        <f aca="false">IF(OR(N(AB229)&lt;=0,N(N229)=0,N(L229)=0),"",MIN(L229,N229/AB229))</f>
        <v>21.2171052631579</v>
      </c>
      <c r="AD229" s="29" t="str">
        <f aca="false">IF(OR(AC229="",N(O229)=0),"",AC229/O229-1)</f>
        <v/>
      </c>
      <c r="AE229" s="29" t="str">
        <f aca="false">IF(OR(AD229="",N(O229)=0),"",AD229+N229/O229)</f>
        <v/>
      </c>
      <c r="AF229" s="32" t="str">
        <f aca="false">IF(OR(AE229="",N(Z229)=0),"",AE229-Z229)</f>
        <v/>
      </c>
      <c r="AG229" s="28" t="n">
        <f aca="false">IF(AND(N(M229)&gt;0,N(L229)&gt;0),M229*L229,N229)</f>
        <v>1.6125</v>
      </c>
      <c r="AH229" s="28" t="n">
        <f aca="false">IF(OR(N(AB229)&lt;=0,N(AG229)=0,N(L229)=0),"",MIN(L229,AG229/AB229))</f>
        <v>21.2171052631579</v>
      </c>
      <c r="AI229" s="29" t="str">
        <f aca="false">IF(OR(AH229="",N(O229)=0),"",AH229/O229-1)</f>
        <v/>
      </c>
      <c r="AJ229" s="29" t="str">
        <f aca="false">IF(OR(AI229="",N(O229)=0),"",AI229+AG229/O229)</f>
        <v/>
      </c>
      <c r="AK229" s="32" t="str">
        <f aca="false">IF(OR(AJ229="",N(AE229)=0),"",AJ229-AE229)</f>
        <v/>
      </c>
      <c r="AL229" s="33" t="n">
        <f aca="false">IF(N(F229)=0,"",INDEX(Inputs!$B$28:$B$32,IFERROR(MATCH(F229,Inputs!$A$28:$A$32,1),0)+1))</f>
        <v>0.085</v>
      </c>
      <c r="AM229" s="34"/>
      <c r="AN229" s="33" t="n">
        <f aca="false">IF(N(AM229)&gt;0,AM229,AL229)</f>
        <v>0.085</v>
      </c>
      <c r="AO229" s="29" t="n">
        <f aca="false">IF(N(AN229)=0,"",AN229+IF(I229="yes",AN229*Inputs!$B$10*Inputs!$B$9,0)+IFERROR(INDEX(Inputs!$B$13:$B$15,MATCH(G229,Inputs!$A$13:$A$15,0)),0)+IFERROR(INDEX(Inputs!$B$18:$B$24,MATCH(H229,Inputs!$A$18:$A$24,0)),0))</f>
        <v>0.08075</v>
      </c>
      <c r="AP229" s="28" t="n">
        <f aca="false">IF(OR(N(AO229)&lt;=0,N(AG229)=0,N(L229)=0),"",MIN(L229,AG229/AO229))</f>
        <v>19.969040247678</v>
      </c>
      <c r="AQ229" s="29" t="str">
        <f aca="false">IF(OR(AP229="",N(O229)=0),"",AP229/O229-1)</f>
        <v/>
      </c>
      <c r="AR229" s="29" t="str">
        <f aca="false">IF(OR(AQ229="",N(O229)=0),"",AQ229+AG229/O229)</f>
        <v/>
      </c>
      <c r="AS229" s="32" t="str">
        <f aca="false">IF(OR(AR229="",N(AJ229)=0),"",AR229-AJ229)</f>
        <v/>
      </c>
      <c r="AT229" s="28" t="n">
        <v>25</v>
      </c>
      <c r="AU229" s="28" t="n">
        <v>2.7324</v>
      </c>
      <c r="AV229" s="28" t="n">
        <f aca="false">IF(N(AT229)&gt;0,AT229,L229)</f>
        <v>25</v>
      </c>
      <c r="AW229" s="28" t="n">
        <f aca="false">IF(AND(N(M229)&gt;0,N(AV229)&gt;0),M229*AV229,IF(N(AU229)&gt;0,AU229,N229))</f>
        <v>1.6125</v>
      </c>
      <c r="AX229" s="29" t="n">
        <f aca="false">IF(N(AN229)=0,"",AN229+IF(I229="yes",AN229*Inputs!$B$10*Inputs!$B$9,0)+IFERROR(INDEX(Inputs!$B$13:$B$15,MATCH(G229,Inputs!$A$13:$A$15,0)),0)+IFERROR(INDEX(Inputs!$B$18:$B$24,MATCH(H229,Inputs!$A$18:$A$24,0)),0))</f>
        <v>0.08075</v>
      </c>
      <c r="AY229" s="28" t="n">
        <f aca="false">IF(OR(N(AX229)&lt;=0,N(AW229)=0,N(AV229)=0),"",MIN(AV229,AW229/AX229))</f>
        <v>19.969040247678</v>
      </c>
      <c r="AZ229" s="29" t="str">
        <f aca="false">IF(OR(AY229="",N(O229)=0),"",AY229/O229-1)</f>
        <v/>
      </c>
      <c r="BA229" s="29" t="str">
        <f aca="false">IF(OR(AZ229="",N(O229)=0),"",AZ229+AW229/O229)</f>
        <v/>
      </c>
      <c r="BB229" s="32" t="str">
        <f aca="false">IF(OR(BA229="",N(AR229)=0),"",BA229-AR229)</f>
        <v/>
      </c>
      <c r="BC229" s="35" t="str">
        <f aca="false">IF(OR(BA229="",N(U229)=0),"",BA229-U229)</f>
        <v/>
      </c>
      <c r="BD229" s="36" t="s">
        <v>299</v>
      </c>
    </row>
    <row r="230" customFormat="false" ht="15" hidden="false" customHeight="false" outlineLevel="0" collapsed="false">
      <c r="A230" s="2" t="s">
        <v>140</v>
      </c>
      <c r="B230" s="2" t="n">
        <v>463</v>
      </c>
      <c r="C230" s="2" t="s">
        <v>553</v>
      </c>
      <c r="D230" s="2" t="s">
        <v>550</v>
      </c>
      <c r="E230" s="2" t="s">
        <v>551</v>
      </c>
      <c r="F230" s="27" t="n">
        <v>2700</v>
      </c>
      <c r="G230" s="2" t="s">
        <v>51</v>
      </c>
      <c r="H230" s="2" t="s">
        <v>58</v>
      </c>
      <c r="I230" s="2" t="s">
        <v>151</v>
      </c>
      <c r="J230" s="2" t="s">
        <v>145</v>
      </c>
      <c r="K230" s="2" t="n">
        <v>4</v>
      </c>
      <c r="L230" s="28" t="n">
        <v>25</v>
      </c>
      <c r="M230" s="29" t="n">
        <v>0.06</v>
      </c>
      <c r="N230" s="28" t="n">
        <v>1.5</v>
      </c>
      <c r="O230" s="28" t="n">
        <v>0</v>
      </c>
      <c r="P230" s="2" t="s">
        <v>146</v>
      </c>
      <c r="Q230" s="29" t="n">
        <v>0.08</v>
      </c>
      <c r="R230" s="30" t="n">
        <v>0.076</v>
      </c>
      <c r="S230" s="31" t="n">
        <v>19.7368421052632</v>
      </c>
      <c r="T230" s="30"/>
      <c r="U230" s="30"/>
      <c r="V230" s="29" t="n">
        <v>0</v>
      </c>
      <c r="W230" s="29" t="n">
        <f aca="false">IF(N(Q230)=0,"",Q230+IF(I230="yes",Q230*Inputs!$B$10*Inputs!$B$9,0)+V230)</f>
        <v>0.076</v>
      </c>
      <c r="X230" s="28" t="n">
        <f aca="false">IF(OR(N(W230)&lt;=0,N(N230)=0,N(L230)=0),"",MIN(L230,N230/W230))</f>
        <v>19.7368421052632</v>
      </c>
      <c r="Y230" s="29" t="str">
        <f aca="false">IF(OR(X230="",N(O230)=0),"",X230/O230-1)</f>
        <v/>
      </c>
      <c r="Z230" s="29" t="str">
        <f aca="false">IF(OR(Y230="",N(O230)=0),"",Y230+N230/O230)</f>
        <v/>
      </c>
      <c r="AA230" s="32" t="str">
        <f aca="false">IF(OR(Z230="",N(U230)=0),"",Z230-U230)</f>
        <v/>
      </c>
      <c r="AB230" s="29" t="n">
        <f aca="false">IF(N(Q230)=0,"",Q230+IF(I230="yes",Q230*Inputs!$B$10*Inputs!$B$9,0)+IFERROR(INDEX(Inputs!$B$13:$B$15,MATCH(G230,Inputs!$A$13:$A$15,0)),0)+IFERROR(INDEX(Inputs!$B$18:$B$24,MATCH(H230,Inputs!$A$18:$A$24,0)),0))</f>
        <v>0.076</v>
      </c>
      <c r="AC230" s="28" t="n">
        <f aca="false">IF(OR(N(AB230)&lt;=0,N(N230)=0,N(L230)=0),"",MIN(L230,N230/AB230))</f>
        <v>19.7368421052632</v>
      </c>
      <c r="AD230" s="29" t="str">
        <f aca="false">IF(OR(AC230="",N(O230)=0),"",AC230/O230-1)</f>
        <v/>
      </c>
      <c r="AE230" s="29" t="str">
        <f aca="false">IF(OR(AD230="",N(O230)=0),"",AD230+N230/O230)</f>
        <v/>
      </c>
      <c r="AF230" s="32" t="str">
        <f aca="false">IF(OR(AE230="",N(Z230)=0),"",AE230-Z230)</f>
        <v/>
      </c>
      <c r="AG230" s="28" t="n">
        <f aca="false">IF(AND(N(M230)&gt;0,N(L230)&gt;0),M230*L230,N230)</f>
        <v>1.5</v>
      </c>
      <c r="AH230" s="28" t="n">
        <f aca="false">IF(OR(N(AB230)&lt;=0,N(AG230)=0,N(L230)=0),"",MIN(L230,AG230/AB230))</f>
        <v>19.7368421052632</v>
      </c>
      <c r="AI230" s="29" t="str">
        <f aca="false">IF(OR(AH230="",N(O230)=0),"",AH230/O230-1)</f>
        <v/>
      </c>
      <c r="AJ230" s="29" t="str">
        <f aca="false">IF(OR(AI230="",N(O230)=0),"",AI230+AG230/O230)</f>
        <v/>
      </c>
      <c r="AK230" s="32" t="str">
        <f aca="false">IF(OR(AJ230="",N(AE230)=0),"",AJ230-AE230)</f>
        <v/>
      </c>
      <c r="AL230" s="33" t="n">
        <f aca="false">IF(N(F230)=0,"",INDEX(Inputs!$B$28:$B$32,IFERROR(MATCH(F230,Inputs!$A$28:$A$32,1),0)+1))</f>
        <v>0.085</v>
      </c>
      <c r="AM230" s="34"/>
      <c r="AN230" s="33" t="n">
        <f aca="false">IF(N(AM230)&gt;0,AM230,AL230)</f>
        <v>0.085</v>
      </c>
      <c r="AO230" s="29" t="n">
        <f aca="false">IF(N(AN230)=0,"",AN230+IF(I230="yes",AN230*Inputs!$B$10*Inputs!$B$9,0)+IFERROR(INDEX(Inputs!$B$13:$B$15,MATCH(G230,Inputs!$A$13:$A$15,0)),0)+IFERROR(INDEX(Inputs!$B$18:$B$24,MATCH(H230,Inputs!$A$18:$A$24,0)),0))</f>
        <v>0.08075</v>
      </c>
      <c r="AP230" s="28" t="n">
        <f aca="false">IF(OR(N(AO230)&lt;=0,N(AG230)=0,N(L230)=0),"",MIN(L230,AG230/AO230))</f>
        <v>18.5758513931889</v>
      </c>
      <c r="AQ230" s="29" t="str">
        <f aca="false">IF(OR(AP230="",N(O230)=0),"",AP230/O230-1)</f>
        <v/>
      </c>
      <c r="AR230" s="29" t="str">
        <f aca="false">IF(OR(AQ230="",N(O230)=0),"",AQ230+AG230/O230)</f>
        <v/>
      </c>
      <c r="AS230" s="32" t="str">
        <f aca="false">IF(OR(AR230="",N(AJ230)=0),"",AR230-AJ230)</f>
        <v/>
      </c>
      <c r="AT230" s="28" t="n">
        <v>25</v>
      </c>
      <c r="AU230" s="28" t="n">
        <v>2.6358</v>
      </c>
      <c r="AV230" s="28" t="n">
        <f aca="false">IF(N(AT230)&gt;0,AT230,L230)</f>
        <v>25</v>
      </c>
      <c r="AW230" s="28" t="n">
        <f aca="false">IF(AND(N(M230)&gt;0,N(AV230)&gt;0),M230*AV230,IF(N(AU230)&gt;0,AU230,N230))</f>
        <v>1.5</v>
      </c>
      <c r="AX230" s="29" t="n">
        <f aca="false">IF(N(AN230)=0,"",AN230+IF(I230="yes",AN230*Inputs!$B$10*Inputs!$B$9,0)+IFERROR(INDEX(Inputs!$B$13:$B$15,MATCH(G230,Inputs!$A$13:$A$15,0)),0)+IFERROR(INDEX(Inputs!$B$18:$B$24,MATCH(H230,Inputs!$A$18:$A$24,0)),0))</f>
        <v>0.08075</v>
      </c>
      <c r="AY230" s="28" t="n">
        <f aca="false">IF(OR(N(AX230)&lt;=0,N(AW230)=0,N(AV230)=0),"",MIN(AV230,AW230/AX230))</f>
        <v>18.5758513931889</v>
      </c>
      <c r="AZ230" s="29" t="str">
        <f aca="false">IF(OR(AY230="",N(O230)=0),"",AY230/O230-1)</f>
        <v/>
      </c>
      <c r="BA230" s="29" t="str">
        <f aca="false">IF(OR(AZ230="",N(O230)=0),"",AZ230+AW230/O230)</f>
        <v/>
      </c>
      <c r="BB230" s="32" t="str">
        <f aca="false">IF(OR(BA230="",N(AR230)=0),"",BA230-AR230)</f>
        <v/>
      </c>
      <c r="BC230" s="35" t="str">
        <f aca="false">IF(OR(BA230="",N(U230)=0),"",BA230-U230)</f>
        <v/>
      </c>
      <c r="BD230" s="36" t="s">
        <v>299</v>
      </c>
    </row>
    <row r="231" customFormat="false" ht="15" hidden="false" customHeight="false" outlineLevel="0" collapsed="false">
      <c r="A231" s="2" t="s">
        <v>140</v>
      </c>
      <c r="B231" s="2" t="n">
        <v>466</v>
      </c>
      <c r="C231" s="2" t="s">
        <v>554</v>
      </c>
      <c r="D231" s="2" t="s">
        <v>555</v>
      </c>
      <c r="E231" s="2" t="s">
        <v>143</v>
      </c>
      <c r="F231" s="27"/>
      <c r="G231" s="2" t="s">
        <v>51</v>
      </c>
      <c r="H231" s="2" t="s">
        <v>58</v>
      </c>
      <c r="I231" s="2" t="s">
        <v>144</v>
      </c>
      <c r="J231" s="2" t="s">
        <v>145</v>
      </c>
      <c r="K231" s="2" t="n">
        <v>4</v>
      </c>
      <c r="L231" s="28" t="n">
        <v>10</v>
      </c>
      <c r="M231" s="29" t="n">
        <v>0.06</v>
      </c>
      <c r="N231" s="28" t="n">
        <v>0.6</v>
      </c>
      <c r="O231" s="28" t="n">
        <v>0</v>
      </c>
      <c r="P231" s="2" t="s">
        <v>146</v>
      </c>
      <c r="Q231" s="29" t="n">
        <v>0.08</v>
      </c>
      <c r="R231" s="30" t="n">
        <v>0.08</v>
      </c>
      <c r="S231" s="31" t="n">
        <v>7.5</v>
      </c>
      <c r="T231" s="30"/>
      <c r="U231" s="30"/>
      <c r="V231" s="29" t="n">
        <v>0</v>
      </c>
      <c r="W231" s="29" t="n">
        <f aca="false">IF(N(Q231)=0,"",Q231+IF(I231="yes",Q231*Inputs!$B$10*Inputs!$B$9,0)+V231)</f>
        <v>0.08</v>
      </c>
      <c r="X231" s="28" t="n">
        <f aca="false">IF(OR(N(W231)&lt;=0,N(N231)=0,N(L231)=0),"",MIN(L231,N231/W231))</f>
        <v>7.5</v>
      </c>
      <c r="Y231" s="29" t="str">
        <f aca="false">IF(OR(X231="",N(O231)=0),"",X231/O231-1)</f>
        <v/>
      </c>
      <c r="Z231" s="29" t="str">
        <f aca="false">IF(OR(Y231="",N(O231)=0),"",Y231+N231/O231)</f>
        <v/>
      </c>
      <c r="AA231" s="32" t="str">
        <f aca="false">IF(OR(Z231="",N(U231)=0),"",Z231-U231)</f>
        <v/>
      </c>
      <c r="AB231" s="29" t="n">
        <f aca="false">IF(N(Q231)=0,"",Q231+IF(I231="yes",Q231*Inputs!$B$10*Inputs!$B$9,0)+IFERROR(INDEX(Inputs!$B$13:$B$15,MATCH(G231,Inputs!$A$13:$A$15,0)),0)+IFERROR(INDEX(Inputs!$B$18:$B$24,MATCH(H231,Inputs!$A$18:$A$24,0)),0))</f>
        <v>0.08</v>
      </c>
      <c r="AC231" s="28" t="n">
        <f aca="false">IF(OR(N(AB231)&lt;=0,N(N231)=0,N(L231)=0),"",MIN(L231,N231/AB231))</f>
        <v>7.5</v>
      </c>
      <c r="AD231" s="29" t="str">
        <f aca="false">IF(OR(AC231="",N(O231)=0),"",AC231/O231-1)</f>
        <v/>
      </c>
      <c r="AE231" s="29" t="str">
        <f aca="false">IF(OR(AD231="",N(O231)=0),"",AD231+N231/O231)</f>
        <v/>
      </c>
      <c r="AF231" s="32" t="str">
        <f aca="false">IF(OR(AE231="",N(Z231)=0),"",AE231-Z231)</f>
        <v/>
      </c>
      <c r="AG231" s="28" t="n">
        <f aca="false">IF(AND(N(M231)&gt;0,N(L231)&gt;0),M231*L231,N231)</f>
        <v>0.6</v>
      </c>
      <c r="AH231" s="28" t="n">
        <f aca="false">IF(OR(N(AB231)&lt;=0,N(AG231)=0,N(L231)=0),"",MIN(L231,AG231/AB231))</f>
        <v>7.5</v>
      </c>
      <c r="AI231" s="29" t="str">
        <f aca="false">IF(OR(AH231="",N(O231)=0),"",AH231/O231-1)</f>
        <v/>
      </c>
      <c r="AJ231" s="29" t="str">
        <f aca="false">IF(OR(AI231="",N(O231)=0),"",AI231+AG231/O231)</f>
        <v/>
      </c>
      <c r="AK231" s="32" t="str">
        <f aca="false">IF(OR(AJ231="",N(AE231)=0),"",AJ231-AE231)</f>
        <v/>
      </c>
      <c r="AL231" s="33" t="str">
        <f aca="false">IF(N(F231)=0,"",INDEX(Inputs!$B$28:$B$32,IFERROR(MATCH(F231,Inputs!$A$28:$A$32,1),0)+1))</f>
        <v/>
      </c>
      <c r="AM231" s="34"/>
      <c r="AN231" s="33" t="str">
        <f aca="false">IF(N(AM231)&gt;0,AM231,AL231)</f>
        <v/>
      </c>
      <c r="AO231" s="29" t="str">
        <f aca="false">IF(N(AN231)=0,"",AN231+IF(I231="yes",AN231*Inputs!$B$10*Inputs!$B$9,0)+IFERROR(INDEX(Inputs!$B$13:$B$15,MATCH(G231,Inputs!$A$13:$A$15,0)),0)+IFERROR(INDEX(Inputs!$B$18:$B$24,MATCH(H231,Inputs!$A$18:$A$24,0)),0))</f>
        <v/>
      </c>
      <c r="AP231" s="28" t="str">
        <f aca="false">IF(OR(N(AO231)&lt;=0,N(AG231)=0,N(L231)=0),"",MIN(L231,AG231/AO231))</f>
        <v/>
      </c>
      <c r="AQ231" s="29" t="str">
        <f aca="false">IF(OR(AP231="",N(O231)=0),"",AP231/O231-1)</f>
        <v/>
      </c>
      <c r="AR231" s="29" t="str">
        <f aca="false">IF(OR(AQ231="",N(O231)=0),"",AQ231+AG231/O231)</f>
        <v/>
      </c>
      <c r="AS231" s="32" t="str">
        <f aca="false">IF(OR(AR231="",N(AJ231)=0),"",AR231-AJ231)</f>
        <v/>
      </c>
      <c r="AT231" s="28"/>
      <c r="AU231" s="28"/>
      <c r="AV231" s="28" t="n">
        <f aca="false">IF(N(AT231)&gt;0,AT231,L231)</f>
        <v>10</v>
      </c>
      <c r="AW231" s="28" t="n">
        <f aca="false">IF(AND(N(M231)&gt;0,N(AV231)&gt;0),M231*AV231,IF(N(AU231)&gt;0,AU231,N231))</f>
        <v>0.6</v>
      </c>
      <c r="AX231" s="29" t="str">
        <f aca="false">IF(N(AN231)=0,"",AN231+IF(I231="yes",AN231*Inputs!$B$10*Inputs!$B$9,0)+IFERROR(INDEX(Inputs!$B$13:$B$15,MATCH(G231,Inputs!$A$13:$A$15,0)),0)+IFERROR(INDEX(Inputs!$B$18:$B$24,MATCH(H231,Inputs!$A$18:$A$24,0)),0))</f>
        <v/>
      </c>
      <c r="AY231" s="28" t="str">
        <f aca="false">IF(OR(N(AX231)&lt;=0,N(AW231)=0,N(AV231)=0),"",MIN(AV231,AW231/AX231))</f>
        <v/>
      </c>
      <c r="AZ231" s="29" t="str">
        <f aca="false">IF(OR(AY231="",N(O231)=0),"",AY231/O231-1)</f>
        <v/>
      </c>
      <c r="BA231" s="29" t="str">
        <f aca="false">IF(OR(AZ231="",N(O231)=0),"",AZ231+AW231/O231)</f>
        <v/>
      </c>
      <c r="BB231" s="32" t="str">
        <f aca="false">IF(OR(BA231="",N(AR231)=0),"",BA231-AR231)</f>
        <v/>
      </c>
      <c r="BC231" s="35" t="str">
        <f aca="false">IF(OR(BA231="",N(U231)=0),"",BA231-U231)</f>
        <v/>
      </c>
      <c r="BD231" s="36" t="s">
        <v>198</v>
      </c>
    </row>
    <row r="232" customFormat="false" ht="15" hidden="false" customHeight="false" outlineLevel="0" collapsed="false">
      <c r="A232" s="2" t="s">
        <v>556</v>
      </c>
      <c r="B232" s="2" t="n">
        <v>7</v>
      </c>
      <c r="C232" s="2" t="s">
        <v>557</v>
      </c>
      <c r="D232" s="2" t="s">
        <v>558</v>
      </c>
      <c r="E232" s="2" t="s">
        <v>559</v>
      </c>
      <c r="F232" s="27" t="n">
        <v>59300</v>
      </c>
      <c r="G232" s="2" t="s">
        <v>51</v>
      </c>
      <c r="H232" s="2" t="s">
        <v>60</v>
      </c>
      <c r="I232" s="2" t="s">
        <v>144</v>
      </c>
      <c r="J232" s="2" t="s">
        <v>168</v>
      </c>
      <c r="K232" s="2" t="n">
        <v>12</v>
      </c>
      <c r="L232" s="28" t="n">
        <v>25</v>
      </c>
      <c r="M232" s="29" t="n">
        <v>0.0515</v>
      </c>
      <c r="N232" s="28" t="n">
        <v>1.2875</v>
      </c>
      <c r="O232" s="28" t="n">
        <v>24.61</v>
      </c>
      <c r="P232" s="2" t="s">
        <v>146</v>
      </c>
      <c r="Q232" s="29" t="n">
        <v>0.08</v>
      </c>
      <c r="R232" s="30" t="n">
        <v>0.08</v>
      </c>
      <c r="S232" s="31" t="n">
        <v>16.09375</v>
      </c>
      <c r="T232" s="30" t="n">
        <v>-0.346048354327509</v>
      </c>
      <c r="U232" s="30" t="n">
        <v>-0.29373222267371</v>
      </c>
      <c r="V232" s="29" t="n">
        <v>0</v>
      </c>
      <c r="W232" s="29" t="n">
        <f aca="false">IF(N(Q232)=0,"",Q232+IF(I232="yes",Q232*Inputs!$B$10*Inputs!$B$9,0)+V232)</f>
        <v>0.08</v>
      </c>
      <c r="X232" s="28" t="n">
        <f aca="false">IF(OR(N(W232)&lt;=0,N(N232)=0,N(L232)=0),"",MIN(L232,N232/W232))</f>
        <v>16.09375</v>
      </c>
      <c r="Y232" s="29" t="n">
        <f aca="false">IF(OR(X232="",N(O232)=0),"",X232/O232-1)</f>
        <v>-0.346048354327509</v>
      </c>
      <c r="Z232" s="29" t="n">
        <f aca="false">IF(OR(Y232="",N(O232)=0),"",Y232+N232/O232)</f>
        <v>-0.29373222267371</v>
      </c>
      <c r="AA232" s="32" t="n">
        <f aca="false">IF(OR(Z232="",N(U232)=0),"",Z232-U232)</f>
        <v>0</v>
      </c>
      <c r="AB232" s="29" t="n">
        <f aca="false">IF(N(Q232)=0,"",Q232+IF(I232="yes",Q232*Inputs!$B$10*Inputs!$B$9,0)+IFERROR(INDEX(Inputs!$B$13:$B$15,MATCH(G232,Inputs!$A$13:$A$15,0)),0)+IFERROR(INDEX(Inputs!$B$18:$B$24,MATCH(H232,Inputs!$A$18:$A$24,0)),0))</f>
        <v>0.08</v>
      </c>
      <c r="AC232" s="28" t="n">
        <f aca="false">IF(OR(N(AB232)&lt;=0,N(N232)=0,N(L232)=0),"",MIN(L232,N232/AB232))</f>
        <v>16.09375</v>
      </c>
      <c r="AD232" s="29" t="n">
        <f aca="false">IF(OR(AC232="",N(O232)=0),"",AC232/O232-1)</f>
        <v>-0.346048354327509</v>
      </c>
      <c r="AE232" s="29" t="n">
        <f aca="false">IF(OR(AD232="",N(O232)=0),"",AD232+N232/O232)</f>
        <v>-0.29373222267371</v>
      </c>
      <c r="AF232" s="32" t="n">
        <f aca="false">IF(OR(AE232="",N(Z232)=0),"",AE232-Z232)</f>
        <v>0</v>
      </c>
      <c r="AG232" s="28" t="n">
        <f aca="false">IF(AND(N(M232)&gt;0,N(L232)&gt;0),M232*L232,N232)</f>
        <v>1.2875</v>
      </c>
      <c r="AH232" s="28" t="n">
        <f aca="false">IF(OR(N(AB232)&lt;=0,N(AG232)=0,N(L232)=0),"",MIN(L232,AG232/AB232))</f>
        <v>16.09375</v>
      </c>
      <c r="AI232" s="29" t="n">
        <f aca="false">IF(OR(AH232="",N(O232)=0),"",AH232/O232-1)</f>
        <v>-0.346048354327509</v>
      </c>
      <c r="AJ232" s="29" t="n">
        <f aca="false">IF(OR(AI232="",N(O232)=0),"",AI232+AG232/O232)</f>
        <v>-0.29373222267371</v>
      </c>
      <c r="AK232" s="32" t="n">
        <f aca="false">IF(OR(AJ232="",N(AE232)=0),"",AJ232-AE232)</f>
        <v>0</v>
      </c>
      <c r="AL232" s="33" t="n">
        <f aca="false">IF(N(F232)=0,"",INDEX(Inputs!$B$28:$B$32,IFERROR(MATCH(F232,Inputs!$A$28:$A$32,1),0)+1))</f>
        <v>0.075</v>
      </c>
      <c r="AM232" s="34"/>
      <c r="AN232" s="33" t="n">
        <f aca="false">IF(N(AM232)&gt;0,AM232,AL232)</f>
        <v>0.075</v>
      </c>
      <c r="AO232" s="29" t="n">
        <f aca="false">IF(N(AN232)=0,"",AN232+IF(I232="yes",AN232*Inputs!$B$10*Inputs!$B$9,0)+IFERROR(INDEX(Inputs!$B$13:$B$15,MATCH(G232,Inputs!$A$13:$A$15,0)),0)+IFERROR(INDEX(Inputs!$B$18:$B$24,MATCH(H232,Inputs!$A$18:$A$24,0)),0))</f>
        <v>0.075</v>
      </c>
      <c r="AP232" s="28" t="n">
        <f aca="false">IF(OR(N(AO232)&lt;=0,N(AG232)=0,N(L232)=0),"",MIN(L232,AG232/AO232))</f>
        <v>17.1666666666667</v>
      </c>
      <c r="AQ232" s="29" t="n">
        <f aca="false">IF(OR(AP232="",N(O232)=0),"",AP232/O232-1)</f>
        <v>-0.302451577949343</v>
      </c>
      <c r="AR232" s="29" t="n">
        <f aca="false">IF(OR(AQ232="",N(O232)=0),"",AQ232+AG232/O232)</f>
        <v>-0.250135446295544</v>
      </c>
      <c r="AS232" s="32" t="n">
        <f aca="false">IF(OR(AR232="",N(AJ232)=0),"",AR232-AJ232)</f>
        <v>0.0435967763781661</v>
      </c>
      <c r="AT232" s="28" t="n">
        <v>25</v>
      </c>
      <c r="AU232" s="28"/>
      <c r="AV232" s="28" t="n">
        <f aca="false">IF(N(AT232)&gt;0,AT232,L232)</f>
        <v>25</v>
      </c>
      <c r="AW232" s="28" t="n">
        <f aca="false">IF(AND(N(M232)&gt;0,N(AV232)&gt;0),M232*AV232,IF(N(AU232)&gt;0,AU232,N232))</f>
        <v>1.2875</v>
      </c>
      <c r="AX232" s="29" t="n">
        <f aca="false">IF(N(AN232)=0,"",AN232+IF(I232="yes",AN232*Inputs!$B$10*Inputs!$B$9,0)+IFERROR(INDEX(Inputs!$B$13:$B$15,MATCH(G232,Inputs!$A$13:$A$15,0)),0)+IFERROR(INDEX(Inputs!$B$18:$B$24,MATCH(H232,Inputs!$A$18:$A$24,0)),0))</f>
        <v>0.075</v>
      </c>
      <c r="AY232" s="28" t="n">
        <f aca="false">IF(OR(N(AX232)&lt;=0,N(AW232)=0,N(AV232)=0),"",MIN(AV232,AW232/AX232))</f>
        <v>17.1666666666667</v>
      </c>
      <c r="AZ232" s="29" t="n">
        <f aca="false">IF(OR(AY232="",N(O232)=0),"",AY232/O232-1)</f>
        <v>-0.302451577949343</v>
      </c>
      <c r="BA232" s="29" t="n">
        <f aca="false">IF(OR(AZ232="",N(O232)=0),"",AZ232+AW232/O232)</f>
        <v>-0.250135446295544</v>
      </c>
      <c r="BB232" s="32" t="n">
        <f aca="false">IF(OR(BA232="",N(AR232)=0),"",BA232-AR232)</f>
        <v>0</v>
      </c>
      <c r="BC232" s="35" t="n">
        <f aca="false">IF(OR(BA232="",N(U232)=0),"",BA232-U232)</f>
        <v>0.043596776378166</v>
      </c>
      <c r="BD232" s="36" t="s">
        <v>340</v>
      </c>
    </row>
    <row r="233" customFormat="false" ht="15" hidden="false" customHeight="false" outlineLevel="0" collapsed="false">
      <c r="A233" s="2" t="s">
        <v>556</v>
      </c>
      <c r="B233" s="2" t="n">
        <v>11</v>
      </c>
      <c r="C233" s="2" t="s">
        <v>560</v>
      </c>
      <c r="D233" s="2" t="s">
        <v>561</v>
      </c>
      <c r="E233" s="2" t="s">
        <v>562</v>
      </c>
      <c r="F233" s="27" t="n">
        <v>3000</v>
      </c>
      <c r="G233" s="2" t="s">
        <v>51</v>
      </c>
      <c r="H233" s="2" t="s">
        <v>58</v>
      </c>
      <c r="I233" s="2" t="s">
        <v>144</v>
      </c>
      <c r="J233" s="2" t="s">
        <v>145</v>
      </c>
      <c r="K233" s="2" t="n">
        <v>4</v>
      </c>
      <c r="L233" s="28" t="n">
        <v>25</v>
      </c>
      <c r="M233" s="29" t="n">
        <v>0.07125</v>
      </c>
      <c r="N233" s="28" t="n">
        <v>1.78125</v>
      </c>
      <c r="O233" s="28" t="n">
        <v>15.01</v>
      </c>
      <c r="P233" s="2" t="s">
        <v>146</v>
      </c>
      <c r="Q233" s="29" t="n">
        <v>0.085</v>
      </c>
      <c r="R233" s="30" t="n">
        <v>0.085</v>
      </c>
      <c r="S233" s="31" t="n">
        <v>20.9558823529412</v>
      </c>
      <c r="T233" s="30" t="n">
        <v>0.396128071481757</v>
      </c>
      <c r="U233" s="30" t="n">
        <v>0.514798957557707</v>
      </c>
      <c r="V233" s="29" t="n">
        <v>0</v>
      </c>
      <c r="W233" s="29" t="n">
        <f aca="false">IF(N(Q233)=0,"",Q233+IF(I233="yes",Q233*Inputs!$B$10*Inputs!$B$9,0)+V233)</f>
        <v>0.085</v>
      </c>
      <c r="X233" s="28" t="n">
        <f aca="false">IF(OR(N(W233)&lt;=0,N(N233)=0,N(L233)=0),"",MIN(L233,N233/W233))</f>
        <v>20.9558823529412</v>
      </c>
      <c r="Y233" s="29" t="n">
        <f aca="false">IF(OR(X233="",N(O233)=0),"",X233/O233-1)</f>
        <v>0.396128071481757</v>
      </c>
      <c r="Z233" s="29" t="n">
        <f aca="false">IF(OR(Y233="",N(O233)=0),"",Y233+N233/O233)</f>
        <v>0.514798957557707</v>
      </c>
      <c r="AA233" s="32" t="n">
        <f aca="false">IF(OR(Z233="",N(U233)=0),"",Z233-U233)</f>
        <v>0</v>
      </c>
      <c r="AB233" s="29" t="n">
        <f aca="false">IF(N(Q233)=0,"",Q233+IF(I233="yes",Q233*Inputs!$B$10*Inputs!$B$9,0)+IFERROR(INDEX(Inputs!$B$13:$B$15,MATCH(G233,Inputs!$A$13:$A$15,0)),0)+IFERROR(INDEX(Inputs!$B$18:$B$24,MATCH(H233,Inputs!$A$18:$A$24,0)),0))</f>
        <v>0.085</v>
      </c>
      <c r="AC233" s="28" t="n">
        <f aca="false">IF(OR(N(AB233)&lt;=0,N(N233)=0,N(L233)=0),"",MIN(L233,N233/AB233))</f>
        <v>20.9558823529412</v>
      </c>
      <c r="AD233" s="29" t="n">
        <f aca="false">IF(OR(AC233="",N(O233)=0),"",AC233/O233-1)</f>
        <v>0.396128071481757</v>
      </c>
      <c r="AE233" s="29" t="n">
        <f aca="false">IF(OR(AD233="",N(O233)=0),"",AD233+N233/O233)</f>
        <v>0.514798957557707</v>
      </c>
      <c r="AF233" s="32" t="n">
        <f aca="false">IF(OR(AE233="",N(Z233)=0),"",AE233-Z233)</f>
        <v>0</v>
      </c>
      <c r="AG233" s="28" t="n">
        <f aca="false">IF(AND(N(M233)&gt;0,N(L233)&gt;0),M233*L233,N233)</f>
        <v>1.78125</v>
      </c>
      <c r="AH233" s="28" t="n">
        <f aca="false">IF(OR(N(AB233)&lt;=0,N(AG233)=0,N(L233)=0),"",MIN(L233,AG233/AB233))</f>
        <v>20.9558823529412</v>
      </c>
      <c r="AI233" s="29" t="n">
        <f aca="false">IF(OR(AH233="",N(O233)=0),"",AH233/O233-1)</f>
        <v>0.396128071481757</v>
      </c>
      <c r="AJ233" s="29" t="n">
        <f aca="false">IF(OR(AI233="",N(O233)=0),"",AI233+AG233/O233)</f>
        <v>0.514798957557707</v>
      </c>
      <c r="AK233" s="32" t="n">
        <f aca="false">IF(OR(AJ233="",N(AE233)=0),"",AJ233-AE233)</f>
        <v>0</v>
      </c>
      <c r="AL233" s="33" t="n">
        <f aca="false">IF(N(F233)=0,"",INDEX(Inputs!$B$28:$B$32,IFERROR(MATCH(F233,Inputs!$A$28:$A$32,1),0)+1))</f>
        <v>0.085</v>
      </c>
      <c r="AM233" s="34"/>
      <c r="AN233" s="33" t="n">
        <f aca="false">IF(N(AM233)&gt;0,AM233,AL233)</f>
        <v>0.085</v>
      </c>
      <c r="AO233" s="29" t="n">
        <f aca="false">IF(N(AN233)=0,"",AN233+IF(I233="yes",AN233*Inputs!$B$10*Inputs!$B$9,0)+IFERROR(INDEX(Inputs!$B$13:$B$15,MATCH(G233,Inputs!$A$13:$A$15,0)),0)+IFERROR(INDEX(Inputs!$B$18:$B$24,MATCH(H233,Inputs!$A$18:$A$24,0)),0))</f>
        <v>0.085</v>
      </c>
      <c r="AP233" s="28" t="n">
        <f aca="false">IF(OR(N(AO233)&lt;=0,N(AG233)=0,N(L233)=0),"",MIN(L233,AG233/AO233))</f>
        <v>20.9558823529412</v>
      </c>
      <c r="AQ233" s="29" t="n">
        <f aca="false">IF(OR(AP233="",N(O233)=0),"",AP233/O233-1)</f>
        <v>0.396128071481757</v>
      </c>
      <c r="AR233" s="29" t="n">
        <f aca="false">IF(OR(AQ233="",N(O233)=0),"",AQ233+AG233/O233)</f>
        <v>0.514798957557707</v>
      </c>
      <c r="AS233" s="32" t="n">
        <f aca="false">IF(OR(AR233="",N(AJ233)=0),"",AR233-AJ233)</f>
        <v>0</v>
      </c>
      <c r="AT233" s="28" t="n">
        <v>25</v>
      </c>
      <c r="AU233" s="28" t="n">
        <v>1.78</v>
      </c>
      <c r="AV233" s="28" t="n">
        <f aca="false">IF(N(AT233)&gt;0,AT233,L233)</f>
        <v>25</v>
      </c>
      <c r="AW233" s="28" t="n">
        <f aca="false">IF(AND(N(M233)&gt;0,N(AV233)&gt;0),M233*AV233,IF(N(AU233)&gt;0,AU233,N233))</f>
        <v>1.78125</v>
      </c>
      <c r="AX233" s="29" t="n">
        <f aca="false">IF(N(AN233)=0,"",AN233+IF(I233="yes",AN233*Inputs!$B$10*Inputs!$B$9,0)+IFERROR(INDEX(Inputs!$B$13:$B$15,MATCH(G233,Inputs!$A$13:$A$15,0)),0)+IFERROR(INDEX(Inputs!$B$18:$B$24,MATCH(H233,Inputs!$A$18:$A$24,0)),0))</f>
        <v>0.085</v>
      </c>
      <c r="AY233" s="28" t="n">
        <f aca="false">IF(OR(N(AX233)&lt;=0,N(AW233)=0,N(AV233)=0),"",MIN(AV233,AW233/AX233))</f>
        <v>20.9558823529412</v>
      </c>
      <c r="AZ233" s="29" t="n">
        <f aca="false">IF(OR(AY233="",N(O233)=0),"",AY233/O233-1)</f>
        <v>0.396128071481757</v>
      </c>
      <c r="BA233" s="29" t="n">
        <f aca="false">IF(OR(AZ233="",N(O233)=0),"",AZ233+AW233/O233)</f>
        <v>0.514798957557707</v>
      </c>
      <c r="BB233" s="32" t="n">
        <f aca="false">IF(OR(BA233="",N(AR233)=0),"",BA233-AR233)</f>
        <v>0</v>
      </c>
      <c r="BC233" s="35" t="n">
        <f aca="false">IF(OR(BA233="",N(U233)=0),"",BA233-U233)</f>
        <v>0</v>
      </c>
      <c r="BD233" s="37"/>
    </row>
    <row r="234" customFormat="false" ht="15" hidden="false" customHeight="false" outlineLevel="0" collapsed="false">
      <c r="A234" s="2" t="s">
        <v>556</v>
      </c>
      <c r="B234" s="2" t="n">
        <v>12</v>
      </c>
      <c r="C234" s="2" t="s">
        <v>563</v>
      </c>
      <c r="D234" s="2" t="s">
        <v>561</v>
      </c>
      <c r="E234" s="2" t="s">
        <v>562</v>
      </c>
      <c r="F234" s="27" t="n">
        <v>3000</v>
      </c>
      <c r="G234" s="2" t="s">
        <v>51</v>
      </c>
      <c r="H234" s="2" t="s">
        <v>58</v>
      </c>
      <c r="I234" s="2" t="s">
        <v>144</v>
      </c>
      <c r="J234" s="2" t="s">
        <v>145</v>
      </c>
      <c r="K234" s="2" t="n">
        <v>4</v>
      </c>
      <c r="L234" s="28" t="n">
        <v>25</v>
      </c>
      <c r="M234" s="29" t="n">
        <v>0.0715</v>
      </c>
      <c r="N234" s="28" t="n">
        <v>1.7875</v>
      </c>
      <c r="O234" s="28" t="n">
        <v>14.94</v>
      </c>
      <c r="P234" s="2" t="s">
        <v>146</v>
      </c>
      <c r="Q234" s="29" t="n">
        <v>0.085</v>
      </c>
      <c r="R234" s="30" t="n">
        <v>0.085</v>
      </c>
      <c r="S234" s="31" t="n">
        <v>21.0294117647059</v>
      </c>
      <c r="T234" s="30" t="n">
        <v>0.407591148909363</v>
      </c>
      <c r="U234" s="30" t="n">
        <v>0.527236396566659</v>
      </c>
      <c r="V234" s="29" t="n">
        <v>0</v>
      </c>
      <c r="W234" s="29" t="n">
        <f aca="false">IF(N(Q234)=0,"",Q234+IF(I234="yes",Q234*Inputs!$B$10*Inputs!$B$9,0)+V234)</f>
        <v>0.085</v>
      </c>
      <c r="X234" s="28" t="n">
        <f aca="false">IF(OR(N(W234)&lt;=0,N(N234)=0,N(L234)=0),"",MIN(L234,N234/W234))</f>
        <v>21.0294117647059</v>
      </c>
      <c r="Y234" s="29" t="n">
        <f aca="false">IF(OR(X234="",N(O234)=0),"",X234/O234-1)</f>
        <v>0.407591148909363</v>
      </c>
      <c r="Z234" s="29" t="n">
        <f aca="false">IF(OR(Y234="",N(O234)=0),"",Y234+N234/O234)</f>
        <v>0.527236396566659</v>
      </c>
      <c r="AA234" s="32" t="n">
        <f aca="false">IF(OR(Z234="",N(U234)=0),"",Z234-U234)</f>
        <v>0</v>
      </c>
      <c r="AB234" s="29" t="n">
        <f aca="false">IF(N(Q234)=0,"",Q234+IF(I234="yes",Q234*Inputs!$B$10*Inputs!$B$9,0)+IFERROR(INDEX(Inputs!$B$13:$B$15,MATCH(G234,Inputs!$A$13:$A$15,0)),0)+IFERROR(INDEX(Inputs!$B$18:$B$24,MATCH(H234,Inputs!$A$18:$A$24,0)),0))</f>
        <v>0.085</v>
      </c>
      <c r="AC234" s="28" t="n">
        <f aca="false">IF(OR(N(AB234)&lt;=0,N(N234)=0,N(L234)=0),"",MIN(L234,N234/AB234))</f>
        <v>21.0294117647059</v>
      </c>
      <c r="AD234" s="29" t="n">
        <f aca="false">IF(OR(AC234="",N(O234)=0),"",AC234/O234-1)</f>
        <v>0.407591148909363</v>
      </c>
      <c r="AE234" s="29" t="n">
        <f aca="false">IF(OR(AD234="",N(O234)=0),"",AD234+N234/O234)</f>
        <v>0.527236396566659</v>
      </c>
      <c r="AF234" s="32" t="n">
        <f aca="false">IF(OR(AE234="",N(Z234)=0),"",AE234-Z234)</f>
        <v>0</v>
      </c>
      <c r="AG234" s="28" t="n">
        <f aca="false">IF(AND(N(M234)&gt;0,N(L234)&gt;0),M234*L234,N234)</f>
        <v>1.7875</v>
      </c>
      <c r="AH234" s="28" t="n">
        <f aca="false">IF(OR(N(AB234)&lt;=0,N(AG234)=0,N(L234)=0),"",MIN(L234,AG234/AB234))</f>
        <v>21.0294117647059</v>
      </c>
      <c r="AI234" s="29" t="n">
        <f aca="false">IF(OR(AH234="",N(O234)=0),"",AH234/O234-1)</f>
        <v>0.407591148909363</v>
      </c>
      <c r="AJ234" s="29" t="n">
        <f aca="false">IF(OR(AI234="",N(O234)=0),"",AI234+AG234/O234)</f>
        <v>0.527236396566659</v>
      </c>
      <c r="AK234" s="32" t="n">
        <f aca="false">IF(OR(AJ234="",N(AE234)=0),"",AJ234-AE234)</f>
        <v>0</v>
      </c>
      <c r="AL234" s="33" t="n">
        <f aca="false">IF(N(F234)=0,"",INDEX(Inputs!$B$28:$B$32,IFERROR(MATCH(F234,Inputs!$A$28:$A$32,1),0)+1))</f>
        <v>0.085</v>
      </c>
      <c r="AM234" s="34"/>
      <c r="AN234" s="33" t="n">
        <f aca="false">IF(N(AM234)&gt;0,AM234,AL234)</f>
        <v>0.085</v>
      </c>
      <c r="AO234" s="29" t="n">
        <f aca="false">IF(N(AN234)=0,"",AN234+IF(I234="yes",AN234*Inputs!$B$10*Inputs!$B$9,0)+IFERROR(INDEX(Inputs!$B$13:$B$15,MATCH(G234,Inputs!$A$13:$A$15,0)),0)+IFERROR(INDEX(Inputs!$B$18:$B$24,MATCH(H234,Inputs!$A$18:$A$24,0)),0))</f>
        <v>0.085</v>
      </c>
      <c r="AP234" s="28" t="n">
        <f aca="false">IF(OR(N(AO234)&lt;=0,N(AG234)=0,N(L234)=0),"",MIN(L234,AG234/AO234))</f>
        <v>21.0294117647059</v>
      </c>
      <c r="AQ234" s="29" t="n">
        <f aca="false">IF(OR(AP234="",N(O234)=0),"",AP234/O234-1)</f>
        <v>0.407591148909363</v>
      </c>
      <c r="AR234" s="29" t="n">
        <f aca="false">IF(OR(AQ234="",N(O234)=0),"",AQ234+AG234/O234)</f>
        <v>0.527236396566659</v>
      </c>
      <c r="AS234" s="32" t="n">
        <f aca="false">IF(OR(AR234="",N(AJ234)=0),"",AR234-AJ234)</f>
        <v>0</v>
      </c>
      <c r="AT234" s="28" t="n">
        <v>25</v>
      </c>
      <c r="AU234" s="28" t="n">
        <v>1.79</v>
      </c>
      <c r="AV234" s="28" t="n">
        <f aca="false">IF(N(AT234)&gt;0,AT234,L234)</f>
        <v>25</v>
      </c>
      <c r="AW234" s="28" t="n">
        <f aca="false">IF(AND(N(M234)&gt;0,N(AV234)&gt;0),M234*AV234,IF(N(AU234)&gt;0,AU234,N234))</f>
        <v>1.7875</v>
      </c>
      <c r="AX234" s="29" t="n">
        <f aca="false">IF(N(AN234)=0,"",AN234+IF(I234="yes",AN234*Inputs!$B$10*Inputs!$B$9,0)+IFERROR(INDEX(Inputs!$B$13:$B$15,MATCH(G234,Inputs!$A$13:$A$15,0)),0)+IFERROR(INDEX(Inputs!$B$18:$B$24,MATCH(H234,Inputs!$A$18:$A$24,0)),0))</f>
        <v>0.085</v>
      </c>
      <c r="AY234" s="28" t="n">
        <f aca="false">IF(OR(N(AX234)&lt;=0,N(AW234)=0,N(AV234)=0),"",MIN(AV234,AW234/AX234))</f>
        <v>21.0294117647059</v>
      </c>
      <c r="AZ234" s="29" t="n">
        <f aca="false">IF(OR(AY234="",N(O234)=0),"",AY234/O234-1)</f>
        <v>0.407591148909363</v>
      </c>
      <c r="BA234" s="29" t="n">
        <f aca="false">IF(OR(AZ234="",N(O234)=0),"",AZ234+AW234/O234)</f>
        <v>0.527236396566659</v>
      </c>
      <c r="BB234" s="32" t="n">
        <f aca="false">IF(OR(BA234="",N(AR234)=0),"",BA234-AR234)</f>
        <v>0</v>
      </c>
      <c r="BC234" s="35" t="n">
        <f aca="false">IF(OR(BA234="",N(U234)=0),"",BA234-U234)</f>
        <v>0</v>
      </c>
      <c r="BD234" s="37"/>
    </row>
    <row r="235" customFormat="false" ht="15" hidden="false" customHeight="false" outlineLevel="0" collapsed="false">
      <c r="A235" s="2" t="s">
        <v>556</v>
      </c>
      <c r="B235" s="2" t="n">
        <v>13</v>
      </c>
      <c r="C235" s="2" t="s">
        <v>564</v>
      </c>
      <c r="D235" s="2" t="s">
        <v>561</v>
      </c>
      <c r="E235" s="2" t="s">
        <v>562</v>
      </c>
      <c r="F235" s="27" t="n">
        <v>3000</v>
      </c>
      <c r="G235" s="2" t="s">
        <v>51</v>
      </c>
      <c r="H235" s="2" t="s">
        <v>58</v>
      </c>
      <c r="I235" s="2" t="s">
        <v>144</v>
      </c>
      <c r="J235" s="2" t="s">
        <v>145</v>
      </c>
      <c r="K235" s="2" t="n">
        <v>4</v>
      </c>
      <c r="L235" s="28" t="n">
        <v>25</v>
      </c>
      <c r="M235" s="29" t="n">
        <v>0.07125</v>
      </c>
      <c r="N235" s="28" t="n">
        <v>1.78125</v>
      </c>
      <c r="O235" s="28" t="n">
        <v>15.35</v>
      </c>
      <c r="P235" s="2" t="s">
        <v>146</v>
      </c>
      <c r="Q235" s="29" t="n">
        <v>0.085</v>
      </c>
      <c r="R235" s="30" t="n">
        <v>0.085</v>
      </c>
      <c r="S235" s="31" t="n">
        <v>20.9558823529412</v>
      </c>
      <c r="T235" s="30" t="n">
        <v>0.365204062080858</v>
      </c>
      <c r="U235" s="30" t="n">
        <v>0.481246407357731</v>
      </c>
      <c r="V235" s="29" t="n">
        <v>0</v>
      </c>
      <c r="W235" s="29" t="n">
        <f aca="false">IF(N(Q235)=0,"",Q235+IF(I235="yes",Q235*Inputs!$B$10*Inputs!$B$9,0)+V235)</f>
        <v>0.085</v>
      </c>
      <c r="X235" s="28" t="n">
        <f aca="false">IF(OR(N(W235)&lt;=0,N(N235)=0,N(L235)=0),"",MIN(L235,N235/W235))</f>
        <v>20.9558823529412</v>
      </c>
      <c r="Y235" s="29" t="n">
        <f aca="false">IF(OR(X235="",N(O235)=0),"",X235/O235-1)</f>
        <v>0.365204062080858</v>
      </c>
      <c r="Z235" s="29" t="n">
        <f aca="false">IF(OR(Y235="",N(O235)=0),"",Y235+N235/O235)</f>
        <v>0.481246407357731</v>
      </c>
      <c r="AA235" s="32" t="n">
        <f aca="false">IF(OR(Z235="",N(U235)=0),"",Z235-U235)</f>
        <v>0</v>
      </c>
      <c r="AB235" s="29" t="n">
        <f aca="false">IF(N(Q235)=0,"",Q235+IF(I235="yes",Q235*Inputs!$B$10*Inputs!$B$9,0)+IFERROR(INDEX(Inputs!$B$13:$B$15,MATCH(G235,Inputs!$A$13:$A$15,0)),0)+IFERROR(INDEX(Inputs!$B$18:$B$24,MATCH(H235,Inputs!$A$18:$A$24,0)),0))</f>
        <v>0.085</v>
      </c>
      <c r="AC235" s="28" t="n">
        <f aca="false">IF(OR(N(AB235)&lt;=0,N(N235)=0,N(L235)=0),"",MIN(L235,N235/AB235))</f>
        <v>20.9558823529412</v>
      </c>
      <c r="AD235" s="29" t="n">
        <f aca="false">IF(OR(AC235="",N(O235)=0),"",AC235/O235-1)</f>
        <v>0.365204062080858</v>
      </c>
      <c r="AE235" s="29" t="n">
        <f aca="false">IF(OR(AD235="",N(O235)=0),"",AD235+N235/O235)</f>
        <v>0.481246407357731</v>
      </c>
      <c r="AF235" s="32" t="n">
        <f aca="false">IF(OR(AE235="",N(Z235)=0),"",AE235-Z235)</f>
        <v>0</v>
      </c>
      <c r="AG235" s="28" t="n">
        <f aca="false">IF(AND(N(M235)&gt;0,N(L235)&gt;0),M235*L235,N235)</f>
        <v>1.78125</v>
      </c>
      <c r="AH235" s="28" t="n">
        <f aca="false">IF(OR(N(AB235)&lt;=0,N(AG235)=0,N(L235)=0),"",MIN(L235,AG235/AB235))</f>
        <v>20.9558823529412</v>
      </c>
      <c r="AI235" s="29" t="n">
        <f aca="false">IF(OR(AH235="",N(O235)=0),"",AH235/O235-1)</f>
        <v>0.365204062080858</v>
      </c>
      <c r="AJ235" s="29" t="n">
        <f aca="false">IF(OR(AI235="",N(O235)=0),"",AI235+AG235/O235)</f>
        <v>0.481246407357731</v>
      </c>
      <c r="AK235" s="32" t="n">
        <f aca="false">IF(OR(AJ235="",N(AE235)=0),"",AJ235-AE235)</f>
        <v>0</v>
      </c>
      <c r="AL235" s="33" t="n">
        <f aca="false">IF(N(F235)=0,"",INDEX(Inputs!$B$28:$B$32,IFERROR(MATCH(F235,Inputs!$A$28:$A$32,1),0)+1))</f>
        <v>0.085</v>
      </c>
      <c r="AM235" s="34"/>
      <c r="AN235" s="33" t="n">
        <f aca="false">IF(N(AM235)&gt;0,AM235,AL235)</f>
        <v>0.085</v>
      </c>
      <c r="AO235" s="29" t="n">
        <f aca="false">IF(N(AN235)=0,"",AN235+IF(I235="yes",AN235*Inputs!$B$10*Inputs!$B$9,0)+IFERROR(INDEX(Inputs!$B$13:$B$15,MATCH(G235,Inputs!$A$13:$A$15,0)),0)+IFERROR(INDEX(Inputs!$B$18:$B$24,MATCH(H235,Inputs!$A$18:$A$24,0)),0))</f>
        <v>0.085</v>
      </c>
      <c r="AP235" s="28" t="n">
        <f aca="false">IF(OR(N(AO235)&lt;=0,N(AG235)=0,N(L235)=0),"",MIN(L235,AG235/AO235))</f>
        <v>20.9558823529412</v>
      </c>
      <c r="AQ235" s="29" t="n">
        <f aca="false">IF(OR(AP235="",N(O235)=0),"",AP235/O235-1)</f>
        <v>0.365204062080858</v>
      </c>
      <c r="AR235" s="29" t="n">
        <f aca="false">IF(OR(AQ235="",N(O235)=0),"",AQ235+AG235/O235)</f>
        <v>0.481246407357731</v>
      </c>
      <c r="AS235" s="32" t="n">
        <f aca="false">IF(OR(AR235="",N(AJ235)=0),"",AR235-AJ235)</f>
        <v>0</v>
      </c>
      <c r="AT235" s="28" t="n">
        <v>25</v>
      </c>
      <c r="AU235" s="28" t="n">
        <v>1.78</v>
      </c>
      <c r="AV235" s="28" t="n">
        <f aca="false">IF(N(AT235)&gt;0,AT235,L235)</f>
        <v>25</v>
      </c>
      <c r="AW235" s="28" t="n">
        <f aca="false">IF(AND(N(M235)&gt;0,N(AV235)&gt;0),M235*AV235,IF(N(AU235)&gt;0,AU235,N235))</f>
        <v>1.78125</v>
      </c>
      <c r="AX235" s="29" t="n">
        <f aca="false">IF(N(AN235)=0,"",AN235+IF(I235="yes",AN235*Inputs!$B$10*Inputs!$B$9,0)+IFERROR(INDEX(Inputs!$B$13:$B$15,MATCH(G235,Inputs!$A$13:$A$15,0)),0)+IFERROR(INDEX(Inputs!$B$18:$B$24,MATCH(H235,Inputs!$A$18:$A$24,0)),0))</f>
        <v>0.085</v>
      </c>
      <c r="AY235" s="28" t="n">
        <f aca="false">IF(OR(N(AX235)&lt;=0,N(AW235)=0,N(AV235)=0),"",MIN(AV235,AW235/AX235))</f>
        <v>20.9558823529412</v>
      </c>
      <c r="AZ235" s="29" t="n">
        <f aca="false">IF(OR(AY235="",N(O235)=0),"",AY235/O235-1)</f>
        <v>0.365204062080858</v>
      </c>
      <c r="BA235" s="29" t="n">
        <f aca="false">IF(OR(AZ235="",N(O235)=0),"",AZ235+AW235/O235)</f>
        <v>0.481246407357731</v>
      </c>
      <c r="BB235" s="32" t="n">
        <f aca="false">IF(OR(BA235="",N(AR235)=0),"",BA235-AR235)</f>
        <v>0</v>
      </c>
      <c r="BC235" s="35" t="n">
        <f aca="false">IF(OR(BA235="",N(U235)=0),"",BA235-U235)</f>
        <v>0</v>
      </c>
      <c r="BD235" s="37"/>
    </row>
    <row r="236" customFormat="false" ht="15" hidden="false" customHeight="false" outlineLevel="0" collapsed="false">
      <c r="A236" s="2" t="s">
        <v>556</v>
      </c>
      <c r="B236" s="2" t="n">
        <v>16</v>
      </c>
      <c r="C236" s="2" t="s">
        <v>565</v>
      </c>
      <c r="D236" s="2" t="s">
        <v>566</v>
      </c>
      <c r="E236" s="2" t="s">
        <v>567</v>
      </c>
      <c r="F236" s="27" t="n">
        <v>1800</v>
      </c>
      <c r="G236" s="2" t="s">
        <v>51</v>
      </c>
      <c r="H236" s="2" t="s">
        <v>58</v>
      </c>
      <c r="I236" s="2" t="s">
        <v>151</v>
      </c>
      <c r="J236" s="2" t="s">
        <v>145</v>
      </c>
      <c r="K236" s="2" t="n">
        <v>4</v>
      </c>
      <c r="L236" s="28" t="n">
        <v>25</v>
      </c>
      <c r="M236" s="29" t="n">
        <v>0.055</v>
      </c>
      <c r="N236" s="28" t="n">
        <v>1.375</v>
      </c>
      <c r="O236" s="28" t="n">
        <v>0</v>
      </c>
      <c r="P236" s="2" t="s">
        <v>146</v>
      </c>
      <c r="Q236" s="29" t="n">
        <v>0.08</v>
      </c>
      <c r="R236" s="30" t="n">
        <v>0.076</v>
      </c>
      <c r="S236" s="31" t="n">
        <v>18.0921052631579</v>
      </c>
      <c r="T236" s="30"/>
      <c r="U236" s="30"/>
      <c r="V236" s="29" t="n">
        <v>0</v>
      </c>
      <c r="W236" s="29" t="n">
        <f aca="false">IF(N(Q236)=0,"",Q236+IF(I236="yes",Q236*Inputs!$B$10*Inputs!$B$9,0)+V236)</f>
        <v>0.076</v>
      </c>
      <c r="X236" s="28" t="n">
        <f aca="false">IF(OR(N(W236)&lt;=0,N(N236)=0,N(L236)=0),"",MIN(L236,N236/W236))</f>
        <v>18.0921052631579</v>
      </c>
      <c r="Y236" s="29" t="str">
        <f aca="false">IF(OR(X236="",N(O236)=0),"",X236/O236-1)</f>
        <v/>
      </c>
      <c r="Z236" s="29" t="str">
        <f aca="false">IF(OR(Y236="",N(O236)=0),"",Y236+N236/O236)</f>
        <v/>
      </c>
      <c r="AA236" s="32" t="str">
        <f aca="false">IF(OR(Z236="",N(U236)=0),"",Z236-U236)</f>
        <v/>
      </c>
      <c r="AB236" s="29" t="n">
        <f aca="false">IF(N(Q236)=0,"",Q236+IF(I236="yes",Q236*Inputs!$B$10*Inputs!$B$9,0)+IFERROR(INDEX(Inputs!$B$13:$B$15,MATCH(G236,Inputs!$A$13:$A$15,0)),0)+IFERROR(INDEX(Inputs!$B$18:$B$24,MATCH(H236,Inputs!$A$18:$A$24,0)),0))</f>
        <v>0.076</v>
      </c>
      <c r="AC236" s="28" t="n">
        <f aca="false">IF(OR(N(AB236)&lt;=0,N(N236)=0,N(L236)=0),"",MIN(L236,N236/AB236))</f>
        <v>18.0921052631579</v>
      </c>
      <c r="AD236" s="29" t="str">
        <f aca="false">IF(OR(AC236="",N(O236)=0),"",AC236/O236-1)</f>
        <v/>
      </c>
      <c r="AE236" s="29" t="str">
        <f aca="false">IF(OR(AD236="",N(O236)=0),"",AD236+N236/O236)</f>
        <v/>
      </c>
      <c r="AF236" s="32" t="str">
        <f aca="false">IF(OR(AE236="",N(Z236)=0),"",AE236-Z236)</f>
        <v/>
      </c>
      <c r="AG236" s="28" t="n">
        <f aca="false">IF(AND(N(M236)&gt;0,N(L236)&gt;0),M236*L236,N236)</f>
        <v>1.375</v>
      </c>
      <c r="AH236" s="28" t="n">
        <f aca="false">IF(OR(N(AB236)&lt;=0,N(AG236)=0,N(L236)=0),"",MIN(L236,AG236/AB236))</f>
        <v>18.0921052631579</v>
      </c>
      <c r="AI236" s="29" t="str">
        <f aca="false">IF(OR(AH236="",N(O236)=0),"",AH236/O236-1)</f>
        <v/>
      </c>
      <c r="AJ236" s="29" t="str">
        <f aca="false">IF(OR(AI236="",N(O236)=0),"",AI236+AG236/O236)</f>
        <v/>
      </c>
      <c r="AK236" s="32" t="str">
        <f aca="false">IF(OR(AJ236="",N(AE236)=0),"",AJ236-AE236)</f>
        <v/>
      </c>
      <c r="AL236" s="33" t="n">
        <f aca="false">IF(N(F236)=0,"",INDEX(Inputs!$B$28:$B$32,IFERROR(MATCH(F236,Inputs!$A$28:$A$32,1),0)+1))</f>
        <v>0.085</v>
      </c>
      <c r="AM236" s="34"/>
      <c r="AN236" s="33" t="n">
        <f aca="false">IF(N(AM236)&gt;0,AM236,AL236)</f>
        <v>0.085</v>
      </c>
      <c r="AO236" s="29" t="n">
        <f aca="false">IF(N(AN236)=0,"",AN236+IF(I236="yes",AN236*Inputs!$B$10*Inputs!$B$9,0)+IFERROR(INDEX(Inputs!$B$13:$B$15,MATCH(G236,Inputs!$A$13:$A$15,0)),0)+IFERROR(INDEX(Inputs!$B$18:$B$24,MATCH(H236,Inputs!$A$18:$A$24,0)),0))</f>
        <v>0.08075</v>
      </c>
      <c r="AP236" s="28" t="n">
        <f aca="false">IF(OR(N(AO236)&lt;=0,N(AG236)=0,N(L236)=0),"",MIN(L236,AG236/AO236))</f>
        <v>17.0278637770898</v>
      </c>
      <c r="AQ236" s="29" t="str">
        <f aca="false">IF(OR(AP236="",N(O236)=0),"",AP236/O236-1)</f>
        <v/>
      </c>
      <c r="AR236" s="29" t="str">
        <f aca="false">IF(OR(AQ236="",N(O236)=0),"",AQ236+AG236/O236)</f>
        <v/>
      </c>
      <c r="AS236" s="32" t="str">
        <f aca="false">IF(OR(AR236="",N(AJ236)=0),"",AR236-AJ236)</f>
        <v/>
      </c>
      <c r="AT236" s="28" t="n">
        <v>25</v>
      </c>
      <c r="AU236" s="28" t="n">
        <v>1.375</v>
      </c>
      <c r="AV236" s="28" t="n">
        <f aca="false">IF(N(AT236)&gt;0,AT236,L236)</f>
        <v>25</v>
      </c>
      <c r="AW236" s="28" t="n">
        <f aca="false">IF(AND(N(M236)&gt;0,N(AV236)&gt;0),M236*AV236,IF(N(AU236)&gt;0,AU236,N236))</f>
        <v>1.375</v>
      </c>
      <c r="AX236" s="29" t="n">
        <f aca="false">IF(N(AN236)=0,"",AN236+IF(I236="yes",AN236*Inputs!$B$10*Inputs!$B$9,0)+IFERROR(INDEX(Inputs!$B$13:$B$15,MATCH(G236,Inputs!$A$13:$A$15,0)),0)+IFERROR(INDEX(Inputs!$B$18:$B$24,MATCH(H236,Inputs!$A$18:$A$24,0)),0))</f>
        <v>0.08075</v>
      </c>
      <c r="AY236" s="28" t="n">
        <f aca="false">IF(OR(N(AX236)&lt;=0,N(AW236)=0,N(AV236)=0),"",MIN(AV236,AW236/AX236))</f>
        <v>17.0278637770898</v>
      </c>
      <c r="AZ236" s="29" t="str">
        <f aca="false">IF(OR(AY236="",N(O236)=0),"",AY236/O236-1)</f>
        <v/>
      </c>
      <c r="BA236" s="29" t="str">
        <f aca="false">IF(OR(AZ236="",N(O236)=0),"",AZ236+AW236/O236)</f>
        <v/>
      </c>
      <c r="BB236" s="32" t="str">
        <f aca="false">IF(OR(BA236="",N(AR236)=0),"",BA236-AR236)</f>
        <v/>
      </c>
      <c r="BC236" s="35" t="str">
        <f aca="false">IF(OR(BA236="",N(U236)=0),"",BA236-U236)</f>
        <v/>
      </c>
      <c r="BD236" s="36" t="s">
        <v>299</v>
      </c>
    </row>
    <row r="237" customFormat="false" ht="15" hidden="false" customHeight="false" outlineLevel="0" collapsed="false">
      <c r="A237" s="2" t="s">
        <v>556</v>
      </c>
      <c r="B237" s="2" t="n">
        <v>20</v>
      </c>
      <c r="C237" s="2" t="s">
        <v>568</v>
      </c>
      <c r="D237" s="2" t="s">
        <v>569</v>
      </c>
      <c r="E237" s="2" t="s">
        <v>143</v>
      </c>
      <c r="F237" s="27"/>
      <c r="G237" s="2" t="s">
        <v>51</v>
      </c>
      <c r="H237" s="2" t="s">
        <v>59</v>
      </c>
      <c r="I237" s="2" t="s">
        <v>144</v>
      </c>
      <c r="J237" s="2" t="s">
        <v>145</v>
      </c>
      <c r="K237" s="2" t="n">
        <v>4</v>
      </c>
      <c r="L237" s="28" t="n">
        <v>25</v>
      </c>
      <c r="M237" s="29" t="n">
        <v>0.0795</v>
      </c>
      <c r="N237" s="28" t="n">
        <v>1.9875</v>
      </c>
      <c r="O237" s="28" t="n">
        <v>0</v>
      </c>
      <c r="P237" s="2" t="s">
        <v>146</v>
      </c>
      <c r="Q237" s="29" t="n">
        <v>0</v>
      </c>
      <c r="R237" s="30" t="n">
        <v>0</v>
      </c>
      <c r="S237" s="31"/>
      <c r="T237" s="30"/>
      <c r="U237" s="30"/>
      <c r="V237" s="29" t="n">
        <v>0</v>
      </c>
      <c r="W237" s="29" t="str">
        <f aca="false">IF(N(Q237)=0,"",Q237+IF(I237="yes",Q237*Inputs!$B$10*Inputs!$B$9,0)+V237)</f>
        <v/>
      </c>
      <c r="X237" s="28" t="str">
        <f aca="false">IF(OR(N(W237)&lt;=0,N(N237)=0,N(L237)=0),"",MIN(L237,N237/W237))</f>
        <v/>
      </c>
      <c r="Y237" s="29" t="str">
        <f aca="false">IF(OR(X237="",N(O237)=0),"",X237/O237-1)</f>
        <v/>
      </c>
      <c r="Z237" s="29" t="str">
        <f aca="false">IF(OR(Y237="",N(O237)=0),"",Y237+N237/O237)</f>
        <v/>
      </c>
      <c r="AA237" s="32" t="str">
        <f aca="false">IF(OR(Z237="",N(U237)=0),"",Z237-U237)</f>
        <v/>
      </c>
      <c r="AB237" s="29" t="str">
        <f aca="false">IF(N(Q237)=0,"",Q237+IF(I237="yes",Q237*Inputs!$B$10*Inputs!$B$9,0)+IFERROR(INDEX(Inputs!$B$13:$B$15,MATCH(G237,Inputs!$A$13:$A$15,0)),0)+IFERROR(INDEX(Inputs!$B$18:$B$24,MATCH(H237,Inputs!$A$18:$A$24,0)),0))</f>
        <v/>
      </c>
      <c r="AC237" s="28" t="str">
        <f aca="false">IF(OR(N(AB237)&lt;=0,N(N237)=0,N(L237)=0),"",MIN(L237,N237/AB237))</f>
        <v/>
      </c>
      <c r="AD237" s="29" t="str">
        <f aca="false">IF(OR(AC237="",N(O237)=0),"",AC237/O237-1)</f>
        <v/>
      </c>
      <c r="AE237" s="29" t="str">
        <f aca="false">IF(OR(AD237="",N(O237)=0),"",AD237+N237/O237)</f>
        <v/>
      </c>
      <c r="AF237" s="32" t="str">
        <f aca="false">IF(OR(AE237="",N(Z237)=0),"",AE237-Z237)</f>
        <v/>
      </c>
      <c r="AG237" s="28" t="n">
        <f aca="false">IF(AND(N(M237)&gt;0,N(L237)&gt;0),M237*L237,N237)</f>
        <v>1.9875</v>
      </c>
      <c r="AH237" s="28" t="str">
        <f aca="false">IF(OR(N(AB237)&lt;=0,N(AG237)=0,N(L237)=0),"",MIN(L237,AG237/AB237))</f>
        <v/>
      </c>
      <c r="AI237" s="29" t="str">
        <f aca="false">IF(OR(AH237="",N(O237)=0),"",AH237/O237-1)</f>
        <v/>
      </c>
      <c r="AJ237" s="29" t="str">
        <f aca="false">IF(OR(AI237="",N(O237)=0),"",AI237+AG237/O237)</f>
        <v/>
      </c>
      <c r="AK237" s="32" t="str">
        <f aca="false">IF(OR(AJ237="",N(AE237)=0),"",AJ237-AE237)</f>
        <v/>
      </c>
      <c r="AL237" s="33" t="str">
        <f aca="false">IF(N(F237)=0,"",INDEX(Inputs!$B$28:$B$32,IFERROR(MATCH(F237,Inputs!$A$28:$A$32,1),0)+1))</f>
        <v/>
      </c>
      <c r="AM237" s="34"/>
      <c r="AN237" s="33" t="str">
        <f aca="false">IF(N(AM237)&gt;0,AM237,AL237)</f>
        <v/>
      </c>
      <c r="AO237" s="29" t="str">
        <f aca="false">IF(N(AN237)=0,"",AN237+IF(I237="yes",AN237*Inputs!$B$10*Inputs!$B$9,0)+IFERROR(INDEX(Inputs!$B$13:$B$15,MATCH(G237,Inputs!$A$13:$A$15,0)),0)+IFERROR(INDEX(Inputs!$B$18:$B$24,MATCH(H237,Inputs!$A$18:$A$24,0)),0))</f>
        <v/>
      </c>
      <c r="AP237" s="28" t="str">
        <f aca="false">IF(OR(N(AO237)&lt;=0,N(AG237)=0,N(L237)=0),"",MIN(L237,AG237/AO237))</f>
        <v/>
      </c>
      <c r="AQ237" s="29" t="str">
        <f aca="false">IF(OR(AP237="",N(O237)=0),"",AP237/O237-1)</f>
        <v/>
      </c>
      <c r="AR237" s="29" t="str">
        <f aca="false">IF(OR(AQ237="",N(O237)=0),"",AQ237+AG237/O237)</f>
        <v/>
      </c>
      <c r="AS237" s="32" t="str">
        <f aca="false">IF(OR(AR237="",N(AJ237)=0),"",AR237-AJ237)</f>
        <v/>
      </c>
      <c r="AT237" s="28"/>
      <c r="AU237" s="28"/>
      <c r="AV237" s="28" t="n">
        <f aca="false">IF(N(AT237)&gt;0,AT237,L237)</f>
        <v>25</v>
      </c>
      <c r="AW237" s="28" t="n">
        <f aca="false">IF(AND(N(M237)&gt;0,N(AV237)&gt;0),M237*AV237,IF(N(AU237)&gt;0,AU237,N237))</f>
        <v>1.9875</v>
      </c>
      <c r="AX237" s="29" t="str">
        <f aca="false">IF(N(AN237)=0,"",AN237+IF(I237="yes",AN237*Inputs!$B$10*Inputs!$B$9,0)+IFERROR(INDEX(Inputs!$B$13:$B$15,MATCH(G237,Inputs!$A$13:$A$15,0)),0)+IFERROR(INDEX(Inputs!$B$18:$B$24,MATCH(H237,Inputs!$A$18:$A$24,0)),0))</f>
        <v/>
      </c>
      <c r="AY237" s="28" t="str">
        <f aca="false">IF(OR(N(AX237)&lt;=0,N(AW237)=0,N(AV237)=0),"",MIN(AV237,AW237/AX237))</f>
        <v/>
      </c>
      <c r="AZ237" s="29" t="str">
        <f aca="false">IF(OR(AY237="",N(O237)=0),"",AY237/O237-1)</f>
        <v/>
      </c>
      <c r="BA237" s="29" t="str">
        <f aca="false">IF(OR(AZ237="",N(O237)=0),"",AZ237+AW237/O237)</f>
        <v/>
      </c>
      <c r="BB237" s="32" t="str">
        <f aca="false">IF(OR(BA237="",N(AR237)=0),"",BA237-AR237)</f>
        <v/>
      </c>
      <c r="BC237" s="35" t="str">
        <f aca="false">IF(OR(BA237="",N(U237)=0),"",BA237-U237)</f>
        <v/>
      </c>
      <c r="BD237" s="36" t="s">
        <v>147</v>
      </c>
    </row>
    <row r="238" customFormat="false" ht="15" hidden="false" customHeight="false" outlineLevel="0" collapsed="false">
      <c r="A238" s="2" t="s">
        <v>556</v>
      </c>
      <c r="B238" s="2" t="n">
        <v>24</v>
      </c>
      <c r="C238" s="2" t="s">
        <v>570</v>
      </c>
      <c r="D238" s="2" t="s">
        <v>571</v>
      </c>
      <c r="E238" s="2" t="s">
        <v>572</v>
      </c>
      <c r="F238" s="27" t="n">
        <v>7000</v>
      </c>
      <c r="G238" s="2" t="s">
        <v>54</v>
      </c>
      <c r="H238" s="2" t="s">
        <v>58</v>
      </c>
      <c r="I238" s="2" t="s">
        <v>144</v>
      </c>
      <c r="J238" s="2" t="s">
        <v>145</v>
      </c>
      <c r="K238" s="2" t="n">
        <v>4</v>
      </c>
      <c r="L238" s="28" t="n">
        <v>25</v>
      </c>
      <c r="M238" s="29" t="n">
        <v>0.075</v>
      </c>
      <c r="N238" s="28" t="n">
        <v>1.875</v>
      </c>
      <c r="O238" s="28" t="n">
        <v>26.29</v>
      </c>
      <c r="P238" s="2" t="s">
        <v>146</v>
      </c>
      <c r="Q238" s="29" t="n">
        <v>0.07</v>
      </c>
      <c r="R238" s="30" t="n">
        <v>0.07</v>
      </c>
      <c r="S238" s="31" t="n">
        <v>25</v>
      </c>
      <c r="T238" s="30" t="n">
        <v>-0.0490680867249904</v>
      </c>
      <c r="U238" s="30" t="n">
        <v>0.0222518067706353</v>
      </c>
      <c r="V238" s="29" t="n">
        <v>-0.005</v>
      </c>
      <c r="W238" s="29" t="n">
        <f aca="false">IF(N(Q238)=0,"",Q238+IF(I238="yes",Q238*Inputs!$B$10*Inputs!$B$9,0)+V238)</f>
        <v>0.065</v>
      </c>
      <c r="X238" s="28" t="n">
        <f aca="false">IF(OR(N(W238)&lt;=0,N(N238)=0,N(L238)=0),"",MIN(L238,N238/W238))</f>
        <v>25</v>
      </c>
      <c r="Y238" s="29" t="n">
        <f aca="false">IF(OR(X238="",N(O238)=0),"",X238/O238-1)</f>
        <v>-0.0490680867249904</v>
      </c>
      <c r="Z238" s="29" t="n">
        <f aca="false">IF(OR(Y238="",N(O238)=0),"",Y238+N238/O238)</f>
        <v>0.0222518067706353</v>
      </c>
      <c r="AA238" s="32" t="n">
        <f aca="false">IF(OR(Z238="",N(U238)=0),"",Z238-U238)</f>
        <v>0</v>
      </c>
      <c r="AB238" s="29" t="n">
        <f aca="false">IF(N(Q238)=0,"",Q238+IF(I238="yes",Q238*Inputs!$B$10*Inputs!$B$9,0)+IFERROR(INDEX(Inputs!$B$13:$B$15,MATCH(G238,Inputs!$A$13:$A$15,0)),0)+IFERROR(INDEX(Inputs!$B$18:$B$24,MATCH(H238,Inputs!$A$18:$A$24,0)),0))</f>
        <v>0.065</v>
      </c>
      <c r="AC238" s="28" t="n">
        <f aca="false">IF(OR(N(AB238)&lt;=0,N(N238)=0,N(L238)=0),"",MIN(L238,N238/AB238))</f>
        <v>25</v>
      </c>
      <c r="AD238" s="29" t="n">
        <f aca="false">IF(OR(AC238="",N(O238)=0),"",AC238/O238-1)</f>
        <v>-0.0490680867249904</v>
      </c>
      <c r="AE238" s="29" t="n">
        <f aca="false">IF(OR(AD238="",N(O238)=0),"",AD238+N238/O238)</f>
        <v>0.0222518067706353</v>
      </c>
      <c r="AF238" s="32" t="n">
        <f aca="false">IF(OR(AE238="",N(Z238)=0),"",AE238-Z238)</f>
        <v>0</v>
      </c>
      <c r="AG238" s="28" t="n">
        <f aca="false">IF(AND(N(M238)&gt;0,N(L238)&gt;0),M238*L238,N238)</f>
        <v>1.875</v>
      </c>
      <c r="AH238" s="28" t="n">
        <f aca="false">IF(OR(N(AB238)&lt;=0,N(AG238)=0,N(L238)=0),"",MIN(L238,AG238/AB238))</f>
        <v>25</v>
      </c>
      <c r="AI238" s="29" t="n">
        <f aca="false">IF(OR(AH238="",N(O238)=0),"",AH238/O238-1)</f>
        <v>-0.0490680867249904</v>
      </c>
      <c r="AJ238" s="29" t="n">
        <f aca="false">IF(OR(AI238="",N(O238)=0),"",AI238+AG238/O238)</f>
        <v>0.0222518067706353</v>
      </c>
      <c r="AK238" s="32" t="n">
        <f aca="false">IF(OR(AJ238="",N(AE238)=0),"",AJ238-AE238)</f>
        <v>0</v>
      </c>
      <c r="AL238" s="33" t="n">
        <f aca="false">IF(N(F238)=0,"",INDEX(Inputs!$B$28:$B$32,IFERROR(MATCH(F238,Inputs!$A$28:$A$32,1),0)+1))</f>
        <v>0.08</v>
      </c>
      <c r="AM238" s="34"/>
      <c r="AN238" s="33" t="n">
        <f aca="false">IF(N(AM238)&gt;0,AM238,AL238)</f>
        <v>0.08</v>
      </c>
      <c r="AO238" s="29" t="n">
        <f aca="false">IF(N(AN238)=0,"",AN238+IF(I238="yes",AN238*Inputs!$B$10*Inputs!$B$9,0)+IFERROR(INDEX(Inputs!$B$13:$B$15,MATCH(G238,Inputs!$A$13:$A$15,0)),0)+IFERROR(INDEX(Inputs!$B$18:$B$24,MATCH(H238,Inputs!$A$18:$A$24,0)),0))</f>
        <v>0.075</v>
      </c>
      <c r="AP238" s="28" t="n">
        <f aca="false">IF(OR(N(AO238)&lt;=0,N(AG238)=0,N(L238)=0),"",MIN(L238,AG238/AO238))</f>
        <v>25</v>
      </c>
      <c r="AQ238" s="29" t="n">
        <f aca="false">IF(OR(AP238="",N(O238)=0),"",AP238/O238-1)</f>
        <v>-0.0490680867249904</v>
      </c>
      <c r="AR238" s="29" t="n">
        <f aca="false">IF(OR(AQ238="",N(O238)=0),"",AQ238+AG238/O238)</f>
        <v>0.0222518067706353</v>
      </c>
      <c r="AS238" s="32" t="n">
        <f aca="false">IF(OR(AR238="",N(AJ238)=0),"",AR238-AJ238)</f>
        <v>0</v>
      </c>
      <c r="AT238" s="28" t="n">
        <v>25</v>
      </c>
      <c r="AU238" s="28" t="n">
        <v>1.88</v>
      </c>
      <c r="AV238" s="28" t="n">
        <f aca="false">IF(N(AT238)&gt;0,AT238,L238)</f>
        <v>25</v>
      </c>
      <c r="AW238" s="28" t="n">
        <f aca="false">IF(AND(N(M238)&gt;0,N(AV238)&gt;0),M238*AV238,IF(N(AU238)&gt;0,AU238,N238))</f>
        <v>1.875</v>
      </c>
      <c r="AX238" s="29" t="n">
        <f aca="false">IF(N(AN238)=0,"",AN238+IF(I238="yes",AN238*Inputs!$B$10*Inputs!$B$9,0)+IFERROR(INDEX(Inputs!$B$13:$B$15,MATCH(G238,Inputs!$A$13:$A$15,0)),0)+IFERROR(INDEX(Inputs!$B$18:$B$24,MATCH(H238,Inputs!$A$18:$A$24,0)),0))</f>
        <v>0.075</v>
      </c>
      <c r="AY238" s="28" t="n">
        <f aca="false">IF(OR(N(AX238)&lt;=0,N(AW238)=0,N(AV238)=0),"",MIN(AV238,AW238/AX238))</f>
        <v>25</v>
      </c>
      <c r="AZ238" s="29" t="n">
        <f aca="false">IF(OR(AY238="",N(O238)=0),"",AY238/O238-1)</f>
        <v>-0.0490680867249904</v>
      </c>
      <c r="BA238" s="29" t="n">
        <f aca="false">IF(OR(AZ238="",N(O238)=0),"",AZ238+AW238/O238)</f>
        <v>0.0222518067706353</v>
      </c>
      <c r="BB238" s="32" t="n">
        <f aca="false">IF(OR(BA238="",N(AR238)=0),"",BA238-AR238)</f>
        <v>0</v>
      </c>
      <c r="BC238" s="35" t="n">
        <f aca="false">IF(OR(BA238="",N(U238)=0),"",BA238-U238)</f>
        <v>0</v>
      </c>
      <c r="BD238" s="37"/>
    </row>
    <row r="239" customFormat="false" ht="15" hidden="false" customHeight="false" outlineLevel="0" collapsed="false">
      <c r="A239" s="2" t="s">
        <v>556</v>
      </c>
      <c r="B239" s="2" t="n">
        <v>28</v>
      </c>
      <c r="C239" s="2" t="s">
        <v>573</v>
      </c>
      <c r="D239" s="2" t="s">
        <v>574</v>
      </c>
      <c r="E239" s="2" t="s">
        <v>575</v>
      </c>
      <c r="F239" s="27" t="n">
        <v>2000</v>
      </c>
      <c r="G239" s="2" t="s">
        <v>52</v>
      </c>
      <c r="H239" s="2" t="s">
        <v>58</v>
      </c>
      <c r="I239" s="2" t="s">
        <v>144</v>
      </c>
      <c r="J239" s="2" t="s">
        <v>145</v>
      </c>
      <c r="K239" s="2" t="n">
        <v>4</v>
      </c>
      <c r="L239" s="28" t="n">
        <v>25</v>
      </c>
      <c r="M239" s="29" t="n">
        <v>0.05625</v>
      </c>
      <c r="N239" s="28" t="n">
        <v>1.40625</v>
      </c>
      <c r="O239" s="28" t="n">
        <v>18.26</v>
      </c>
      <c r="P239" s="2" t="s">
        <v>146</v>
      </c>
      <c r="Q239" s="29" t="n">
        <v>0.1</v>
      </c>
      <c r="R239" s="30" t="n">
        <v>0.095</v>
      </c>
      <c r="S239" s="31" t="n">
        <v>14.8026315789474</v>
      </c>
      <c r="T239" s="30" t="n">
        <v>-0.189341096443189</v>
      </c>
      <c r="U239" s="30" t="n">
        <v>-0.112328500605292</v>
      </c>
      <c r="V239" s="29" t="n">
        <v>-0.005</v>
      </c>
      <c r="W239" s="29" t="n">
        <f aca="false">IF(N(Q239)=0,"",Q239+IF(I239="yes",Q239*Inputs!$B$10*Inputs!$B$9,0)+V239)</f>
        <v>0.095</v>
      </c>
      <c r="X239" s="28" t="n">
        <f aca="false">IF(OR(N(W239)&lt;=0,N(N239)=0,N(L239)=0),"",MIN(L239,N239/W239))</f>
        <v>14.8026315789474</v>
      </c>
      <c r="Y239" s="29" t="n">
        <f aca="false">IF(OR(X239="",N(O239)=0),"",X239/O239-1)</f>
        <v>-0.189341096443189</v>
      </c>
      <c r="Z239" s="29" t="n">
        <f aca="false">IF(OR(Y239="",N(O239)=0),"",Y239+N239/O239)</f>
        <v>-0.112328500605292</v>
      </c>
      <c r="AA239" s="32" t="n">
        <f aca="false">IF(OR(Z239="",N(U239)=0),"",Z239-U239)</f>
        <v>0</v>
      </c>
      <c r="AB239" s="29" t="n">
        <f aca="false">IF(N(Q239)=0,"",Q239+IF(I239="yes",Q239*Inputs!$B$10*Inputs!$B$9,0)+IFERROR(INDEX(Inputs!$B$13:$B$15,MATCH(G239,Inputs!$A$13:$A$15,0)),0)+IFERROR(INDEX(Inputs!$B$18:$B$24,MATCH(H239,Inputs!$A$18:$A$24,0)),0))</f>
        <v>0.095</v>
      </c>
      <c r="AC239" s="28" t="n">
        <f aca="false">IF(OR(N(AB239)&lt;=0,N(N239)=0,N(L239)=0),"",MIN(L239,N239/AB239))</f>
        <v>14.8026315789474</v>
      </c>
      <c r="AD239" s="29" t="n">
        <f aca="false">IF(OR(AC239="",N(O239)=0),"",AC239/O239-1)</f>
        <v>-0.189341096443189</v>
      </c>
      <c r="AE239" s="29" t="n">
        <f aca="false">IF(OR(AD239="",N(O239)=0),"",AD239+N239/O239)</f>
        <v>-0.112328500605292</v>
      </c>
      <c r="AF239" s="32" t="n">
        <f aca="false">IF(OR(AE239="",N(Z239)=0),"",AE239-Z239)</f>
        <v>0</v>
      </c>
      <c r="AG239" s="28" t="n">
        <f aca="false">IF(AND(N(M239)&gt;0,N(L239)&gt;0),M239*L239,N239)</f>
        <v>1.40625</v>
      </c>
      <c r="AH239" s="28" t="n">
        <f aca="false">IF(OR(N(AB239)&lt;=0,N(AG239)=0,N(L239)=0),"",MIN(L239,AG239/AB239))</f>
        <v>14.8026315789474</v>
      </c>
      <c r="AI239" s="29" t="n">
        <f aca="false">IF(OR(AH239="",N(O239)=0),"",AH239/O239-1)</f>
        <v>-0.189341096443189</v>
      </c>
      <c r="AJ239" s="29" t="n">
        <f aca="false">IF(OR(AI239="",N(O239)=0),"",AI239+AG239/O239)</f>
        <v>-0.112328500605292</v>
      </c>
      <c r="AK239" s="32" t="n">
        <f aca="false">IF(OR(AJ239="",N(AE239)=0),"",AJ239-AE239)</f>
        <v>0</v>
      </c>
      <c r="AL239" s="33" t="n">
        <f aca="false">IF(N(F239)=0,"",INDEX(Inputs!$B$28:$B$32,IFERROR(MATCH(F239,Inputs!$A$28:$A$32,1),0)+1))</f>
        <v>0.085</v>
      </c>
      <c r="AM239" s="34"/>
      <c r="AN239" s="33" t="n">
        <f aca="false">IF(N(AM239)&gt;0,AM239,AL239)</f>
        <v>0.085</v>
      </c>
      <c r="AO239" s="29" t="n">
        <f aca="false">IF(N(AN239)=0,"",AN239+IF(I239="yes",AN239*Inputs!$B$10*Inputs!$B$9,0)+IFERROR(INDEX(Inputs!$B$13:$B$15,MATCH(G239,Inputs!$A$13:$A$15,0)),0)+IFERROR(INDEX(Inputs!$B$18:$B$24,MATCH(H239,Inputs!$A$18:$A$24,0)),0))</f>
        <v>0.08</v>
      </c>
      <c r="AP239" s="28" t="n">
        <f aca="false">IF(OR(N(AO239)&lt;=0,N(AG239)=0,N(L239)=0),"",MIN(L239,AG239/AO239))</f>
        <v>17.578125</v>
      </c>
      <c r="AQ239" s="29" t="n">
        <f aca="false">IF(OR(AP239="",N(O239)=0),"",AP239/O239-1)</f>
        <v>-0.037342552026287</v>
      </c>
      <c r="AR239" s="29" t="n">
        <f aca="false">IF(OR(AQ239="",N(O239)=0),"",AQ239+AG239/O239)</f>
        <v>0.03967004381161</v>
      </c>
      <c r="AS239" s="32" t="n">
        <f aca="false">IF(OR(AR239="",N(AJ239)=0),"",AR239-AJ239)</f>
        <v>0.151998544416902</v>
      </c>
      <c r="AT239" s="28" t="n">
        <v>25</v>
      </c>
      <c r="AU239" s="28" t="n">
        <v>1.41</v>
      </c>
      <c r="AV239" s="28" t="n">
        <f aca="false">IF(N(AT239)&gt;0,AT239,L239)</f>
        <v>25</v>
      </c>
      <c r="AW239" s="28" t="n">
        <f aca="false">IF(AND(N(M239)&gt;0,N(AV239)&gt;0),M239*AV239,IF(N(AU239)&gt;0,AU239,N239))</f>
        <v>1.40625</v>
      </c>
      <c r="AX239" s="29" t="n">
        <f aca="false">IF(N(AN239)=0,"",AN239+IF(I239="yes",AN239*Inputs!$B$10*Inputs!$B$9,0)+IFERROR(INDEX(Inputs!$B$13:$B$15,MATCH(G239,Inputs!$A$13:$A$15,0)),0)+IFERROR(INDEX(Inputs!$B$18:$B$24,MATCH(H239,Inputs!$A$18:$A$24,0)),0))</f>
        <v>0.08</v>
      </c>
      <c r="AY239" s="28" t="n">
        <f aca="false">IF(OR(N(AX239)&lt;=0,N(AW239)=0,N(AV239)=0),"",MIN(AV239,AW239/AX239))</f>
        <v>17.578125</v>
      </c>
      <c r="AZ239" s="29" t="n">
        <f aca="false">IF(OR(AY239="",N(O239)=0),"",AY239/O239-1)</f>
        <v>-0.037342552026287</v>
      </c>
      <c r="BA239" s="29" t="n">
        <f aca="false">IF(OR(AZ239="",N(O239)=0),"",AZ239+AW239/O239)</f>
        <v>0.03967004381161</v>
      </c>
      <c r="BB239" s="32" t="n">
        <f aca="false">IF(OR(BA239="",N(AR239)=0),"",BA239-AR239)</f>
        <v>0</v>
      </c>
      <c r="BC239" s="35" t="n">
        <f aca="false">IF(OR(BA239="",N(U239)=0),"",BA239-U239)</f>
        <v>0.151998544416902</v>
      </c>
      <c r="BD239" s="37"/>
    </row>
    <row r="240" customFormat="false" ht="15" hidden="false" customHeight="false" outlineLevel="0" collapsed="false">
      <c r="A240" s="2" t="s">
        <v>556</v>
      </c>
      <c r="B240" s="2" t="n">
        <v>29</v>
      </c>
      <c r="C240" s="2" t="s">
        <v>576</v>
      </c>
      <c r="D240" s="2" t="s">
        <v>574</v>
      </c>
      <c r="E240" s="2" t="s">
        <v>575</v>
      </c>
      <c r="F240" s="27" t="n">
        <v>2000</v>
      </c>
      <c r="G240" s="2" t="s">
        <v>52</v>
      </c>
      <c r="H240" s="2" t="s">
        <v>58</v>
      </c>
      <c r="I240" s="2" t="s">
        <v>144</v>
      </c>
      <c r="J240" s="2" t="s">
        <v>145</v>
      </c>
      <c r="K240" s="2" t="n">
        <v>4</v>
      </c>
      <c r="L240" s="28" t="n">
        <v>25</v>
      </c>
      <c r="M240" s="29" t="n">
        <v>0.0625</v>
      </c>
      <c r="N240" s="28" t="n">
        <v>1.5625</v>
      </c>
      <c r="O240" s="28" t="n">
        <v>18.78</v>
      </c>
      <c r="P240" s="2" t="s">
        <v>362</v>
      </c>
      <c r="Q240" s="29" t="n">
        <v>0.1</v>
      </c>
      <c r="R240" s="30" t="n">
        <v>0.069512595837897</v>
      </c>
      <c r="S240" s="31" t="n">
        <v>22.4779405971796</v>
      </c>
      <c r="T240" s="30" t="n">
        <v>0.196908445004236</v>
      </c>
      <c r="U240" s="30" t="n">
        <v>0.280108657996781</v>
      </c>
      <c r="V240" s="29" t="n">
        <v>-0.0075</v>
      </c>
      <c r="W240" s="29" t="n">
        <f aca="false">IF(N(Q240)=0,"",Q240+IF(I240="yes",Q240*Inputs!$B$10*Inputs!$B$9,0)+V240)</f>
        <v>0.0925</v>
      </c>
      <c r="X240" s="28" t="n">
        <f aca="false">IF(OR(N(W240)&lt;=0,N(N240)=0,N(L240)=0),"",MIN(L240,N240/W240))</f>
        <v>16.8918918918919</v>
      </c>
      <c r="Y240" s="29" t="n">
        <f aca="false">IF(OR(X240="",N(O240)=0),"",X240/O240-1)</f>
        <v>-0.10053823791843</v>
      </c>
      <c r="Z240" s="29" t="n">
        <f aca="false">IF(OR(Y240="",N(O240)=0),"",Y240+N240/O240)</f>
        <v>-0.0173380249258845</v>
      </c>
      <c r="AA240" s="32" t="n">
        <f aca="false">IF(OR(Z240="",N(U240)=0),"",Z240-U240)</f>
        <v>-0.297446682922665</v>
      </c>
      <c r="AB240" s="29" t="n">
        <f aca="false">IF(N(Q240)=0,"",Q240+IF(I240="yes",Q240*Inputs!$B$10*Inputs!$B$9,0)+IFERROR(INDEX(Inputs!$B$13:$B$15,MATCH(G240,Inputs!$A$13:$A$15,0)),0)+IFERROR(INDEX(Inputs!$B$18:$B$24,MATCH(H240,Inputs!$A$18:$A$24,0)),0))</f>
        <v>0.095</v>
      </c>
      <c r="AC240" s="28" t="n">
        <f aca="false">IF(OR(N(AB240)&lt;=0,N(N240)=0,N(L240)=0),"",MIN(L240,N240/AB240))</f>
        <v>16.4473684210526</v>
      </c>
      <c r="AD240" s="29" t="n">
        <f aca="false">IF(OR(AC240="",N(O240)=0),"",AC240/O240-1)</f>
        <v>-0.124208284288997</v>
      </c>
      <c r="AE240" s="29" t="n">
        <f aca="false">IF(OR(AD240="",N(O240)=0),"",AD240+N240/O240)</f>
        <v>-0.0410080712964522</v>
      </c>
      <c r="AF240" s="32" t="n">
        <f aca="false">IF(OR(AE240="",N(Z240)=0),"",AE240-Z240)</f>
        <v>-0.0236700463705677</v>
      </c>
      <c r="AG240" s="28" t="n">
        <f aca="false">IF(AND(N(M240)&gt;0,N(L240)&gt;0),M240*L240,N240)</f>
        <v>1.5625</v>
      </c>
      <c r="AH240" s="28" t="n">
        <f aca="false">IF(OR(N(AB240)&lt;=0,N(AG240)=0,N(L240)=0),"",MIN(L240,AG240/AB240))</f>
        <v>16.4473684210526</v>
      </c>
      <c r="AI240" s="29" t="n">
        <f aca="false">IF(OR(AH240="",N(O240)=0),"",AH240/O240-1)</f>
        <v>-0.124208284288997</v>
      </c>
      <c r="AJ240" s="29" t="n">
        <f aca="false">IF(OR(AI240="",N(O240)=0),"",AI240+AG240/O240)</f>
        <v>-0.0410080712964522</v>
      </c>
      <c r="AK240" s="32" t="n">
        <f aca="false">IF(OR(AJ240="",N(AE240)=0),"",AJ240-AE240)</f>
        <v>0</v>
      </c>
      <c r="AL240" s="33" t="n">
        <f aca="false">IF(N(F240)=0,"",INDEX(Inputs!$B$28:$B$32,IFERROR(MATCH(F240,Inputs!$A$28:$A$32,1),0)+1))</f>
        <v>0.085</v>
      </c>
      <c r="AM240" s="34"/>
      <c r="AN240" s="33" t="n">
        <f aca="false">IF(N(AM240)&gt;0,AM240,AL240)</f>
        <v>0.085</v>
      </c>
      <c r="AO240" s="29" t="n">
        <f aca="false">IF(N(AN240)=0,"",AN240+IF(I240="yes",AN240*Inputs!$B$10*Inputs!$B$9,0)+IFERROR(INDEX(Inputs!$B$13:$B$15,MATCH(G240,Inputs!$A$13:$A$15,0)),0)+IFERROR(INDEX(Inputs!$B$18:$B$24,MATCH(H240,Inputs!$A$18:$A$24,0)),0))</f>
        <v>0.08</v>
      </c>
      <c r="AP240" s="28" t="n">
        <f aca="false">IF(OR(N(AO240)&lt;=0,N(AG240)=0,N(L240)=0),"",MIN(L240,AG240/AO240))</f>
        <v>19.53125</v>
      </c>
      <c r="AQ240" s="29" t="n">
        <f aca="false">IF(OR(AP240="",N(O240)=0),"",AP240/O240-1)</f>
        <v>0.0400026624068157</v>
      </c>
      <c r="AR240" s="29" t="n">
        <f aca="false">IF(OR(AQ240="",N(O240)=0),"",AQ240+AG240/O240)</f>
        <v>0.123202875399361</v>
      </c>
      <c r="AS240" s="32" t="n">
        <f aca="false">IF(OR(AR240="",N(AJ240)=0),"",AR240-AJ240)</f>
        <v>0.164210946695813</v>
      </c>
      <c r="AT240" s="28" t="n">
        <v>25</v>
      </c>
      <c r="AU240" s="28" t="n">
        <v>1.56</v>
      </c>
      <c r="AV240" s="28" t="n">
        <f aca="false">IF(N(AT240)&gt;0,AT240,L240)</f>
        <v>25</v>
      </c>
      <c r="AW240" s="28" t="n">
        <f aca="false">IF(AND(N(M240)&gt;0,N(AV240)&gt;0),M240*AV240,IF(N(AU240)&gt;0,AU240,N240))</f>
        <v>1.5625</v>
      </c>
      <c r="AX240" s="29" t="n">
        <f aca="false">IF(N(AN240)=0,"",AN240+IF(I240="yes",AN240*Inputs!$B$10*Inputs!$B$9,0)+IFERROR(INDEX(Inputs!$B$13:$B$15,MATCH(G240,Inputs!$A$13:$A$15,0)),0)+IFERROR(INDEX(Inputs!$B$18:$B$24,MATCH(H240,Inputs!$A$18:$A$24,0)),0))</f>
        <v>0.08</v>
      </c>
      <c r="AY240" s="28" t="n">
        <f aca="false">IF(OR(N(AX240)&lt;=0,N(AW240)=0,N(AV240)=0),"",MIN(AV240,AW240/AX240))</f>
        <v>19.53125</v>
      </c>
      <c r="AZ240" s="29" t="n">
        <f aca="false">IF(OR(AY240="",N(O240)=0),"",AY240/O240-1)</f>
        <v>0.0400026624068157</v>
      </c>
      <c r="BA240" s="29" t="n">
        <f aca="false">IF(OR(AZ240="",N(O240)=0),"",AZ240+AW240/O240)</f>
        <v>0.123202875399361</v>
      </c>
      <c r="BB240" s="32" t="n">
        <f aca="false">IF(OR(BA240="",N(AR240)=0),"",BA240-AR240)</f>
        <v>0</v>
      </c>
      <c r="BC240" s="35" t="n">
        <f aca="false">IF(OR(BA240="",N(U240)=0),"",BA240-U240)</f>
        <v>-0.15690578259742</v>
      </c>
      <c r="BD240" s="36" t="s">
        <v>577</v>
      </c>
    </row>
    <row r="241" customFormat="false" ht="15" hidden="false" customHeight="false" outlineLevel="0" collapsed="false">
      <c r="A241" s="2" t="s">
        <v>556</v>
      </c>
      <c r="B241" s="2" t="n">
        <v>32</v>
      </c>
      <c r="C241" s="2" t="s">
        <v>578</v>
      </c>
      <c r="D241" s="2" t="s">
        <v>579</v>
      </c>
      <c r="E241" s="2" t="s">
        <v>580</v>
      </c>
      <c r="F241" s="27" t="n">
        <v>139</v>
      </c>
      <c r="G241" s="2" t="s">
        <v>51</v>
      </c>
      <c r="H241" s="2" t="s">
        <v>58</v>
      </c>
      <c r="I241" s="2" t="s">
        <v>151</v>
      </c>
      <c r="J241" s="2" t="s">
        <v>145</v>
      </c>
      <c r="K241" s="2" t="n">
        <v>4</v>
      </c>
      <c r="L241" s="28" t="n">
        <v>25</v>
      </c>
      <c r="M241" s="29" t="n">
        <v>0.09</v>
      </c>
      <c r="N241" s="28" t="n">
        <v>2.25</v>
      </c>
      <c r="O241" s="28" t="n">
        <v>26.2</v>
      </c>
      <c r="P241" s="2" t="s">
        <v>146</v>
      </c>
      <c r="Q241" s="29" t="n">
        <v>0.1</v>
      </c>
      <c r="R241" s="30" t="n">
        <v>0.095</v>
      </c>
      <c r="S241" s="31" t="n">
        <v>23.6842105263158</v>
      </c>
      <c r="T241" s="30" t="n">
        <v>-0.0960224989955806</v>
      </c>
      <c r="U241" s="30" t="n">
        <v>-0.0101446364001607</v>
      </c>
      <c r="V241" s="29" t="n">
        <v>0</v>
      </c>
      <c r="W241" s="29" t="n">
        <f aca="false">IF(N(Q241)=0,"",Q241+IF(I241="yes",Q241*Inputs!$B$10*Inputs!$B$9,0)+V241)</f>
        <v>0.095</v>
      </c>
      <c r="X241" s="28" t="n">
        <f aca="false">IF(OR(N(W241)&lt;=0,N(N241)=0,N(L241)=0),"",MIN(L241,N241/W241))</f>
        <v>23.6842105263158</v>
      </c>
      <c r="Y241" s="29" t="n">
        <f aca="false">IF(OR(X241="",N(O241)=0),"",X241/O241-1)</f>
        <v>-0.0960224989955806</v>
      </c>
      <c r="Z241" s="29" t="n">
        <f aca="false">IF(OR(Y241="",N(O241)=0),"",Y241+N241/O241)</f>
        <v>-0.0101446364001607</v>
      </c>
      <c r="AA241" s="32" t="n">
        <f aca="false">IF(OR(Z241="",N(U241)=0),"",Z241-U241)</f>
        <v>0</v>
      </c>
      <c r="AB241" s="29" t="n">
        <f aca="false">IF(N(Q241)=0,"",Q241+IF(I241="yes",Q241*Inputs!$B$10*Inputs!$B$9,0)+IFERROR(INDEX(Inputs!$B$13:$B$15,MATCH(G241,Inputs!$A$13:$A$15,0)),0)+IFERROR(INDEX(Inputs!$B$18:$B$24,MATCH(H241,Inputs!$A$18:$A$24,0)),0))</f>
        <v>0.095</v>
      </c>
      <c r="AC241" s="28" t="n">
        <f aca="false">IF(OR(N(AB241)&lt;=0,N(N241)=0,N(L241)=0),"",MIN(L241,N241/AB241))</f>
        <v>23.6842105263158</v>
      </c>
      <c r="AD241" s="29" t="n">
        <f aca="false">IF(OR(AC241="",N(O241)=0),"",AC241/O241-1)</f>
        <v>-0.0960224989955806</v>
      </c>
      <c r="AE241" s="29" t="n">
        <f aca="false">IF(OR(AD241="",N(O241)=0),"",AD241+N241/O241)</f>
        <v>-0.0101446364001607</v>
      </c>
      <c r="AF241" s="32" t="n">
        <f aca="false">IF(OR(AE241="",N(Z241)=0),"",AE241-Z241)</f>
        <v>0</v>
      </c>
      <c r="AG241" s="28" t="n">
        <f aca="false">IF(AND(N(M241)&gt;0,N(L241)&gt;0),M241*L241,N241)</f>
        <v>2.25</v>
      </c>
      <c r="AH241" s="28" t="n">
        <f aca="false">IF(OR(N(AB241)&lt;=0,N(AG241)=0,N(L241)=0),"",MIN(L241,AG241/AB241))</f>
        <v>23.6842105263158</v>
      </c>
      <c r="AI241" s="29" t="n">
        <f aca="false">IF(OR(AH241="",N(O241)=0),"",AH241/O241-1)</f>
        <v>-0.0960224989955806</v>
      </c>
      <c r="AJ241" s="29" t="n">
        <f aca="false">IF(OR(AI241="",N(O241)=0),"",AI241+AG241/O241)</f>
        <v>-0.0101446364001607</v>
      </c>
      <c r="AK241" s="32" t="n">
        <f aca="false">IF(OR(AJ241="",N(AE241)=0),"",AJ241-AE241)</f>
        <v>0</v>
      </c>
      <c r="AL241" s="33" t="n">
        <f aca="false">IF(N(F241)=0,"",INDEX(Inputs!$B$28:$B$32,IFERROR(MATCH(F241,Inputs!$A$28:$A$32,1),0)+1))</f>
        <v>0.1</v>
      </c>
      <c r="AM241" s="34"/>
      <c r="AN241" s="33" t="n">
        <f aca="false">IF(N(AM241)&gt;0,AM241,AL241)</f>
        <v>0.1</v>
      </c>
      <c r="AO241" s="29" t="n">
        <f aca="false">IF(N(AN241)=0,"",AN241+IF(I241="yes",AN241*Inputs!$B$10*Inputs!$B$9,0)+IFERROR(INDEX(Inputs!$B$13:$B$15,MATCH(G241,Inputs!$A$13:$A$15,0)),0)+IFERROR(INDEX(Inputs!$B$18:$B$24,MATCH(H241,Inputs!$A$18:$A$24,0)),0))</f>
        <v>0.095</v>
      </c>
      <c r="AP241" s="28" t="n">
        <f aca="false">IF(OR(N(AO241)&lt;=0,N(AG241)=0,N(L241)=0),"",MIN(L241,AG241/AO241))</f>
        <v>23.6842105263158</v>
      </c>
      <c r="AQ241" s="29" t="n">
        <f aca="false">IF(OR(AP241="",N(O241)=0),"",AP241/O241-1)</f>
        <v>-0.0960224989955806</v>
      </c>
      <c r="AR241" s="29" t="n">
        <f aca="false">IF(OR(AQ241="",N(O241)=0),"",AQ241+AG241/O241)</f>
        <v>-0.0101446364001607</v>
      </c>
      <c r="AS241" s="32" t="n">
        <f aca="false">IF(OR(AR241="",N(AJ241)=0),"",AR241-AJ241)</f>
        <v>0</v>
      </c>
      <c r="AT241" s="28" t="n">
        <v>25</v>
      </c>
      <c r="AU241" s="28" t="n">
        <v>2.25</v>
      </c>
      <c r="AV241" s="28" t="n">
        <f aca="false">IF(N(AT241)&gt;0,AT241,L241)</f>
        <v>25</v>
      </c>
      <c r="AW241" s="28" t="n">
        <f aca="false">IF(AND(N(M241)&gt;0,N(AV241)&gt;0),M241*AV241,IF(N(AU241)&gt;0,AU241,N241))</f>
        <v>2.25</v>
      </c>
      <c r="AX241" s="29" t="n">
        <f aca="false">IF(N(AN241)=0,"",AN241+IF(I241="yes",AN241*Inputs!$B$10*Inputs!$B$9,0)+IFERROR(INDEX(Inputs!$B$13:$B$15,MATCH(G241,Inputs!$A$13:$A$15,0)),0)+IFERROR(INDEX(Inputs!$B$18:$B$24,MATCH(H241,Inputs!$A$18:$A$24,0)),0))</f>
        <v>0.095</v>
      </c>
      <c r="AY241" s="28" t="n">
        <f aca="false">IF(OR(N(AX241)&lt;=0,N(AW241)=0,N(AV241)=0),"",MIN(AV241,AW241/AX241))</f>
        <v>23.6842105263158</v>
      </c>
      <c r="AZ241" s="29" t="n">
        <f aca="false">IF(OR(AY241="",N(O241)=0),"",AY241/O241-1)</f>
        <v>-0.0960224989955806</v>
      </c>
      <c r="BA241" s="29" t="n">
        <f aca="false">IF(OR(AZ241="",N(O241)=0),"",AZ241+AW241/O241)</f>
        <v>-0.0101446364001607</v>
      </c>
      <c r="BB241" s="32" t="n">
        <f aca="false">IF(OR(BA241="",N(AR241)=0),"",BA241-AR241)</f>
        <v>0</v>
      </c>
      <c r="BC241" s="35" t="n">
        <f aca="false">IF(OR(BA241="",N(U241)=0),"",BA241-U241)</f>
        <v>0</v>
      </c>
      <c r="BD241" s="37"/>
    </row>
    <row r="242" customFormat="false" ht="15" hidden="false" customHeight="false" outlineLevel="0" collapsed="false">
      <c r="A242" s="2" t="s">
        <v>556</v>
      </c>
      <c r="B242" s="2" t="n">
        <v>33</v>
      </c>
      <c r="C242" s="2" t="s">
        <v>581</v>
      </c>
      <c r="D242" s="2" t="s">
        <v>579</v>
      </c>
      <c r="E242" s="2" t="s">
        <v>580</v>
      </c>
      <c r="F242" s="27" t="n">
        <v>139</v>
      </c>
      <c r="G242" s="2" t="s">
        <v>51</v>
      </c>
      <c r="H242" s="2" t="s">
        <v>59</v>
      </c>
      <c r="I242" s="2" t="s">
        <v>151</v>
      </c>
      <c r="J242" s="2" t="s">
        <v>145</v>
      </c>
      <c r="K242" s="2" t="n">
        <v>4</v>
      </c>
      <c r="L242" s="28" t="n">
        <v>25</v>
      </c>
      <c r="M242" s="29" t="n">
        <v>0.0875</v>
      </c>
      <c r="N242" s="28" t="n">
        <v>2.1875</v>
      </c>
      <c r="O242" s="28" t="n">
        <v>0</v>
      </c>
      <c r="P242" s="2" t="s">
        <v>362</v>
      </c>
      <c r="Q242" s="29" t="n">
        <v>0.1</v>
      </c>
      <c r="R242" s="30" t="n">
        <v>0.0858778625954199</v>
      </c>
      <c r="S242" s="31" t="n">
        <v>25</v>
      </c>
      <c r="T242" s="30"/>
      <c r="U242" s="30"/>
      <c r="V242" s="29" t="n">
        <v>0</v>
      </c>
      <c r="W242" s="29" t="n">
        <f aca="false">IF(N(Q242)=0,"",Q242+IF(I242="yes",Q242*Inputs!$B$10*Inputs!$B$9,0)+V242)</f>
        <v>0.095</v>
      </c>
      <c r="X242" s="28" t="n">
        <f aca="false">IF(OR(N(W242)&lt;=0,N(N242)=0,N(L242)=0),"",MIN(L242,N242/W242))</f>
        <v>23.0263157894737</v>
      </c>
      <c r="Y242" s="29" t="str">
        <f aca="false">IF(OR(X242="",N(O242)=0),"",X242/O242-1)</f>
        <v/>
      </c>
      <c r="Z242" s="29" t="str">
        <f aca="false">IF(OR(Y242="",N(O242)=0),"",Y242+N242/O242)</f>
        <v/>
      </c>
      <c r="AA242" s="32" t="str">
        <f aca="false">IF(OR(Z242="",N(U242)=0),"",Z242-U242)</f>
        <v/>
      </c>
      <c r="AB242" s="29" t="n">
        <f aca="false">IF(N(Q242)=0,"",Q242+IF(I242="yes",Q242*Inputs!$B$10*Inputs!$B$9,0)+IFERROR(INDEX(Inputs!$B$13:$B$15,MATCH(G242,Inputs!$A$13:$A$15,0)),0)+IFERROR(INDEX(Inputs!$B$18:$B$24,MATCH(H242,Inputs!$A$18:$A$24,0)),0))</f>
        <v>0.095</v>
      </c>
      <c r="AC242" s="28" t="n">
        <f aca="false">IF(OR(N(AB242)&lt;=0,N(N242)=0,N(L242)=0),"",MIN(L242,N242/AB242))</f>
        <v>23.0263157894737</v>
      </c>
      <c r="AD242" s="29" t="str">
        <f aca="false">IF(OR(AC242="",N(O242)=0),"",AC242/O242-1)</f>
        <v/>
      </c>
      <c r="AE242" s="29" t="str">
        <f aca="false">IF(OR(AD242="",N(O242)=0),"",AD242+N242/O242)</f>
        <v/>
      </c>
      <c r="AF242" s="32" t="str">
        <f aca="false">IF(OR(AE242="",N(Z242)=0),"",AE242-Z242)</f>
        <v/>
      </c>
      <c r="AG242" s="28" t="n">
        <f aca="false">IF(AND(N(M242)&gt;0,N(L242)&gt;0),M242*L242,N242)</f>
        <v>2.1875</v>
      </c>
      <c r="AH242" s="28" t="n">
        <f aca="false">IF(OR(N(AB242)&lt;=0,N(AG242)=0,N(L242)=0),"",MIN(L242,AG242/AB242))</f>
        <v>23.0263157894737</v>
      </c>
      <c r="AI242" s="29" t="str">
        <f aca="false">IF(OR(AH242="",N(O242)=0),"",AH242/O242-1)</f>
        <v/>
      </c>
      <c r="AJ242" s="29" t="str">
        <f aca="false">IF(OR(AI242="",N(O242)=0),"",AI242+AG242/O242)</f>
        <v/>
      </c>
      <c r="AK242" s="32" t="str">
        <f aca="false">IF(OR(AJ242="",N(AE242)=0),"",AJ242-AE242)</f>
        <v/>
      </c>
      <c r="AL242" s="33" t="n">
        <f aca="false">IF(N(F242)=0,"",INDEX(Inputs!$B$28:$B$32,IFERROR(MATCH(F242,Inputs!$A$28:$A$32,1),0)+1))</f>
        <v>0.1</v>
      </c>
      <c r="AM242" s="34"/>
      <c r="AN242" s="33" t="n">
        <f aca="false">IF(N(AM242)&gt;0,AM242,AL242)</f>
        <v>0.1</v>
      </c>
      <c r="AO242" s="29" t="n">
        <f aca="false">IF(N(AN242)=0,"",AN242+IF(I242="yes",AN242*Inputs!$B$10*Inputs!$B$9,0)+IFERROR(INDEX(Inputs!$B$13:$B$15,MATCH(G242,Inputs!$A$13:$A$15,0)),0)+IFERROR(INDEX(Inputs!$B$18:$B$24,MATCH(H242,Inputs!$A$18:$A$24,0)),0))</f>
        <v>0.095</v>
      </c>
      <c r="AP242" s="28" t="n">
        <f aca="false">IF(OR(N(AO242)&lt;=0,N(AG242)=0,N(L242)=0),"",MIN(L242,AG242/AO242))</f>
        <v>23.0263157894737</v>
      </c>
      <c r="AQ242" s="29" t="str">
        <f aca="false">IF(OR(AP242="",N(O242)=0),"",AP242/O242-1)</f>
        <v/>
      </c>
      <c r="AR242" s="29" t="str">
        <f aca="false">IF(OR(AQ242="",N(O242)=0),"",AQ242+AG242/O242)</f>
        <v/>
      </c>
      <c r="AS242" s="32" t="str">
        <f aca="false">IF(OR(AR242="",N(AJ242)=0),"",AR242-AJ242)</f>
        <v/>
      </c>
      <c r="AT242" s="28"/>
      <c r="AU242" s="28"/>
      <c r="AV242" s="28" t="n">
        <f aca="false">IF(N(AT242)&gt;0,AT242,L242)</f>
        <v>25</v>
      </c>
      <c r="AW242" s="28" t="n">
        <f aca="false">IF(AND(N(M242)&gt;0,N(AV242)&gt;0),M242*AV242,IF(N(AU242)&gt;0,AU242,N242))</f>
        <v>2.1875</v>
      </c>
      <c r="AX242" s="29" t="n">
        <f aca="false">IF(N(AN242)=0,"",AN242+IF(I242="yes",AN242*Inputs!$B$10*Inputs!$B$9,0)+IFERROR(INDEX(Inputs!$B$13:$B$15,MATCH(G242,Inputs!$A$13:$A$15,0)),0)+IFERROR(INDEX(Inputs!$B$18:$B$24,MATCH(H242,Inputs!$A$18:$A$24,0)),0))</f>
        <v>0.095</v>
      </c>
      <c r="AY242" s="28" t="n">
        <f aca="false">IF(OR(N(AX242)&lt;=0,N(AW242)=0,N(AV242)=0),"",MIN(AV242,AW242/AX242))</f>
        <v>23.0263157894737</v>
      </c>
      <c r="AZ242" s="29" t="str">
        <f aca="false">IF(OR(AY242="",N(O242)=0),"",AY242/O242-1)</f>
        <v/>
      </c>
      <c r="BA242" s="29" t="str">
        <f aca="false">IF(OR(AZ242="",N(O242)=0),"",AZ242+AW242/O242)</f>
        <v/>
      </c>
      <c r="BB242" s="32" t="str">
        <f aca="false">IF(OR(BA242="",N(AR242)=0),"",BA242-AR242)</f>
        <v/>
      </c>
      <c r="BC242" s="35" t="str">
        <f aca="false">IF(OR(BA242="",N(U242)=0),"",BA242-U242)</f>
        <v/>
      </c>
      <c r="BD242" s="36" t="s">
        <v>582</v>
      </c>
    </row>
    <row r="243" customFormat="false" ht="15" hidden="false" customHeight="false" outlineLevel="0" collapsed="false">
      <c r="A243" s="2" t="s">
        <v>556</v>
      </c>
      <c r="B243" s="2" t="n">
        <v>36</v>
      </c>
      <c r="C243" s="2" t="s">
        <v>583</v>
      </c>
      <c r="D243" s="2" t="s">
        <v>584</v>
      </c>
      <c r="E243" s="2" t="s">
        <v>585</v>
      </c>
      <c r="F243" s="27" t="n">
        <v>71900</v>
      </c>
      <c r="G243" s="2" t="s">
        <v>51</v>
      </c>
      <c r="H243" s="2" t="s">
        <v>58</v>
      </c>
      <c r="I243" s="2" t="s">
        <v>144</v>
      </c>
      <c r="J243" s="2" t="s">
        <v>145</v>
      </c>
      <c r="K243" s="2" t="n">
        <v>4</v>
      </c>
      <c r="L243" s="28" t="n">
        <v>25</v>
      </c>
      <c r="M243" s="29" t="n">
        <v>0.0525</v>
      </c>
      <c r="N243" s="28" t="n">
        <v>1.3125</v>
      </c>
      <c r="O243" s="28" t="n">
        <v>19.6</v>
      </c>
      <c r="P243" s="2" t="s">
        <v>146</v>
      </c>
      <c r="Q243" s="29" t="n">
        <v>0.08</v>
      </c>
      <c r="R243" s="30" t="n">
        <v>0.08</v>
      </c>
      <c r="S243" s="31" t="n">
        <v>16.40625</v>
      </c>
      <c r="T243" s="30" t="n">
        <v>-0.162946428571429</v>
      </c>
      <c r="U243" s="30" t="n">
        <v>-0.0959821428571429</v>
      </c>
      <c r="V243" s="29" t="n">
        <v>0</v>
      </c>
      <c r="W243" s="29" t="n">
        <f aca="false">IF(N(Q243)=0,"",Q243+IF(I243="yes",Q243*Inputs!$B$10*Inputs!$B$9,0)+V243)</f>
        <v>0.08</v>
      </c>
      <c r="X243" s="28" t="n">
        <f aca="false">IF(OR(N(W243)&lt;=0,N(N243)=0,N(L243)=0),"",MIN(L243,N243/W243))</f>
        <v>16.40625</v>
      </c>
      <c r="Y243" s="29" t="n">
        <f aca="false">IF(OR(X243="",N(O243)=0),"",X243/O243-1)</f>
        <v>-0.162946428571429</v>
      </c>
      <c r="Z243" s="29" t="n">
        <f aca="false">IF(OR(Y243="",N(O243)=0),"",Y243+N243/O243)</f>
        <v>-0.0959821428571429</v>
      </c>
      <c r="AA243" s="32" t="n">
        <f aca="false">IF(OR(Z243="",N(U243)=0),"",Z243-U243)</f>
        <v>0</v>
      </c>
      <c r="AB243" s="29" t="n">
        <f aca="false">IF(N(Q243)=0,"",Q243+IF(I243="yes",Q243*Inputs!$B$10*Inputs!$B$9,0)+IFERROR(INDEX(Inputs!$B$13:$B$15,MATCH(G243,Inputs!$A$13:$A$15,0)),0)+IFERROR(INDEX(Inputs!$B$18:$B$24,MATCH(H243,Inputs!$A$18:$A$24,0)),0))</f>
        <v>0.08</v>
      </c>
      <c r="AC243" s="28" t="n">
        <f aca="false">IF(OR(N(AB243)&lt;=0,N(N243)=0,N(L243)=0),"",MIN(L243,N243/AB243))</f>
        <v>16.40625</v>
      </c>
      <c r="AD243" s="29" t="n">
        <f aca="false">IF(OR(AC243="",N(O243)=0),"",AC243/O243-1)</f>
        <v>-0.162946428571429</v>
      </c>
      <c r="AE243" s="29" t="n">
        <f aca="false">IF(OR(AD243="",N(O243)=0),"",AD243+N243/O243)</f>
        <v>-0.0959821428571429</v>
      </c>
      <c r="AF243" s="32" t="n">
        <f aca="false">IF(OR(AE243="",N(Z243)=0),"",AE243-Z243)</f>
        <v>0</v>
      </c>
      <c r="AG243" s="28" t="n">
        <f aca="false">IF(AND(N(M243)&gt;0,N(L243)&gt;0),M243*L243,N243)</f>
        <v>1.3125</v>
      </c>
      <c r="AH243" s="28" t="n">
        <f aca="false">IF(OR(N(AB243)&lt;=0,N(AG243)=0,N(L243)=0),"",MIN(L243,AG243/AB243))</f>
        <v>16.40625</v>
      </c>
      <c r="AI243" s="29" t="n">
        <f aca="false">IF(OR(AH243="",N(O243)=0),"",AH243/O243-1)</f>
        <v>-0.162946428571429</v>
      </c>
      <c r="AJ243" s="29" t="n">
        <f aca="false">IF(OR(AI243="",N(O243)=0),"",AI243+AG243/O243)</f>
        <v>-0.0959821428571429</v>
      </c>
      <c r="AK243" s="32" t="n">
        <f aca="false">IF(OR(AJ243="",N(AE243)=0),"",AJ243-AE243)</f>
        <v>0</v>
      </c>
      <c r="AL243" s="33" t="n">
        <f aca="false">IF(N(F243)=0,"",INDEX(Inputs!$B$28:$B$32,IFERROR(MATCH(F243,Inputs!$A$28:$A$32,1),0)+1))</f>
        <v>0.075</v>
      </c>
      <c r="AM243" s="34"/>
      <c r="AN243" s="33" t="n">
        <f aca="false">IF(N(AM243)&gt;0,AM243,AL243)</f>
        <v>0.075</v>
      </c>
      <c r="AO243" s="29" t="n">
        <f aca="false">IF(N(AN243)=0,"",AN243+IF(I243="yes",AN243*Inputs!$B$10*Inputs!$B$9,0)+IFERROR(INDEX(Inputs!$B$13:$B$15,MATCH(G243,Inputs!$A$13:$A$15,0)),0)+IFERROR(INDEX(Inputs!$B$18:$B$24,MATCH(H243,Inputs!$A$18:$A$24,0)),0))</f>
        <v>0.075</v>
      </c>
      <c r="AP243" s="28" t="n">
        <f aca="false">IF(OR(N(AO243)&lt;=0,N(AG243)=0,N(L243)=0),"",MIN(L243,AG243/AO243))</f>
        <v>17.5</v>
      </c>
      <c r="AQ243" s="29" t="n">
        <f aca="false">IF(OR(AP243="",N(O243)=0),"",AP243/O243-1)</f>
        <v>-0.107142857142857</v>
      </c>
      <c r="AR243" s="29" t="n">
        <f aca="false">IF(OR(AQ243="",N(O243)=0),"",AQ243+AG243/O243)</f>
        <v>-0.0401785714285715</v>
      </c>
      <c r="AS243" s="32" t="n">
        <f aca="false">IF(OR(AR243="",N(AJ243)=0),"",AR243-AJ243)</f>
        <v>0.0558035714285714</v>
      </c>
      <c r="AT243" s="28" t="n">
        <v>25</v>
      </c>
      <c r="AU243" s="28" t="n">
        <v>1.31</v>
      </c>
      <c r="AV243" s="28" t="n">
        <f aca="false">IF(N(AT243)&gt;0,AT243,L243)</f>
        <v>25</v>
      </c>
      <c r="AW243" s="28" t="n">
        <f aca="false">IF(AND(N(M243)&gt;0,N(AV243)&gt;0),M243*AV243,IF(N(AU243)&gt;0,AU243,N243))</f>
        <v>1.3125</v>
      </c>
      <c r="AX243" s="29" t="n">
        <f aca="false">IF(N(AN243)=0,"",AN243+IF(I243="yes",AN243*Inputs!$B$10*Inputs!$B$9,0)+IFERROR(INDEX(Inputs!$B$13:$B$15,MATCH(G243,Inputs!$A$13:$A$15,0)),0)+IFERROR(INDEX(Inputs!$B$18:$B$24,MATCH(H243,Inputs!$A$18:$A$24,0)),0))</f>
        <v>0.075</v>
      </c>
      <c r="AY243" s="28" t="n">
        <f aca="false">IF(OR(N(AX243)&lt;=0,N(AW243)=0,N(AV243)=0),"",MIN(AV243,AW243/AX243))</f>
        <v>17.5</v>
      </c>
      <c r="AZ243" s="29" t="n">
        <f aca="false">IF(OR(AY243="",N(O243)=0),"",AY243/O243-1)</f>
        <v>-0.107142857142857</v>
      </c>
      <c r="BA243" s="29" t="n">
        <f aca="false">IF(OR(AZ243="",N(O243)=0),"",AZ243+AW243/O243)</f>
        <v>-0.0401785714285715</v>
      </c>
      <c r="BB243" s="32" t="n">
        <f aca="false">IF(OR(BA243="",N(AR243)=0),"",BA243-AR243)</f>
        <v>0</v>
      </c>
      <c r="BC243" s="35" t="n">
        <f aca="false">IF(OR(BA243="",N(U243)=0),"",BA243-U243)</f>
        <v>0.0558035714285714</v>
      </c>
      <c r="BD243" s="37"/>
    </row>
    <row r="244" customFormat="false" ht="15" hidden="false" customHeight="false" outlineLevel="0" collapsed="false">
      <c r="A244" s="2" t="s">
        <v>556</v>
      </c>
      <c r="B244" s="2" t="n">
        <v>37</v>
      </c>
      <c r="C244" s="2" t="s">
        <v>586</v>
      </c>
      <c r="D244" s="2" t="s">
        <v>584</v>
      </c>
      <c r="E244" s="2" t="s">
        <v>585</v>
      </c>
      <c r="F244" s="27" t="n">
        <v>71900</v>
      </c>
      <c r="G244" s="2" t="s">
        <v>51</v>
      </c>
      <c r="H244" s="2" t="s">
        <v>58</v>
      </c>
      <c r="I244" s="2" t="s">
        <v>144</v>
      </c>
      <c r="J244" s="2" t="s">
        <v>145</v>
      </c>
      <c r="K244" s="2" t="n">
        <v>4</v>
      </c>
      <c r="L244" s="28" t="n">
        <v>25</v>
      </c>
      <c r="M244" s="29" t="n">
        <v>0.0585</v>
      </c>
      <c r="N244" s="28" t="n">
        <v>1.4625</v>
      </c>
      <c r="O244" s="28" t="n">
        <v>21.92</v>
      </c>
      <c r="P244" s="2" t="s">
        <v>146</v>
      </c>
      <c r="Q244" s="29" t="n">
        <v>0.08</v>
      </c>
      <c r="R244" s="30" t="n">
        <v>0.08</v>
      </c>
      <c r="S244" s="31" t="n">
        <v>18.28125</v>
      </c>
      <c r="T244" s="30" t="n">
        <v>-0.166001368613139</v>
      </c>
      <c r="U244" s="30" t="n">
        <v>-0.0992814781021899</v>
      </c>
      <c r="V244" s="29" t="n">
        <v>0</v>
      </c>
      <c r="W244" s="29" t="n">
        <f aca="false">IF(N(Q244)=0,"",Q244+IF(I244="yes",Q244*Inputs!$B$10*Inputs!$B$9,0)+V244)</f>
        <v>0.08</v>
      </c>
      <c r="X244" s="28" t="n">
        <f aca="false">IF(OR(N(W244)&lt;=0,N(N244)=0,N(L244)=0),"",MIN(L244,N244/W244))</f>
        <v>18.28125</v>
      </c>
      <c r="Y244" s="29" t="n">
        <f aca="false">IF(OR(X244="",N(O244)=0),"",X244/O244-1)</f>
        <v>-0.166001368613139</v>
      </c>
      <c r="Z244" s="29" t="n">
        <f aca="false">IF(OR(Y244="",N(O244)=0),"",Y244+N244/O244)</f>
        <v>-0.0992814781021899</v>
      </c>
      <c r="AA244" s="32" t="n">
        <f aca="false">IF(OR(Z244="",N(U244)=0),"",Z244-U244)</f>
        <v>0</v>
      </c>
      <c r="AB244" s="29" t="n">
        <f aca="false">IF(N(Q244)=0,"",Q244+IF(I244="yes",Q244*Inputs!$B$10*Inputs!$B$9,0)+IFERROR(INDEX(Inputs!$B$13:$B$15,MATCH(G244,Inputs!$A$13:$A$15,0)),0)+IFERROR(INDEX(Inputs!$B$18:$B$24,MATCH(H244,Inputs!$A$18:$A$24,0)),0))</f>
        <v>0.08</v>
      </c>
      <c r="AC244" s="28" t="n">
        <f aca="false">IF(OR(N(AB244)&lt;=0,N(N244)=0,N(L244)=0),"",MIN(L244,N244/AB244))</f>
        <v>18.28125</v>
      </c>
      <c r="AD244" s="29" t="n">
        <f aca="false">IF(OR(AC244="",N(O244)=0),"",AC244/O244-1)</f>
        <v>-0.166001368613139</v>
      </c>
      <c r="AE244" s="29" t="n">
        <f aca="false">IF(OR(AD244="",N(O244)=0),"",AD244+N244/O244)</f>
        <v>-0.0992814781021899</v>
      </c>
      <c r="AF244" s="32" t="n">
        <f aca="false">IF(OR(AE244="",N(Z244)=0),"",AE244-Z244)</f>
        <v>0</v>
      </c>
      <c r="AG244" s="28" t="n">
        <f aca="false">IF(AND(N(M244)&gt;0,N(L244)&gt;0),M244*L244,N244)</f>
        <v>1.4625</v>
      </c>
      <c r="AH244" s="28" t="n">
        <f aca="false">IF(OR(N(AB244)&lt;=0,N(AG244)=0,N(L244)=0),"",MIN(L244,AG244/AB244))</f>
        <v>18.28125</v>
      </c>
      <c r="AI244" s="29" t="n">
        <f aca="false">IF(OR(AH244="",N(O244)=0),"",AH244/O244-1)</f>
        <v>-0.166001368613139</v>
      </c>
      <c r="AJ244" s="29" t="n">
        <f aca="false">IF(OR(AI244="",N(O244)=0),"",AI244+AG244/O244)</f>
        <v>-0.0992814781021898</v>
      </c>
      <c r="AK244" s="32" t="n">
        <f aca="false">IF(OR(AJ244="",N(AE244)=0),"",AJ244-AE244)</f>
        <v>0</v>
      </c>
      <c r="AL244" s="33" t="n">
        <f aca="false">IF(N(F244)=0,"",INDEX(Inputs!$B$28:$B$32,IFERROR(MATCH(F244,Inputs!$A$28:$A$32,1),0)+1))</f>
        <v>0.075</v>
      </c>
      <c r="AM244" s="34"/>
      <c r="AN244" s="33" t="n">
        <f aca="false">IF(N(AM244)&gt;0,AM244,AL244)</f>
        <v>0.075</v>
      </c>
      <c r="AO244" s="29" t="n">
        <f aca="false">IF(N(AN244)=0,"",AN244+IF(I244="yes",AN244*Inputs!$B$10*Inputs!$B$9,0)+IFERROR(INDEX(Inputs!$B$13:$B$15,MATCH(G244,Inputs!$A$13:$A$15,0)),0)+IFERROR(INDEX(Inputs!$B$18:$B$24,MATCH(H244,Inputs!$A$18:$A$24,0)),0))</f>
        <v>0.075</v>
      </c>
      <c r="AP244" s="28" t="n">
        <f aca="false">IF(OR(N(AO244)&lt;=0,N(AG244)=0,N(L244)=0),"",MIN(L244,AG244/AO244))</f>
        <v>19.5</v>
      </c>
      <c r="AQ244" s="29" t="n">
        <f aca="false">IF(OR(AP244="",N(O244)=0),"",AP244/O244-1)</f>
        <v>-0.110401459854015</v>
      </c>
      <c r="AR244" s="29" t="n">
        <f aca="false">IF(OR(AQ244="",N(O244)=0),"",AQ244+AG244/O244)</f>
        <v>-0.0436815693430656</v>
      </c>
      <c r="AS244" s="32" t="n">
        <f aca="false">IF(OR(AR244="",N(AJ244)=0),"",AR244-AJ244)</f>
        <v>0.0555999087591242</v>
      </c>
      <c r="AT244" s="28" t="n">
        <v>25</v>
      </c>
      <c r="AU244" s="28" t="n">
        <v>1.46</v>
      </c>
      <c r="AV244" s="28" t="n">
        <f aca="false">IF(N(AT244)&gt;0,AT244,L244)</f>
        <v>25</v>
      </c>
      <c r="AW244" s="28" t="n">
        <f aca="false">IF(AND(N(M244)&gt;0,N(AV244)&gt;0),M244*AV244,IF(N(AU244)&gt;0,AU244,N244))</f>
        <v>1.4625</v>
      </c>
      <c r="AX244" s="29" t="n">
        <f aca="false">IF(N(AN244)=0,"",AN244+IF(I244="yes",AN244*Inputs!$B$10*Inputs!$B$9,0)+IFERROR(INDEX(Inputs!$B$13:$B$15,MATCH(G244,Inputs!$A$13:$A$15,0)),0)+IFERROR(INDEX(Inputs!$B$18:$B$24,MATCH(H244,Inputs!$A$18:$A$24,0)),0))</f>
        <v>0.075</v>
      </c>
      <c r="AY244" s="28" t="n">
        <f aca="false">IF(OR(N(AX244)&lt;=0,N(AW244)=0,N(AV244)=0),"",MIN(AV244,AW244/AX244))</f>
        <v>19.5</v>
      </c>
      <c r="AZ244" s="29" t="n">
        <f aca="false">IF(OR(AY244="",N(O244)=0),"",AY244/O244-1)</f>
        <v>-0.110401459854015</v>
      </c>
      <c r="BA244" s="29" t="n">
        <f aca="false">IF(OR(AZ244="",N(O244)=0),"",AZ244+AW244/O244)</f>
        <v>-0.0436815693430656</v>
      </c>
      <c r="BB244" s="32" t="n">
        <f aca="false">IF(OR(BA244="",N(AR244)=0),"",BA244-AR244)</f>
        <v>0</v>
      </c>
      <c r="BC244" s="35" t="n">
        <f aca="false">IF(OR(BA244="",N(U244)=0),"",BA244-U244)</f>
        <v>0.0555999087591243</v>
      </c>
      <c r="BD244" s="37"/>
    </row>
    <row r="245" customFormat="false" ht="15" hidden="false" customHeight="false" outlineLevel="0" collapsed="false">
      <c r="A245" s="2" t="s">
        <v>556</v>
      </c>
      <c r="B245" s="2" t="n">
        <v>38</v>
      </c>
      <c r="C245" s="2" t="s">
        <v>587</v>
      </c>
      <c r="D245" s="2" t="s">
        <v>584</v>
      </c>
      <c r="E245" s="2" t="s">
        <v>585</v>
      </c>
      <c r="F245" s="27" t="n">
        <v>71900</v>
      </c>
      <c r="G245" s="2" t="s">
        <v>51</v>
      </c>
      <c r="H245" s="2" t="s">
        <v>58</v>
      </c>
      <c r="I245" s="2" t="s">
        <v>144</v>
      </c>
      <c r="J245" s="2" t="s">
        <v>145</v>
      </c>
      <c r="K245" s="2" t="n">
        <v>4</v>
      </c>
      <c r="L245" s="28" t="n">
        <v>25</v>
      </c>
      <c r="M245" s="29" t="n">
        <v>0.052</v>
      </c>
      <c r="N245" s="28" t="n">
        <v>1.3</v>
      </c>
      <c r="O245" s="28" t="n">
        <v>19.33</v>
      </c>
      <c r="P245" s="2" t="s">
        <v>146</v>
      </c>
      <c r="Q245" s="29" t="n">
        <v>0.08</v>
      </c>
      <c r="R245" s="30" t="n">
        <v>0.08</v>
      </c>
      <c r="S245" s="31" t="n">
        <v>16.25</v>
      </c>
      <c r="T245" s="30" t="n">
        <v>-0.159337816864977</v>
      </c>
      <c r="U245" s="30" t="n">
        <v>-0.092084842214175</v>
      </c>
      <c r="V245" s="29" t="n">
        <v>0</v>
      </c>
      <c r="W245" s="29" t="n">
        <f aca="false">IF(N(Q245)=0,"",Q245+IF(I245="yes",Q245*Inputs!$B$10*Inputs!$B$9,0)+V245)</f>
        <v>0.08</v>
      </c>
      <c r="X245" s="28" t="n">
        <f aca="false">IF(OR(N(W245)&lt;=0,N(N245)=0,N(L245)=0),"",MIN(L245,N245/W245))</f>
        <v>16.25</v>
      </c>
      <c r="Y245" s="29" t="n">
        <f aca="false">IF(OR(X245="",N(O245)=0),"",X245/O245-1)</f>
        <v>-0.159337816864977</v>
      </c>
      <c r="Z245" s="29" t="n">
        <f aca="false">IF(OR(Y245="",N(O245)=0),"",Y245+N245/O245)</f>
        <v>-0.0920848422141748</v>
      </c>
      <c r="AA245" s="32" t="n">
        <f aca="false">IF(OR(Z245="",N(U245)=0),"",Z245-U245)</f>
        <v>0</v>
      </c>
      <c r="AB245" s="29" t="n">
        <f aca="false">IF(N(Q245)=0,"",Q245+IF(I245="yes",Q245*Inputs!$B$10*Inputs!$B$9,0)+IFERROR(INDEX(Inputs!$B$13:$B$15,MATCH(G245,Inputs!$A$13:$A$15,0)),0)+IFERROR(INDEX(Inputs!$B$18:$B$24,MATCH(H245,Inputs!$A$18:$A$24,0)),0))</f>
        <v>0.08</v>
      </c>
      <c r="AC245" s="28" t="n">
        <f aca="false">IF(OR(N(AB245)&lt;=0,N(N245)=0,N(L245)=0),"",MIN(L245,N245/AB245))</f>
        <v>16.25</v>
      </c>
      <c r="AD245" s="29" t="n">
        <f aca="false">IF(OR(AC245="",N(O245)=0),"",AC245/O245-1)</f>
        <v>-0.159337816864977</v>
      </c>
      <c r="AE245" s="29" t="n">
        <f aca="false">IF(OR(AD245="",N(O245)=0),"",AD245+N245/O245)</f>
        <v>-0.0920848422141748</v>
      </c>
      <c r="AF245" s="32" t="n">
        <f aca="false">IF(OR(AE245="",N(Z245)=0),"",AE245-Z245)</f>
        <v>0</v>
      </c>
      <c r="AG245" s="28" t="n">
        <f aca="false">IF(AND(N(M245)&gt;0,N(L245)&gt;0),M245*L245,N245)</f>
        <v>1.3</v>
      </c>
      <c r="AH245" s="28" t="n">
        <f aca="false">IF(OR(N(AB245)&lt;=0,N(AG245)=0,N(L245)=0),"",MIN(L245,AG245/AB245))</f>
        <v>16.25</v>
      </c>
      <c r="AI245" s="29" t="n">
        <f aca="false">IF(OR(AH245="",N(O245)=0),"",AH245/O245-1)</f>
        <v>-0.159337816864977</v>
      </c>
      <c r="AJ245" s="29" t="n">
        <f aca="false">IF(OR(AI245="",N(O245)=0),"",AI245+AG245/O245)</f>
        <v>-0.0920848422141748</v>
      </c>
      <c r="AK245" s="32" t="n">
        <f aca="false">IF(OR(AJ245="",N(AE245)=0),"",AJ245-AE245)</f>
        <v>0</v>
      </c>
      <c r="AL245" s="33" t="n">
        <f aca="false">IF(N(F245)=0,"",INDEX(Inputs!$B$28:$B$32,IFERROR(MATCH(F245,Inputs!$A$28:$A$32,1),0)+1))</f>
        <v>0.075</v>
      </c>
      <c r="AM245" s="34"/>
      <c r="AN245" s="33" t="n">
        <f aca="false">IF(N(AM245)&gt;0,AM245,AL245)</f>
        <v>0.075</v>
      </c>
      <c r="AO245" s="29" t="n">
        <f aca="false">IF(N(AN245)=0,"",AN245+IF(I245="yes",AN245*Inputs!$B$10*Inputs!$B$9,0)+IFERROR(INDEX(Inputs!$B$13:$B$15,MATCH(G245,Inputs!$A$13:$A$15,0)),0)+IFERROR(INDEX(Inputs!$B$18:$B$24,MATCH(H245,Inputs!$A$18:$A$24,0)),0))</f>
        <v>0.075</v>
      </c>
      <c r="AP245" s="28" t="n">
        <f aca="false">IF(OR(N(AO245)&lt;=0,N(AG245)=0,N(L245)=0),"",MIN(L245,AG245/AO245))</f>
        <v>17.3333333333333</v>
      </c>
      <c r="AQ245" s="29" t="n">
        <f aca="false">IF(OR(AP245="",N(O245)=0),"",AP245/O245-1)</f>
        <v>-0.103293671322642</v>
      </c>
      <c r="AR245" s="29" t="n">
        <f aca="false">IF(OR(AQ245="",N(O245)=0),"",AQ245+AG245/O245)</f>
        <v>-0.0360406966718398</v>
      </c>
      <c r="AS245" s="32" t="n">
        <f aca="false">IF(OR(AR245="",N(AJ245)=0),"",AR245-AJ245)</f>
        <v>0.0560441455423349</v>
      </c>
      <c r="AT245" s="28" t="n">
        <v>25</v>
      </c>
      <c r="AU245" s="28" t="n">
        <v>1.3</v>
      </c>
      <c r="AV245" s="28" t="n">
        <f aca="false">IF(N(AT245)&gt;0,AT245,L245)</f>
        <v>25</v>
      </c>
      <c r="AW245" s="28" t="n">
        <f aca="false">IF(AND(N(M245)&gt;0,N(AV245)&gt;0),M245*AV245,IF(N(AU245)&gt;0,AU245,N245))</f>
        <v>1.3</v>
      </c>
      <c r="AX245" s="29" t="n">
        <f aca="false">IF(N(AN245)=0,"",AN245+IF(I245="yes",AN245*Inputs!$B$10*Inputs!$B$9,0)+IFERROR(INDEX(Inputs!$B$13:$B$15,MATCH(G245,Inputs!$A$13:$A$15,0)),0)+IFERROR(INDEX(Inputs!$B$18:$B$24,MATCH(H245,Inputs!$A$18:$A$24,0)),0))</f>
        <v>0.075</v>
      </c>
      <c r="AY245" s="28" t="n">
        <f aca="false">IF(OR(N(AX245)&lt;=0,N(AW245)=0,N(AV245)=0),"",MIN(AV245,AW245/AX245))</f>
        <v>17.3333333333333</v>
      </c>
      <c r="AZ245" s="29" t="n">
        <f aca="false">IF(OR(AY245="",N(O245)=0),"",AY245/O245-1)</f>
        <v>-0.103293671322642</v>
      </c>
      <c r="BA245" s="29" t="n">
        <f aca="false">IF(OR(AZ245="",N(O245)=0),"",AZ245+AW245/O245)</f>
        <v>-0.0360406966718398</v>
      </c>
      <c r="BB245" s="32" t="n">
        <f aca="false">IF(OR(BA245="",N(AR245)=0),"",BA245-AR245)</f>
        <v>0</v>
      </c>
      <c r="BC245" s="35" t="n">
        <f aca="false">IF(OR(BA245="",N(U245)=0),"",BA245-U245)</f>
        <v>0.0560441455423352</v>
      </c>
      <c r="BD245" s="37"/>
    </row>
    <row r="246" customFormat="false" ht="15" hidden="false" customHeight="false" outlineLevel="0" collapsed="false">
      <c r="A246" s="2" t="s">
        <v>556</v>
      </c>
      <c r="B246" s="2" t="n">
        <v>41</v>
      </c>
      <c r="C246" s="2" t="s">
        <v>588</v>
      </c>
      <c r="D246" s="2" t="s">
        <v>589</v>
      </c>
      <c r="E246" s="2" t="s">
        <v>590</v>
      </c>
      <c r="F246" s="27" t="n">
        <v>2600</v>
      </c>
      <c r="G246" s="2" t="s">
        <v>51</v>
      </c>
      <c r="H246" s="2" t="s">
        <v>58</v>
      </c>
      <c r="I246" s="2" t="s">
        <v>144</v>
      </c>
      <c r="J246" s="2" t="s">
        <v>145</v>
      </c>
      <c r="K246" s="2" t="n">
        <v>4</v>
      </c>
      <c r="L246" s="28" t="n">
        <v>25</v>
      </c>
      <c r="M246" s="29" t="n">
        <v>0.0825</v>
      </c>
      <c r="N246" s="28" t="n">
        <v>2.0625</v>
      </c>
      <c r="O246" s="28" t="n">
        <v>0</v>
      </c>
      <c r="P246" s="2" t="s">
        <v>146</v>
      </c>
      <c r="Q246" s="29" t="n">
        <v>0.09</v>
      </c>
      <c r="R246" s="30" t="n">
        <v>0.09</v>
      </c>
      <c r="S246" s="31" t="n">
        <v>22.9166666666667</v>
      </c>
      <c r="T246" s="30"/>
      <c r="U246" s="30"/>
      <c r="V246" s="29" t="n">
        <v>0</v>
      </c>
      <c r="W246" s="29" t="n">
        <f aca="false">IF(N(Q246)=0,"",Q246+IF(I246="yes",Q246*Inputs!$B$10*Inputs!$B$9,0)+V246)</f>
        <v>0.09</v>
      </c>
      <c r="X246" s="28" t="n">
        <f aca="false">IF(OR(N(W246)&lt;=0,N(N246)=0,N(L246)=0),"",MIN(L246,N246/W246))</f>
        <v>22.9166666666667</v>
      </c>
      <c r="Y246" s="29" t="str">
        <f aca="false">IF(OR(X246="",N(O246)=0),"",X246/O246-1)</f>
        <v/>
      </c>
      <c r="Z246" s="29" t="str">
        <f aca="false">IF(OR(Y246="",N(O246)=0),"",Y246+N246/O246)</f>
        <v/>
      </c>
      <c r="AA246" s="32" t="str">
        <f aca="false">IF(OR(Z246="",N(U246)=0),"",Z246-U246)</f>
        <v/>
      </c>
      <c r="AB246" s="29" t="n">
        <f aca="false">IF(N(Q246)=0,"",Q246+IF(I246="yes",Q246*Inputs!$B$10*Inputs!$B$9,0)+IFERROR(INDEX(Inputs!$B$13:$B$15,MATCH(G246,Inputs!$A$13:$A$15,0)),0)+IFERROR(INDEX(Inputs!$B$18:$B$24,MATCH(H246,Inputs!$A$18:$A$24,0)),0))</f>
        <v>0.09</v>
      </c>
      <c r="AC246" s="28" t="n">
        <f aca="false">IF(OR(N(AB246)&lt;=0,N(N246)=0,N(L246)=0),"",MIN(L246,N246/AB246))</f>
        <v>22.9166666666667</v>
      </c>
      <c r="AD246" s="29" t="str">
        <f aca="false">IF(OR(AC246="",N(O246)=0),"",AC246/O246-1)</f>
        <v/>
      </c>
      <c r="AE246" s="29" t="str">
        <f aca="false">IF(OR(AD246="",N(O246)=0),"",AD246+N246/O246)</f>
        <v/>
      </c>
      <c r="AF246" s="32" t="str">
        <f aca="false">IF(OR(AE246="",N(Z246)=0),"",AE246-Z246)</f>
        <v/>
      </c>
      <c r="AG246" s="28" t="n">
        <f aca="false">IF(AND(N(M246)&gt;0,N(L246)&gt;0),M246*L246,N246)</f>
        <v>2.0625</v>
      </c>
      <c r="AH246" s="28" t="n">
        <f aca="false">IF(OR(N(AB246)&lt;=0,N(AG246)=0,N(L246)=0),"",MIN(L246,AG246/AB246))</f>
        <v>22.9166666666667</v>
      </c>
      <c r="AI246" s="29" t="str">
        <f aca="false">IF(OR(AH246="",N(O246)=0),"",AH246/O246-1)</f>
        <v/>
      </c>
      <c r="AJ246" s="29" t="str">
        <f aca="false">IF(OR(AI246="",N(O246)=0),"",AI246+AG246/O246)</f>
        <v/>
      </c>
      <c r="AK246" s="32" t="str">
        <f aca="false">IF(OR(AJ246="",N(AE246)=0),"",AJ246-AE246)</f>
        <v/>
      </c>
      <c r="AL246" s="33" t="n">
        <f aca="false">IF(N(F246)=0,"",INDEX(Inputs!$B$28:$B$32,IFERROR(MATCH(F246,Inputs!$A$28:$A$32,1),0)+1))</f>
        <v>0.085</v>
      </c>
      <c r="AM246" s="34"/>
      <c r="AN246" s="33" t="n">
        <f aca="false">IF(N(AM246)&gt;0,AM246,AL246)</f>
        <v>0.085</v>
      </c>
      <c r="AO246" s="29" t="n">
        <f aca="false">IF(N(AN246)=0,"",AN246+IF(I246="yes",AN246*Inputs!$B$10*Inputs!$B$9,0)+IFERROR(INDEX(Inputs!$B$13:$B$15,MATCH(G246,Inputs!$A$13:$A$15,0)),0)+IFERROR(INDEX(Inputs!$B$18:$B$24,MATCH(H246,Inputs!$A$18:$A$24,0)),0))</f>
        <v>0.085</v>
      </c>
      <c r="AP246" s="28" t="n">
        <f aca="false">IF(OR(N(AO246)&lt;=0,N(AG246)=0,N(L246)=0),"",MIN(L246,AG246/AO246))</f>
        <v>24.2647058823529</v>
      </c>
      <c r="AQ246" s="29" t="str">
        <f aca="false">IF(OR(AP246="",N(O246)=0),"",AP246/O246-1)</f>
        <v/>
      </c>
      <c r="AR246" s="29" t="str">
        <f aca="false">IF(OR(AQ246="",N(O246)=0),"",AQ246+AG246/O246)</f>
        <v/>
      </c>
      <c r="AS246" s="32" t="str">
        <f aca="false">IF(OR(AR246="",N(AJ246)=0),"",AR246-AJ246)</f>
        <v/>
      </c>
      <c r="AT246" s="28" t="n">
        <v>25</v>
      </c>
      <c r="AU246" s="28" t="n">
        <v>2.0625</v>
      </c>
      <c r="AV246" s="28" t="n">
        <f aca="false">IF(N(AT246)&gt;0,AT246,L246)</f>
        <v>25</v>
      </c>
      <c r="AW246" s="28" t="n">
        <f aca="false">IF(AND(N(M246)&gt;0,N(AV246)&gt;0),M246*AV246,IF(N(AU246)&gt;0,AU246,N246))</f>
        <v>2.0625</v>
      </c>
      <c r="AX246" s="29" t="n">
        <f aca="false">IF(N(AN246)=0,"",AN246+IF(I246="yes",AN246*Inputs!$B$10*Inputs!$B$9,0)+IFERROR(INDEX(Inputs!$B$13:$B$15,MATCH(G246,Inputs!$A$13:$A$15,0)),0)+IFERROR(INDEX(Inputs!$B$18:$B$24,MATCH(H246,Inputs!$A$18:$A$24,0)),0))</f>
        <v>0.085</v>
      </c>
      <c r="AY246" s="28" t="n">
        <f aca="false">IF(OR(N(AX246)&lt;=0,N(AW246)=0,N(AV246)=0),"",MIN(AV246,AW246/AX246))</f>
        <v>24.2647058823529</v>
      </c>
      <c r="AZ246" s="29" t="str">
        <f aca="false">IF(OR(AY246="",N(O246)=0),"",AY246/O246-1)</f>
        <v/>
      </c>
      <c r="BA246" s="29" t="str">
        <f aca="false">IF(OR(AZ246="",N(O246)=0),"",AZ246+AW246/O246)</f>
        <v/>
      </c>
      <c r="BB246" s="32" t="str">
        <f aca="false">IF(OR(BA246="",N(AR246)=0),"",BA246-AR246)</f>
        <v/>
      </c>
      <c r="BC246" s="35" t="str">
        <f aca="false">IF(OR(BA246="",N(U246)=0),"",BA246-U246)</f>
        <v/>
      </c>
      <c r="BD246" s="36" t="s">
        <v>299</v>
      </c>
    </row>
    <row r="247" customFormat="false" ht="15" hidden="false" customHeight="false" outlineLevel="0" collapsed="false">
      <c r="A247" s="2" t="s">
        <v>556</v>
      </c>
      <c r="B247" s="2" t="n">
        <v>45</v>
      </c>
      <c r="C247" s="2" t="s">
        <v>591</v>
      </c>
      <c r="D247" s="2" t="s">
        <v>592</v>
      </c>
      <c r="E247" s="2" t="s">
        <v>143</v>
      </c>
      <c r="F247" s="27"/>
      <c r="G247" s="2" t="s">
        <v>51</v>
      </c>
      <c r="H247" s="2" t="s">
        <v>58</v>
      </c>
      <c r="I247" s="2" t="s">
        <v>144</v>
      </c>
      <c r="J247" s="2" t="s">
        <v>145</v>
      </c>
      <c r="K247" s="2" t="n">
        <v>4</v>
      </c>
      <c r="L247" s="28" t="n">
        <v>25</v>
      </c>
      <c r="M247" s="29" t="n">
        <v>0.08375</v>
      </c>
      <c r="N247" s="28" t="n">
        <v>2.09375</v>
      </c>
      <c r="O247" s="28" t="n">
        <v>0</v>
      </c>
      <c r="P247" s="2" t="s">
        <v>146</v>
      </c>
      <c r="Q247" s="29" t="n">
        <v>0</v>
      </c>
      <c r="R247" s="30" t="n">
        <v>0</v>
      </c>
      <c r="S247" s="31"/>
      <c r="T247" s="30"/>
      <c r="U247" s="30"/>
      <c r="V247" s="29" t="n">
        <v>0</v>
      </c>
      <c r="W247" s="29" t="str">
        <f aca="false">IF(N(Q247)=0,"",Q247+IF(I247="yes",Q247*Inputs!$B$10*Inputs!$B$9,0)+V247)</f>
        <v/>
      </c>
      <c r="X247" s="28" t="str">
        <f aca="false">IF(OR(N(W247)&lt;=0,N(N247)=0,N(L247)=0),"",MIN(L247,N247/W247))</f>
        <v/>
      </c>
      <c r="Y247" s="29" t="str">
        <f aca="false">IF(OR(X247="",N(O247)=0),"",X247/O247-1)</f>
        <v/>
      </c>
      <c r="Z247" s="29" t="str">
        <f aca="false">IF(OR(Y247="",N(O247)=0),"",Y247+N247/O247)</f>
        <v/>
      </c>
      <c r="AA247" s="32" t="str">
        <f aca="false">IF(OR(Z247="",N(U247)=0),"",Z247-U247)</f>
        <v/>
      </c>
      <c r="AB247" s="29" t="str">
        <f aca="false">IF(N(Q247)=0,"",Q247+IF(I247="yes",Q247*Inputs!$B$10*Inputs!$B$9,0)+IFERROR(INDEX(Inputs!$B$13:$B$15,MATCH(G247,Inputs!$A$13:$A$15,0)),0)+IFERROR(INDEX(Inputs!$B$18:$B$24,MATCH(H247,Inputs!$A$18:$A$24,0)),0))</f>
        <v/>
      </c>
      <c r="AC247" s="28" t="str">
        <f aca="false">IF(OR(N(AB247)&lt;=0,N(N247)=0,N(L247)=0),"",MIN(L247,N247/AB247))</f>
        <v/>
      </c>
      <c r="AD247" s="29" t="str">
        <f aca="false">IF(OR(AC247="",N(O247)=0),"",AC247/O247-1)</f>
        <v/>
      </c>
      <c r="AE247" s="29" t="str">
        <f aca="false">IF(OR(AD247="",N(O247)=0),"",AD247+N247/O247)</f>
        <v/>
      </c>
      <c r="AF247" s="32" t="str">
        <f aca="false">IF(OR(AE247="",N(Z247)=0),"",AE247-Z247)</f>
        <v/>
      </c>
      <c r="AG247" s="28" t="n">
        <f aca="false">IF(AND(N(M247)&gt;0,N(L247)&gt;0),M247*L247,N247)</f>
        <v>2.09375</v>
      </c>
      <c r="AH247" s="28" t="str">
        <f aca="false">IF(OR(N(AB247)&lt;=0,N(AG247)=0,N(L247)=0),"",MIN(L247,AG247/AB247))</f>
        <v/>
      </c>
      <c r="AI247" s="29" t="str">
        <f aca="false">IF(OR(AH247="",N(O247)=0),"",AH247/O247-1)</f>
        <v/>
      </c>
      <c r="AJ247" s="29" t="str">
        <f aca="false">IF(OR(AI247="",N(O247)=0),"",AI247+AG247/O247)</f>
        <v/>
      </c>
      <c r="AK247" s="32" t="str">
        <f aca="false">IF(OR(AJ247="",N(AE247)=0),"",AJ247-AE247)</f>
        <v/>
      </c>
      <c r="AL247" s="33" t="str">
        <f aca="false">IF(N(F247)=0,"",INDEX(Inputs!$B$28:$B$32,IFERROR(MATCH(F247,Inputs!$A$28:$A$32,1),0)+1))</f>
        <v/>
      </c>
      <c r="AM247" s="34"/>
      <c r="AN247" s="33" t="str">
        <f aca="false">IF(N(AM247)&gt;0,AM247,AL247)</f>
        <v/>
      </c>
      <c r="AO247" s="29" t="str">
        <f aca="false">IF(N(AN247)=0,"",AN247+IF(I247="yes",AN247*Inputs!$B$10*Inputs!$B$9,0)+IFERROR(INDEX(Inputs!$B$13:$B$15,MATCH(G247,Inputs!$A$13:$A$15,0)),0)+IFERROR(INDEX(Inputs!$B$18:$B$24,MATCH(H247,Inputs!$A$18:$A$24,0)),0))</f>
        <v/>
      </c>
      <c r="AP247" s="28" t="str">
        <f aca="false">IF(OR(N(AO247)&lt;=0,N(AG247)=0,N(L247)=0),"",MIN(L247,AG247/AO247))</f>
        <v/>
      </c>
      <c r="AQ247" s="29" t="str">
        <f aca="false">IF(OR(AP247="",N(O247)=0),"",AP247/O247-1)</f>
        <v/>
      </c>
      <c r="AR247" s="29" t="str">
        <f aca="false">IF(OR(AQ247="",N(O247)=0),"",AQ247+AG247/O247)</f>
        <v/>
      </c>
      <c r="AS247" s="32" t="str">
        <f aca="false">IF(OR(AR247="",N(AJ247)=0),"",AR247-AJ247)</f>
        <v/>
      </c>
      <c r="AT247" s="28" t="n">
        <v>25</v>
      </c>
      <c r="AU247" s="28" t="n">
        <v>2.09</v>
      </c>
      <c r="AV247" s="28" t="n">
        <f aca="false">IF(N(AT247)&gt;0,AT247,L247)</f>
        <v>25</v>
      </c>
      <c r="AW247" s="28" t="n">
        <f aca="false">IF(AND(N(M247)&gt;0,N(AV247)&gt;0),M247*AV247,IF(N(AU247)&gt;0,AU247,N247))</f>
        <v>2.09375</v>
      </c>
      <c r="AX247" s="29" t="str">
        <f aca="false">IF(N(AN247)=0,"",AN247+IF(I247="yes",AN247*Inputs!$B$10*Inputs!$B$9,0)+IFERROR(INDEX(Inputs!$B$13:$B$15,MATCH(G247,Inputs!$A$13:$A$15,0)),0)+IFERROR(INDEX(Inputs!$B$18:$B$24,MATCH(H247,Inputs!$A$18:$A$24,0)),0))</f>
        <v/>
      </c>
      <c r="AY247" s="28" t="str">
        <f aca="false">IF(OR(N(AX247)&lt;=0,N(AW247)=0,N(AV247)=0),"",MIN(AV247,AW247/AX247))</f>
        <v/>
      </c>
      <c r="AZ247" s="29" t="str">
        <f aca="false">IF(OR(AY247="",N(O247)=0),"",AY247/O247-1)</f>
        <v/>
      </c>
      <c r="BA247" s="29" t="str">
        <f aca="false">IF(OR(AZ247="",N(O247)=0),"",AZ247+AW247/O247)</f>
        <v/>
      </c>
      <c r="BB247" s="32" t="str">
        <f aca="false">IF(OR(BA247="",N(AR247)=0),"",BA247-AR247)</f>
        <v/>
      </c>
      <c r="BC247" s="35" t="str">
        <f aca="false">IF(OR(BA247="",N(U247)=0),"",BA247-U247)</f>
        <v/>
      </c>
      <c r="BD247" s="36" t="s">
        <v>302</v>
      </c>
    </row>
    <row r="248" customFormat="false" ht="15" hidden="false" customHeight="false" outlineLevel="0" collapsed="false">
      <c r="A248" s="2" t="s">
        <v>556</v>
      </c>
      <c r="B248" s="2" t="n">
        <v>46</v>
      </c>
      <c r="C248" s="2" t="s">
        <v>593</v>
      </c>
      <c r="D248" s="2" t="s">
        <v>592</v>
      </c>
      <c r="E248" s="2" t="s">
        <v>143</v>
      </c>
      <c r="F248" s="27"/>
      <c r="G248" s="2" t="s">
        <v>51</v>
      </c>
      <c r="H248" s="2" t="s">
        <v>58</v>
      </c>
      <c r="I248" s="2" t="s">
        <v>144</v>
      </c>
      <c r="J248" s="2" t="s">
        <v>145</v>
      </c>
      <c r="K248" s="2" t="n">
        <v>4</v>
      </c>
      <c r="L248" s="28" t="n">
        <v>25</v>
      </c>
      <c r="M248" s="29" t="n">
        <v>0.0805</v>
      </c>
      <c r="N248" s="28" t="n">
        <v>2.0125</v>
      </c>
      <c r="O248" s="28" t="n">
        <v>0</v>
      </c>
      <c r="P248" s="2" t="s">
        <v>146</v>
      </c>
      <c r="Q248" s="29" t="n">
        <v>0</v>
      </c>
      <c r="R248" s="30" t="n">
        <v>0</v>
      </c>
      <c r="S248" s="31"/>
      <c r="T248" s="30"/>
      <c r="U248" s="30"/>
      <c r="V248" s="29" t="n">
        <v>0</v>
      </c>
      <c r="W248" s="29" t="str">
        <f aca="false">IF(N(Q248)=0,"",Q248+IF(I248="yes",Q248*Inputs!$B$10*Inputs!$B$9,0)+V248)</f>
        <v/>
      </c>
      <c r="X248" s="28" t="str">
        <f aca="false">IF(OR(N(W248)&lt;=0,N(N248)=0,N(L248)=0),"",MIN(L248,N248/W248))</f>
        <v/>
      </c>
      <c r="Y248" s="29" t="str">
        <f aca="false">IF(OR(X248="",N(O248)=0),"",X248/O248-1)</f>
        <v/>
      </c>
      <c r="Z248" s="29" t="str">
        <f aca="false">IF(OR(Y248="",N(O248)=0),"",Y248+N248/O248)</f>
        <v/>
      </c>
      <c r="AA248" s="32" t="str">
        <f aca="false">IF(OR(Z248="",N(U248)=0),"",Z248-U248)</f>
        <v/>
      </c>
      <c r="AB248" s="29" t="str">
        <f aca="false">IF(N(Q248)=0,"",Q248+IF(I248="yes",Q248*Inputs!$B$10*Inputs!$B$9,0)+IFERROR(INDEX(Inputs!$B$13:$B$15,MATCH(G248,Inputs!$A$13:$A$15,0)),0)+IFERROR(INDEX(Inputs!$B$18:$B$24,MATCH(H248,Inputs!$A$18:$A$24,0)),0))</f>
        <v/>
      </c>
      <c r="AC248" s="28" t="str">
        <f aca="false">IF(OR(N(AB248)&lt;=0,N(N248)=0,N(L248)=0),"",MIN(L248,N248/AB248))</f>
        <v/>
      </c>
      <c r="AD248" s="29" t="str">
        <f aca="false">IF(OR(AC248="",N(O248)=0),"",AC248/O248-1)</f>
        <v/>
      </c>
      <c r="AE248" s="29" t="str">
        <f aca="false">IF(OR(AD248="",N(O248)=0),"",AD248+N248/O248)</f>
        <v/>
      </c>
      <c r="AF248" s="32" t="str">
        <f aca="false">IF(OR(AE248="",N(Z248)=0),"",AE248-Z248)</f>
        <v/>
      </c>
      <c r="AG248" s="28" t="n">
        <f aca="false">IF(AND(N(M248)&gt;0,N(L248)&gt;0),M248*L248,N248)</f>
        <v>2.0125</v>
      </c>
      <c r="AH248" s="28" t="str">
        <f aca="false">IF(OR(N(AB248)&lt;=0,N(AG248)=0,N(L248)=0),"",MIN(L248,AG248/AB248))</f>
        <v/>
      </c>
      <c r="AI248" s="29" t="str">
        <f aca="false">IF(OR(AH248="",N(O248)=0),"",AH248/O248-1)</f>
        <v/>
      </c>
      <c r="AJ248" s="29" t="str">
        <f aca="false">IF(OR(AI248="",N(O248)=0),"",AI248+AG248/O248)</f>
        <v/>
      </c>
      <c r="AK248" s="32" t="str">
        <f aca="false">IF(OR(AJ248="",N(AE248)=0),"",AJ248-AE248)</f>
        <v/>
      </c>
      <c r="AL248" s="33" t="str">
        <f aca="false">IF(N(F248)=0,"",INDEX(Inputs!$B$28:$B$32,IFERROR(MATCH(F248,Inputs!$A$28:$A$32,1),0)+1))</f>
        <v/>
      </c>
      <c r="AM248" s="34"/>
      <c r="AN248" s="33" t="str">
        <f aca="false">IF(N(AM248)&gt;0,AM248,AL248)</f>
        <v/>
      </c>
      <c r="AO248" s="29" t="str">
        <f aca="false">IF(N(AN248)=0,"",AN248+IF(I248="yes",AN248*Inputs!$B$10*Inputs!$B$9,0)+IFERROR(INDEX(Inputs!$B$13:$B$15,MATCH(G248,Inputs!$A$13:$A$15,0)),0)+IFERROR(INDEX(Inputs!$B$18:$B$24,MATCH(H248,Inputs!$A$18:$A$24,0)),0))</f>
        <v/>
      </c>
      <c r="AP248" s="28" t="str">
        <f aca="false">IF(OR(N(AO248)&lt;=0,N(AG248)=0,N(L248)=0),"",MIN(L248,AG248/AO248))</f>
        <v/>
      </c>
      <c r="AQ248" s="29" t="str">
        <f aca="false">IF(OR(AP248="",N(O248)=0),"",AP248/O248-1)</f>
        <v/>
      </c>
      <c r="AR248" s="29" t="str">
        <f aca="false">IF(OR(AQ248="",N(O248)=0),"",AQ248+AG248/O248)</f>
        <v/>
      </c>
      <c r="AS248" s="32" t="str">
        <f aca="false">IF(OR(AR248="",N(AJ248)=0),"",AR248-AJ248)</f>
        <v/>
      </c>
      <c r="AT248" s="28" t="n">
        <v>25</v>
      </c>
      <c r="AU248" s="28" t="n">
        <v>2.01</v>
      </c>
      <c r="AV248" s="28" t="n">
        <f aca="false">IF(N(AT248)&gt;0,AT248,L248)</f>
        <v>25</v>
      </c>
      <c r="AW248" s="28" t="n">
        <f aca="false">IF(AND(N(M248)&gt;0,N(AV248)&gt;0),M248*AV248,IF(N(AU248)&gt;0,AU248,N248))</f>
        <v>2.0125</v>
      </c>
      <c r="AX248" s="29" t="str">
        <f aca="false">IF(N(AN248)=0,"",AN248+IF(I248="yes",AN248*Inputs!$B$10*Inputs!$B$9,0)+IFERROR(INDEX(Inputs!$B$13:$B$15,MATCH(G248,Inputs!$A$13:$A$15,0)),0)+IFERROR(INDEX(Inputs!$B$18:$B$24,MATCH(H248,Inputs!$A$18:$A$24,0)),0))</f>
        <v/>
      </c>
      <c r="AY248" s="28" t="str">
        <f aca="false">IF(OR(N(AX248)&lt;=0,N(AW248)=0,N(AV248)=0),"",MIN(AV248,AW248/AX248))</f>
        <v/>
      </c>
      <c r="AZ248" s="29" t="str">
        <f aca="false">IF(OR(AY248="",N(O248)=0),"",AY248/O248-1)</f>
        <v/>
      </c>
      <c r="BA248" s="29" t="str">
        <f aca="false">IF(OR(AZ248="",N(O248)=0),"",AZ248+AW248/O248)</f>
        <v/>
      </c>
      <c r="BB248" s="32" t="str">
        <f aca="false">IF(OR(BA248="",N(AR248)=0),"",BA248-AR248)</f>
        <v/>
      </c>
      <c r="BC248" s="35" t="str">
        <f aca="false">IF(OR(BA248="",N(U248)=0),"",BA248-U248)</f>
        <v/>
      </c>
      <c r="BD248" s="36" t="s">
        <v>302</v>
      </c>
    </row>
    <row r="249" customFormat="false" ht="15" hidden="false" customHeight="false" outlineLevel="0" collapsed="false">
      <c r="A249" s="2" t="s">
        <v>556</v>
      </c>
      <c r="B249" s="2" t="n">
        <v>47</v>
      </c>
      <c r="C249" s="2" t="s">
        <v>594</v>
      </c>
      <c r="D249" s="2" t="s">
        <v>592</v>
      </c>
      <c r="E249" s="2" t="s">
        <v>143</v>
      </c>
      <c r="F249" s="27"/>
      <c r="G249" s="2" t="s">
        <v>51</v>
      </c>
      <c r="H249" s="2" t="s">
        <v>58</v>
      </c>
      <c r="I249" s="2" t="s">
        <v>144</v>
      </c>
      <c r="J249" s="2" t="s">
        <v>145</v>
      </c>
      <c r="K249" s="2" t="n">
        <v>4</v>
      </c>
      <c r="L249" s="28" t="n">
        <v>25</v>
      </c>
      <c r="M249" s="29" t="n">
        <v>0.0975</v>
      </c>
      <c r="N249" s="28" t="n">
        <v>2.4375</v>
      </c>
      <c r="O249" s="28" t="n">
        <v>0</v>
      </c>
      <c r="P249" s="2" t="s">
        <v>146</v>
      </c>
      <c r="Q249" s="29" t="n">
        <v>0</v>
      </c>
      <c r="R249" s="30" t="n">
        <v>0</v>
      </c>
      <c r="S249" s="31"/>
      <c r="T249" s="30"/>
      <c r="U249" s="30"/>
      <c r="V249" s="29" t="n">
        <v>0</v>
      </c>
      <c r="W249" s="29" t="str">
        <f aca="false">IF(N(Q249)=0,"",Q249+IF(I249="yes",Q249*Inputs!$B$10*Inputs!$B$9,0)+V249)</f>
        <v/>
      </c>
      <c r="X249" s="28" t="str">
        <f aca="false">IF(OR(N(W249)&lt;=0,N(N249)=0,N(L249)=0),"",MIN(L249,N249/W249))</f>
        <v/>
      </c>
      <c r="Y249" s="29" t="str">
        <f aca="false">IF(OR(X249="",N(O249)=0),"",X249/O249-1)</f>
        <v/>
      </c>
      <c r="Z249" s="29" t="str">
        <f aca="false">IF(OR(Y249="",N(O249)=0),"",Y249+N249/O249)</f>
        <v/>
      </c>
      <c r="AA249" s="32" t="str">
        <f aca="false">IF(OR(Z249="",N(U249)=0),"",Z249-U249)</f>
        <v/>
      </c>
      <c r="AB249" s="29" t="str">
        <f aca="false">IF(N(Q249)=0,"",Q249+IF(I249="yes",Q249*Inputs!$B$10*Inputs!$B$9,0)+IFERROR(INDEX(Inputs!$B$13:$B$15,MATCH(G249,Inputs!$A$13:$A$15,0)),0)+IFERROR(INDEX(Inputs!$B$18:$B$24,MATCH(H249,Inputs!$A$18:$A$24,0)),0))</f>
        <v/>
      </c>
      <c r="AC249" s="28" t="str">
        <f aca="false">IF(OR(N(AB249)&lt;=0,N(N249)=0,N(L249)=0),"",MIN(L249,N249/AB249))</f>
        <v/>
      </c>
      <c r="AD249" s="29" t="str">
        <f aca="false">IF(OR(AC249="",N(O249)=0),"",AC249/O249-1)</f>
        <v/>
      </c>
      <c r="AE249" s="29" t="str">
        <f aca="false">IF(OR(AD249="",N(O249)=0),"",AD249+N249/O249)</f>
        <v/>
      </c>
      <c r="AF249" s="32" t="str">
        <f aca="false">IF(OR(AE249="",N(Z249)=0),"",AE249-Z249)</f>
        <v/>
      </c>
      <c r="AG249" s="28" t="n">
        <f aca="false">IF(AND(N(M249)&gt;0,N(L249)&gt;0),M249*L249,N249)</f>
        <v>2.4375</v>
      </c>
      <c r="AH249" s="28" t="str">
        <f aca="false">IF(OR(N(AB249)&lt;=0,N(AG249)=0,N(L249)=0),"",MIN(L249,AG249/AB249))</f>
        <v/>
      </c>
      <c r="AI249" s="29" t="str">
        <f aca="false">IF(OR(AH249="",N(O249)=0),"",AH249/O249-1)</f>
        <v/>
      </c>
      <c r="AJ249" s="29" t="str">
        <f aca="false">IF(OR(AI249="",N(O249)=0),"",AI249+AG249/O249)</f>
        <v/>
      </c>
      <c r="AK249" s="32" t="str">
        <f aca="false">IF(OR(AJ249="",N(AE249)=0),"",AJ249-AE249)</f>
        <v/>
      </c>
      <c r="AL249" s="33" t="str">
        <f aca="false">IF(N(F249)=0,"",INDEX(Inputs!$B$28:$B$32,IFERROR(MATCH(F249,Inputs!$A$28:$A$32,1),0)+1))</f>
        <v/>
      </c>
      <c r="AM249" s="34"/>
      <c r="AN249" s="33" t="str">
        <f aca="false">IF(N(AM249)&gt;0,AM249,AL249)</f>
        <v/>
      </c>
      <c r="AO249" s="29" t="str">
        <f aca="false">IF(N(AN249)=0,"",AN249+IF(I249="yes",AN249*Inputs!$B$10*Inputs!$B$9,0)+IFERROR(INDEX(Inputs!$B$13:$B$15,MATCH(G249,Inputs!$A$13:$A$15,0)),0)+IFERROR(INDEX(Inputs!$B$18:$B$24,MATCH(H249,Inputs!$A$18:$A$24,0)),0))</f>
        <v/>
      </c>
      <c r="AP249" s="28" t="str">
        <f aca="false">IF(OR(N(AO249)&lt;=0,N(AG249)=0,N(L249)=0),"",MIN(L249,AG249/AO249))</f>
        <v/>
      </c>
      <c r="AQ249" s="29" t="str">
        <f aca="false">IF(OR(AP249="",N(O249)=0),"",AP249/O249-1)</f>
        <v/>
      </c>
      <c r="AR249" s="29" t="str">
        <f aca="false">IF(OR(AQ249="",N(O249)=0),"",AQ249+AG249/O249)</f>
        <v/>
      </c>
      <c r="AS249" s="32" t="str">
        <f aca="false">IF(OR(AR249="",N(AJ249)=0),"",AR249-AJ249)</f>
        <v/>
      </c>
      <c r="AT249" s="28" t="n">
        <v>25</v>
      </c>
      <c r="AU249" s="28" t="n">
        <v>2.44</v>
      </c>
      <c r="AV249" s="28" t="n">
        <f aca="false">IF(N(AT249)&gt;0,AT249,L249)</f>
        <v>25</v>
      </c>
      <c r="AW249" s="28" t="n">
        <f aca="false">IF(AND(N(M249)&gt;0,N(AV249)&gt;0),M249*AV249,IF(N(AU249)&gt;0,AU249,N249))</f>
        <v>2.4375</v>
      </c>
      <c r="AX249" s="29" t="str">
        <f aca="false">IF(N(AN249)=0,"",AN249+IF(I249="yes",AN249*Inputs!$B$10*Inputs!$B$9,0)+IFERROR(INDEX(Inputs!$B$13:$B$15,MATCH(G249,Inputs!$A$13:$A$15,0)),0)+IFERROR(INDEX(Inputs!$B$18:$B$24,MATCH(H249,Inputs!$A$18:$A$24,0)),0))</f>
        <v/>
      </c>
      <c r="AY249" s="28" t="str">
        <f aca="false">IF(OR(N(AX249)&lt;=0,N(AW249)=0,N(AV249)=0),"",MIN(AV249,AW249/AX249))</f>
        <v/>
      </c>
      <c r="AZ249" s="29" t="str">
        <f aca="false">IF(OR(AY249="",N(O249)=0),"",AY249/O249-1)</f>
        <v/>
      </c>
      <c r="BA249" s="29" t="str">
        <f aca="false">IF(OR(AZ249="",N(O249)=0),"",AZ249+AW249/O249)</f>
        <v/>
      </c>
      <c r="BB249" s="32" t="str">
        <f aca="false">IF(OR(BA249="",N(AR249)=0),"",BA249-AR249)</f>
        <v/>
      </c>
      <c r="BC249" s="35" t="str">
        <f aca="false">IF(OR(BA249="",N(U249)=0),"",BA249-U249)</f>
        <v/>
      </c>
      <c r="BD249" s="36" t="s">
        <v>302</v>
      </c>
    </row>
    <row r="250" customFormat="false" ht="15" hidden="false" customHeight="false" outlineLevel="0" collapsed="false">
      <c r="A250" s="2" t="s">
        <v>556</v>
      </c>
      <c r="B250" s="2" t="n">
        <v>50</v>
      </c>
      <c r="C250" s="2" t="s">
        <v>595</v>
      </c>
      <c r="D250" s="2" t="s">
        <v>596</v>
      </c>
      <c r="E250" s="2" t="s">
        <v>597</v>
      </c>
      <c r="F250" s="27" t="n">
        <v>329</v>
      </c>
      <c r="G250" s="2" t="s">
        <v>51</v>
      </c>
      <c r="H250" s="2" t="s">
        <v>58</v>
      </c>
      <c r="I250" s="2" t="s">
        <v>151</v>
      </c>
      <c r="J250" s="2" t="s">
        <v>145</v>
      </c>
      <c r="K250" s="2" t="n">
        <v>4</v>
      </c>
      <c r="L250" s="28" t="n">
        <v>25</v>
      </c>
      <c r="M250" s="29" t="n">
        <v>0.08875</v>
      </c>
      <c r="N250" s="28" t="n">
        <v>2.21875</v>
      </c>
      <c r="O250" s="28" t="n">
        <v>27.42</v>
      </c>
      <c r="P250" s="2" t="s">
        <v>146</v>
      </c>
      <c r="Q250" s="29" t="n">
        <v>0.1</v>
      </c>
      <c r="R250" s="30" t="n">
        <v>0.095</v>
      </c>
      <c r="S250" s="31" t="n">
        <v>23.3552631578947</v>
      </c>
      <c r="T250" s="30" t="n">
        <v>-0.148239855656647</v>
      </c>
      <c r="U250" s="30" t="n">
        <v>-0.0673226419440287</v>
      </c>
      <c r="V250" s="29" t="n">
        <v>0</v>
      </c>
      <c r="W250" s="29" t="n">
        <f aca="false">IF(N(Q250)=0,"",Q250+IF(I250="yes",Q250*Inputs!$B$10*Inputs!$B$9,0)+V250)</f>
        <v>0.095</v>
      </c>
      <c r="X250" s="28" t="n">
        <f aca="false">IF(OR(N(W250)&lt;=0,N(N250)=0,N(L250)=0),"",MIN(L250,N250/W250))</f>
        <v>23.3552631578947</v>
      </c>
      <c r="Y250" s="29" t="n">
        <f aca="false">IF(OR(X250="",N(O250)=0),"",X250/O250-1)</f>
        <v>-0.148239855656647</v>
      </c>
      <c r="Z250" s="29" t="n">
        <f aca="false">IF(OR(Y250="",N(O250)=0),"",Y250+N250/O250)</f>
        <v>-0.0673226419440287</v>
      </c>
      <c r="AA250" s="32" t="n">
        <f aca="false">IF(OR(Z250="",N(U250)=0),"",Z250-U250)</f>
        <v>0</v>
      </c>
      <c r="AB250" s="29" t="n">
        <f aca="false">IF(N(Q250)=0,"",Q250+IF(I250="yes",Q250*Inputs!$B$10*Inputs!$B$9,0)+IFERROR(INDEX(Inputs!$B$13:$B$15,MATCH(G250,Inputs!$A$13:$A$15,0)),0)+IFERROR(INDEX(Inputs!$B$18:$B$24,MATCH(H250,Inputs!$A$18:$A$24,0)),0))</f>
        <v>0.095</v>
      </c>
      <c r="AC250" s="28" t="n">
        <f aca="false">IF(OR(N(AB250)&lt;=0,N(N250)=0,N(L250)=0),"",MIN(L250,N250/AB250))</f>
        <v>23.3552631578947</v>
      </c>
      <c r="AD250" s="29" t="n">
        <f aca="false">IF(OR(AC250="",N(O250)=0),"",AC250/O250-1)</f>
        <v>-0.148239855656647</v>
      </c>
      <c r="AE250" s="29" t="n">
        <f aca="false">IF(OR(AD250="",N(O250)=0),"",AD250+N250/O250)</f>
        <v>-0.0673226419440287</v>
      </c>
      <c r="AF250" s="32" t="n">
        <f aca="false">IF(OR(AE250="",N(Z250)=0),"",AE250-Z250)</f>
        <v>0</v>
      </c>
      <c r="AG250" s="28" t="n">
        <f aca="false">IF(AND(N(M250)&gt;0,N(L250)&gt;0),M250*L250,N250)</f>
        <v>2.21875</v>
      </c>
      <c r="AH250" s="28" t="n">
        <f aca="false">IF(OR(N(AB250)&lt;=0,N(AG250)=0,N(L250)=0),"",MIN(L250,AG250/AB250))</f>
        <v>23.3552631578947</v>
      </c>
      <c r="AI250" s="29" t="n">
        <f aca="false">IF(OR(AH250="",N(O250)=0),"",AH250/O250-1)</f>
        <v>-0.148239855656647</v>
      </c>
      <c r="AJ250" s="29" t="n">
        <f aca="false">IF(OR(AI250="",N(O250)=0),"",AI250+AG250/O250)</f>
        <v>-0.0673226419440287</v>
      </c>
      <c r="AK250" s="32" t="n">
        <f aca="false">IF(OR(AJ250="",N(AE250)=0),"",AJ250-AE250)</f>
        <v>0</v>
      </c>
      <c r="AL250" s="33" t="n">
        <f aca="false">IF(N(F250)=0,"",INDEX(Inputs!$B$28:$B$32,IFERROR(MATCH(F250,Inputs!$A$28:$A$32,1),0)+1))</f>
        <v>0.09</v>
      </c>
      <c r="AM250" s="34"/>
      <c r="AN250" s="33" t="n">
        <f aca="false">IF(N(AM250)&gt;0,AM250,AL250)</f>
        <v>0.09</v>
      </c>
      <c r="AO250" s="29" t="n">
        <f aca="false">IF(N(AN250)=0,"",AN250+IF(I250="yes",AN250*Inputs!$B$10*Inputs!$B$9,0)+IFERROR(INDEX(Inputs!$B$13:$B$15,MATCH(G250,Inputs!$A$13:$A$15,0)),0)+IFERROR(INDEX(Inputs!$B$18:$B$24,MATCH(H250,Inputs!$A$18:$A$24,0)),0))</f>
        <v>0.0855</v>
      </c>
      <c r="AP250" s="28" t="n">
        <f aca="false">IF(OR(N(AO250)&lt;=0,N(AG250)=0,N(L250)=0),"",MIN(L250,AG250/AO250))</f>
        <v>25</v>
      </c>
      <c r="AQ250" s="29" t="n">
        <f aca="false">IF(OR(AP250="",N(O250)=0),"",AP250/O250-1)</f>
        <v>-0.088256746900073</v>
      </c>
      <c r="AR250" s="29" t="n">
        <f aca="false">IF(OR(AQ250="",N(O250)=0),"",AQ250+AG250/O250)</f>
        <v>-0.00733953318745449</v>
      </c>
      <c r="AS250" s="32" t="n">
        <f aca="false">IF(OR(AR250="",N(AJ250)=0),"",AR250-AJ250)</f>
        <v>0.0599831087565742</v>
      </c>
      <c r="AT250" s="28" t="n">
        <v>25</v>
      </c>
      <c r="AU250" s="28" t="n">
        <v>2.22</v>
      </c>
      <c r="AV250" s="28" t="n">
        <f aca="false">IF(N(AT250)&gt;0,AT250,L250)</f>
        <v>25</v>
      </c>
      <c r="AW250" s="28" t="n">
        <f aca="false">IF(AND(N(M250)&gt;0,N(AV250)&gt;0),M250*AV250,IF(N(AU250)&gt;0,AU250,N250))</f>
        <v>2.21875</v>
      </c>
      <c r="AX250" s="29" t="n">
        <f aca="false">IF(N(AN250)=0,"",AN250+IF(I250="yes",AN250*Inputs!$B$10*Inputs!$B$9,0)+IFERROR(INDEX(Inputs!$B$13:$B$15,MATCH(G250,Inputs!$A$13:$A$15,0)),0)+IFERROR(INDEX(Inputs!$B$18:$B$24,MATCH(H250,Inputs!$A$18:$A$24,0)),0))</f>
        <v>0.0855</v>
      </c>
      <c r="AY250" s="28" t="n">
        <f aca="false">IF(OR(N(AX250)&lt;=0,N(AW250)=0,N(AV250)=0),"",MIN(AV250,AW250/AX250))</f>
        <v>25</v>
      </c>
      <c r="AZ250" s="29" t="n">
        <f aca="false">IF(OR(AY250="",N(O250)=0),"",AY250/O250-1)</f>
        <v>-0.088256746900073</v>
      </c>
      <c r="BA250" s="29" t="n">
        <f aca="false">IF(OR(AZ250="",N(O250)=0),"",AZ250+AW250/O250)</f>
        <v>-0.00733953318745449</v>
      </c>
      <c r="BB250" s="32" t="n">
        <f aca="false">IF(OR(BA250="",N(AR250)=0),"",BA250-AR250)</f>
        <v>0</v>
      </c>
      <c r="BC250" s="35" t="n">
        <f aca="false">IF(OR(BA250="",N(U250)=0),"",BA250-U250)</f>
        <v>0.0599831087565742</v>
      </c>
      <c r="BD250" s="37"/>
    </row>
    <row r="251" customFormat="false" ht="15" hidden="false" customHeight="false" outlineLevel="0" collapsed="false">
      <c r="A251" s="2" t="s">
        <v>556</v>
      </c>
      <c r="B251" s="2" t="n">
        <v>54</v>
      </c>
      <c r="C251" s="2" t="s">
        <v>598</v>
      </c>
      <c r="D251" s="2" t="s">
        <v>599</v>
      </c>
      <c r="E251" s="2" t="s">
        <v>600</v>
      </c>
      <c r="F251" s="27" t="n">
        <v>28700</v>
      </c>
      <c r="G251" s="2" t="s">
        <v>52</v>
      </c>
      <c r="H251" s="2" t="s">
        <v>58</v>
      </c>
      <c r="I251" s="2" t="s">
        <v>144</v>
      </c>
      <c r="J251" s="2" t="s">
        <v>145</v>
      </c>
      <c r="K251" s="2" t="n">
        <v>4</v>
      </c>
      <c r="L251" s="28" t="n">
        <v>25</v>
      </c>
      <c r="M251" s="29" t="n">
        <v>0.04375</v>
      </c>
      <c r="N251" s="28" t="n">
        <v>1.09375</v>
      </c>
      <c r="O251" s="28" t="n">
        <v>15.88</v>
      </c>
      <c r="P251" s="2" t="s">
        <v>146</v>
      </c>
      <c r="Q251" s="29" t="n">
        <v>0.08</v>
      </c>
      <c r="R251" s="30" t="n">
        <v>0.075</v>
      </c>
      <c r="S251" s="31" t="n">
        <v>14.5833333333333</v>
      </c>
      <c r="T251" s="30" t="n">
        <v>-0.0816540722082284</v>
      </c>
      <c r="U251" s="30" t="n">
        <v>-0.0127781276238455</v>
      </c>
      <c r="V251" s="29" t="n">
        <v>-0.005</v>
      </c>
      <c r="W251" s="29" t="n">
        <f aca="false">IF(N(Q251)=0,"",Q251+IF(I251="yes",Q251*Inputs!$B$10*Inputs!$B$9,0)+V251)</f>
        <v>0.075</v>
      </c>
      <c r="X251" s="28" t="n">
        <f aca="false">IF(OR(N(W251)&lt;=0,N(N251)=0,N(L251)=0),"",MIN(L251,N251/W251))</f>
        <v>14.5833333333333</v>
      </c>
      <c r="Y251" s="29" t="n">
        <f aca="false">IF(OR(X251="",N(O251)=0),"",X251/O251-1)</f>
        <v>-0.0816540722082284</v>
      </c>
      <c r="Z251" s="29" t="n">
        <f aca="false">IF(OR(Y251="",N(O251)=0),"",Y251+N251/O251)</f>
        <v>-0.0127781276238455</v>
      </c>
      <c r="AA251" s="32" t="n">
        <f aca="false">IF(OR(Z251="",N(U251)=0),"",Z251-U251)</f>
        <v>0</v>
      </c>
      <c r="AB251" s="29" t="n">
        <f aca="false">IF(N(Q251)=0,"",Q251+IF(I251="yes",Q251*Inputs!$B$10*Inputs!$B$9,0)+IFERROR(INDEX(Inputs!$B$13:$B$15,MATCH(G251,Inputs!$A$13:$A$15,0)),0)+IFERROR(INDEX(Inputs!$B$18:$B$24,MATCH(H251,Inputs!$A$18:$A$24,0)),0))</f>
        <v>0.075</v>
      </c>
      <c r="AC251" s="28" t="n">
        <f aca="false">IF(OR(N(AB251)&lt;=0,N(N251)=0,N(L251)=0),"",MIN(L251,N251/AB251))</f>
        <v>14.5833333333333</v>
      </c>
      <c r="AD251" s="29" t="n">
        <f aca="false">IF(OR(AC251="",N(O251)=0),"",AC251/O251-1)</f>
        <v>-0.0816540722082284</v>
      </c>
      <c r="AE251" s="29" t="n">
        <f aca="false">IF(OR(AD251="",N(O251)=0),"",AD251+N251/O251)</f>
        <v>-0.0127781276238455</v>
      </c>
      <c r="AF251" s="32" t="n">
        <f aca="false">IF(OR(AE251="",N(Z251)=0),"",AE251-Z251)</f>
        <v>0</v>
      </c>
      <c r="AG251" s="28" t="n">
        <f aca="false">IF(AND(N(M251)&gt;0,N(L251)&gt;0),M251*L251,N251)</f>
        <v>1.09375</v>
      </c>
      <c r="AH251" s="28" t="n">
        <f aca="false">IF(OR(N(AB251)&lt;=0,N(AG251)=0,N(L251)=0),"",MIN(L251,AG251/AB251))</f>
        <v>14.5833333333333</v>
      </c>
      <c r="AI251" s="29" t="n">
        <f aca="false">IF(OR(AH251="",N(O251)=0),"",AH251/O251-1)</f>
        <v>-0.0816540722082284</v>
      </c>
      <c r="AJ251" s="29" t="n">
        <f aca="false">IF(OR(AI251="",N(O251)=0),"",AI251+AG251/O251)</f>
        <v>-0.0127781276238455</v>
      </c>
      <c r="AK251" s="32" t="n">
        <f aca="false">IF(OR(AJ251="",N(AE251)=0),"",AJ251-AE251)</f>
        <v>0</v>
      </c>
      <c r="AL251" s="33" t="n">
        <f aca="false">IF(N(F251)=0,"",INDEX(Inputs!$B$28:$B$32,IFERROR(MATCH(F251,Inputs!$A$28:$A$32,1),0)+1))</f>
        <v>0.075</v>
      </c>
      <c r="AM251" s="34"/>
      <c r="AN251" s="33" t="n">
        <f aca="false">IF(N(AM251)&gt;0,AM251,AL251)</f>
        <v>0.075</v>
      </c>
      <c r="AO251" s="29" t="n">
        <f aca="false">IF(N(AN251)=0,"",AN251+IF(I251="yes",AN251*Inputs!$B$10*Inputs!$B$9,0)+IFERROR(INDEX(Inputs!$B$13:$B$15,MATCH(G251,Inputs!$A$13:$A$15,0)),0)+IFERROR(INDEX(Inputs!$B$18:$B$24,MATCH(H251,Inputs!$A$18:$A$24,0)),0))</f>
        <v>0.07</v>
      </c>
      <c r="AP251" s="28" t="n">
        <f aca="false">IF(OR(N(AO251)&lt;=0,N(AG251)=0,N(L251)=0),"",MIN(L251,AG251/AO251))</f>
        <v>15.625</v>
      </c>
      <c r="AQ251" s="29" t="n">
        <f aca="false">IF(OR(AP251="",N(O251)=0),"",AP251/O251-1)</f>
        <v>-0.0160579345088161</v>
      </c>
      <c r="AR251" s="29" t="n">
        <f aca="false">IF(OR(AQ251="",N(O251)=0),"",AQ251+AG251/O251)</f>
        <v>0.0528180100755668</v>
      </c>
      <c r="AS251" s="32" t="n">
        <f aca="false">IF(OR(AR251="",N(AJ251)=0),"",AR251-AJ251)</f>
        <v>0.0655961376994123</v>
      </c>
      <c r="AT251" s="28" t="n">
        <v>25</v>
      </c>
      <c r="AU251" s="28" t="n">
        <v>1.09375</v>
      </c>
      <c r="AV251" s="28" t="n">
        <f aca="false">IF(N(AT251)&gt;0,AT251,L251)</f>
        <v>25</v>
      </c>
      <c r="AW251" s="28" t="n">
        <f aca="false">IF(AND(N(M251)&gt;0,N(AV251)&gt;0),M251*AV251,IF(N(AU251)&gt;0,AU251,N251))</f>
        <v>1.09375</v>
      </c>
      <c r="AX251" s="29" t="n">
        <f aca="false">IF(N(AN251)=0,"",AN251+IF(I251="yes",AN251*Inputs!$B$10*Inputs!$B$9,0)+IFERROR(INDEX(Inputs!$B$13:$B$15,MATCH(G251,Inputs!$A$13:$A$15,0)),0)+IFERROR(INDEX(Inputs!$B$18:$B$24,MATCH(H251,Inputs!$A$18:$A$24,0)),0))</f>
        <v>0.07</v>
      </c>
      <c r="AY251" s="28" t="n">
        <f aca="false">IF(OR(N(AX251)&lt;=0,N(AW251)=0,N(AV251)=0),"",MIN(AV251,AW251/AX251))</f>
        <v>15.625</v>
      </c>
      <c r="AZ251" s="29" t="n">
        <f aca="false">IF(OR(AY251="",N(O251)=0),"",AY251/O251-1)</f>
        <v>-0.0160579345088161</v>
      </c>
      <c r="BA251" s="29" t="n">
        <f aca="false">IF(OR(AZ251="",N(O251)=0),"",AZ251+AW251/O251)</f>
        <v>0.0528180100755668</v>
      </c>
      <c r="BB251" s="32" t="n">
        <f aca="false">IF(OR(BA251="",N(AR251)=0),"",BA251-AR251)</f>
        <v>0</v>
      </c>
      <c r="BC251" s="35" t="n">
        <f aca="false">IF(OR(BA251="",N(U251)=0),"",BA251-U251)</f>
        <v>0.0655961376994123</v>
      </c>
      <c r="BD251" s="37"/>
    </row>
    <row r="252" customFormat="false" ht="15" hidden="false" customHeight="false" outlineLevel="0" collapsed="false">
      <c r="A252" s="2" t="s">
        <v>556</v>
      </c>
      <c r="B252" s="2" t="n">
        <v>55</v>
      </c>
      <c r="C252" s="2" t="s">
        <v>601</v>
      </c>
      <c r="D252" s="2" t="s">
        <v>599</v>
      </c>
      <c r="E252" s="2" t="s">
        <v>600</v>
      </c>
      <c r="F252" s="27" t="n">
        <v>28700</v>
      </c>
      <c r="G252" s="2" t="s">
        <v>52</v>
      </c>
      <c r="H252" s="2" t="s">
        <v>58</v>
      </c>
      <c r="I252" s="2" t="s">
        <v>144</v>
      </c>
      <c r="J252" s="2" t="s">
        <v>145</v>
      </c>
      <c r="K252" s="2" t="n">
        <v>4</v>
      </c>
      <c r="L252" s="28" t="n">
        <v>25</v>
      </c>
      <c r="M252" s="29" t="n">
        <v>0.04375</v>
      </c>
      <c r="N252" s="28" t="n">
        <v>1.09375</v>
      </c>
      <c r="O252" s="28" t="n">
        <v>15.63</v>
      </c>
      <c r="P252" s="2" t="s">
        <v>223</v>
      </c>
      <c r="Q252" s="29" t="n">
        <v>0.08</v>
      </c>
      <c r="R252" s="30" t="n">
        <v>0.08</v>
      </c>
      <c r="S252" s="31" t="n">
        <v>13.671875</v>
      </c>
      <c r="T252" s="30" t="n">
        <v>-0.125279910428663</v>
      </c>
      <c r="U252" s="30" t="n">
        <v>-0.0553023032629559</v>
      </c>
      <c r="V252" s="29" t="n">
        <v>-0.005</v>
      </c>
      <c r="W252" s="29" t="n">
        <f aca="false">IF(N(Q252)=0,"",Q252+IF(I252="yes",Q252*Inputs!$B$10*Inputs!$B$9,0)+V252)</f>
        <v>0.075</v>
      </c>
      <c r="X252" s="28" t="n">
        <f aca="false">IF(OR(N(W252)&lt;=0,N(N252)=0,N(L252)=0),"",MIN(L252,N252/W252))</f>
        <v>14.5833333333333</v>
      </c>
      <c r="Y252" s="29" t="n">
        <f aca="false">IF(OR(X252="",N(O252)=0),"",X252/O252-1)</f>
        <v>-0.0669652377905737</v>
      </c>
      <c r="Z252" s="29" t="n">
        <f aca="false">IF(OR(Y252="",N(O252)=0),"",Y252+N252/O252)</f>
        <v>0.00301236937513324</v>
      </c>
      <c r="AA252" s="32" t="n">
        <f aca="false">IF(OR(Z252="",N(U252)=0),"",Z252-U252)</f>
        <v>0.0583146726380891</v>
      </c>
      <c r="AB252" s="29" t="n">
        <f aca="false">IF(N(Q252)=0,"",Q252+IF(I252="yes",Q252*Inputs!$B$10*Inputs!$B$9,0)+IFERROR(INDEX(Inputs!$B$13:$B$15,MATCH(G252,Inputs!$A$13:$A$15,0)),0)+IFERROR(INDEX(Inputs!$B$18:$B$24,MATCH(H252,Inputs!$A$18:$A$24,0)),0))</f>
        <v>0.075</v>
      </c>
      <c r="AC252" s="28" t="n">
        <f aca="false">IF(OR(N(AB252)&lt;=0,N(N252)=0,N(L252)=0),"",MIN(L252,N252/AB252))</f>
        <v>14.5833333333333</v>
      </c>
      <c r="AD252" s="29" t="n">
        <f aca="false">IF(OR(AC252="",N(O252)=0),"",AC252/O252-1)</f>
        <v>-0.0669652377905737</v>
      </c>
      <c r="AE252" s="29" t="n">
        <f aca="false">IF(OR(AD252="",N(O252)=0),"",AD252+N252/O252)</f>
        <v>0.00301236937513324</v>
      </c>
      <c r="AF252" s="32" t="n">
        <f aca="false">IF(OR(AE252="",N(Z252)=0),"",AE252-Z252)</f>
        <v>0</v>
      </c>
      <c r="AG252" s="28" t="n">
        <f aca="false">IF(AND(N(M252)&gt;0,N(L252)&gt;0),M252*L252,N252)</f>
        <v>1.09375</v>
      </c>
      <c r="AH252" s="28" t="n">
        <f aca="false">IF(OR(N(AB252)&lt;=0,N(AG252)=0,N(L252)=0),"",MIN(L252,AG252/AB252))</f>
        <v>14.5833333333333</v>
      </c>
      <c r="AI252" s="29" t="n">
        <f aca="false">IF(OR(AH252="",N(O252)=0),"",AH252/O252-1)</f>
        <v>-0.0669652377905737</v>
      </c>
      <c r="AJ252" s="29" t="n">
        <f aca="false">IF(OR(AI252="",N(O252)=0),"",AI252+AG252/O252)</f>
        <v>0.00301236937513324</v>
      </c>
      <c r="AK252" s="32" t="n">
        <f aca="false">IF(OR(AJ252="",N(AE252)=0),"",AJ252-AE252)</f>
        <v>0</v>
      </c>
      <c r="AL252" s="33" t="n">
        <f aca="false">IF(N(F252)=0,"",INDEX(Inputs!$B$28:$B$32,IFERROR(MATCH(F252,Inputs!$A$28:$A$32,1),0)+1))</f>
        <v>0.075</v>
      </c>
      <c r="AM252" s="34"/>
      <c r="AN252" s="33" t="n">
        <f aca="false">IF(N(AM252)&gt;0,AM252,AL252)</f>
        <v>0.075</v>
      </c>
      <c r="AO252" s="29" t="n">
        <f aca="false">IF(N(AN252)=0,"",AN252+IF(I252="yes",AN252*Inputs!$B$10*Inputs!$B$9,0)+IFERROR(INDEX(Inputs!$B$13:$B$15,MATCH(G252,Inputs!$A$13:$A$15,0)),0)+IFERROR(INDEX(Inputs!$B$18:$B$24,MATCH(H252,Inputs!$A$18:$A$24,0)),0))</f>
        <v>0.07</v>
      </c>
      <c r="AP252" s="28" t="n">
        <f aca="false">IF(OR(N(AO252)&lt;=0,N(AG252)=0,N(L252)=0),"",MIN(L252,AG252/AO252))</f>
        <v>15.625</v>
      </c>
      <c r="AQ252" s="29" t="n">
        <f aca="false">IF(OR(AP252="",N(O252)=0),"",AP252/O252-1)</f>
        <v>-0.000319897632757415</v>
      </c>
      <c r="AR252" s="29" t="n">
        <f aca="false">IF(OR(AQ252="",N(O252)=0),"",AQ252+AG252/O252)</f>
        <v>0.0696577095329496</v>
      </c>
      <c r="AS252" s="32" t="n">
        <f aca="false">IF(OR(AR252="",N(AJ252)=0),"",AR252-AJ252)</f>
        <v>0.0666453401578163</v>
      </c>
      <c r="AT252" s="28" t="n">
        <v>25</v>
      </c>
      <c r="AU252" s="28" t="n">
        <v>1.09375</v>
      </c>
      <c r="AV252" s="28" t="n">
        <f aca="false">IF(N(AT252)&gt;0,AT252,L252)</f>
        <v>25</v>
      </c>
      <c r="AW252" s="28" t="n">
        <f aca="false">IF(AND(N(M252)&gt;0,N(AV252)&gt;0),M252*AV252,IF(N(AU252)&gt;0,AU252,N252))</f>
        <v>1.09375</v>
      </c>
      <c r="AX252" s="29" t="n">
        <f aca="false">IF(N(AN252)=0,"",AN252+IF(I252="yes",AN252*Inputs!$B$10*Inputs!$B$9,0)+IFERROR(INDEX(Inputs!$B$13:$B$15,MATCH(G252,Inputs!$A$13:$A$15,0)),0)+IFERROR(INDEX(Inputs!$B$18:$B$24,MATCH(H252,Inputs!$A$18:$A$24,0)),0))</f>
        <v>0.07</v>
      </c>
      <c r="AY252" s="28" t="n">
        <f aca="false">IF(OR(N(AX252)&lt;=0,N(AW252)=0,N(AV252)=0),"",MIN(AV252,AW252/AX252))</f>
        <v>15.625</v>
      </c>
      <c r="AZ252" s="29" t="n">
        <f aca="false">IF(OR(AY252="",N(O252)=0),"",AY252/O252-1)</f>
        <v>-0.000319897632757415</v>
      </c>
      <c r="BA252" s="29" t="n">
        <f aca="false">IF(OR(AZ252="",N(O252)=0),"",AZ252+AW252/O252)</f>
        <v>0.0696577095329496</v>
      </c>
      <c r="BB252" s="32" t="n">
        <f aca="false">IF(OR(BA252="",N(AR252)=0),"",BA252-AR252)</f>
        <v>0</v>
      </c>
      <c r="BC252" s="35" t="n">
        <f aca="false">IF(OR(BA252="",N(U252)=0),"",BA252-U252)</f>
        <v>0.124960012795905</v>
      </c>
      <c r="BD252" s="36" t="s">
        <v>224</v>
      </c>
    </row>
    <row r="253" customFormat="false" ht="15" hidden="false" customHeight="false" outlineLevel="0" collapsed="false">
      <c r="A253" s="2" t="s">
        <v>556</v>
      </c>
      <c r="B253" s="2" t="n">
        <v>56</v>
      </c>
      <c r="C253" s="2" t="s">
        <v>602</v>
      </c>
      <c r="D253" s="2" t="s">
        <v>599</v>
      </c>
      <c r="E253" s="2" t="s">
        <v>600</v>
      </c>
      <c r="F253" s="27" t="n">
        <v>28700</v>
      </c>
      <c r="G253" s="2" t="s">
        <v>52</v>
      </c>
      <c r="H253" s="2" t="s">
        <v>58</v>
      </c>
      <c r="I253" s="2" t="s">
        <v>144</v>
      </c>
      <c r="J253" s="2" t="s">
        <v>145</v>
      </c>
      <c r="K253" s="2" t="n">
        <v>4</v>
      </c>
      <c r="L253" s="28" t="n">
        <v>25</v>
      </c>
      <c r="M253" s="29" t="n">
        <v>0.0525</v>
      </c>
      <c r="N253" s="28" t="n">
        <v>1.3125</v>
      </c>
      <c r="O253" s="28" t="n">
        <v>19.35</v>
      </c>
      <c r="P253" s="2" t="s">
        <v>146</v>
      </c>
      <c r="Q253" s="29" t="n">
        <v>0.08</v>
      </c>
      <c r="R253" s="30" t="n">
        <v>0.075</v>
      </c>
      <c r="S253" s="31" t="n">
        <v>17.5</v>
      </c>
      <c r="T253" s="30" t="n">
        <v>-0.0956072351421189</v>
      </c>
      <c r="U253" s="30" t="n">
        <v>-0.0277777777777778</v>
      </c>
      <c r="V253" s="29" t="n">
        <v>-0.005</v>
      </c>
      <c r="W253" s="29" t="n">
        <f aca="false">IF(N(Q253)=0,"",Q253+IF(I253="yes",Q253*Inputs!$B$10*Inputs!$B$9,0)+V253)</f>
        <v>0.075</v>
      </c>
      <c r="X253" s="28" t="n">
        <f aca="false">IF(OR(N(W253)&lt;=0,N(N253)=0,N(L253)=0),"",MIN(L253,N253/W253))</f>
        <v>17.5</v>
      </c>
      <c r="Y253" s="29" t="n">
        <f aca="false">IF(OR(X253="",N(O253)=0),"",X253/O253-1)</f>
        <v>-0.0956072351421189</v>
      </c>
      <c r="Z253" s="29" t="n">
        <f aca="false">IF(OR(Y253="",N(O253)=0),"",Y253+N253/O253)</f>
        <v>-0.0277777777777778</v>
      </c>
      <c r="AA253" s="32" t="n">
        <f aca="false">IF(OR(Z253="",N(U253)=0),"",Z253-U253)</f>
        <v>0</v>
      </c>
      <c r="AB253" s="29" t="n">
        <f aca="false">IF(N(Q253)=0,"",Q253+IF(I253="yes",Q253*Inputs!$B$10*Inputs!$B$9,0)+IFERROR(INDEX(Inputs!$B$13:$B$15,MATCH(G253,Inputs!$A$13:$A$15,0)),0)+IFERROR(INDEX(Inputs!$B$18:$B$24,MATCH(H253,Inputs!$A$18:$A$24,0)),0))</f>
        <v>0.075</v>
      </c>
      <c r="AC253" s="28" t="n">
        <f aca="false">IF(OR(N(AB253)&lt;=0,N(N253)=0,N(L253)=0),"",MIN(L253,N253/AB253))</f>
        <v>17.5</v>
      </c>
      <c r="AD253" s="29" t="n">
        <f aca="false">IF(OR(AC253="",N(O253)=0),"",AC253/O253-1)</f>
        <v>-0.0956072351421189</v>
      </c>
      <c r="AE253" s="29" t="n">
        <f aca="false">IF(OR(AD253="",N(O253)=0),"",AD253+N253/O253)</f>
        <v>-0.0277777777777778</v>
      </c>
      <c r="AF253" s="32" t="n">
        <f aca="false">IF(OR(AE253="",N(Z253)=0),"",AE253-Z253)</f>
        <v>0</v>
      </c>
      <c r="AG253" s="28" t="n">
        <f aca="false">IF(AND(N(M253)&gt;0,N(L253)&gt;0),M253*L253,N253)</f>
        <v>1.3125</v>
      </c>
      <c r="AH253" s="28" t="n">
        <f aca="false">IF(OR(N(AB253)&lt;=0,N(AG253)=0,N(L253)=0),"",MIN(L253,AG253/AB253))</f>
        <v>17.5</v>
      </c>
      <c r="AI253" s="29" t="n">
        <f aca="false">IF(OR(AH253="",N(O253)=0),"",AH253/O253-1)</f>
        <v>-0.0956072351421189</v>
      </c>
      <c r="AJ253" s="29" t="n">
        <f aca="false">IF(OR(AI253="",N(O253)=0),"",AI253+AG253/O253)</f>
        <v>-0.0277777777777778</v>
      </c>
      <c r="AK253" s="32" t="n">
        <f aca="false">IF(OR(AJ253="",N(AE253)=0),"",AJ253-AE253)</f>
        <v>0</v>
      </c>
      <c r="AL253" s="33" t="n">
        <f aca="false">IF(N(F253)=0,"",INDEX(Inputs!$B$28:$B$32,IFERROR(MATCH(F253,Inputs!$A$28:$A$32,1),0)+1))</f>
        <v>0.075</v>
      </c>
      <c r="AM253" s="34"/>
      <c r="AN253" s="33" t="n">
        <f aca="false">IF(N(AM253)&gt;0,AM253,AL253)</f>
        <v>0.075</v>
      </c>
      <c r="AO253" s="29" t="n">
        <f aca="false">IF(N(AN253)=0,"",AN253+IF(I253="yes",AN253*Inputs!$B$10*Inputs!$B$9,0)+IFERROR(INDEX(Inputs!$B$13:$B$15,MATCH(G253,Inputs!$A$13:$A$15,0)),0)+IFERROR(INDEX(Inputs!$B$18:$B$24,MATCH(H253,Inputs!$A$18:$A$24,0)),0))</f>
        <v>0.07</v>
      </c>
      <c r="AP253" s="28" t="n">
        <f aca="false">IF(OR(N(AO253)&lt;=0,N(AG253)=0,N(L253)=0),"",MIN(L253,AG253/AO253))</f>
        <v>18.75</v>
      </c>
      <c r="AQ253" s="29" t="n">
        <f aca="false">IF(OR(AP253="",N(O253)=0),"",AP253/O253-1)</f>
        <v>-0.0310077519379843</v>
      </c>
      <c r="AR253" s="29" t="n">
        <f aca="false">IF(OR(AQ253="",N(O253)=0),"",AQ253+AG253/O253)</f>
        <v>0.0368217054263568</v>
      </c>
      <c r="AS253" s="32" t="n">
        <f aca="false">IF(OR(AR253="",N(AJ253)=0),"",AR253-AJ253)</f>
        <v>0.0645994832041346</v>
      </c>
      <c r="AT253" s="28" t="n">
        <v>25</v>
      </c>
      <c r="AU253" s="28" t="n">
        <v>1.31</v>
      </c>
      <c r="AV253" s="28" t="n">
        <f aca="false">IF(N(AT253)&gt;0,AT253,L253)</f>
        <v>25</v>
      </c>
      <c r="AW253" s="28" t="n">
        <f aca="false">IF(AND(N(M253)&gt;0,N(AV253)&gt;0),M253*AV253,IF(N(AU253)&gt;0,AU253,N253))</f>
        <v>1.3125</v>
      </c>
      <c r="AX253" s="29" t="n">
        <f aca="false">IF(N(AN253)=0,"",AN253+IF(I253="yes",AN253*Inputs!$B$10*Inputs!$B$9,0)+IFERROR(INDEX(Inputs!$B$13:$B$15,MATCH(G253,Inputs!$A$13:$A$15,0)),0)+IFERROR(INDEX(Inputs!$B$18:$B$24,MATCH(H253,Inputs!$A$18:$A$24,0)),0))</f>
        <v>0.07</v>
      </c>
      <c r="AY253" s="28" t="n">
        <f aca="false">IF(OR(N(AX253)&lt;=0,N(AW253)=0,N(AV253)=0),"",MIN(AV253,AW253/AX253))</f>
        <v>18.75</v>
      </c>
      <c r="AZ253" s="29" t="n">
        <f aca="false">IF(OR(AY253="",N(O253)=0),"",AY253/O253-1)</f>
        <v>-0.0310077519379843</v>
      </c>
      <c r="BA253" s="29" t="n">
        <f aca="false">IF(OR(AZ253="",N(O253)=0),"",AZ253+AW253/O253)</f>
        <v>0.0368217054263568</v>
      </c>
      <c r="BB253" s="32" t="n">
        <f aca="false">IF(OR(BA253="",N(AR253)=0),"",BA253-AR253)</f>
        <v>0</v>
      </c>
      <c r="BC253" s="35" t="n">
        <f aca="false">IF(OR(BA253="",N(U253)=0),"",BA253-U253)</f>
        <v>0.0645994832041346</v>
      </c>
      <c r="BD253" s="37"/>
    </row>
    <row r="254" customFormat="false" ht="15" hidden="false" customHeight="false" outlineLevel="0" collapsed="false">
      <c r="A254" s="2" t="s">
        <v>556</v>
      </c>
      <c r="B254" s="2" t="n">
        <v>59</v>
      </c>
      <c r="C254" s="2" t="s">
        <v>603</v>
      </c>
      <c r="D254" s="2" t="s">
        <v>604</v>
      </c>
      <c r="E254" s="2" t="s">
        <v>605</v>
      </c>
      <c r="F254" s="27" t="n">
        <v>95700</v>
      </c>
      <c r="G254" s="2" t="s">
        <v>52</v>
      </c>
      <c r="H254" s="2" t="s">
        <v>58</v>
      </c>
      <c r="I254" s="2" t="s">
        <v>144</v>
      </c>
      <c r="J254" s="2" t="s">
        <v>145</v>
      </c>
      <c r="K254" s="2" t="n">
        <v>4</v>
      </c>
      <c r="L254" s="28" t="n">
        <v>25</v>
      </c>
      <c r="M254" s="29" t="n">
        <v>0.0575</v>
      </c>
      <c r="N254" s="28" t="n">
        <v>1.4375</v>
      </c>
      <c r="O254" s="28" t="n">
        <v>24.1</v>
      </c>
      <c r="P254" s="2" t="s">
        <v>146</v>
      </c>
      <c r="Q254" s="29" t="n">
        <v>0.08</v>
      </c>
      <c r="R254" s="30" t="n">
        <v>0.075</v>
      </c>
      <c r="S254" s="31" t="n">
        <v>19.1666666666667</v>
      </c>
      <c r="T254" s="30" t="n">
        <v>-0.204702627939143</v>
      </c>
      <c r="U254" s="30" t="n">
        <v>-0.145055325034578</v>
      </c>
      <c r="V254" s="29" t="n">
        <v>-0.005</v>
      </c>
      <c r="W254" s="29" t="n">
        <f aca="false">IF(N(Q254)=0,"",Q254+IF(I254="yes",Q254*Inputs!$B$10*Inputs!$B$9,0)+V254)</f>
        <v>0.075</v>
      </c>
      <c r="X254" s="28" t="n">
        <f aca="false">IF(OR(N(W254)&lt;=0,N(N254)=0,N(L254)=0),"",MIN(L254,N254/W254))</f>
        <v>19.1666666666667</v>
      </c>
      <c r="Y254" s="29" t="n">
        <f aca="false">IF(OR(X254="",N(O254)=0),"",X254/O254-1)</f>
        <v>-0.204702627939143</v>
      </c>
      <c r="Z254" s="29" t="n">
        <f aca="false">IF(OR(Y254="",N(O254)=0),"",Y254+N254/O254)</f>
        <v>-0.145055325034578</v>
      </c>
      <c r="AA254" s="32" t="n">
        <f aca="false">IF(OR(Z254="",N(U254)=0),"",Z254-U254)</f>
        <v>0</v>
      </c>
      <c r="AB254" s="29" t="n">
        <f aca="false">IF(N(Q254)=0,"",Q254+IF(I254="yes",Q254*Inputs!$B$10*Inputs!$B$9,0)+IFERROR(INDEX(Inputs!$B$13:$B$15,MATCH(G254,Inputs!$A$13:$A$15,0)),0)+IFERROR(INDEX(Inputs!$B$18:$B$24,MATCH(H254,Inputs!$A$18:$A$24,0)),0))</f>
        <v>0.075</v>
      </c>
      <c r="AC254" s="28" t="n">
        <f aca="false">IF(OR(N(AB254)&lt;=0,N(N254)=0,N(L254)=0),"",MIN(L254,N254/AB254))</f>
        <v>19.1666666666667</v>
      </c>
      <c r="AD254" s="29" t="n">
        <f aca="false">IF(OR(AC254="",N(O254)=0),"",AC254/O254-1)</f>
        <v>-0.204702627939143</v>
      </c>
      <c r="AE254" s="29" t="n">
        <f aca="false">IF(OR(AD254="",N(O254)=0),"",AD254+N254/O254)</f>
        <v>-0.145055325034578</v>
      </c>
      <c r="AF254" s="32" t="n">
        <f aca="false">IF(OR(AE254="",N(Z254)=0),"",AE254-Z254)</f>
        <v>0</v>
      </c>
      <c r="AG254" s="28" t="n">
        <f aca="false">IF(AND(N(M254)&gt;0,N(L254)&gt;0),M254*L254,N254)</f>
        <v>1.4375</v>
      </c>
      <c r="AH254" s="28" t="n">
        <f aca="false">IF(OR(N(AB254)&lt;=0,N(AG254)=0,N(L254)=0),"",MIN(L254,AG254/AB254))</f>
        <v>19.1666666666667</v>
      </c>
      <c r="AI254" s="29" t="n">
        <f aca="false">IF(OR(AH254="",N(O254)=0),"",AH254/O254-1)</f>
        <v>-0.204702627939143</v>
      </c>
      <c r="AJ254" s="29" t="n">
        <f aca="false">IF(OR(AI254="",N(O254)=0),"",AI254+AG254/O254)</f>
        <v>-0.145055325034578</v>
      </c>
      <c r="AK254" s="32" t="n">
        <f aca="false">IF(OR(AJ254="",N(AE254)=0),"",AJ254-AE254)</f>
        <v>0</v>
      </c>
      <c r="AL254" s="33" t="n">
        <f aca="false">IF(N(F254)=0,"",INDEX(Inputs!$B$28:$B$32,IFERROR(MATCH(F254,Inputs!$A$28:$A$32,1),0)+1))</f>
        <v>0.075</v>
      </c>
      <c r="AM254" s="34"/>
      <c r="AN254" s="33" t="n">
        <f aca="false">IF(N(AM254)&gt;0,AM254,AL254)</f>
        <v>0.075</v>
      </c>
      <c r="AO254" s="29" t="n">
        <f aca="false">IF(N(AN254)=0,"",AN254+IF(I254="yes",AN254*Inputs!$B$10*Inputs!$B$9,0)+IFERROR(INDEX(Inputs!$B$13:$B$15,MATCH(G254,Inputs!$A$13:$A$15,0)),0)+IFERROR(INDEX(Inputs!$B$18:$B$24,MATCH(H254,Inputs!$A$18:$A$24,0)),0))</f>
        <v>0.07</v>
      </c>
      <c r="AP254" s="28" t="n">
        <f aca="false">IF(OR(N(AO254)&lt;=0,N(AG254)=0,N(L254)=0),"",MIN(L254,AG254/AO254))</f>
        <v>20.5357142857143</v>
      </c>
      <c r="AQ254" s="29" t="n">
        <f aca="false">IF(OR(AP254="",N(O254)=0),"",AP254/O254-1)</f>
        <v>-0.147895672791938</v>
      </c>
      <c r="AR254" s="29" t="n">
        <f aca="false">IF(OR(AQ254="",N(O254)=0),"",AQ254+AG254/O254)</f>
        <v>-0.088248369887374</v>
      </c>
      <c r="AS254" s="32" t="n">
        <f aca="false">IF(OR(AR254="",N(AJ254)=0),"",AR254-AJ254)</f>
        <v>0.0568069551472042</v>
      </c>
      <c r="AT254" s="28" t="n">
        <v>25</v>
      </c>
      <c r="AU254" s="28" t="n">
        <v>1.44</v>
      </c>
      <c r="AV254" s="28" t="n">
        <f aca="false">IF(N(AT254)&gt;0,AT254,L254)</f>
        <v>25</v>
      </c>
      <c r="AW254" s="28" t="n">
        <f aca="false">IF(AND(N(M254)&gt;0,N(AV254)&gt;0),M254*AV254,IF(N(AU254)&gt;0,AU254,N254))</f>
        <v>1.4375</v>
      </c>
      <c r="AX254" s="29" t="n">
        <f aca="false">IF(N(AN254)=0,"",AN254+IF(I254="yes",AN254*Inputs!$B$10*Inputs!$B$9,0)+IFERROR(INDEX(Inputs!$B$13:$B$15,MATCH(G254,Inputs!$A$13:$A$15,0)),0)+IFERROR(INDEX(Inputs!$B$18:$B$24,MATCH(H254,Inputs!$A$18:$A$24,0)),0))</f>
        <v>0.07</v>
      </c>
      <c r="AY254" s="28" t="n">
        <f aca="false">IF(OR(N(AX254)&lt;=0,N(AW254)=0,N(AV254)=0),"",MIN(AV254,AW254/AX254))</f>
        <v>20.5357142857143</v>
      </c>
      <c r="AZ254" s="29" t="n">
        <f aca="false">IF(OR(AY254="",N(O254)=0),"",AY254/O254-1)</f>
        <v>-0.147895672791938</v>
      </c>
      <c r="BA254" s="29" t="n">
        <f aca="false">IF(OR(AZ254="",N(O254)=0),"",AZ254+AW254/O254)</f>
        <v>-0.088248369887374</v>
      </c>
      <c r="BB254" s="32" t="n">
        <f aca="false">IF(OR(BA254="",N(AR254)=0),"",BA254-AR254)</f>
        <v>0</v>
      </c>
      <c r="BC254" s="35" t="n">
        <f aca="false">IF(OR(BA254="",N(U254)=0),"",BA254-U254)</f>
        <v>0.0568069551472042</v>
      </c>
      <c r="BD254" s="37"/>
    </row>
    <row r="255" customFormat="false" ht="15" hidden="false" customHeight="false" outlineLevel="0" collapsed="false">
      <c r="A255" s="2" t="s">
        <v>556</v>
      </c>
      <c r="B255" s="2" t="n">
        <v>60</v>
      </c>
      <c r="C255" s="2" t="s">
        <v>606</v>
      </c>
      <c r="D255" s="2" t="s">
        <v>604</v>
      </c>
      <c r="E255" s="2" t="s">
        <v>605</v>
      </c>
      <c r="F255" s="27" t="n">
        <v>95700</v>
      </c>
      <c r="G255" s="2" t="s">
        <v>52</v>
      </c>
      <c r="H255" s="2" t="s">
        <v>58</v>
      </c>
      <c r="I255" s="2" t="s">
        <v>144</v>
      </c>
      <c r="J255" s="2" t="s">
        <v>145</v>
      </c>
      <c r="K255" s="2" t="n">
        <v>4</v>
      </c>
      <c r="L255" s="28" t="n">
        <v>25</v>
      </c>
      <c r="M255" s="29" t="n">
        <v>0.05625</v>
      </c>
      <c r="N255" s="28" t="n">
        <v>1.40625</v>
      </c>
      <c r="O255" s="28" t="n">
        <v>22.24</v>
      </c>
      <c r="P255" s="2" t="s">
        <v>362</v>
      </c>
      <c r="Q255" s="29" t="n">
        <v>0.08</v>
      </c>
      <c r="R255" s="30" t="n">
        <v>0.0521473029045643</v>
      </c>
      <c r="S255" s="31" t="n">
        <v>25</v>
      </c>
      <c r="T255" s="30" t="n">
        <v>0.12410071942446</v>
      </c>
      <c r="U255" s="30" t="n">
        <v>0.187331384892086</v>
      </c>
      <c r="V255" s="29" t="n">
        <v>-0.0075</v>
      </c>
      <c r="W255" s="29" t="n">
        <f aca="false">IF(N(Q255)=0,"",Q255+IF(I255="yes",Q255*Inputs!$B$10*Inputs!$B$9,0)+V255)</f>
        <v>0.0725</v>
      </c>
      <c r="X255" s="28" t="n">
        <f aca="false">IF(OR(N(W255)&lt;=0,N(N255)=0,N(L255)=0),"",MIN(L255,N255/W255))</f>
        <v>19.3965517241379</v>
      </c>
      <c r="Y255" s="29" t="n">
        <f aca="false">IF(OR(X255="",N(O255)=0),"",X255/O255-1)</f>
        <v>-0.127852890101712</v>
      </c>
      <c r="Z255" s="29" t="n">
        <f aca="false">IF(OR(Y255="",N(O255)=0),"",Y255+N255/O255)</f>
        <v>-0.0646222246340859</v>
      </c>
      <c r="AA255" s="32" t="n">
        <f aca="false">IF(OR(Z255="",N(U255)=0),"",Z255-U255)</f>
        <v>-0.251953609526172</v>
      </c>
      <c r="AB255" s="29" t="n">
        <f aca="false">IF(N(Q255)=0,"",Q255+IF(I255="yes",Q255*Inputs!$B$10*Inputs!$B$9,0)+IFERROR(INDEX(Inputs!$B$13:$B$15,MATCH(G255,Inputs!$A$13:$A$15,0)),0)+IFERROR(INDEX(Inputs!$B$18:$B$24,MATCH(H255,Inputs!$A$18:$A$24,0)),0))</f>
        <v>0.075</v>
      </c>
      <c r="AC255" s="28" t="n">
        <f aca="false">IF(OR(N(AB255)&lt;=0,N(N255)=0,N(L255)=0),"",MIN(L255,N255/AB255))</f>
        <v>18.75</v>
      </c>
      <c r="AD255" s="29" t="n">
        <f aca="false">IF(OR(AC255="",N(O255)=0),"",AC255/O255-1)</f>
        <v>-0.156924460431655</v>
      </c>
      <c r="AE255" s="29" t="n">
        <f aca="false">IF(OR(AD255="",N(O255)=0),"",AD255+N255/O255)</f>
        <v>-0.0936937949640287</v>
      </c>
      <c r="AF255" s="32" t="n">
        <f aca="false">IF(OR(AE255="",N(Z255)=0),"",AE255-Z255)</f>
        <v>-0.0290715703299429</v>
      </c>
      <c r="AG255" s="28" t="n">
        <f aca="false">IF(AND(N(M255)&gt;0,N(L255)&gt;0),M255*L255,N255)</f>
        <v>1.40625</v>
      </c>
      <c r="AH255" s="28" t="n">
        <f aca="false">IF(OR(N(AB255)&lt;=0,N(AG255)=0,N(L255)=0),"",MIN(L255,AG255/AB255))</f>
        <v>18.75</v>
      </c>
      <c r="AI255" s="29" t="n">
        <f aca="false">IF(OR(AH255="",N(O255)=0),"",AH255/O255-1)</f>
        <v>-0.156924460431655</v>
      </c>
      <c r="AJ255" s="29" t="n">
        <f aca="false">IF(OR(AI255="",N(O255)=0),"",AI255+AG255/O255)</f>
        <v>-0.0936937949640287</v>
      </c>
      <c r="AK255" s="32" t="n">
        <f aca="false">IF(OR(AJ255="",N(AE255)=0),"",AJ255-AE255)</f>
        <v>0</v>
      </c>
      <c r="AL255" s="33" t="n">
        <f aca="false">IF(N(F255)=0,"",INDEX(Inputs!$B$28:$B$32,IFERROR(MATCH(F255,Inputs!$A$28:$A$32,1),0)+1))</f>
        <v>0.075</v>
      </c>
      <c r="AM255" s="34"/>
      <c r="AN255" s="33" t="n">
        <f aca="false">IF(N(AM255)&gt;0,AM255,AL255)</f>
        <v>0.075</v>
      </c>
      <c r="AO255" s="29" t="n">
        <f aca="false">IF(N(AN255)=0,"",AN255+IF(I255="yes",AN255*Inputs!$B$10*Inputs!$B$9,0)+IFERROR(INDEX(Inputs!$B$13:$B$15,MATCH(G255,Inputs!$A$13:$A$15,0)),0)+IFERROR(INDEX(Inputs!$B$18:$B$24,MATCH(H255,Inputs!$A$18:$A$24,0)),0))</f>
        <v>0.07</v>
      </c>
      <c r="AP255" s="28" t="n">
        <f aca="false">IF(OR(N(AO255)&lt;=0,N(AG255)=0,N(L255)=0),"",MIN(L255,AG255/AO255))</f>
        <v>20.0892857142857</v>
      </c>
      <c r="AQ255" s="29" t="n">
        <f aca="false">IF(OR(AP255="",N(O255)=0),"",AP255/O255-1)</f>
        <v>-0.0967047790339156</v>
      </c>
      <c r="AR255" s="29" t="n">
        <f aca="false">IF(OR(AQ255="",N(O255)=0),"",AQ255+AG255/O255)</f>
        <v>-0.0334741135662897</v>
      </c>
      <c r="AS255" s="32" t="n">
        <f aca="false">IF(OR(AR255="",N(AJ255)=0),"",AR255-AJ255)</f>
        <v>0.060219681397739</v>
      </c>
      <c r="AT255" s="28" t="n">
        <v>25</v>
      </c>
      <c r="AU255" s="28" t="n">
        <v>1.41</v>
      </c>
      <c r="AV255" s="28" t="n">
        <f aca="false">IF(N(AT255)&gt;0,AT255,L255)</f>
        <v>25</v>
      </c>
      <c r="AW255" s="28" t="n">
        <f aca="false">IF(AND(N(M255)&gt;0,N(AV255)&gt;0),M255*AV255,IF(N(AU255)&gt;0,AU255,N255))</f>
        <v>1.40625</v>
      </c>
      <c r="AX255" s="29" t="n">
        <f aca="false">IF(N(AN255)=0,"",AN255+IF(I255="yes",AN255*Inputs!$B$10*Inputs!$B$9,0)+IFERROR(INDEX(Inputs!$B$13:$B$15,MATCH(G255,Inputs!$A$13:$A$15,0)),0)+IFERROR(INDEX(Inputs!$B$18:$B$24,MATCH(H255,Inputs!$A$18:$A$24,0)),0))</f>
        <v>0.07</v>
      </c>
      <c r="AY255" s="28" t="n">
        <f aca="false">IF(OR(N(AX255)&lt;=0,N(AW255)=0,N(AV255)=0),"",MIN(AV255,AW255/AX255))</f>
        <v>20.0892857142857</v>
      </c>
      <c r="AZ255" s="29" t="n">
        <f aca="false">IF(OR(AY255="",N(O255)=0),"",AY255/O255-1)</f>
        <v>-0.0967047790339156</v>
      </c>
      <c r="BA255" s="29" t="n">
        <f aca="false">IF(OR(AZ255="",N(O255)=0),"",AZ255+AW255/O255)</f>
        <v>-0.0334741135662897</v>
      </c>
      <c r="BB255" s="32" t="n">
        <f aca="false">IF(OR(BA255="",N(AR255)=0),"",BA255-AR255)</f>
        <v>0</v>
      </c>
      <c r="BC255" s="35" t="n">
        <f aca="false">IF(OR(BA255="",N(U255)=0),"",BA255-U255)</f>
        <v>-0.220805498458376</v>
      </c>
      <c r="BD255" s="36" t="s">
        <v>577</v>
      </c>
    </row>
    <row r="256" customFormat="false" ht="15" hidden="false" customHeight="false" outlineLevel="0" collapsed="false">
      <c r="A256" s="2" t="s">
        <v>556</v>
      </c>
      <c r="B256" s="2" t="n">
        <v>63</v>
      </c>
      <c r="C256" s="2" t="s">
        <v>607</v>
      </c>
      <c r="D256" s="2" t="s">
        <v>608</v>
      </c>
      <c r="E256" s="2" t="s">
        <v>609</v>
      </c>
      <c r="F256" s="27" t="n">
        <v>3300</v>
      </c>
      <c r="G256" s="2" t="s">
        <v>51</v>
      </c>
      <c r="H256" s="2" t="s">
        <v>59</v>
      </c>
      <c r="I256" s="2" t="s">
        <v>144</v>
      </c>
      <c r="J256" s="2" t="s">
        <v>145</v>
      </c>
      <c r="K256" s="2" t="n">
        <v>4</v>
      </c>
      <c r="L256" s="28" t="n">
        <v>25</v>
      </c>
      <c r="M256" s="29" t="n">
        <v>0.069</v>
      </c>
      <c r="N256" s="28" t="n">
        <v>1.725</v>
      </c>
      <c r="O256" s="28" t="n">
        <v>25.88</v>
      </c>
      <c r="P256" s="2" t="s">
        <v>146</v>
      </c>
      <c r="Q256" s="29" t="n">
        <v>0.09</v>
      </c>
      <c r="R256" s="30" t="n">
        <v>0.09</v>
      </c>
      <c r="S256" s="31" t="n">
        <v>19.1666666666667</v>
      </c>
      <c r="T256" s="30" t="n">
        <v>-0.259402369912416</v>
      </c>
      <c r="U256" s="30" t="n">
        <v>-0.192748583204534</v>
      </c>
      <c r="V256" s="29" t="n">
        <v>0</v>
      </c>
      <c r="W256" s="29" t="n">
        <f aca="false">IF(N(Q256)=0,"",Q256+IF(I256="yes",Q256*Inputs!$B$10*Inputs!$B$9,0)+V256)</f>
        <v>0.09</v>
      </c>
      <c r="X256" s="28" t="n">
        <f aca="false">IF(OR(N(W256)&lt;=0,N(N256)=0,N(L256)=0),"",MIN(L256,N256/W256))</f>
        <v>19.1666666666667</v>
      </c>
      <c r="Y256" s="29" t="n">
        <f aca="false">IF(OR(X256="",N(O256)=0),"",X256/O256-1)</f>
        <v>-0.259402369912416</v>
      </c>
      <c r="Z256" s="29" t="n">
        <f aca="false">IF(OR(Y256="",N(O256)=0),"",Y256+N256/O256)</f>
        <v>-0.192748583204534</v>
      </c>
      <c r="AA256" s="32" t="n">
        <f aca="false">IF(OR(Z256="",N(U256)=0),"",Z256-U256)</f>
        <v>0</v>
      </c>
      <c r="AB256" s="29" t="n">
        <f aca="false">IF(N(Q256)=0,"",Q256+IF(I256="yes",Q256*Inputs!$B$10*Inputs!$B$9,0)+IFERROR(INDEX(Inputs!$B$13:$B$15,MATCH(G256,Inputs!$A$13:$A$15,0)),0)+IFERROR(INDEX(Inputs!$B$18:$B$24,MATCH(H256,Inputs!$A$18:$A$24,0)),0))</f>
        <v>0.09</v>
      </c>
      <c r="AC256" s="28" t="n">
        <f aca="false">IF(OR(N(AB256)&lt;=0,N(N256)=0,N(L256)=0),"",MIN(L256,N256/AB256))</f>
        <v>19.1666666666667</v>
      </c>
      <c r="AD256" s="29" t="n">
        <f aca="false">IF(OR(AC256="",N(O256)=0),"",AC256/O256-1)</f>
        <v>-0.259402369912416</v>
      </c>
      <c r="AE256" s="29" t="n">
        <f aca="false">IF(OR(AD256="",N(O256)=0),"",AD256+N256/O256)</f>
        <v>-0.192748583204534</v>
      </c>
      <c r="AF256" s="32" t="n">
        <f aca="false">IF(OR(AE256="",N(Z256)=0),"",AE256-Z256)</f>
        <v>0</v>
      </c>
      <c r="AG256" s="28" t="n">
        <f aca="false">IF(AND(N(M256)&gt;0,N(L256)&gt;0),M256*L256,N256)</f>
        <v>1.725</v>
      </c>
      <c r="AH256" s="28" t="n">
        <f aca="false">IF(OR(N(AB256)&lt;=0,N(AG256)=0,N(L256)=0),"",MIN(L256,AG256/AB256))</f>
        <v>19.1666666666667</v>
      </c>
      <c r="AI256" s="29" t="n">
        <f aca="false">IF(OR(AH256="",N(O256)=0),"",AH256/O256-1)</f>
        <v>-0.259402369912416</v>
      </c>
      <c r="AJ256" s="29" t="n">
        <f aca="false">IF(OR(AI256="",N(O256)=0),"",AI256+AG256/O256)</f>
        <v>-0.192748583204534</v>
      </c>
      <c r="AK256" s="32" t="n">
        <f aca="false">IF(OR(AJ256="",N(AE256)=0),"",AJ256-AE256)</f>
        <v>0</v>
      </c>
      <c r="AL256" s="33" t="n">
        <f aca="false">IF(N(F256)=0,"",INDEX(Inputs!$B$28:$B$32,IFERROR(MATCH(F256,Inputs!$A$28:$A$32,1),0)+1))</f>
        <v>0.085</v>
      </c>
      <c r="AM256" s="34"/>
      <c r="AN256" s="33" t="n">
        <f aca="false">IF(N(AM256)&gt;0,AM256,AL256)</f>
        <v>0.085</v>
      </c>
      <c r="AO256" s="29" t="n">
        <f aca="false">IF(N(AN256)=0,"",AN256+IF(I256="yes",AN256*Inputs!$B$10*Inputs!$B$9,0)+IFERROR(INDEX(Inputs!$B$13:$B$15,MATCH(G256,Inputs!$A$13:$A$15,0)),0)+IFERROR(INDEX(Inputs!$B$18:$B$24,MATCH(H256,Inputs!$A$18:$A$24,0)),0))</f>
        <v>0.085</v>
      </c>
      <c r="AP256" s="28" t="n">
        <f aca="false">IF(OR(N(AO256)&lt;=0,N(AG256)=0,N(L256)=0),"",MIN(L256,AG256/AO256))</f>
        <v>20.2941176470588</v>
      </c>
      <c r="AQ256" s="29" t="n">
        <f aca="false">IF(OR(AP256="",N(O256)=0),"",AP256/O256-1)</f>
        <v>-0.215837803436676</v>
      </c>
      <c r="AR256" s="29" t="n">
        <f aca="false">IF(OR(AQ256="",N(O256)=0),"",AQ256+AG256/O256)</f>
        <v>-0.149184016728794</v>
      </c>
      <c r="AS256" s="32" t="n">
        <f aca="false">IF(OR(AR256="",N(AJ256)=0),"",AR256-AJ256)</f>
        <v>0.0435645664757404</v>
      </c>
      <c r="AT256" s="28" t="n">
        <v>25</v>
      </c>
      <c r="AU256" s="28"/>
      <c r="AV256" s="28" t="n">
        <f aca="false">IF(N(AT256)&gt;0,AT256,L256)</f>
        <v>25</v>
      </c>
      <c r="AW256" s="28" t="n">
        <f aca="false">IF(AND(N(M256)&gt;0,N(AV256)&gt;0),M256*AV256,IF(N(AU256)&gt;0,AU256,N256))</f>
        <v>1.725</v>
      </c>
      <c r="AX256" s="29" t="n">
        <f aca="false">IF(N(AN256)=0,"",AN256+IF(I256="yes",AN256*Inputs!$B$10*Inputs!$B$9,0)+IFERROR(INDEX(Inputs!$B$13:$B$15,MATCH(G256,Inputs!$A$13:$A$15,0)),0)+IFERROR(INDEX(Inputs!$B$18:$B$24,MATCH(H256,Inputs!$A$18:$A$24,0)),0))</f>
        <v>0.085</v>
      </c>
      <c r="AY256" s="28" t="n">
        <f aca="false">IF(OR(N(AX256)&lt;=0,N(AW256)=0,N(AV256)=0),"",MIN(AV256,AW256/AX256))</f>
        <v>20.2941176470588</v>
      </c>
      <c r="AZ256" s="29" t="n">
        <f aca="false">IF(OR(AY256="",N(O256)=0),"",AY256/O256-1)</f>
        <v>-0.215837803436676</v>
      </c>
      <c r="BA256" s="29" t="n">
        <f aca="false">IF(OR(AZ256="",N(O256)=0),"",AZ256+AW256/O256)</f>
        <v>-0.149184016728794</v>
      </c>
      <c r="BB256" s="32" t="n">
        <f aca="false">IF(OR(BA256="",N(AR256)=0),"",BA256-AR256)</f>
        <v>0</v>
      </c>
      <c r="BC256" s="35" t="n">
        <f aca="false">IF(OR(BA256="",N(U256)=0),"",BA256-U256)</f>
        <v>0.0435645664757404</v>
      </c>
      <c r="BD256" s="37"/>
    </row>
    <row r="257" customFormat="false" ht="15" hidden="false" customHeight="false" outlineLevel="0" collapsed="false">
      <c r="A257" s="2" t="s">
        <v>556</v>
      </c>
      <c r="B257" s="2" t="n">
        <v>69</v>
      </c>
      <c r="C257" s="2" t="s">
        <v>610</v>
      </c>
      <c r="D257" s="2" t="s">
        <v>611</v>
      </c>
      <c r="E257" s="2" t="s">
        <v>612</v>
      </c>
      <c r="F257" s="27" t="n">
        <v>502</v>
      </c>
      <c r="G257" s="2" t="s">
        <v>51</v>
      </c>
      <c r="H257" s="2" t="s">
        <v>58</v>
      </c>
      <c r="I257" s="2" t="s">
        <v>144</v>
      </c>
      <c r="J257" s="2" t="s">
        <v>168</v>
      </c>
      <c r="K257" s="2" t="n">
        <v>12</v>
      </c>
      <c r="L257" s="28" t="n">
        <v>25</v>
      </c>
      <c r="M257" s="29" t="n">
        <v>0.065</v>
      </c>
      <c r="N257" s="28" t="n">
        <v>1.625</v>
      </c>
      <c r="O257" s="28" t="n">
        <v>25.16</v>
      </c>
      <c r="P257" s="2" t="s">
        <v>146</v>
      </c>
      <c r="Q257" s="29" t="n">
        <v>0.1</v>
      </c>
      <c r="R257" s="30" t="n">
        <v>0.1</v>
      </c>
      <c r="S257" s="31" t="n">
        <v>16.25</v>
      </c>
      <c r="T257" s="30" t="n">
        <v>-0.354133545310016</v>
      </c>
      <c r="U257" s="30" t="n">
        <v>-0.289546899841018</v>
      </c>
      <c r="V257" s="29" t="n">
        <v>0</v>
      </c>
      <c r="W257" s="29" t="n">
        <f aca="false">IF(N(Q257)=0,"",Q257+IF(I257="yes",Q257*Inputs!$B$10*Inputs!$B$9,0)+V257)</f>
        <v>0.1</v>
      </c>
      <c r="X257" s="28" t="n">
        <f aca="false">IF(OR(N(W257)&lt;=0,N(N257)=0,N(L257)=0),"",MIN(L257,N257/W257))</f>
        <v>16.25</v>
      </c>
      <c r="Y257" s="29" t="n">
        <f aca="false">IF(OR(X257="",N(O257)=0),"",X257/O257-1)</f>
        <v>-0.354133545310016</v>
      </c>
      <c r="Z257" s="29" t="n">
        <f aca="false">IF(OR(Y257="",N(O257)=0),"",Y257+N257/O257)</f>
        <v>-0.289546899841018</v>
      </c>
      <c r="AA257" s="32" t="n">
        <f aca="false">IF(OR(Z257="",N(U257)=0),"",Z257-U257)</f>
        <v>0</v>
      </c>
      <c r="AB257" s="29" t="n">
        <f aca="false">IF(N(Q257)=0,"",Q257+IF(I257="yes",Q257*Inputs!$B$10*Inputs!$B$9,0)+IFERROR(INDEX(Inputs!$B$13:$B$15,MATCH(G257,Inputs!$A$13:$A$15,0)),0)+IFERROR(INDEX(Inputs!$B$18:$B$24,MATCH(H257,Inputs!$A$18:$A$24,0)),0))</f>
        <v>0.1</v>
      </c>
      <c r="AC257" s="28" t="n">
        <f aca="false">IF(OR(N(AB257)&lt;=0,N(N257)=0,N(L257)=0),"",MIN(L257,N257/AB257))</f>
        <v>16.25</v>
      </c>
      <c r="AD257" s="29" t="n">
        <f aca="false">IF(OR(AC257="",N(O257)=0),"",AC257/O257-1)</f>
        <v>-0.354133545310016</v>
      </c>
      <c r="AE257" s="29" t="n">
        <f aca="false">IF(OR(AD257="",N(O257)=0),"",AD257+N257/O257)</f>
        <v>-0.289546899841018</v>
      </c>
      <c r="AF257" s="32" t="n">
        <f aca="false">IF(OR(AE257="",N(Z257)=0),"",AE257-Z257)</f>
        <v>0</v>
      </c>
      <c r="AG257" s="28" t="n">
        <f aca="false">IF(AND(N(M257)&gt;0,N(L257)&gt;0),M257*L257,N257)</f>
        <v>1.625</v>
      </c>
      <c r="AH257" s="28" t="n">
        <f aca="false">IF(OR(N(AB257)&lt;=0,N(AG257)=0,N(L257)=0),"",MIN(L257,AG257/AB257))</f>
        <v>16.25</v>
      </c>
      <c r="AI257" s="29" t="n">
        <f aca="false">IF(OR(AH257="",N(O257)=0),"",AH257/O257-1)</f>
        <v>-0.354133545310016</v>
      </c>
      <c r="AJ257" s="29" t="n">
        <f aca="false">IF(OR(AI257="",N(O257)=0),"",AI257+AG257/O257)</f>
        <v>-0.289546899841018</v>
      </c>
      <c r="AK257" s="32" t="n">
        <f aca="false">IF(OR(AJ257="",N(AE257)=0),"",AJ257-AE257)</f>
        <v>0</v>
      </c>
      <c r="AL257" s="33" t="n">
        <f aca="false">IF(N(F257)=0,"",INDEX(Inputs!$B$28:$B$32,IFERROR(MATCH(F257,Inputs!$A$28:$A$32,1),0)+1))</f>
        <v>0.09</v>
      </c>
      <c r="AM257" s="34"/>
      <c r="AN257" s="33" t="n">
        <f aca="false">IF(N(AM257)&gt;0,AM257,AL257)</f>
        <v>0.09</v>
      </c>
      <c r="AO257" s="29" t="n">
        <f aca="false">IF(N(AN257)=0,"",AN257+IF(I257="yes",AN257*Inputs!$B$10*Inputs!$B$9,0)+IFERROR(INDEX(Inputs!$B$13:$B$15,MATCH(G257,Inputs!$A$13:$A$15,0)),0)+IFERROR(INDEX(Inputs!$B$18:$B$24,MATCH(H257,Inputs!$A$18:$A$24,0)),0))</f>
        <v>0.09</v>
      </c>
      <c r="AP257" s="28" t="n">
        <f aca="false">IF(OR(N(AO257)&lt;=0,N(AG257)=0,N(L257)=0),"",MIN(L257,AG257/AO257))</f>
        <v>18.0555555555556</v>
      </c>
      <c r="AQ257" s="29" t="n">
        <f aca="false">IF(OR(AP257="",N(O257)=0),"",AP257/O257-1)</f>
        <v>-0.282370605900018</v>
      </c>
      <c r="AR257" s="29" t="n">
        <f aca="false">IF(OR(AQ257="",N(O257)=0),"",AQ257+AG257/O257)</f>
        <v>-0.217783960431019</v>
      </c>
      <c r="AS257" s="32" t="n">
        <f aca="false">IF(OR(AR257="",N(AJ257)=0),"",AR257-AJ257)</f>
        <v>0.0717629394099983</v>
      </c>
      <c r="AT257" s="28" t="n">
        <v>25</v>
      </c>
      <c r="AU257" s="28" t="n">
        <v>1.625</v>
      </c>
      <c r="AV257" s="28" t="n">
        <f aca="false">IF(N(AT257)&gt;0,AT257,L257)</f>
        <v>25</v>
      </c>
      <c r="AW257" s="28" t="n">
        <f aca="false">IF(AND(N(M257)&gt;0,N(AV257)&gt;0),M257*AV257,IF(N(AU257)&gt;0,AU257,N257))</f>
        <v>1.625</v>
      </c>
      <c r="AX257" s="29" t="n">
        <f aca="false">IF(N(AN257)=0,"",AN257+IF(I257="yes",AN257*Inputs!$B$10*Inputs!$B$9,0)+IFERROR(INDEX(Inputs!$B$13:$B$15,MATCH(G257,Inputs!$A$13:$A$15,0)),0)+IFERROR(INDEX(Inputs!$B$18:$B$24,MATCH(H257,Inputs!$A$18:$A$24,0)),0))</f>
        <v>0.09</v>
      </c>
      <c r="AY257" s="28" t="n">
        <f aca="false">IF(OR(N(AX257)&lt;=0,N(AW257)=0,N(AV257)=0),"",MIN(AV257,AW257/AX257))</f>
        <v>18.0555555555556</v>
      </c>
      <c r="AZ257" s="29" t="n">
        <f aca="false">IF(OR(AY257="",N(O257)=0),"",AY257/O257-1)</f>
        <v>-0.282370605900018</v>
      </c>
      <c r="BA257" s="29" t="n">
        <f aca="false">IF(OR(AZ257="",N(O257)=0),"",AZ257+AW257/O257)</f>
        <v>-0.217783960431019</v>
      </c>
      <c r="BB257" s="32" t="n">
        <f aca="false">IF(OR(BA257="",N(AR257)=0),"",BA257-AR257)</f>
        <v>0</v>
      </c>
      <c r="BC257" s="35" t="n">
        <f aca="false">IF(OR(BA257="",N(U257)=0),"",BA257-U257)</f>
        <v>0.0717629394099984</v>
      </c>
      <c r="BD257" s="37"/>
    </row>
    <row r="258" customFormat="false" ht="15" hidden="false" customHeight="false" outlineLevel="0" collapsed="false">
      <c r="A258" s="2" t="s">
        <v>556</v>
      </c>
      <c r="B258" s="2" t="n">
        <v>70</v>
      </c>
      <c r="C258" s="2" t="s">
        <v>613</v>
      </c>
      <c r="D258" s="2" t="s">
        <v>611</v>
      </c>
      <c r="E258" s="2" t="s">
        <v>612</v>
      </c>
      <c r="F258" s="27" t="n">
        <v>502</v>
      </c>
      <c r="G258" s="2" t="s">
        <v>51</v>
      </c>
      <c r="H258" s="2" t="s">
        <v>58</v>
      </c>
      <c r="I258" s="2" t="s">
        <v>144</v>
      </c>
      <c r="J258" s="2" t="s">
        <v>145</v>
      </c>
      <c r="K258" s="2" t="n">
        <v>4</v>
      </c>
      <c r="L258" s="28" t="n">
        <v>25</v>
      </c>
      <c r="M258" s="29" t="n">
        <v>0.0675</v>
      </c>
      <c r="N258" s="28" t="n">
        <v>1.6875</v>
      </c>
      <c r="O258" s="28" t="n">
        <v>18.63</v>
      </c>
      <c r="P258" s="2" t="s">
        <v>146</v>
      </c>
      <c r="Q258" s="29" t="n">
        <v>0.1</v>
      </c>
      <c r="R258" s="30" t="n">
        <v>0.1</v>
      </c>
      <c r="S258" s="31" t="n">
        <v>16.875</v>
      </c>
      <c r="T258" s="30" t="n">
        <v>-0.0942028985507246</v>
      </c>
      <c r="U258" s="30" t="n">
        <v>-0.00362318840579708</v>
      </c>
      <c r="V258" s="29" t="n">
        <v>0</v>
      </c>
      <c r="W258" s="29" t="n">
        <f aca="false">IF(N(Q258)=0,"",Q258+IF(I258="yes",Q258*Inputs!$B$10*Inputs!$B$9,0)+V258)</f>
        <v>0.1</v>
      </c>
      <c r="X258" s="28" t="n">
        <f aca="false">IF(OR(N(W258)&lt;=0,N(N258)=0,N(L258)=0),"",MIN(L258,N258/W258))</f>
        <v>16.875</v>
      </c>
      <c r="Y258" s="29" t="n">
        <f aca="false">IF(OR(X258="",N(O258)=0),"",X258/O258-1)</f>
        <v>-0.0942028985507246</v>
      </c>
      <c r="Z258" s="29" t="n">
        <f aca="false">IF(OR(Y258="",N(O258)=0),"",Y258+N258/O258)</f>
        <v>-0.00362318840579708</v>
      </c>
      <c r="AA258" s="32" t="n">
        <f aca="false">IF(OR(Z258="",N(U258)=0),"",Z258-U258)</f>
        <v>0</v>
      </c>
      <c r="AB258" s="29" t="n">
        <f aca="false">IF(N(Q258)=0,"",Q258+IF(I258="yes",Q258*Inputs!$B$10*Inputs!$B$9,0)+IFERROR(INDEX(Inputs!$B$13:$B$15,MATCH(G258,Inputs!$A$13:$A$15,0)),0)+IFERROR(INDEX(Inputs!$B$18:$B$24,MATCH(H258,Inputs!$A$18:$A$24,0)),0))</f>
        <v>0.1</v>
      </c>
      <c r="AC258" s="28" t="n">
        <f aca="false">IF(OR(N(AB258)&lt;=0,N(N258)=0,N(L258)=0),"",MIN(L258,N258/AB258))</f>
        <v>16.875</v>
      </c>
      <c r="AD258" s="29" t="n">
        <f aca="false">IF(OR(AC258="",N(O258)=0),"",AC258/O258-1)</f>
        <v>-0.0942028985507246</v>
      </c>
      <c r="AE258" s="29" t="n">
        <f aca="false">IF(OR(AD258="",N(O258)=0),"",AD258+N258/O258)</f>
        <v>-0.00362318840579708</v>
      </c>
      <c r="AF258" s="32" t="n">
        <f aca="false">IF(OR(AE258="",N(Z258)=0),"",AE258-Z258)</f>
        <v>0</v>
      </c>
      <c r="AG258" s="28" t="n">
        <f aca="false">IF(AND(N(M258)&gt;0,N(L258)&gt;0),M258*L258,N258)</f>
        <v>1.6875</v>
      </c>
      <c r="AH258" s="28" t="n">
        <f aca="false">IF(OR(N(AB258)&lt;=0,N(AG258)=0,N(L258)=0),"",MIN(L258,AG258/AB258))</f>
        <v>16.875</v>
      </c>
      <c r="AI258" s="29" t="n">
        <f aca="false">IF(OR(AH258="",N(O258)=0),"",AH258/O258-1)</f>
        <v>-0.0942028985507246</v>
      </c>
      <c r="AJ258" s="29" t="n">
        <f aca="false">IF(OR(AI258="",N(O258)=0),"",AI258+AG258/O258)</f>
        <v>-0.00362318840579708</v>
      </c>
      <c r="AK258" s="32" t="n">
        <f aca="false">IF(OR(AJ258="",N(AE258)=0),"",AJ258-AE258)</f>
        <v>0</v>
      </c>
      <c r="AL258" s="33" t="n">
        <f aca="false">IF(N(F258)=0,"",INDEX(Inputs!$B$28:$B$32,IFERROR(MATCH(F258,Inputs!$A$28:$A$32,1),0)+1))</f>
        <v>0.09</v>
      </c>
      <c r="AM258" s="34"/>
      <c r="AN258" s="33" t="n">
        <f aca="false">IF(N(AM258)&gt;0,AM258,AL258)</f>
        <v>0.09</v>
      </c>
      <c r="AO258" s="29" t="n">
        <f aca="false">IF(N(AN258)=0,"",AN258+IF(I258="yes",AN258*Inputs!$B$10*Inputs!$B$9,0)+IFERROR(INDEX(Inputs!$B$13:$B$15,MATCH(G258,Inputs!$A$13:$A$15,0)),0)+IFERROR(INDEX(Inputs!$B$18:$B$24,MATCH(H258,Inputs!$A$18:$A$24,0)),0))</f>
        <v>0.09</v>
      </c>
      <c r="AP258" s="28" t="n">
        <f aca="false">IF(OR(N(AO258)&lt;=0,N(AG258)=0,N(L258)=0),"",MIN(L258,AG258/AO258))</f>
        <v>18.75</v>
      </c>
      <c r="AQ258" s="29" t="n">
        <f aca="false">IF(OR(AP258="",N(O258)=0),"",AP258/O258-1)</f>
        <v>0.00644122383252821</v>
      </c>
      <c r="AR258" s="29" t="n">
        <f aca="false">IF(OR(AQ258="",N(O258)=0),"",AQ258+AG258/O258)</f>
        <v>0.0970209339774557</v>
      </c>
      <c r="AS258" s="32" t="n">
        <f aca="false">IF(OR(AR258="",N(AJ258)=0),"",AR258-AJ258)</f>
        <v>0.100644122383253</v>
      </c>
      <c r="AT258" s="28" t="n">
        <v>25</v>
      </c>
      <c r="AU258" s="28" t="n">
        <v>1.6875</v>
      </c>
      <c r="AV258" s="28" t="n">
        <f aca="false">IF(N(AT258)&gt;0,AT258,L258)</f>
        <v>25</v>
      </c>
      <c r="AW258" s="28" t="n">
        <f aca="false">IF(AND(N(M258)&gt;0,N(AV258)&gt;0),M258*AV258,IF(N(AU258)&gt;0,AU258,N258))</f>
        <v>1.6875</v>
      </c>
      <c r="AX258" s="29" t="n">
        <f aca="false">IF(N(AN258)=0,"",AN258+IF(I258="yes",AN258*Inputs!$B$10*Inputs!$B$9,0)+IFERROR(INDEX(Inputs!$B$13:$B$15,MATCH(G258,Inputs!$A$13:$A$15,0)),0)+IFERROR(INDEX(Inputs!$B$18:$B$24,MATCH(H258,Inputs!$A$18:$A$24,0)),0))</f>
        <v>0.09</v>
      </c>
      <c r="AY258" s="28" t="n">
        <f aca="false">IF(OR(N(AX258)&lt;=0,N(AW258)=0,N(AV258)=0),"",MIN(AV258,AW258/AX258))</f>
        <v>18.75</v>
      </c>
      <c r="AZ258" s="29" t="n">
        <f aca="false">IF(OR(AY258="",N(O258)=0),"",AY258/O258-1)</f>
        <v>0.00644122383252821</v>
      </c>
      <c r="BA258" s="29" t="n">
        <f aca="false">IF(OR(AZ258="",N(O258)=0),"",AZ258+AW258/O258)</f>
        <v>0.0970209339774557</v>
      </c>
      <c r="BB258" s="32" t="n">
        <f aca="false">IF(OR(BA258="",N(AR258)=0),"",BA258-AR258)</f>
        <v>0</v>
      </c>
      <c r="BC258" s="35" t="n">
        <f aca="false">IF(OR(BA258="",N(U258)=0),"",BA258-U258)</f>
        <v>0.100644122383253</v>
      </c>
      <c r="BD258" s="37"/>
    </row>
    <row r="259" customFormat="false" ht="15" hidden="false" customHeight="false" outlineLevel="0" collapsed="false">
      <c r="A259" s="2" t="s">
        <v>556</v>
      </c>
      <c r="B259" s="2" t="n">
        <v>71</v>
      </c>
      <c r="C259" s="2" t="s">
        <v>614</v>
      </c>
      <c r="D259" s="2" t="s">
        <v>611</v>
      </c>
      <c r="E259" s="2" t="s">
        <v>612</v>
      </c>
      <c r="F259" s="27" t="n">
        <v>502</v>
      </c>
      <c r="G259" s="2" t="s">
        <v>51</v>
      </c>
      <c r="H259" s="2" t="s">
        <v>58</v>
      </c>
      <c r="I259" s="2" t="s">
        <v>144</v>
      </c>
      <c r="J259" s="2" t="s">
        <v>145</v>
      </c>
      <c r="K259" s="2" t="n">
        <v>4</v>
      </c>
      <c r="L259" s="28" t="n">
        <v>25</v>
      </c>
      <c r="M259" s="29" t="n">
        <v>0.05375</v>
      </c>
      <c r="N259" s="28" t="n">
        <v>1.34375</v>
      </c>
      <c r="O259" s="28" t="n">
        <v>24.1</v>
      </c>
      <c r="P259" s="2" t="s">
        <v>223</v>
      </c>
      <c r="Q259" s="29" t="n">
        <v>0.1</v>
      </c>
      <c r="R259" s="30" t="n">
        <v>0.1</v>
      </c>
      <c r="S259" s="31" t="n">
        <v>13.4375</v>
      </c>
      <c r="T259" s="30" t="n">
        <v>-0.442427385892116</v>
      </c>
      <c r="U259" s="30" t="n">
        <v>-0.386670124481328</v>
      </c>
      <c r="V259" s="29" t="n">
        <v>0</v>
      </c>
      <c r="W259" s="29" t="n">
        <f aca="false">IF(N(Q259)=0,"",Q259+IF(I259="yes",Q259*Inputs!$B$10*Inputs!$B$9,0)+V259)</f>
        <v>0.1</v>
      </c>
      <c r="X259" s="28" t="n">
        <f aca="false">IF(OR(N(W259)&lt;=0,N(N259)=0,N(L259)=0),"",MIN(L259,N259/W259))</f>
        <v>13.4375</v>
      </c>
      <c r="Y259" s="29" t="n">
        <f aca="false">IF(OR(X259="",N(O259)=0),"",X259/O259-1)</f>
        <v>-0.442427385892116</v>
      </c>
      <c r="Z259" s="29" t="n">
        <f aca="false">IF(OR(Y259="",N(O259)=0),"",Y259+N259/O259)</f>
        <v>-0.386670124481328</v>
      </c>
      <c r="AA259" s="32" t="n">
        <f aca="false">IF(OR(Z259="",N(U259)=0),"",Z259-U259)</f>
        <v>0</v>
      </c>
      <c r="AB259" s="29" t="n">
        <f aca="false">IF(N(Q259)=0,"",Q259+IF(I259="yes",Q259*Inputs!$B$10*Inputs!$B$9,0)+IFERROR(INDEX(Inputs!$B$13:$B$15,MATCH(G259,Inputs!$A$13:$A$15,0)),0)+IFERROR(INDEX(Inputs!$B$18:$B$24,MATCH(H259,Inputs!$A$18:$A$24,0)),0))</f>
        <v>0.1</v>
      </c>
      <c r="AC259" s="28" t="n">
        <f aca="false">IF(OR(N(AB259)&lt;=0,N(N259)=0,N(L259)=0),"",MIN(L259,N259/AB259))</f>
        <v>13.4375</v>
      </c>
      <c r="AD259" s="29" t="n">
        <f aca="false">IF(OR(AC259="",N(O259)=0),"",AC259/O259-1)</f>
        <v>-0.442427385892116</v>
      </c>
      <c r="AE259" s="29" t="n">
        <f aca="false">IF(OR(AD259="",N(O259)=0),"",AD259+N259/O259)</f>
        <v>-0.386670124481328</v>
      </c>
      <c r="AF259" s="32" t="n">
        <f aca="false">IF(OR(AE259="",N(Z259)=0),"",AE259-Z259)</f>
        <v>0</v>
      </c>
      <c r="AG259" s="28" t="n">
        <f aca="false">IF(AND(N(M259)&gt;0,N(L259)&gt;0),M259*L259,N259)</f>
        <v>1.34375</v>
      </c>
      <c r="AH259" s="28" t="n">
        <f aca="false">IF(OR(N(AB259)&lt;=0,N(AG259)=0,N(L259)=0),"",MIN(L259,AG259/AB259))</f>
        <v>13.4375</v>
      </c>
      <c r="AI259" s="29" t="n">
        <f aca="false">IF(OR(AH259="",N(O259)=0),"",AH259/O259-1)</f>
        <v>-0.442427385892116</v>
      </c>
      <c r="AJ259" s="29" t="n">
        <f aca="false">IF(OR(AI259="",N(O259)=0),"",AI259+AG259/O259)</f>
        <v>-0.386670124481328</v>
      </c>
      <c r="AK259" s="32" t="n">
        <f aca="false">IF(OR(AJ259="",N(AE259)=0),"",AJ259-AE259)</f>
        <v>0</v>
      </c>
      <c r="AL259" s="33" t="n">
        <f aca="false">IF(N(F259)=0,"",INDEX(Inputs!$B$28:$B$32,IFERROR(MATCH(F259,Inputs!$A$28:$A$32,1),0)+1))</f>
        <v>0.09</v>
      </c>
      <c r="AM259" s="34"/>
      <c r="AN259" s="33" t="n">
        <f aca="false">IF(N(AM259)&gt;0,AM259,AL259)</f>
        <v>0.09</v>
      </c>
      <c r="AO259" s="29" t="n">
        <f aca="false">IF(N(AN259)=0,"",AN259+IF(I259="yes",AN259*Inputs!$B$10*Inputs!$B$9,0)+IFERROR(INDEX(Inputs!$B$13:$B$15,MATCH(G259,Inputs!$A$13:$A$15,0)),0)+IFERROR(INDEX(Inputs!$B$18:$B$24,MATCH(H259,Inputs!$A$18:$A$24,0)),0))</f>
        <v>0.09</v>
      </c>
      <c r="AP259" s="28" t="n">
        <f aca="false">IF(OR(N(AO259)&lt;=0,N(AG259)=0,N(L259)=0),"",MIN(L259,AG259/AO259))</f>
        <v>14.9305555555556</v>
      </c>
      <c r="AQ259" s="29" t="n">
        <f aca="false">IF(OR(AP259="",N(O259)=0),"",AP259/O259-1)</f>
        <v>-0.380474873213463</v>
      </c>
      <c r="AR259" s="29" t="n">
        <f aca="false">IF(OR(AQ259="",N(O259)=0),"",AQ259+AG259/O259)</f>
        <v>-0.324717611802674</v>
      </c>
      <c r="AS259" s="32" t="n">
        <f aca="false">IF(OR(AR259="",N(AJ259)=0),"",AR259-AJ259)</f>
        <v>0.0619525126786537</v>
      </c>
      <c r="AT259" s="28" t="n">
        <v>25</v>
      </c>
      <c r="AU259" s="28" t="n">
        <v>1.34375</v>
      </c>
      <c r="AV259" s="28" t="n">
        <f aca="false">IF(N(AT259)&gt;0,AT259,L259)</f>
        <v>25</v>
      </c>
      <c r="AW259" s="28" t="n">
        <f aca="false">IF(AND(N(M259)&gt;0,N(AV259)&gt;0),M259*AV259,IF(N(AU259)&gt;0,AU259,N259))</f>
        <v>1.34375</v>
      </c>
      <c r="AX259" s="29" t="n">
        <f aca="false">IF(N(AN259)=0,"",AN259+IF(I259="yes",AN259*Inputs!$B$10*Inputs!$B$9,0)+IFERROR(INDEX(Inputs!$B$13:$B$15,MATCH(G259,Inputs!$A$13:$A$15,0)),0)+IFERROR(INDEX(Inputs!$B$18:$B$24,MATCH(H259,Inputs!$A$18:$A$24,0)),0))</f>
        <v>0.09</v>
      </c>
      <c r="AY259" s="28" t="n">
        <f aca="false">IF(OR(N(AX259)&lt;=0,N(AW259)=0,N(AV259)=0),"",MIN(AV259,AW259/AX259))</f>
        <v>14.9305555555556</v>
      </c>
      <c r="AZ259" s="29" t="n">
        <f aca="false">IF(OR(AY259="",N(O259)=0),"",AY259/O259-1)</f>
        <v>-0.380474873213463</v>
      </c>
      <c r="BA259" s="29" t="n">
        <f aca="false">IF(OR(AZ259="",N(O259)=0),"",AZ259+AW259/O259)</f>
        <v>-0.324717611802674</v>
      </c>
      <c r="BB259" s="32" t="n">
        <f aca="false">IF(OR(BA259="",N(AR259)=0),"",BA259-AR259)</f>
        <v>0</v>
      </c>
      <c r="BC259" s="35" t="n">
        <f aca="false">IF(OR(BA259="",N(U259)=0),"",BA259-U259)</f>
        <v>0.0619525126786537</v>
      </c>
      <c r="BD259" s="36" t="s">
        <v>224</v>
      </c>
    </row>
    <row r="260" customFormat="false" ht="15" hidden="false" customHeight="false" outlineLevel="0" collapsed="false">
      <c r="A260" s="2" t="s">
        <v>556</v>
      </c>
      <c r="B260" s="2" t="n">
        <v>72</v>
      </c>
      <c r="C260" s="2" t="s">
        <v>615</v>
      </c>
      <c r="D260" s="2" t="s">
        <v>611</v>
      </c>
      <c r="E260" s="2" t="s">
        <v>612</v>
      </c>
      <c r="F260" s="27" t="n">
        <v>502</v>
      </c>
      <c r="G260" s="2" t="s">
        <v>52</v>
      </c>
      <c r="H260" s="2" t="s">
        <v>58</v>
      </c>
      <c r="I260" s="2" t="s">
        <v>144</v>
      </c>
      <c r="J260" s="2" t="s">
        <v>145</v>
      </c>
      <c r="K260" s="2" t="n">
        <v>4</v>
      </c>
      <c r="L260" s="28" t="n">
        <v>25</v>
      </c>
      <c r="M260" s="29" t="n">
        <v>0.0675</v>
      </c>
      <c r="N260" s="28" t="n">
        <v>1.6875</v>
      </c>
      <c r="O260" s="28" t="n">
        <v>0</v>
      </c>
      <c r="P260" s="2" t="s">
        <v>146</v>
      </c>
      <c r="Q260" s="29" t="n">
        <v>0.1</v>
      </c>
      <c r="R260" s="30" t="n">
        <v>0.095</v>
      </c>
      <c r="S260" s="31" t="n">
        <v>17.7631578947368</v>
      </c>
      <c r="T260" s="30"/>
      <c r="U260" s="30"/>
      <c r="V260" s="29" t="n">
        <v>-0.005</v>
      </c>
      <c r="W260" s="29" t="n">
        <f aca="false">IF(N(Q260)=0,"",Q260+IF(I260="yes",Q260*Inputs!$B$10*Inputs!$B$9,0)+V260)</f>
        <v>0.095</v>
      </c>
      <c r="X260" s="28" t="n">
        <f aca="false">IF(OR(N(W260)&lt;=0,N(N260)=0,N(L260)=0),"",MIN(L260,N260/W260))</f>
        <v>17.7631578947368</v>
      </c>
      <c r="Y260" s="29" t="str">
        <f aca="false">IF(OR(X260="",N(O260)=0),"",X260/O260-1)</f>
        <v/>
      </c>
      <c r="Z260" s="29" t="str">
        <f aca="false">IF(OR(Y260="",N(O260)=0),"",Y260+N260/O260)</f>
        <v/>
      </c>
      <c r="AA260" s="32" t="str">
        <f aca="false">IF(OR(Z260="",N(U260)=0),"",Z260-U260)</f>
        <v/>
      </c>
      <c r="AB260" s="29" t="n">
        <f aca="false">IF(N(Q260)=0,"",Q260+IF(I260="yes",Q260*Inputs!$B$10*Inputs!$B$9,0)+IFERROR(INDEX(Inputs!$B$13:$B$15,MATCH(G260,Inputs!$A$13:$A$15,0)),0)+IFERROR(INDEX(Inputs!$B$18:$B$24,MATCH(H260,Inputs!$A$18:$A$24,0)),0))</f>
        <v>0.095</v>
      </c>
      <c r="AC260" s="28" t="n">
        <f aca="false">IF(OR(N(AB260)&lt;=0,N(N260)=0,N(L260)=0),"",MIN(L260,N260/AB260))</f>
        <v>17.7631578947368</v>
      </c>
      <c r="AD260" s="29" t="str">
        <f aca="false">IF(OR(AC260="",N(O260)=0),"",AC260/O260-1)</f>
        <v/>
      </c>
      <c r="AE260" s="29" t="str">
        <f aca="false">IF(OR(AD260="",N(O260)=0),"",AD260+N260/O260)</f>
        <v/>
      </c>
      <c r="AF260" s="32" t="str">
        <f aca="false">IF(OR(AE260="",N(Z260)=0),"",AE260-Z260)</f>
        <v/>
      </c>
      <c r="AG260" s="28" t="n">
        <f aca="false">IF(AND(N(M260)&gt;0,N(L260)&gt;0),M260*L260,N260)</f>
        <v>1.6875</v>
      </c>
      <c r="AH260" s="28" t="n">
        <f aca="false">IF(OR(N(AB260)&lt;=0,N(AG260)=0,N(L260)=0),"",MIN(L260,AG260/AB260))</f>
        <v>17.7631578947368</v>
      </c>
      <c r="AI260" s="29" t="str">
        <f aca="false">IF(OR(AH260="",N(O260)=0),"",AH260/O260-1)</f>
        <v/>
      </c>
      <c r="AJ260" s="29" t="str">
        <f aca="false">IF(OR(AI260="",N(O260)=0),"",AI260+AG260/O260)</f>
        <v/>
      </c>
      <c r="AK260" s="32" t="str">
        <f aca="false">IF(OR(AJ260="",N(AE260)=0),"",AJ260-AE260)</f>
        <v/>
      </c>
      <c r="AL260" s="33" t="n">
        <f aca="false">IF(N(F260)=0,"",INDEX(Inputs!$B$28:$B$32,IFERROR(MATCH(F260,Inputs!$A$28:$A$32,1),0)+1))</f>
        <v>0.09</v>
      </c>
      <c r="AM260" s="34"/>
      <c r="AN260" s="33" t="n">
        <f aca="false">IF(N(AM260)&gt;0,AM260,AL260)</f>
        <v>0.09</v>
      </c>
      <c r="AO260" s="29" t="n">
        <f aca="false">IF(N(AN260)=0,"",AN260+IF(I260="yes",AN260*Inputs!$B$10*Inputs!$B$9,0)+IFERROR(INDEX(Inputs!$B$13:$B$15,MATCH(G260,Inputs!$A$13:$A$15,0)),0)+IFERROR(INDEX(Inputs!$B$18:$B$24,MATCH(H260,Inputs!$A$18:$A$24,0)),0))</f>
        <v>0.085</v>
      </c>
      <c r="AP260" s="28" t="n">
        <f aca="false">IF(OR(N(AO260)&lt;=0,N(AG260)=0,N(L260)=0),"",MIN(L260,AG260/AO260))</f>
        <v>19.8529411764706</v>
      </c>
      <c r="AQ260" s="29" t="str">
        <f aca="false">IF(OR(AP260="",N(O260)=0),"",AP260/O260-1)</f>
        <v/>
      </c>
      <c r="AR260" s="29" t="str">
        <f aca="false">IF(OR(AQ260="",N(O260)=0),"",AQ260+AG260/O260)</f>
        <v/>
      </c>
      <c r="AS260" s="32" t="str">
        <f aca="false">IF(OR(AR260="",N(AJ260)=0),"",AR260-AJ260)</f>
        <v/>
      </c>
      <c r="AT260" s="28" t="n">
        <v>25</v>
      </c>
      <c r="AU260" s="28" t="n">
        <v>1.6875</v>
      </c>
      <c r="AV260" s="28" t="n">
        <f aca="false">IF(N(AT260)&gt;0,AT260,L260)</f>
        <v>25</v>
      </c>
      <c r="AW260" s="28" t="n">
        <f aca="false">IF(AND(N(M260)&gt;0,N(AV260)&gt;0),M260*AV260,IF(N(AU260)&gt;0,AU260,N260))</f>
        <v>1.6875</v>
      </c>
      <c r="AX260" s="29" t="n">
        <f aca="false">IF(N(AN260)=0,"",AN260+IF(I260="yes",AN260*Inputs!$B$10*Inputs!$B$9,0)+IFERROR(INDEX(Inputs!$B$13:$B$15,MATCH(G260,Inputs!$A$13:$A$15,0)),0)+IFERROR(INDEX(Inputs!$B$18:$B$24,MATCH(H260,Inputs!$A$18:$A$24,0)),0))</f>
        <v>0.085</v>
      </c>
      <c r="AY260" s="28" t="n">
        <f aca="false">IF(OR(N(AX260)&lt;=0,N(AW260)=0,N(AV260)=0),"",MIN(AV260,AW260/AX260))</f>
        <v>19.8529411764706</v>
      </c>
      <c r="AZ260" s="29" t="str">
        <f aca="false">IF(OR(AY260="",N(O260)=0),"",AY260/O260-1)</f>
        <v/>
      </c>
      <c r="BA260" s="29" t="str">
        <f aca="false">IF(OR(AZ260="",N(O260)=0),"",AZ260+AW260/O260)</f>
        <v/>
      </c>
      <c r="BB260" s="32" t="str">
        <f aca="false">IF(OR(BA260="",N(AR260)=0),"",BA260-AR260)</f>
        <v/>
      </c>
      <c r="BC260" s="35" t="str">
        <f aca="false">IF(OR(BA260="",N(U260)=0),"",BA260-U260)</f>
        <v/>
      </c>
      <c r="BD260" s="36" t="s">
        <v>299</v>
      </c>
    </row>
    <row r="261" customFormat="false" ht="15" hidden="false" customHeight="false" outlineLevel="0" collapsed="false">
      <c r="A261" s="2" t="s">
        <v>556</v>
      </c>
      <c r="B261" s="2" t="n">
        <v>73</v>
      </c>
      <c r="C261" s="2" t="s">
        <v>616</v>
      </c>
      <c r="D261" s="2" t="s">
        <v>611</v>
      </c>
      <c r="E261" s="2" t="s">
        <v>612</v>
      </c>
      <c r="F261" s="27" t="n">
        <v>502</v>
      </c>
      <c r="G261" s="2" t="s">
        <v>52</v>
      </c>
      <c r="H261" s="2" t="s">
        <v>58</v>
      </c>
      <c r="I261" s="2" t="s">
        <v>144</v>
      </c>
      <c r="J261" s="2" t="s">
        <v>145</v>
      </c>
      <c r="K261" s="2" t="n">
        <v>4</v>
      </c>
      <c r="L261" s="28" t="n">
        <v>25</v>
      </c>
      <c r="M261" s="29" t="n">
        <v>0.066875</v>
      </c>
      <c r="N261" s="28" t="n">
        <v>1.671875</v>
      </c>
      <c r="O261" s="28" t="n">
        <v>0</v>
      </c>
      <c r="P261" s="2" t="s">
        <v>223</v>
      </c>
      <c r="Q261" s="29" t="n">
        <v>0.1</v>
      </c>
      <c r="R261" s="30" t="n">
        <v>0.0925</v>
      </c>
      <c r="S261" s="31" t="n">
        <v>18.0743243243243</v>
      </c>
      <c r="T261" s="30"/>
      <c r="U261" s="30"/>
      <c r="V261" s="29" t="n">
        <v>-0.0075</v>
      </c>
      <c r="W261" s="29" t="n">
        <f aca="false">IF(N(Q261)=0,"",Q261+IF(I261="yes",Q261*Inputs!$B$10*Inputs!$B$9,0)+V261)</f>
        <v>0.0925</v>
      </c>
      <c r="X261" s="28" t="n">
        <f aca="false">IF(OR(N(W261)&lt;=0,N(N261)=0,N(L261)=0),"",MIN(L261,N261/W261))</f>
        <v>18.0743243243243</v>
      </c>
      <c r="Y261" s="29" t="str">
        <f aca="false">IF(OR(X261="",N(O261)=0),"",X261/O261-1)</f>
        <v/>
      </c>
      <c r="Z261" s="29" t="str">
        <f aca="false">IF(OR(Y261="",N(O261)=0),"",Y261+N261/O261)</f>
        <v/>
      </c>
      <c r="AA261" s="32" t="str">
        <f aca="false">IF(OR(Z261="",N(U261)=0),"",Z261-U261)</f>
        <v/>
      </c>
      <c r="AB261" s="29" t="n">
        <f aca="false">IF(N(Q261)=0,"",Q261+IF(I261="yes",Q261*Inputs!$B$10*Inputs!$B$9,0)+IFERROR(INDEX(Inputs!$B$13:$B$15,MATCH(G261,Inputs!$A$13:$A$15,0)),0)+IFERROR(INDEX(Inputs!$B$18:$B$24,MATCH(H261,Inputs!$A$18:$A$24,0)),0))</f>
        <v>0.095</v>
      </c>
      <c r="AC261" s="28" t="n">
        <f aca="false">IF(OR(N(AB261)&lt;=0,N(N261)=0,N(L261)=0),"",MIN(L261,N261/AB261))</f>
        <v>17.5986842105263</v>
      </c>
      <c r="AD261" s="29" t="str">
        <f aca="false">IF(OR(AC261="",N(O261)=0),"",AC261/O261-1)</f>
        <v/>
      </c>
      <c r="AE261" s="29" t="str">
        <f aca="false">IF(OR(AD261="",N(O261)=0),"",AD261+N261/O261)</f>
        <v/>
      </c>
      <c r="AF261" s="32" t="str">
        <f aca="false">IF(OR(AE261="",N(Z261)=0),"",AE261-Z261)</f>
        <v/>
      </c>
      <c r="AG261" s="28" t="n">
        <f aca="false">IF(AND(N(M261)&gt;0,N(L261)&gt;0),M261*L261,N261)</f>
        <v>1.671875</v>
      </c>
      <c r="AH261" s="28" t="n">
        <f aca="false">IF(OR(N(AB261)&lt;=0,N(AG261)=0,N(L261)=0),"",MIN(L261,AG261/AB261))</f>
        <v>17.5986842105263</v>
      </c>
      <c r="AI261" s="29" t="str">
        <f aca="false">IF(OR(AH261="",N(O261)=0),"",AH261/O261-1)</f>
        <v/>
      </c>
      <c r="AJ261" s="29" t="str">
        <f aca="false">IF(OR(AI261="",N(O261)=0),"",AI261+AG261/O261)</f>
        <v/>
      </c>
      <c r="AK261" s="32" t="str">
        <f aca="false">IF(OR(AJ261="",N(AE261)=0),"",AJ261-AE261)</f>
        <v/>
      </c>
      <c r="AL261" s="33" t="n">
        <f aca="false">IF(N(F261)=0,"",INDEX(Inputs!$B$28:$B$32,IFERROR(MATCH(F261,Inputs!$A$28:$A$32,1),0)+1))</f>
        <v>0.09</v>
      </c>
      <c r="AM261" s="34"/>
      <c r="AN261" s="33" t="n">
        <f aca="false">IF(N(AM261)&gt;0,AM261,AL261)</f>
        <v>0.09</v>
      </c>
      <c r="AO261" s="29" t="n">
        <f aca="false">IF(N(AN261)=0,"",AN261+IF(I261="yes",AN261*Inputs!$B$10*Inputs!$B$9,0)+IFERROR(INDEX(Inputs!$B$13:$B$15,MATCH(G261,Inputs!$A$13:$A$15,0)),0)+IFERROR(INDEX(Inputs!$B$18:$B$24,MATCH(H261,Inputs!$A$18:$A$24,0)),0))</f>
        <v>0.085</v>
      </c>
      <c r="AP261" s="28" t="n">
        <f aca="false">IF(OR(N(AO261)&lt;=0,N(AG261)=0,N(L261)=0),"",MIN(L261,AG261/AO261))</f>
        <v>19.6691176470588</v>
      </c>
      <c r="AQ261" s="29" t="str">
        <f aca="false">IF(OR(AP261="",N(O261)=0),"",AP261/O261-1)</f>
        <v/>
      </c>
      <c r="AR261" s="29" t="str">
        <f aca="false">IF(OR(AQ261="",N(O261)=0),"",AQ261+AG261/O261)</f>
        <v/>
      </c>
      <c r="AS261" s="32" t="str">
        <f aca="false">IF(OR(AR261="",N(AJ261)=0),"",AR261-AJ261)</f>
        <v/>
      </c>
      <c r="AT261" s="28" t="n">
        <v>25</v>
      </c>
      <c r="AU261" s="28" t="n">
        <v>1.67</v>
      </c>
      <c r="AV261" s="28" t="n">
        <f aca="false">IF(N(AT261)&gt;0,AT261,L261)</f>
        <v>25</v>
      </c>
      <c r="AW261" s="28" t="n">
        <f aca="false">IF(AND(N(M261)&gt;0,N(AV261)&gt;0),M261*AV261,IF(N(AU261)&gt;0,AU261,N261))</f>
        <v>1.671875</v>
      </c>
      <c r="AX261" s="29" t="n">
        <f aca="false">IF(N(AN261)=0,"",AN261+IF(I261="yes",AN261*Inputs!$B$10*Inputs!$B$9,0)+IFERROR(INDEX(Inputs!$B$13:$B$15,MATCH(G261,Inputs!$A$13:$A$15,0)),0)+IFERROR(INDEX(Inputs!$B$18:$B$24,MATCH(H261,Inputs!$A$18:$A$24,0)),0))</f>
        <v>0.085</v>
      </c>
      <c r="AY261" s="28" t="n">
        <f aca="false">IF(OR(N(AX261)&lt;=0,N(AW261)=0,N(AV261)=0),"",MIN(AV261,AW261/AX261))</f>
        <v>19.6691176470588</v>
      </c>
      <c r="AZ261" s="29" t="str">
        <f aca="false">IF(OR(AY261="",N(O261)=0),"",AY261/O261-1)</f>
        <v/>
      </c>
      <c r="BA261" s="29" t="str">
        <f aca="false">IF(OR(AZ261="",N(O261)=0),"",AZ261+AW261/O261)</f>
        <v/>
      </c>
      <c r="BB261" s="32" t="str">
        <f aca="false">IF(OR(BA261="",N(AR261)=0),"",BA261-AR261)</f>
        <v/>
      </c>
      <c r="BC261" s="35" t="str">
        <f aca="false">IF(OR(BA261="",N(U261)=0),"",BA261-U261)</f>
        <v/>
      </c>
      <c r="BD261" s="36" t="s">
        <v>284</v>
      </c>
    </row>
    <row r="262" customFormat="false" ht="15" hidden="false" customHeight="false" outlineLevel="0" collapsed="false">
      <c r="A262" s="2" t="s">
        <v>556</v>
      </c>
      <c r="B262" s="2" t="n">
        <v>76</v>
      </c>
      <c r="C262" s="2" t="s">
        <v>617</v>
      </c>
      <c r="D262" s="2" t="s">
        <v>618</v>
      </c>
      <c r="E262" s="2" t="s">
        <v>619</v>
      </c>
      <c r="F262" s="27" t="n">
        <v>171</v>
      </c>
      <c r="G262" s="2" t="s">
        <v>51</v>
      </c>
      <c r="H262" s="2" t="s">
        <v>58</v>
      </c>
      <c r="I262" s="2" t="s">
        <v>151</v>
      </c>
      <c r="J262" s="2" t="s">
        <v>145</v>
      </c>
      <c r="K262" s="2" t="n">
        <v>4</v>
      </c>
      <c r="L262" s="28" t="n">
        <v>25</v>
      </c>
      <c r="M262" s="29" t="n">
        <v>0.0525</v>
      </c>
      <c r="N262" s="28" t="n">
        <v>1.3125</v>
      </c>
      <c r="O262" s="28" t="n">
        <v>20.38</v>
      </c>
      <c r="P262" s="2" t="s">
        <v>146</v>
      </c>
      <c r="Q262" s="29" t="n">
        <v>0.09</v>
      </c>
      <c r="R262" s="30" t="n">
        <v>0.0855</v>
      </c>
      <c r="S262" s="31" t="n">
        <v>15.3508771929825</v>
      </c>
      <c r="T262" s="30" t="n">
        <v>-0.246767556772205</v>
      </c>
      <c r="U262" s="30" t="n">
        <v>-0.182366182876229</v>
      </c>
      <c r="V262" s="29" t="n">
        <v>0</v>
      </c>
      <c r="W262" s="29" t="n">
        <f aca="false">IF(N(Q262)=0,"",Q262+IF(I262="yes",Q262*Inputs!$B$10*Inputs!$B$9,0)+V262)</f>
        <v>0.0855</v>
      </c>
      <c r="X262" s="28" t="n">
        <f aca="false">IF(OR(N(W262)&lt;=0,N(N262)=0,N(L262)=0),"",MIN(L262,N262/W262))</f>
        <v>15.3508771929825</v>
      </c>
      <c r="Y262" s="29" t="n">
        <f aca="false">IF(OR(X262="",N(O262)=0),"",X262/O262-1)</f>
        <v>-0.246767556772205</v>
      </c>
      <c r="Z262" s="29" t="n">
        <f aca="false">IF(OR(Y262="",N(O262)=0),"",Y262+N262/O262)</f>
        <v>-0.182366182876229</v>
      </c>
      <c r="AA262" s="32" t="n">
        <f aca="false">IF(OR(Z262="",N(U262)=0),"",Z262-U262)</f>
        <v>0</v>
      </c>
      <c r="AB262" s="29" t="n">
        <f aca="false">IF(N(Q262)=0,"",Q262+IF(I262="yes",Q262*Inputs!$B$10*Inputs!$B$9,0)+IFERROR(INDEX(Inputs!$B$13:$B$15,MATCH(G262,Inputs!$A$13:$A$15,0)),0)+IFERROR(INDEX(Inputs!$B$18:$B$24,MATCH(H262,Inputs!$A$18:$A$24,0)),0))</f>
        <v>0.0855</v>
      </c>
      <c r="AC262" s="28" t="n">
        <f aca="false">IF(OR(N(AB262)&lt;=0,N(N262)=0,N(L262)=0),"",MIN(L262,N262/AB262))</f>
        <v>15.3508771929825</v>
      </c>
      <c r="AD262" s="29" t="n">
        <f aca="false">IF(OR(AC262="",N(O262)=0),"",AC262/O262-1)</f>
        <v>-0.246767556772205</v>
      </c>
      <c r="AE262" s="29" t="n">
        <f aca="false">IF(OR(AD262="",N(O262)=0),"",AD262+N262/O262)</f>
        <v>-0.182366182876229</v>
      </c>
      <c r="AF262" s="32" t="n">
        <f aca="false">IF(OR(AE262="",N(Z262)=0),"",AE262-Z262)</f>
        <v>0</v>
      </c>
      <c r="AG262" s="28" t="n">
        <f aca="false">IF(AND(N(M262)&gt;0,N(L262)&gt;0),M262*L262,N262)</f>
        <v>1.3125</v>
      </c>
      <c r="AH262" s="28" t="n">
        <f aca="false">IF(OR(N(AB262)&lt;=0,N(AG262)=0,N(L262)=0),"",MIN(L262,AG262/AB262))</f>
        <v>15.3508771929825</v>
      </c>
      <c r="AI262" s="29" t="n">
        <f aca="false">IF(OR(AH262="",N(O262)=0),"",AH262/O262-1)</f>
        <v>-0.246767556772205</v>
      </c>
      <c r="AJ262" s="29" t="n">
        <f aca="false">IF(OR(AI262="",N(O262)=0),"",AI262+AG262/O262)</f>
        <v>-0.182366182876229</v>
      </c>
      <c r="AK262" s="32" t="n">
        <f aca="false">IF(OR(AJ262="",N(AE262)=0),"",AJ262-AE262)</f>
        <v>0</v>
      </c>
      <c r="AL262" s="33" t="n">
        <f aca="false">IF(N(F262)=0,"",INDEX(Inputs!$B$28:$B$32,IFERROR(MATCH(F262,Inputs!$A$28:$A$32,1),0)+1))</f>
        <v>0.1</v>
      </c>
      <c r="AM262" s="34"/>
      <c r="AN262" s="33" t="n">
        <f aca="false">IF(N(AM262)&gt;0,AM262,AL262)</f>
        <v>0.1</v>
      </c>
      <c r="AO262" s="29" t="n">
        <f aca="false">IF(N(AN262)=0,"",AN262+IF(I262="yes",AN262*Inputs!$B$10*Inputs!$B$9,0)+IFERROR(INDEX(Inputs!$B$13:$B$15,MATCH(G262,Inputs!$A$13:$A$15,0)),0)+IFERROR(INDEX(Inputs!$B$18:$B$24,MATCH(H262,Inputs!$A$18:$A$24,0)),0))</f>
        <v>0.095</v>
      </c>
      <c r="AP262" s="28" t="n">
        <f aca="false">IF(OR(N(AO262)&lt;=0,N(AG262)=0,N(L262)=0),"",MIN(L262,AG262/AO262))</f>
        <v>13.8157894736842</v>
      </c>
      <c r="AQ262" s="29" t="n">
        <f aca="false">IF(OR(AP262="",N(O262)=0),"",AP262/O262-1)</f>
        <v>-0.322090801094985</v>
      </c>
      <c r="AR262" s="29" t="n">
        <f aca="false">IF(OR(AQ262="",N(O262)=0),"",AQ262+AG262/O262)</f>
        <v>-0.257689427199008</v>
      </c>
      <c r="AS262" s="32" t="n">
        <f aca="false">IF(OR(AR262="",N(AJ262)=0),"",AR262-AJ262)</f>
        <v>-0.0753232443227795</v>
      </c>
      <c r="AT262" s="28" t="n">
        <v>25</v>
      </c>
      <c r="AU262" s="28" t="n">
        <v>1.31</v>
      </c>
      <c r="AV262" s="28" t="n">
        <f aca="false">IF(N(AT262)&gt;0,AT262,L262)</f>
        <v>25</v>
      </c>
      <c r="AW262" s="28" t="n">
        <f aca="false">IF(AND(N(M262)&gt;0,N(AV262)&gt;0),M262*AV262,IF(N(AU262)&gt;0,AU262,N262))</f>
        <v>1.3125</v>
      </c>
      <c r="AX262" s="29" t="n">
        <f aca="false">IF(N(AN262)=0,"",AN262+IF(I262="yes",AN262*Inputs!$B$10*Inputs!$B$9,0)+IFERROR(INDEX(Inputs!$B$13:$B$15,MATCH(G262,Inputs!$A$13:$A$15,0)),0)+IFERROR(INDEX(Inputs!$B$18:$B$24,MATCH(H262,Inputs!$A$18:$A$24,0)),0))</f>
        <v>0.095</v>
      </c>
      <c r="AY262" s="28" t="n">
        <f aca="false">IF(OR(N(AX262)&lt;=0,N(AW262)=0,N(AV262)=0),"",MIN(AV262,AW262/AX262))</f>
        <v>13.8157894736842</v>
      </c>
      <c r="AZ262" s="29" t="n">
        <f aca="false">IF(OR(AY262="",N(O262)=0),"",AY262/O262-1)</f>
        <v>-0.322090801094985</v>
      </c>
      <c r="BA262" s="29" t="n">
        <f aca="false">IF(OR(AZ262="",N(O262)=0),"",AZ262+AW262/O262)</f>
        <v>-0.257689427199008</v>
      </c>
      <c r="BB262" s="32" t="n">
        <f aca="false">IF(OR(BA262="",N(AR262)=0),"",BA262-AR262)</f>
        <v>0</v>
      </c>
      <c r="BC262" s="35" t="n">
        <f aca="false">IF(OR(BA262="",N(U262)=0),"",BA262-U262)</f>
        <v>-0.0753232443227794</v>
      </c>
      <c r="BD262" s="37"/>
    </row>
    <row r="263" customFormat="false" ht="15" hidden="false" customHeight="false" outlineLevel="0" collapsed="false">
      <c r="A263" s="2" t="s">
        <v>556</v>
      </c>
      <c r="B263" s="2" t="n">
        <v>80</v>
      </c>
      <c r="C263" s="2" t="s">
        <v>620</v>
      </c>
      <c r="D263" s="2" t="s">
        <v>621</v>
      </c>
      <c r="E263" s="2" t="s">
        <v>622</v>
      </c>
      <c r="F263" s="27" t="n">
        <v>1800</v>
      </c>
      <c r="G263" s="2" t="s">
        <v>51</v>
      </c>
      <c r="H263" s="2" t="s">
        <v>59</v>
      </c>
      <c r="I263" s="2" t="s">
        <v>144</v>
      </c>
      <c r="J263" s="2" t="s">
        <v>145</v>
      </c>
      <c r="K263" s="2" t="n">
        <v>4</v>
      </c>
      <c r="L263" s="28" t="n">
        <v>25</v>
      </c>
      <c r="M263" s="29" t="n">
        <v>0.0675</v>
      </c>
      <c r="N263" s="28" t="n">
        <v>1.6875</v>
      </c>
      <c r="O263" s="28" t="n">
        <v>0</v>
      </c>
      <c r="P263" s="2" t="s">
        <v>146</v>
      </c>
      <c r="Q263" s="29" t="n">
        <v>0.09</v>
      </c>
      <c r="R263" s="30" t="n">
        <v>0.09</v>
      </c>
      <c r="S263" s="31" t="n">
        <v>18.75</v>
      </c>
      <c r="T263" s="30"/>
      <c r="U263" s="30"/>
      <c r="V263" s="29" t="n">
        <v>0</v>
      </c>
      <c r="W263" s="29" t="n">
        <f aca="false">IF(N(Q263)=0,"",Q263+IF(I263="yes",Q263*Inputs!$B$10*Inputs!$B$9,0)+V263)</f>
        <v>0.09</v>
      </c>
      <c r="X263" s="28" t="n">
        <f aca="false">IF(OR(N(W263)&lt;=0,N(N263)=0,N(L263)=0),"",MIN(L263,N263/W263))</f>
        <v>18.75</v>
      </c>
      <c r="Y263" s="29" t="str">
        <f aca="false">IF(OR(X263="",N(O263)=0),"",X263/O263-1)</f>
        <v/>
      </c>
      <c r="Z263" s="29" t="str">
        <f aca="false">IF(OR(Y263="",N(O263)=0),"",Y263+N263/O263)</f>
        <v/>
      </c>
      <c r="AA263" s="32" t="str">
        <f aca="false">IF(OR(Z263="",N(U263)=0),"",Z263-U263)</f>
        <v/>
      </c>
      <c r="AB263" s="29" t="n">
        <f aca="false">IF(N(Q263)=0,"",Q263+IF(I263="yes",Q263*Inputs!$B$10*Inputs!$B$9,0)+IFERROR(INDEX(Inputs!$B$13:$B$15,MATCH(G263,Inputs!$A$13:$A$15,0)),0)+IFERROR(INDEX(Inputs!$B$18:$B$24,MATCH(H263,Inputs!$A$18:$A$24,0)),0))</f>
        <v>0.09</v>
      </c>
      <c r="AC263" s="28" t="n">
        <f aca="false">IF(OR(N(AB263)&lt;=0,N(N263)=0,N(L263)=0),"",MIN(L263,N263/AB263))</f>
        <v>18.75</v>
      </c>
      <c r="AD263" s="29" t="str">
        <f aca="false">IF(OR(AC263="",N(O263)=0),"",AC263/O263-1)</f>
        <v/>
      </c>
      <c r="AE263" s="29" t="str">
        <f aca="false">IF(OR(AD263="",N(O263)=0),"",AD263+N263/O263)</f>
        <v/>
      </c>
      <c r="AF263" s="32" t="str">
        <f aca="false">IF(OR(AE263="",N(Z263)=0),"",AE263-Z263)</f>
        <v/>
      </c>
      <c r="AG263" s="28" t="n">
        <f aca="false">IF(AND(N(M263)&gt;0,N(L263)&gt;0),M263*L263,N263)</f>
        <v>1.6875</v>
      </c>
      <c r="AH263" s="28" t="n">
        <f aca="false">IF(OR(N(AB263)&lt;=0,N(AG263)=0,N(L263)=0),"",MIN(L263,AG263/AB263))</f>
        <v>18.75</v>
      </c>
      <c r="AI263" s="29" t="str">
        <f aca="false">IF(OR(AH263="",N(O263)=0),"",AH263/O263-1)</f>
        <v/>
      </c>
      <c r="AJ263" s="29" t="str">
        <f aca="false">IF(OR(AI263="",N(O263)=0),"",AI263+AG263/O263)</f>
        <v/>
      </c>
      <c r="AK263" s="32" t="str">
        <f aca="false">IF(OR(AJ263="",N(AE263)=0),"",AJ263-AE263)</f>
        <v/>
      </c>
      <c r="AL263" s="33" t="n">
        <f aca="false">IF(N(F263)=0,"",INDEX(Inputs!$B$28:$B$32,IFERROR(MATCH(F263,Inputs!$A$28:$A$32,1),0)+1))</f>
        <v>0.085</v>
      </c>
      <c r="AM263" s="34"/>
      <c r="AN263" s="33" t="n">
        <f aca="false">IF(N(AM263)&gt;0,AM263,AL263)</f>
        <v>0.085</v>
      </c>
      <c r="AO263" s="29" t="n">
        <f aca="false">IF(N(AN263)=0,"",AN263+IF(I263="yes",AN263*Inputs!$B$10*Inputs!$B$9,0)+IFERROR(INDEX(Inputs!$B$13:$B$15,MATCH(G263,Inputs!$A$13:$A$15,0)),0)+IFERROR(INDEX(Inputs!$B$18:$B$24,MATCH(H263,Inputs!$A$18:$A$24,0)),0))</f>
        <v>0.085</v>
      </c>
      <c r="AP263" s="28" t="n">
        <f aca="false">IF(OR(N(AO263)&lt;=0,N(AG263)=0,N(L263)=0),"",MIN(L263,AG263/AO263))</f>
        <v>19.8529411764706</v>
      </c>
      <c r="AQ263" s="29" t="str">
        <f aca="false">IF(OR(AP263="",N(O263)=0),"",AP263/O263-1)</f>
        <v/>
      </c>
      <c r="AR263" s="29" t="str">
        <f aca="false">IF(OR(AQ263="",N(O263)=0),"",AQ263+AG263/O263)</f>
        <v/>
      </c>
      <c r="AS263" s="32" t="str">
        <f aca="false">IF(OR(AR263="",N(AJ263)=0),"",AR263-AJ263)</f>
        <v/>
      </c>
      <c r="AT263" s="28" t="n">
        <v>25</v>
      </c>
      <c r="AU263" s="28" t="n">
        <v>1.69</v>
      </c>
      <c r="AV263" s="28" t="n">
        <f aca="false">IF(N(AT263)&gt;0,AT263,L263)</f>
        <v>25</v>
      </c>
      <c r="AW263" s="28" t="n">
        <f aca="false">IF(AND(N(M263)&gt;0,N(AV263)&gt;0),M263*AV263,IF(N(AU263)&gt;0,AU263,N263))</f>
        <v>1.6875</v>
      </c>
      <c r="AX263" s="29" t="n">
        <f aca="false">IF(N(AN263)=0,"",AN263+IF(I263="yes",AN263*Inputs!$B$10*Inputs!$B$9,0)+IFERROR(INDEX(Inputs!$B$13:$B$15,MATCH(G263,Inputs!$A$13:$A$15,0)),0)+IFERROR(INDEX(Inputs!$B$18:$B$24,MATCH(H263,Inputs!$A$18:$A$24,0)),0))</f>
        <v>0.085</v>
      </c>
      <c r="AY263" s="28" t="n">
        <f aca="false">IF(OR(N(AX263)&lt;=0,N(AW263)=0,N(AV263)=0),"",MIN(AV263,AW263/AX263))</f>
        <v>19.8529411764706</v>
      </c>
      <c r="AZ263" s="29" t="str">
        <f aca="false">IF(OR(AY263="",N(O263)=0),"",AY263/O263-1)</f>
        <v/>
      </c>
      <c r="BA263" s="29" t="str">
        <f aca="false">IF(OR(AZ263="",N(O263)=0),"",AZ263+AW263/O263)</f>
        <v/>
      </c>
      <c r="BB263" s="32" t="str">
        <f aca="false">IF(OR(BA263="",N(AR263)=0),"",BA263-AR263)</f>
        <v/>
      </c>
      <c r="BC263" s="35" t="str">
        <f aca="false">IF(OR(BA263="",N(U263)=0),"",BA263-U263)</f>
        <v/>
      </c>
      <c r="BD263" s="36" t="s">
        <v>299</v>
      </c>
    </row>
    <row r="264" customFormat="false" ht="15" hidden="false" customHeight="false" outlineLevel="0" collapsed="false">
      <c r="A264" s="2" t="s">
        <v>556</v>
      </c>
      <c r="B264" s="2" t="n">
        <v>81</v>
      </c>
      <c r="C264" s="2" t="s">
        <v>623</v>
      </c>
      <c r="D264" s="2" t="s">
        <v>621</v>
      </c>
      <c r="E264" s="2" t="s">
        <v>622</v>
      </c>
      <c r="F264" s="27" t="n">
        <v>1800</v>
      </c>
      <c r="G264" s="2" t="s">
        <v>51</v>
      </c>
      <c r="H264" s="2" t="s">
        <v>59</v>
      </c>
      <c r="I264" s="2" t="s">
        <v>144</v>
      </c>
      <c r="J264" s="2" t="s">
        <v>145</v>
      </c>
      <c r="K264" s="2" t="n">
        <v>4</v>
      </c>
      <c r="L264" s="28" t="n">
        <v>25</v>
      </c>
      <c r="M264" s="29" t="n">
        <v>0.0625</v>
      </c>
      <c r="N264" s="28" t="n">
        <v>1.5625</v>
      </c>
      <c r="O264" s="28" t="n">
        <v>24.88</v>
      </c>
      <c r="P264" s="2" t="s">
        <v>316</v>
      </c>
      <c r="Q264" s="29" t="n">
        <v>0.09</v>
      </c>
      <c r="R264" s="30"/>
      <c r="S264" s="31"/>
      <c r="T264" s="30"/>
      <c r="U264" s="30"/>
      <c r="V264" s="29" t="n">
        <v>0</v>
      </c>
      <c r="W264" s="29" t="n">
        <f aca="false">IF(N(Q264)=0,"",Q264+IF(I264="yes",Q264*Inputs!$B$10*Inputs!$B$9,0)+V264)</f>
        <v>0.09</v>
      </c>
      <c r="X264" s="28" t="n">
        <f aca="false">IF(OR(N(W264)&lt;=0,N(N264)=0,N(L264)=0),"",MIN(L264,N264/W264))</f>
        <v>17.3611111111111</v>
      </c>
      <c r="Y264" s="29" t="n">
        <f aca="false">IF(OR(X264="",N(O264)=0),"",X264/O264-1)</f>
        <v>-0.302206145051804</v>
      </c>
      <c r="Z264" s="29" t="n">
        <f aca="false">IF(OR(Y264="",N(O264)=0),"",Y264+N264/O264)</f>
        <v>-0.239404698106467</v>
      </c>
      <c r="AA264" s="32" t="str">
        <f aca="false">IF(OR(Z264="",N(U264)=0),"",Z264-U264)</f>
        <v/>
      </c>
      <c r="AB264" s="29" t="n">
        <f aca="false">IF(N(Q264)=0,"",Q264+IF(I264="yes",Q264*Inputs!$B$10*Inputs!$B$9,0)+IFERROR(INDEX(Inputs!$B$13:$B$15,MATCH(G264,Inputs!$A$13:$A$15,0)),0)+IFERROR(INDEX(Inputs!$B$18:$B$24,MATCH(H264,Inputs!$A$18:$A$24,0)),0))</f>
        <v>0.09</v>
      </c>
      <c r="AC264" s="28" t="n">
        <f aca="false">IF(OR(N(AB264)&lt;=0,N(N264)=0,N(L264)=0),"",MIN(L264,N264/AB264))</f>
        <v>17.3611111111111</v>
      </c>
      <c r="AD264" s="29" t="n">
        <f aca="false">IF(OR(AC264="",N(O264)=0),"",AC264/O264-1)</f>
        <v>-0.302206145051804</v>
      </c>
      <c r="AE264" s="29" t="n">
        <f aca="false">IF(OR(AD264="",N(O264)=0),"",AD264+N264/O264)</f>
        <v>-0.239404698106467</v>
      </c>
      <c r="AF264" s="32" t="n">
        <f aca="false">IF(OR(AE264="",N(Z264)=0),"",AE264-Z264)</f>
        <v>0</v>
      </c>
      <c r="AG264" s="28" t="n">
        <f aca="false">IF(AND(N(M264)&gt;0,N(L264)&gt;0),M264*L264,N264)</f>
        <v>1.5625</v>
      </c>
      <c r="AH264" s="28" t="n">
        <f aca="false">IF(OR(N(AB264)&lt;=0,N(AG264)=0,N(L264)=0),"",MIN(L264,AG264/AB264))</f>
        <v>17.3611111111111</v>
      </c>
      <c r="AI264" s="29" t="n">
        <f aca="false">IF(OR(AH264="",N(O264)=0),"",AH264/O264-1)</f>
        <v>-0.302206145051804</v>
      </c>
      <c r="AJ264" s="29" t="n">
        <f aca="false">IF(OR(AI264="",N(O264)=0),"",AI264+AG264/O264)</f>
        <v>-0.239404698106467</v>
      </c>
      <c r="AK264" s="32" t="n">
        <f aca="false">IF(OR(AJ264="",N(AE264)=0),"",AJ264-AE264)</f>
        <v>0</v>
      </c>
      <c r="AL264" s="33" t="n">
        <f aca="false">IF(N(F264)=0,"",INDEX(Inputs!$B$28:$B$32,IFERROR(MATCH(F264,Inputs!$A$28:$A$32,1),0)+1))</f>
        <v>0.085</v>
      </c>
      <c r="AM264" s="34"/>
      <c r="AN264" s="33" t="n">
        <f aca="false">IF(N(AM264)&gt;0,AM264,AL264)</f>
        <v>0.085</v>
      </c>
      <c r="AO264" s="29" t="n">
        <f aca="false">IF(N(AN264)=0,"",AN264+IF(I264="yes",AN264*Inputs!$B$10*Inputs!$B$9,0)+IFERROR(INDEX(Inputs!$B$13:$B$15,MATCH(G264,Inputs!$A$13:$A$15,0)),0)+IFERROR(INDEX(Inputs!$B$18:$B$24,MATCH(H264,Inputs!$A$18:$A$24,0)),0))</f>
        <v>0.085</v>
      </c>
      <c r="AP264" s="28" t="n">
        <f aca="false">IF(OR(N(AO264)&lt;=0,N(AG264)=0,N(L264)=0),"",MIN(L264,AG264/AO264))</f>
        <v>18.3823529411765</v>
      </c>
      <c r="AQ264" s="29" t="n">
        <f aca="false">IF(OR(AP264="",N(O264)=0),"",AP264/O264-1)</f>
        <v>-0.26115944770191</v>
      </c>
      <c r="AR264" s="29" t="n">
        <f aca="false">IF(OR(AQ264="",N(O264)=0),"",AQ264+AG264/O264)</f>
        <v>-0.198358000756573</v>
      </c>
      <c r="AS264" s="32" t="n">
        <f aca="false">IF(OR(AR264="",N(AJ264)=0),"",AR264-AJ264)</f>
        <v>0.0410466973498939</v>
      </c>
      <c r="AT264" s="28" t="n">
        <v>25</v>
      </c>
      <c r="AU264" s="28" t="n">
        <v>1.5625</v>
      </c>
      <c r="AV264" s="28" t="n">
        <f aca="false">IF(N(AT264)&gt;0,AT264,L264)</f>
        <v>25</v>
      </c>
      <c r="AW264" s="28" t="n">
        <f aca="false">IF(AND(N(M264)&gt;0,N(AV264)&gt;0),M264*AV264,IF(N(AU264)&gt;0,AU264,N264))</f>
        <v>1.5625</v>
      </c>
      <c r="AX264" s="29" t="n">
        <f aca="false">IF(N(AN264)=0,"",AN264+IF(I264="yes",AN264*Inputs!$B$10*Inputs!$B$9,0)+IFERROR(INDEX(Inputs!$B$13:$B$15,MATCH(G264,Inputs!$A$13:$A$15,0)),0)+IFERROR(INDEX(Inputs!$B$18:$B$24,MATCH(H264,Inputs!$A$18:$A$24,0)),0))</f>
        <v>0.085</v>
      </c>
      <c r="AY264" s="28" t="n">
        <f aca="false">IF(OR(N(AX264)&lt;=0,N(AW264)=0,N(AV264)=0),"",MIN(AV264,AW264/AX264))</f>
        <v>18.3823529411765</v>
      </c>
      <c r="AZ264" s="29" t="n">
        <f aca="false">IF(OR(AY264="",N(O264)=0),"",AY264/O264-1)</f>
        <v>-0.26115944770191</v>
      </c>
      <c r="BA264" s="29" t="n">
        <f aca="false">IF(OR(AZ264="",N(O264)=0),"",AZ264+AW264/O264)</f>
        <v>-0.198358000756573</v>
      </c>
      <c r="BB264" s="32" t="n">
        <f aca="false">IF(OR(BA264="",N(AR264)=0),"",BA264-AR264)</f>
        <v>0</v>
      </c>
      <c r="BC264" s="35" t="str">
        <f aca="false">IF(OR(BA264="",N(U264)=0),"",BA264-U264)</f>
        <v/>
      </c>
      <c r="BD264" s="36" t="s">
        <v>416</v>
      </c>
    </row>
    <row r="265" customFormat="false" ht="15" hidden="false" customHeight="false" outlineLevel="0" collapsed="false">
      <c r="A265" s="2" t="s">
        <v>556</v>
      </c>
      <c r="B265" s="2" t="n">
        <v>82</v>
      </c>
      <c r="C265" s="2" t="s">
        <v>624</v>
      </c>
      <c r="D265" s="2" t="s">
        <v>621</v>
      </c>
      <c r="E265" s="2" t="s">
        <v>622</v>
      </c>
      <c r="F265" s="27" t="n">
        <v>1800</v>
      </c>
      <c r="G265" s="2" t="s">
        <v>51</v>
      </c>
      <c r="H265" s="2" t="s">
        <v>58</v>
      </c>
      <c r="I265" s="2" t="s">
        <v>144</v>
      </c>
      <c r="J265" s="2" t="s">
        <v>145</v>
      </c>
      <c r="K265" s="2" t="n">
        <v>4</v>
      </c>
      <c r="L265" s="28" t="n">
        <v>25</v>
      </c>
      <c r="M265" s="29" t="n">
        <v>0.08625</v>
      </c>
      <c r="N265" s="28" t="n">
        <v>2.15625</v>
      </c>
      <c r="O265" s="28" t="n">
        <v>25.4</v>
      </c>
      <c r="P265" s="2" t="s">
        <v>223</v>
      </c>
      <c r="Q265" s="29" t="n">
        <v>0.09</v>
      </c>
      <c r="R265" s="30" t="n">
        <v>0.09</v>
      </c>
      <c r="S265" s="31" t="n">
        <v>23.9583333333333</v>
      </c>
      <c r="T265" s="30" t="n">
        <v>-0.0567585301837271</v>
      </c>
      <c r="U265" s="30" t="n">
        <v>0.0281332020997374</v>
      </c>
      <c r="V265" s="29" t="n">
        <v>0</v>
      </c>
      <c r="W265" s="29" t="n">
        <f aca="false">IF(N(Q265)=0,"",Q265+IF(I265="yes",Q265*Inputs!$B$10*Inputs!$B$9,0)+V265)</f>
        <v>0.09</v>
      </c>
      <c r="X265" s="28" t="n">
        <f aca="false">IF(OR(N(W265)&lt;=0,N(N265)=0,N(L265)=0),"",MIN(L265,N265/W265))</f>
        <v>23.9583333333333</v>
      </c>
      <c r="Y265" s="29" t="n">
        <f aca="false">IF(OR(X265="",N(O265)=0),"",X265/O265-1)</f>
        <v>-0.056758530183727</v>
      </c>
      <c r="Z265" s="29" t="n">
        <f aca="false">IF(OR(Y265="",N(O265)=0),"",Y265+N265/O265)</f>
        <v>0.0281332020997376</v>
      </c>
      <c r="AA265" s="32" t="n">
        <f aca="false">IF(OR(Z265="",N(U265)=0),"",Z265-U265)</f>
        <v>1.21430643318377E-016</v>
      </c>
      <c r="AB265" s="29" t="n">
        <f aca="false">IF(N(Q265)=0,"",Q265+IF(I265="yes",Q265*Inputs!$B$10*Inputs!$B$9,0)+IFERROR(INDEX(Inputs!$B$13:$B$15,MATCH(G265,Inputs!$A$13:$A$15,0)),0)+IFERROR(INDEX(Inputs!$B$18:$B$24,MATCH(H265,Inputs!$A$18:$A$24,0)),0))</f>
        <v>0.09</v>
      </c>
      <c r="AC265" s="28" t="n">
        <f aca="false">IF(OR(N(AB265)&lt;=0,N(N265)=0,N(L265)=0),"",MIN(L265,N265/AB265))</f>
        <v>23.9583333333333</v>
      </c>
      <c r="AD265" s="29" t="n">
        <f aca="false">IF(OR(AC265="",N(O265)=0),"",AC265/O265-1)</f>
        <v>-0.056758530183727</v>
      </c>
      <c r="AE265" s="29" t="n">
        <f aca="false">IF(OR(AD265="",N(O265)=0),"",AD265+N265/O265)</f>
        <v>0.0281332020997376</v>
      </c>
      <c r="AF265" s="32" t="n">
        <f aca="false">IF(OR(AE265="",N(Z265)=0),"",AE265-Z265)</f>
        <v>0</v>
      </c>
      <c r="AG265" s="28" t="n">
        <f aca="false">IF(AND(N(M265)&gt;0,N(L265)&gt;0),M265*L265,N265)</f>
        <v>2.15625</v>
      </c>
      <c r="AH265" s="28" t="n">
        <f aca="false">IF(OR(N(AB265)&lt;=0,N(AG265)=0,N(L265)=0),"",MIN(L265,AG265/AB265))</f>
        <v>23.9583333333333</v>
      </c>
      <c r="AI265" s="29" t="n">
        <f aca="false">IF(OR(AH265="",N(O265)=0),"",AH265/O265-1)</f>
        <v>-0.056758530183727</v>
      </c>
      <c r="AJ265" s="29" t="n">
        <f aca="false">IF(OR(AI265="",N(O265)=0),"",AI265+AG265/O265)</f>
        <v>0.0281332020997376</v>
      </c>
      <c r="AK265" s="32" t="n">
        <f aca="false">IF(OR(AJ265="",N(AE265)=0),"",AJ265-AE265)</f>
        <v>0</v>
      </c>
      <c r="AL265" s="33" t="n">
        <f aca="false">IF(N(F265)=0,"",INDEX(Inputs!$B$28:$B$32,IFERROR(MATCH(F265,Inputs!$A$28:$A$32,1),0)+1))</f>
        <v>0.085</v>
      </c>
      <c r="AM265" s="34"/>
      <c r="AN265" s="33" t="n">
        <f aca="false">IF(N(AM265)&gt;0,AM265,AL265)</f>
        <v>0.085</v>
      </c>
      <c r="AO265" s="29" t="n">
        <f aca="false">IF(N(AN265)=0,"",AN265+IF(I265="yes",AN265*Inputs!$B$10*Inputs!$B$9,0)+IFERROR(INDEX(Inputs!$B$13:$B$15,MATCH(G265,Inputs!$A$13:$A$15,0)),0)+IFERROR(INDEX(Inputs!$B$18:$B$24,MATCH(H265,Inputs!$A$18:$A$24,0)),0))</f>
        <v>0.085</v>
      </c>
      <c r="AP265" s="28" t="n">
        <f aca="false">IF(OR(N(AO265)&lt;=0,N(AG265)=0,N(L265)=0),"",MIN(L265,AG265/AO265))</f>
        <v>25</v>
      </c>
      <c r="AQ265" s="29" t="n">
        <f aca="false">IF(OR(AP265="",N(O265)=0),"",AP265/O265-1)</f>
        <v>-0.015748031496063</v>
      </c>
      <c r="AR265" s="29" t="n">
        <f aca="false">IF(OR(AQ265="",N(O265)=0),"",AQ265+AG265/O265)</f>
        <v>0.0691437007874016</v>
      </c>
      <c r="AS265" s="32" t="n">
        <f aca="false">IF(OR(AR265="",N(AJ265)=0),"",AR265-AJ265)</f>
        <v>0.041010498687664</v>
      </c>
      <c r="AT265" s="28" t="n">
        <v>25</v>
      </c>
      <c r="AU265" s="28" t="n">
        <v>2.15625</v>
      </c>
      <c r="AV265" s="28" t="n">
        <f aca="false">IF(N(AT265)&gt;0,AT265,L265)</f>
        <v>25</v>
      </c>
      <c r="AW265" s="28" t="n">
        <f aca="false">IF(AND(N(M265)&gt;0,N(AV265)&gt;0),M265*AV265,IF(N(AU265)&gt;0,AU265,N265))</f>
        <v>2.15625</v>
      </c>
      <c r="AX265" s="29" t="n">
        <f aca="false">IF(N(AN265)=0,"",AN265+IF(I265="yes",AN265*Inputs!$B$10*Inputs!$B$9,0)+IFERROR(INDEX(Inputs!$B$13:$B$15,MATCH(G265,Inputs!$A$13:$A$15,0)),0)+IFERROR(INDEX(Inputs!$B$18:$B$24,MATCH(H265,Inputs!$A$18:$A$24,0)),0))</f>
        <v>0.085</v>
      </c>
      <c r="AY265" s="28" t="n">
        <f aca="false">IF(OR(N(AX265)&lt;=0,N(AW265)=0,N(AV265)=0),"",MIN(AV265,AW265/AX265))</f>
        <v>25</v>
      </c>
      <c r="AZ265" s="29" t="n">
        <f aca="false">IF(OR(AY265="",N(O265)=0),"",AY265/O265-1)</f>
        <v>-0.015748031496063</v>
      </c>
      <c r="BA265" s="29" t="n">
        <f aca="false">IF(OR(AZ265="",N(O265)=0),"",AZ265+AW265/O265)</f>
        <v>0.0691437007874016</v>
      </c>
      <c r="BB265" s="32" t="n">
        <f aca="false">IF(OR(BA265="",N(AR265)=0),"",BA265-AR265)</f>
        <v>0</v>
      </c>
      <c r="BC265" s="35" t="n">
        <f aca="false">IF(OR(BA265="",N(U265)=0),"",BA265-U265)</f>
        <v>0.0410104986876642</v>
      </c>
      <c r="BD265" s="36" t="s">
        <v>224</v>
      </c>
    </row>
    <row r="266" customFormat="false" ht="15" hidden="false" customHeight="false" outlineLevel="0" collapsed="false">
      <c r="A266" s="2" t="s">
        <v>556</v>
      </c>
      <c r="B266" s="2" t="n">
        <v>85</v>
      </c>
      <c r="C266" s="2" t="s">
        <v>625</v>
      </c>
      <c r="D266" s="2" t="s">
        <v>626</v>
      </c>
      <c r="E266" s="2" t="s">
        <v>627</v>
      </c>
      <c r="F266" s="27" t="n">
        <v>2300</v>
      </c>
      <c r="G266" s="2" t="s">
        <v>51</v>
      </c>
      <c r="H266" s="2" t="s">
        <v>58</v>
      </c>
      <c r="I266" s="2" t="s">
        <v>151</v>
      </c>
      <c r="J266" s="2" t="s">
        <v>145</v>
      </c>
      <c r="K266" s="2" t="n">
        <v>4</v>
      </c>
      <c r="L266" s="28" t="n">
        <v>25</v>
      </c>
      <c r="M266" s="29" t="n">
        <v>0.05</v>
      </c>
      <c r="N266" s="28" t="n">
        <v>1.25</v>
      </c>
      <c r="O266" s="28" t="n">
        <v>19.78</v>
      </c>
      <c r="P266" s="2" t="s">
        <v>146</v>
      </c>
      <c r="Q266" s="29" t="n">
        <v>0.08</v>
      </c>
      <c r="R266" s="30" t="n">
        <v>0.076</v>
      </c>
      <c r="S266" s="31" t="n">
        <v>16.4473684210526</v>
      </c>
      <c r="T266" s="30" t="n">
        <v>-0.168484912990261</v>
      </c>
      <c r="U266" s="30" t="n">
        <v>-0.105289766377521</v>
      </c>
      <c r="V266" s="29" t="n">
        <v>0</v>
      </c>
      <c r="W266" s="29" t="n">
        <f aca="false">IF(N(Q266)=0,"",Q266+IF(I266="yes",Q266*Inputs!$B$10*Inputs!$B$9,0)+V266)</f>
        <v>0.076</v>
      </c>
      <c r="X266" s="28" t="n">
        <f aca="false">IF(OR(N(W266)&lt;=0,N(N266)=0,N(L266)=0),"",MIN(L266,N266/W266))</f>
        <v>16.4473684210526</v>
      </c>
      <c r="Y266" s="29" t="n">
        <f aca="false">IF(OR(X266="",N(O266)=0),"",X266/O266-1)</f>
        <v>-0.168484912990261</v>
      </c>
      <c r="Z266" s="29" t="n">
        <f aca="false">IF(OR(Y266="",N(O266)=0),"",Y266+N266/O266)</f>
        <v>-0.105289766377521</v>
      </c>
      <c r="AA266" s="32" t="n">
        <f aca="false">IF(OR(Z266="",N(U266)=0),"",Z266-U266)</f>
        <v>0</v>
      </c>
      <c r="AB266" s="29" t="n">
        <f aca="false">IF(N(Q266)=0,"",Q266+IF(I266="yes",Q266*Inputs!$B$10*Inputs!$B$9,0)+IFERROR(INDEX(Inputs!$B$13:$B$15,MATCH(G266,Inputs!$A$13:$A$15,0)),0)+IFERROR(INDEX(Inputs!$B$18:$B$24,MATCH(H266,Inputs!$A$18:$A$24,0)),0))</f>
        <v>0.076</v>
      </c>
      <c r="AC266" s="28" t="n">
        <f aca="false">IF(OR(N(AB266)&lt;=0,N(N266)=0,N(L266)=0),"",MIN(L266,N266/AB266))</f>
        <v>16.4473684210526</v>
      </c>
      <c r="AD266" s="29" t="n">
        <f aca="false">IF(OR(AC266="",N(O266)=0),"",AC266/O266-1)</f>
        <v>-0.168484912990261</v>
      </c>
      <c r="AE266" s="29" t="n">
        <f aca="false">IF(OR(AD266="",N(O266)=0),"",AD266+N266/O266)</f>
        <v>-0.105289766377521</v>
      </c>
      <c r="AF266" s="32" t="n">
        <f aca="false">IF(OR(AE266="",N(Z266)=0),"",AE266-Z266)</f>
        <v>0</v>
      </c>
      <c r="AG266" s="28" t="n">
        <f aca="false">IF(AND(N(M266)&gt;0,N(L266)&gt;0),M266*L266,N266)</f>
        <v>1.25</v>
      </c>
      <c r="AH266" s="28" t="n">
        <f aca="false">IF(OR(N(AB266)&lt;=0,N(AG266)=0,N(L266)=0),"",MIN(L266,AG266/AB266))</f>
        <v>16.4473684210526</v>
      </c>
      <c r="AI266" s="29" t="n">
        <f aca="false">IF(OR(AH266="",N(O266)=0),"",AH266/O266-1)</f>
        <v>-0.168484912990261</v>
      </c>
      <c r="AJ266" s="29" t="n">
        <f aca="false">IF(OR(AI266="",N(O266)=0),"",AI266+AG266/O266)</f>
        <v>-0.105289766377521</v>
      </c>
      <c r="AK266" s="32" t="n">
        <f aca="false">IF(OR(AJ266="",N(AE266)=0),"",AJ266-AE266)</f>
        <v>0</v>
      </c>
      <c r="AL266" s="33" t="n">
        <f aca="false">IF(N(F266)=0,"",INDEX(Inputs!$B$28:$B$32,IFERROR(MATCH(F266,Inputs!$A$28:$A$32,1),0)+1))</f>
        <v>0.085</v>
      </c>
      <c r="AM266" s="34"/>
      <c r="AN266" s="33" t="n">
        <f aca="false">IF(N(AM266)&gt;0,AM266,AL266)</f>
        <v>0.085</v>
      </c>
      <c r="AO266" s="29" t="n">
        <f aca="false">IF(N(AN266)=0,"",AN266+IF(I266="yes",AN266*Inputs!$B$10*Inputs!$B$9,0)+IFERROR(INDEX(Inputs!$B$13:$B$15,MATCH(G266,Inputs!$A$13:$A$15,0)),0)+IFERROR(INDEX(Inputs!$B$18:$B$24,MATCH(H266,Inputs!$A$18:$A$24,0)),0))</f>
        <v>0.08075</v>
      </c>
      <c r="AP266" s="28" t="n">
        <f aca="false">IF(OR(N(AO266)&lt;=0,N(AG266)=0,N(L266)=0),"",MIN(L266,AG266/AO266))</f>
        <v>15.4798761609907</v>
      </c>
      <c r="AQ266" s="29" t="n">
        <f aca="false">IF(OR(AP266="",N(O266)=0),"",AP266/O266-1)</f>
        <v>-0.217397565167305</v>
      </c>
      <c r="AR266" s="29" t="n">
        <f aca="false">IF(OR(AQ266="",N(O266)=0),"",AQ266+AG266/O266)</f>
        <v>-0.154202418554565</v>
      </c>
      <c r="AS266" s="32" t="n">
        <f aca="false">IF(OR(AR266="",N(AJ266)=0),"",AR266-AJ266)</f>
        <v>-0.0489126521770436</v>
      </c>
      <c r="AT266" s="28" t="n">
        <v>25</v>
      </c>
      <c r="AU266" s="28" t="n">
        <v>1.25</v>
      </c>
      <c r="AV266" s="28" t="n">
        <f aca="false">IF(N(AT266)&gt;0,AT266,L266)</f>
        <v>25</v>
      </c>
      <c r="AW266" s="28" t="n">
        <f aca="false">IF(AND(N(M266)&gt;0,N(AV266)&gt;0),M266*AV266,IF(N(AU266)&gt;0,AU266,N266))</f>
        <v>1.25</v>
      </c>
      <c r="AX266" s="29" t="n">
        <f aca="false">IF(N(AN266)=0,"",AN266+IF(I266="yes",AN266*Inputs!$B$10*Inputs!$B$9,0)+IFERROR(INDEX(Inputs!$B$13:$B$15,MATCH(G266,Inputs!$A$13:$A$15,0)),0)+IFERROR(INDEX(Inputs!$B$18:$B$24,MATCH(H266,Inputs!$A$18:$A$24,0)),0))</f>
        <v>0.08075</v>
      </c>
      <c r="AY266" s="28" t="n">
        <f aca="false">IF(OR(N(AX266)&lt;=0,N(AW266)=0,N(AV266)=0),"",MIN(AV266,AW266/AX266))</f>
        <v>15.4798761609907</v>
      </c>
      <c r="AZ266" s="29" t="n">
        <f aca="false">IF(OR(AY266="",N(O266)=0),"",AY266/O266-1)</f>
        <v>-0.217397565167305</v>
      </c>
      <c r="BA266" s="29" t="n">
        <f aca="false">IF(OR(AZ266="",N(O266)=0),"",AZ266+AW266/O266)</f>
        <v>-0.154202418554565</v>
      </c>
      <c r="BB266" s="32" t="n">
        <f aca="false">IF(OR(BA266="",N(AR266)=0),"",BA266-AR266)</f>
        <v>0</v>
      </c>
      <c r="BC266" s="35" t="n">
        <f aca="false">IF(OR(BA266="",N(U266)=0),"",BA266-U266)</f>
        <v>-0.0489126521770436</v>
      </c>
      <c r="BD266" s="37"/>
    </row>
    <row r="267" customFormat="false" ht="15" hidden="false" customHeight="false" outlineLevel="0" collapsed="false">
      <c r="A267" s="2" t="s">
        <v>556</v>
      </c>
      <c r="B267" s="2" t="n">
        <v>89</v>
      </c>
      <c r="C267" s="2" t="s">
        <v>628</v>
      </c>
      <c r="D267" s="2" t="s">
        <v>629</v>
      </c>
      <c r="E267" s="2" t="s">
        <v>630</v>
      </c>
      <c r="F267" s="27" t="n">
        <v>230</v>
      </c>
      <c r="G267" s="2" t="s">
        <v>51</v>
      </c>
      <c r="H267" s="2" t="s">
        <v>58</v>
      </c>
      <c r="I267" s="2" t="s">
        <v>151</v>
      </c>
      <c r="J267" s="2" t="s">
        <v>145</v>
      </c>
      <c r="K267" s="2" t="n">
        <v>4</v>
      </c>
      <c r="L267" s="28" t="n">
        <v>25</v>
      </c>
      <c r="M267" s="29" t="n">
        <v>0.05</v>
      </c>
      <c r="N267" s="28" t="n">
        <v>1.25</v>
      </c>
      <c r="O267" s="28" t="n">
        <v>24.97</v>
      </c>
      <c r="P267" s="2" t="s">
        <v>146</v>
      </c>
      <c r="Q267" s="29" t="n">
        <v>0.09</v>
      </c>
      <c r="R267" s="30" t="n">
        <v>0.0855</v>
      </c>
      <c r="S267" s="31" t="n">
        <v>14.6198830409357</v>
      </c>
      <c r="T267" s="30" t="n">
        <v>-0.414502080859605</v>
      </c>
      <c r="U267" s="30" t="n">
        <v>-0.364442008773101</v>
      </c>
      <c r="V267" s="29" t="n">
        <v>0</v>
      </c>
      <c r="W267" s="29" t="n">
        <f aca="false">IF(N(Q267)=0,"",Q267+IF(I267="yes",Q267*Inputs!$B$10*Inputs!$B$9,0)+V267)</f>
        <v>0.0855</v>
      </c>
      <c r="X267" s="28" t="n">
        <f aca="false">IF(OR(N(W267)&lt;=0,N(N267)=0,N(L267)=0),"",MIN(L267,N267/W267))</f>
        <v>14.6198830409357</v>
      </c>
      <c r="Y267" s="29" t="n">
        <f aca="false">IF(OR(X267="",N(O267)=0),"",X267/O267-1)</f>
        <v>-0.414502080859605</v>
      </c>
      <c r="Z267" s="29" t="n">
        <f aca="false">IF(OR(Y267="",N(O267)=0),"",Y267+N267/O267)</f>
        <v>-0.364442008773101</v>
      </c>
      <c r="AA267" s="32" t="n">
        <f aca="false">IF(OR(Z267="",N(U267)=0),"",Z267-U267)</f>
        <v>0</v>
      </c>
      <c r="AB267" s="29" t="n">
        <f aca="false">IF(N(Q267)=0,"",Q267+IF(I267="yes",Q267*Inputs!$B$10*Inputs!$B$9,0)+IFERROR(INDEX(Inputs!$B$13:$B$15,MATCH(G267,Inputs!$A$13:$A$15,0)),0)+IFERROR(INDEX(Inputs!$B$18:$B$24,MATCH(H267,Inputs!$A$18:$A$24,0)),0))</f>
        <v>0.0855</v>
      </c>
      <c r="AC267" s="28" t="n">
        <f aca="false">IF(OR(N(AB267)&lt;=0,N(N267)=0,N(L267)=0),"",MIN(L267,N267/AB267))</f>
        <v>14.6198830409357</v>
      </c>
      <c r="AD267" s="29" t="n">
        <f aca="false">IF(OR(AC267="",N(O267)=0),"",AC267/O267-1)</f>
        <v>-0.414502080859605</v>
      </c>
      <c r="AE267" s="29" t="n">
        <f aca="false">IF(OR(AD267="",N(O267)=0),"",AD267+N267/O267)</f>
        <v>-0.364442008773101</v>
      </c>
      <c r="AF267" s="32" t="n">
        <f aca="false">IF(OR(AE267="",N(Z267)=0),"",AE267-Z267)</f>
        <v>0</v>
      </c>
      <c r="AG267" s="28" t="n">
        <f aca="false">IF(AND(N(M267)&gt;0,N(L267)&gt;0),M267*L267,N267)</f>
        <v>1.25</v>
      </c>
      <c r="AH267" s="28" t="n">
        <f aca="false">IF(OR(N(AB267)&lt;=0,N(AG267)=0,N(L267)=0),"",MIN(L267,AG267/AB267))</f>
        <v>14.6198830409357</v>
      </c>
      <c r="AI267" s="29" t="n">
        <f aca="false">IF(OR(AH267="",N(O267)=0),"",AH267/O267-1)</f>
        <v>-0.414502080859605</v>
      </c>
      <c r="AJ267" s="29" t="n">
        <f aca="false">IF(OR(AI267="",N(O267)=0),"",AI267+AG267/O267)</f>
        <v>-0.364442008773101</v>
      </c>
      <c r="AK267" s="32" t="n">
        <f aca="false">IF(OR(AJ267="",N(AE267)=0),"",AJ267-AE267)</f>
        <v>0</v>
      </c>
      <c r="AL267" s="33" t="n">
        <f aca="false">IF(N(F267)=0,"",INDEX(Inputs!$B$28:$B$32,IFERROR(MATCH(F267,Inputs!$A$28:$A$32,1),0)+1))</f>
        <v>0.1</v>
      </c>
      <c r="AM267" s="34"/>
      <c r="AN267" s="33" t="n">
        <f aca="false">IF(N(AM267)&gt;0,AM267,AL267)</f>
        <v>0.1</v>
      </c>
      <c r="AO267" s="29" t="n">
        <f aca="false">IF(N(AN267)=0,"",AN267+IF(I267="yes",AN267*Inputs!$B$10*Inputs!$B$9,0)+IFERROR(INDEX(Inputs!$B$13:$B$15,MATCH(G267,Inputs!$A$13:$A$15,0)),0)+IFERROR(INDEX(Inputs!$B$18:$B$24,MATCH(H267,Inputs!$A$18:$A$24,0)),0))</f>
        <v>0.095</v>
      </c>
      <c r="AP267" s="28" t="n">
        <f aca="false">IF(OR(N(AO267)&lt;=0,N(AG267)=0,N(L267)=0),"",MIN(L267,AG267/AO267))</f>
        <v>13.1578947368421</v>
      </c>
      <c r="AQ267" s="29" t="n">
        <f aca="false">IF(OR(AP267="",N(O267)=0),"",AP267/O267-1)</f>
        <v>-0.473051872773644</v>
      </c>
      <c r="AR267" s="29" t="n">
        <f aca="false">IF(OR(AQ267="",N(O267)=0),"",AQ267+AG267/O267)</f>
        <v>-0.42299180068714</v>
      </c>
      <c r="AS267" s="32" t="n">
        <f aca="false">IF(OR(AR267="",N(AJ267)=0),"",AR267-AJ267)</f>
        <v>-0.0585497919140394</v>
      </c>
      <c r="AT267" s="28" t="n">
        <v>25</v>
      </c>
      <c r="AU267" s="28" t="n">
        <v>1.25</v>
      </c>
      <c r="AV267" s="28" t="n">
        <f aca="false">IF(N(AT267)&gt;0,AT267,L267)</f>
        <v>25</v>
      </c>
      <c r="AW267" s="28" t="n">
        <f aca="false">IF(AND(N(M267)&gt;0,N(AV267)&gt;0),M267*AV267,IF(N(AU267)&gt;0,AU267,N267))</f>
        <v>1.25</v>
      </c>
      <c r="AX267" s="29" t="n">
        <f aca="false">IF(N(AN267)=0,"",AN267+IF(I267="yes",AN267*Inputs!$B$10*Inputs!$B$9,0)+IFERROR(INDEX(Inputs!$B$13:$B$15,MATCH(G267,Inputs!$A$13:$A$15,0)),0)+IFERROR(INDEX(Inputs!$B$18:$B$24,MATCH(H267,Inputs!$A$18:$A$24,0)),0))</f>
        <v>0.095</v>
      </c>
      <c r="AY267" s="28" t="n">
        <f aca="false">IF(OR(N(AX267)&lt;=0,N(AW267)=0,N(AV267)=0),"",MIN(AV267,AW267/AX267))</f>
        <v>13.1578947368421</v>
      </c>
      <c r="AZ267" s="29" t="n">
        <f aca="false">IF(OR(AY267="",N(O267)=0),"",AY267/O267-1)</f>
        <v>-0.473051872773644</v>
      </c>
      <c r="BA267" s="29" t="n">
        <f aca="false">IF(OR(AZ267="",N(O267)=0),"",AZ267+AW267/O267)</f>
        <v>-0.42299180068714</v>
      </c>
      <c r="BB267" s="32" t="n">
        <f aca="false">IF(OR(BA267="",N(AR267)=0),"",BA267-AR267)</f>
        <v>0</v>
      </c>
      <c r="BC267" s="35" t="n">
        <f aca="false">IF(OR(BA267="",N(U267)=0),"",BA267-U267)</f>
        <v>-0.0585497919140394</v>
      </c>
      <c r="BD267" s="37"/>
    </row>
    <row r="268" customFormat="false" ht="15" hidden="false" customHeight="false" outlineLevel="0" collapsed="false">
      <c r="A268" s="2" t="s">
        <v>556</v>
      </c>
      <c r="B268" s="2" t="n">
        <v>90</v>
      </c>
      <c r="C268" s="2" t="s">
        <v>631</v>
      </c>
      <c r="D268" s="2" t="s">
        <v>629</v>
      </c>
      <c r="E268" s="2" t="s">
        <v>630</v>
      </c>
      <c r="F268" s="27" t="n">
        <v>230</v>
      </c>
      <c r="G268" s="2" t="s">
        <v>51</v>
      </c>
      <c r="H268" s="2" t="s">
        <v>58</v>
      </c>
      <c r="I268" s="2" t="s">
        <v>151</v>
      </c>
      <c r="J268" s="2" t="s">
        <v>168</v>
      </c>
      <c r="K268" s="2" t="n">
        <v>12</v>
      </c>
      <c r="L268" s="28" t="n">
        <v>25</v>
      </c>
      <c r="M268" s="29" t="n">
        <v>0.0775</v>
      </c>
      <c r="N268" s="28" t="n">
        <v>1.9375</v>
      </c>
      <c r="O268" s="28" t="n">
        <v>0</v>
      </c>
      <c r="P268" s="2" t="s">
        <v>223</v>
      </c>
      <c r="Q268" s="29" t="n">
        <v>0.09</v>
      </c>
      <c r="R268" s="30" t="n">
        <v>0.09</v>
      </c>
      <c r="S268" s="31" t="n">
        <v>21.5277777777778</v>
      </c>
      <c r="T268" s="30"/>
      <c r="U268" s="30"/>
      <c r="V268" s="29" t="n">
        <v>0</v>
      </c>
      <c r="W268" s="29" t="n">
        <f aca="false">IF(N(Q268)=0,"",Q268+IF(I268="yes",Q268*Inputs!$B$10*Inputs!$B$9,0)+V268)</f>
        <v>0.0855</v>
      </c>
      <c r="X268" s="28" t="n">
        <f aca="false">IF(OR(N(W268)&lt;=0,N(N268)=0,N(L268)=0),"",MIN(L268,N268/W268))</f>
        <v>22.6608187134503</v>
      </c>
      <c r="Y268" s="29" t="str">
        <f aca="false">IF(OR(X268="",N(O268)=0),"",X268/O268-1)</f>
        <v/>
      </c>
      <c r="Z268" s="29" t="str">
        <f aca="false">IF(OR(Y268="",N(O268)=0),"",Y268+N268/O268)</f>
        <v/>
      </c>
      <c r="AA268" s="32" t="str">
        <f aca="false">IF(OR(Z268="",N(U268)=0),"",Z268-U268)</f>
        <v/>
      </c>
      <c r="AB268" s="29" t="n">
        <f aca="false">IF(N(Q268)=0,"",Q268+IF(I268="yes",Q268*Inputs!$B$10*Inputs!$B$9,0)+IFERROR(INDEX(Inputs!$B$13:$B$15,MATCH(G268,Inputs!$A$13:$A$15,0)),0)+IFERROR(INDEX(Inputs!$B$18:$B$24,MATCH(H268,Inputs!$A$18:$A$24,0)),0))</f>
        <v>0.0855</v>
      </c>
      <c r="AC268" s="28" t="n">
        <f aca="false">IF(OR(N(AB268)&lt;=0,N(N268)=0,N(L268)=0),"",MIN(L268,N268/AB268))</f>
        <v>22.6608187134503</v>
      </c>
      <c r="AD268" s="29" t="str">
        <f aca="false">IF(OR(AC268="",N(O268)=0),"",AC268/O268-1)</f>
        <v/>
      </c>
      <c r="AE268" s="29" t="str">
        <f aca="false">IF(OR(AD268="",N(O268)=0),"",AD268+N268/O268)</f>
        <v/>
      </c>
      <c r="AF268" s="32" t="str">
        <f aca="false">IF(OR(AE268="",N(Z268)=0),"",AE268-Z268)</f>
        <v/>
      </c>
      <c r="AG268" s="28" t="n">
        <f aca="false">IF(AND(N(M268)&gt;0,N(L268)&gt;0),M268*L268,N268)</f>
        <v>1.9375</v>
      </c>
      <c r="AH268" s="28" t="n">
        <f aca="false">IF(OR(N(AB268)&lt;=0,N(AG268)=0,N(L268)=0),"",MIN(L268,AG268/AB268))</f>
        <v>22.6608187134503</v>
      </c>
      <c r="AI268" s="29" t="str">
        <f aca="false">IF(OR(AH268="",N(O268)=0),"",AH268/O268-1)</f>
        <v/>
      </c>
      <c r="AJ268" s="29" t="str">
        <f aca="false">IF(OR(AI268="",N(O268)=0),"",AI268+AG268/O268)</f>
        <v/>
      </c>
      <c r="AK268" s="32" t="str">
        <f aca="false">IF(OR(AJ268="",N(AE268)=0),"",AJ268-AE268)</f>
        <v/>
      </c>
      <c r="AL268" s="33" t="n">
        <f aca="false">IF(N(F268)=0,"",INDEX(Inputs!$B$28:$B$32,IFERROR(MATCH(F268,Inputs!$A$28:$A$32,1),0)+1))</f>
        <v>0.1</v>
      </c>
      <c r="AM268" s="34"/>
      <c r="AN268" s="33" t="n">
        <f aca="false">IF(N(AM268)&gt;0,AM268,AL268)</f>
        <v>0.1</v>
      </c>
      <c r="AO268" s="29" t="n">
        <f aca="false">IF(N(AN268)=0,"",AN268+IF(I268="yes",AN268*Inputs!$B$10*Inputs!$B$9,0)+IFERROR(INDEX(Inputs!$B$13:$B$15,MATCH(G268,Inputs!$A$13:$A$15,0)),0)+IFERROR(INDEX(Inputs!$B$18:$B$24,MATCH(H268,Inputs!$A$18:$A$24,0)),0))</f>
        <v>0.095</v>
      </c>
      <c r="AP268" s="28" t="n">
        <f aca="false">IF(OR(N(AO268)&lt;=0,N(AG268)=0,N(L268)=0),"",MIN(L268,AG268/AO268))</f>
        <v>20.3947368421053</v>
      </c>
      <c r="AQ268" s="29" t="str">
        <f aca="false">IF(OR(AP268="",N(O268)=0),"",AP268/O268-1)</f>
        <v/>
      </c>
      <c r="AR268" s="29" t="str">
        <f aca="false">IF(OR(AQ268="",N(O268)=0),"",AQ268+AG268/O268)</f>
        <v/>
      </c>
      <c r="AS268" s="32" t="str">
        <f aca="false">IF(OR(AR268="",N(AJ268)=0),"",AR268-AJ268)</f>
        <v/>
      </c>
      <c r="AT268" s="28" t="n">
        <v>25</v>
      </c>
      <c r="AU268" s="28" t="n">
        <v>1.9375</v>
      </c>
      <c r="AV268" s="28" t="n">
        <f aca="false">IF(N(AT268)&gt;0,AT268,L268)</f>
        <v>25</v>
      </c>
      <c r="AW268" s="28" t="n">
        <f aca="false">IF(AND(N(M268)&gt;0,N(AV268)&gt;0),M268*AV268,IF(N(AU268)&gt;0,AU268,N268))</f>
        <v>1.9375</v>
      </c>
      <c r="AX268" s="29" t="n">
        <f aca="false">IF(N(AN268)=0,"",AN268+IF(I268="yes",AN268*Inputs!$B$10*Inputs!$B$9,0)+IFERROR(INDEX(Inputs!$B$13:$B$15,MATCH(G268,Inputs!$A$13:$A$15,0)),0)+IFERROR(INDEX(Inputs!$B$18:$B$24,MATCH(H268,Inputs!$A$18:$A$24,0)),0))</f>
        <v>0.095</v>
      </c>
      <c r="AY268" s="28" t="n">
        <f aca="false">IF(OR(N(AX268)&lt;=0,N(AW268)=0,N(AV268)=0),"",MIN(AV268,AW268/AX268))</f>
        <v>20.3947368421053</v>
      </c>
      <c r="AZ268" s="29" t="str">
        <f aca="false">IF(OR(AY268="",N(O268)=0),"",AY268/O268-1)</f>
        <v/>
      </c>
      <c r="BA268" s="29" t="str">
        <f aca="false">IF(OR(AZ268="",N(O268)=0),"",AZ268+AW268/O268)</f>
        <v/>
      </c>
      <c r="BB268" s="32" t="str">
        <f aca="false">IF(OR(BA268="",N(AR268)=0),"",BA268-AR268)</f>
        <v/>
      </c>
      <c r="BC268" s="35" t="str">
        <f aca="false">IF(OR(BA268="",N(U268)=0),"",BA268-U268)</f>
        <v/>
      </c>
      <c r="BD268" s="36" t="s">
        <v>284</v>
      </c>
    </row>
    <row r="269" customFormat="false" ht="15" hidden="false" customHeight="false" outlineLevel="0" collapsed="false">
      <c r="A269" s="2" t="s">
        <v>556</v>
      </c>
      <c r="B269" s="2" t="n">
        <v>93</v>
      </c>
      <c r="C269" s="2" t="s">
        <v>632</v>
      </c>
      <c r="D269" s="2" t="s">
        <v>633</v>
      </c>
      <c r="E269" s="2" t="s">
        <v>634</v>
      </c>
      <c r="F269" s="27" t="n">
        <v>28700</v>
      </c>
      <c r="G269" s="2" t="s">
        <v>51</v>
      </c>
      <c r="H269" s="2" t="s">
        <v>58</v>
      </c>
      <c r="I269" s="2" t="s">
        <v>151</v>
      </c>
      <c r="J269" s="2" t="s">
        <v>145</v>
      </c>
      <c r="K269" s="2" t="n">
        <v>4</v>
      </c>
      <c r="L269" s="28" t="n">
        <v>25</v>
      </c>
      <c r="M269" s="29" t="n">
        <v>0.051</v>
      </c>
      <c r="N269" s="28" t="n">
        <v>1.275</v>
      </c>
      <c r="O269" s="28" t="n">
        <v>17.19</v>
      </c>
      <c r="P269" s="2" t="s">
        <v>146</v>
      </c>
      <c r="Q269" s="29" t="n">
        <v>0.08</v>
      </c>
      <c r="R269" s="30" t="n">
        <v>0.076</v>
      </c>
      <c r="S269" s="31" t="n">
        <v>16.7763157894737</v>
      </c>
      <c r="T269" s="30" t="n">
        <v>-0.0240653990998438</v>
      </c>
      <c r="U269" s="30" t="n">
        <v>0.050105630568568</v>
      </c>
      <c r="V269" s="29" t="n">
        <v>0</v>
      </c>
      <c r="W269" s="29" t="n">
        <f aca="false">IF(N(Q269)=0,"",Q269+IF(I269="yes",Q269*Inputs!$B$10*Inputs!$B$9,0)+V269)</f>
        <v>0.076</v>
      </c>
      <c r="X269" s="28" t="n">
        <f aca="false">IF(OR(N(W269)&lt;=0,N(N269)=0,N(L269)=0),"",MIN(L269,N269/W269))</f>
        <v>16.7763157894737</v>
      </c>
      <c r="Y269" s="29" t="n">
        <f aca="false">IF(OR(X269="",N(O269)=0),"",X269/O269-1)</f>
        <v>-0.0240653990998438</v>
      </c>
      <c r="Z269" s="29" t="n">
        <f aca="false">IF(OR(Y269="",N(O269)=0),"",Y269+N269/O269)</f>
        <v>0.050105630568568</v>
      </c>
      <c r="AA269" s="32" t="n">
        <f aca="false">IF(OR(Z269="",N(U269)=0),"",Z269-U269)</f>
        <v>0</v>
      </c>
      <c r="AB269" s="29" t="n">
        <f aca="false">IF(N(Q269)=0,"",Q269+IF(I269="yes",Q269*Inputs!$B$10*Inputs!$B$9,0)+IFERROR(INDEX(Inputs!$B$13:$B$15,MATCH(G269,Inputs!$A$13:$A$15,0)),0)+IFERROR(INDEX(Inputs!$B$18:$B$24,MATCH(H269,Inputs!$A$18:$A$24,0)),0))</f>
        <v>0.076</v>
      </c>
      <c r="AC269" s="28" t="n">
        <f aca="false">IF(OR(N(AB269)&lt;=0,N(N269)=0,N(L269)=0),"",MIN(L269,N269/AB269))</f>
        <v>16.7763157894737</v>
      </c>
      <c r="AD269" s="29" t="n">
        <f aca="false">IF(OR(AC269="",N(O269)=0),"",AC269/O269-1)</f>
        <v>-0.0240653990998438</v>
      </c>
      <c r="AE269" s="29" t="n">
        <f aca="false">IF(OR(AD269="",N(O269)=0),"",AD269+N269/O269)</f>
        <v>0.050105630568568</v>
      </c>
      <c r="AF269" s="32" t="n">
        <f aca="false">IF(OR(AE269="",N(Z269)=0),"",AE269-Z269)</f>
        <v>0</v>
      </c>
      <c r="AG269" s="28" t="n">
        <f aca="false">IF(AND(N(M269)&gt;0,N(L269)&gt;0),M269*L269,N269)</f>
        <v>1.275</v>
      </c>
      <c r="AH269" s="28" t="n">
        <f aca="false">IF(OR(N(AB269)&lt;=0,N(AG269)=0,N(L269)=0),"",MIN(L269,AG269/AB269))</f>
        <v>16.7763157894737</v>
      </c>
      <c r="AI269" s="29" t="n">
        <f aca="false">IF(OR(AH269="",N(O269)=0),"",AH269/O269-1)</f>
        <v>-0.0240653990998438</v>
      </c>
      <c r="AJ269" s="29" t="n">
        <f aca="false">IF(OR(AI269="",N(O269)=0),"",AI269+AG269/O269)</f>
        <v>0.050105630568568</v>
      </c>
      <c r="AK269" s="32" t="n">
        <f aca="false">IF(OR(AJ269="",N(AE269)=0),"",AJ269-AE269)</f>
        <v>0</v>
      </c>
      <c r="AL269" s="33" t="n">
        <f aca="false">IF(N(F269)=0,"",INDEX(Inputs!$B$28:$B$32,IFERROR(MATCH(F269,Inputs!$A$28:$A$32,1),0)+1))</f>
        <v>0.075</v>
      </c>
      <c r="AM269" s="34"/>
      <c r="AN269" s="33" t="n">
        <f aca="false">IF(N(AM269)&gt;0,AM269,AL269)</f>
        <v>0.075</v>
      </c>
      <c r="AO269" s="29" t="n">
        <f aca="false">IF(N(AN269)=0,"",AN269+IF(I269="yes",AN269*Inputs!$B$10*Inputs!$B$9,0)+IFERROR(INDEX(Inputs!$B$13:$B$15,MATCH(G269,Inputs!$A$13:$A$15,0)),0)+IFERROR(INDEX(Inputs!$B$18:$B$24,MATCH(H269,Inputs!$A$18:$A$24,0)),0))</f>
        <v>0.07125</v>
      </c>
      <c r="AP269" s="28" t="n">
        <f aca="false">IF(OR(N(AO269)&lt;=0,N(AG269)=0,N(L269)=0),"",MIN(L269,AG269/AO269))</f>
        <v>17.8947368421053</v>
      </c>
      <c r="AQ269" s="29" t="n">
        <f aca="false">IF(OR(AP269="",N(O269)=0),"",AP269/O269-1)</f>
        <v>0.0409969076268333</v>
      </c>
      <c r="AR269" s="29" t="n">
        <f aca="false">IF(OR(AQ269="",N(O269)=0),"",AQ269+AG269/O269)</f>
        <v>0.115167937295245</v>
      </c>
      <c r="AS269" s="32" t="n">
        <f aca="false">IF(OR(AR269="",N(AJ269)=0),"",AR269-AJ269)</f>
        <v>0.0650623067266771</v>
      </c>
      <c r="AT269" s="28" t="n">
        <v>25</v>
      </c>
      <c r="AU269" s="28" t="n">
        <v>1.28</v>
      </c>
      <c r="AV269" s="28" t="n">
        <f aca="false">IF(N(AT269)&gt;0,AT269,L269)</f>
        <v>25</v>
      </c>
      <c r="AW269" s="28" t="n">
        <f aca="false">IF(AND(N(M269)&gt;0,N(AV269)&gt;0),M269*AV269,IF(N(AU269)&gt;0,AU269,N269))</f>
        <v>1.275</v>
      </c>
      <c r="AX269" s="29" t="n">
        <f aca="false">IF(N(AN269)=0,"",AN269+IF(I269="yes",AN269*Inputs!$B$10*Inputs!$B$9,0)+IFERROR(INDEX(Inputs!$B$13:$B$15,MATCH(G269,Inputs!$A$13:$A$15,0)),0)+IFERROR(INDEX(Inputs!$B$18:$B$24,MATCH(H269,Inputs!$A$18:$A$24,0)),0))</f>
        <v>0.07125</v>
      </c>
      <c r="AY269" s="28" t="n">
        <f aca="false">IF(OR(N(AX269)&lt;=0,N(AW269)=0,N(AV269)=0),"",MIN(AV269,AW269/AX269))</f>
        <v>17.8947368421053</v>
      </c>
      <c r="AZ269" s="29" t="n">
        <f aca="false">IF(OR(AY269="",N(O269)=0),"",AY269/O269-1)</f>
        <v>0.0409969076268333</v>
      </c>
      <c r="BA269" s="29" t="n">
        <f aca="false">IF(OR(AZ269="",N(O269)=0),"",AZ269+AW269/O269)</f>
        <v>0.115167937295245</v>
      </c>
      <c r="BB269" s="32" t="n">
        <f aca="false">IF(OR(BA269="",N(AR269)=0),"",BA269-AR269)</f>
        <v>0</v>
      </c>
      <c r="BC269" s="35" t="n">
        <f aca="false">IF(OR(BA269="",N(U269)=0),"",BA269-U269)</f>
        <v>0.0650623067266771</v>
      </c>
      <c r="BD269" s="37"/>
    </row>
    <row r="270" customFormat="false" ht="15" hidden="false" customHeight="false" outlineLevel="0" collapsed="false">
      <c r="A270" s="2" t="s">
        <v>556</v>
      </c>
      <c r="B270" s="2" t="n">
        <v>94</v>
      </c>
      <c r="C270" s="2" t="s">
        <v>635</v>
      </c>
      <c r="D270" s="2" t="s">
        <v>633</v>
      </c>
      <c r="E270" s="2" t="s">
        <v>634</v>
      </c>
      <c r="F270" s="27" t="n">
        <v>28700</v>
      </c>
      <c r="G270" s="2" t="s">
        <v>54</v>
      </c>
      <c r="H270" s="2" t="s">
        <v>58</v>
      </c>
      <c r="I270" s="2" t="s">
        <v>151</v>
      </c>
      <c r="J270" s="2" t="s">
        <v>145</v>
      </c>
      <c r="K270" s="2" t="n">
        <v>4</v>
      </c>
      <c r="L270" s="28" t="n">
        <v>25</v>
      </c>
      <c r="M270" s="29" t="n">
        <v>0.0575</v>
      </c>
      <c r="N270" s="28" t="n">
        <v>1.4375</v>
      </c>
      <c r="O270" s="28" t="n">
        <v>0</v>
      </c>
      <c r="P270" s="2" t="s">
        <v>146</v>
      </c>
      <c r="Q270" s="29" t="n">
        <v>0.08</v>
      </c>
      <c r="R270" s="30" t="n">
        <v>0.076</v>
      </c>
      <c r="S270" s="31" t="n">
        <v>18.9144736842105</v>
      </c>
      <c r="T270" s="30"/>
      <c r="U270" s="30"/>
      <c r="V270" s="29" t="n">
        <v>-0.005</v>
      </c>
      <c r="W270" s="29" t="n">
        <f aca="false">IF(N(Q270)=0,"",Q270+IF(I270="yes",Q270*Inputs!$B$10*Inputs!$B$9,0)+V270)</f>
        <v>0.071</v>
      </c>
      <c r="X270" s="28" t="n">
        <f aca="false">IF(OR(N(W270)&lt;=0,N(N270)=0,N(L270)=0),"",MIN(L270,N270/W270))</f>
        <v>20.2464788732394</v>
      </c>
      <c r="Y270" s="29" t="str">
        <f aca="false">IF(OR(X270="",N(O270)=0),"",X270/O270-1)</f>
        <v/>
      </c>
      <c r="Z270" s="29" t="str">
        <f aca="false">IF(OR(Y270="",N(O270)=0),"",Y270+N270/O270)</f>
        <v/>
      </c>
      <c r="AA270" s="32" t="str">
        <f aca="false">IF(OR(Z270="",N(U270)=0),"",Z270-U270)</f>
        <v/>
      </c>
      <c r="AB270" s="29" t="n">
        <f aca="false">IF(N(Q270)=0,"",Q270+IF(I270="yes",Q270*Inputs!$B$10*Inputs!$B$9,0)+IFERROR(INDEX(Inputs!$B$13:$B$15,MATCH(G270,Inputs!$A$13:$A$15,0)),0)+IFERROR(INDEX(Inputs!$B$18:$B$24,MATCH(H270,Inputs!$A$18:$A$24,0)),0))</f>
        <v>0.071</v>
      </c>
      <c r="AC270" s="28" t="n">
        <f aca="false">IF(OR(N(AB270)&lt;=0,N(N270)=0,N(L270)=0),"",MIN(L270,N270/AB270))</f>
        <v>20.2464788732394</v>
      </c>
      <c r="AD270" s="29" t="str">
        <f aca="false">IF(OR(AC270="",N(O270)=0),"",AC270/O270-1)</f>
        <v/>
      </c>
      <c r="AE270" s="29" t="str">
        <f aca="false">IF(OR(AD270="",N(O270)=0),"",AD270+N270/O270)</f>
        <v/>
      </c>
      <c r="AF270" s="32" t="str">
        <f aca="false">IF(OR(AE270="",N(Z270)=0),"",AE270-Z270)</f>
        <v/>
      </c>
      <c r="AG270" s="28" t="n">
        <f aca="false">IF(AND(N(M270)&gt;0,N(L270)&gt;0),M270*L270,N270)</f>
        <v>1.4375</v>
      </c>
      <c r="AH270" s="28" t="n">
        <f aca="false">IF(OR(N(AB270)&lt;=0,N(AG270)=0,N(L270)=0),"",MIN(L270,AG270/AB270))</f>
        <v>20.2464788732394</v>
      </c>
      <c r="AI270" s="29" t="str">
        <f aca="false">IF(OR(AH270="",N(O270)=0),"",AH270/O270-1)</f>
        <v/>
      </c>
      <c r="AJ270" s="29" t="str">
        <f aca="false">IF(OR(AI270="",N(O270)=0),"",AI270+AG270/O270)</f>
        <v/>
      </c>
      <c r="AK270" s="32" t="str">
        <f aca="false">IF(OR(AJ270="",N(AE270)=0),"",AJ270-AE270)</f>
        <v/>
      </c>
      <c r="AL270" s="33" t="n">
        <f aca="false">IF(N(F270)=0,"",INDEX(Inputs!$B$28:$B$32,IFERROR(MATCH(F270,Inputs!$A$28:$A$32,1),0)+1))</f>
        <v>0.075</v>
      </c>
      <c r="AM270" s="34"/>
      <c r="AN270" s="33" t="n">
        <f aca="false">IF(N(AM270)&gt;0,AM270,AL270)</f>
        <v>0.075</v>
      </c>
      <c r="AO270" s="29" t="n">
        <f aca="false">IF(N(AN270)=0,"",AN270+IF(I270="yes",AN270*Inputs!$B$10*Inputs!$B$9,0)+IFERROR(INDEX(Inputs!$B$13:$B$15,MATCH(G270,Inputs!$A$13:$A$15,0)),0)+IFERROR(INDEX(Inputs!$B$18:$B$24,MATCH(H270,Inputs!$A$18:$A$24,0)),0))</f>
        <v>0.06625</v>
      </c>
      <c r="AP270" s="28" t="n">
        <f aca="false">IF(OR(N(AO270)&lt;=0,N(AG270)=0,N(L270)=0),"",MIN(L270,AG270/AO270))</f>
        <v>21.6981132075472</v>
      </c>
      <c r="AQ270" s="29" t="str">
        <f aca="false">IF(OR(AP270="",N(O270)=0),"",AP270/O270-1)</f>
        <v/>
      </c>
      <c r="AR270" s="29" t="str">
        <f aca="false">IF(OR(AQ270="",N(O270)=0),"",AQ270+AG270/O270)</f>
        <v/>
      </c>
      <c r="AS270" s="32" t="str">
        <f aca="false">IF(OR(AR270="",N(AJ270)=0),"",AR270-AJ270)</f>
        <v/>
      </c>
      <c r="AT270" s="28"/>
      <c r="AU270" s="28"/>
      <c r="AV270" s="28" t="n">
        <f aca="false">IF(N(AT270)&gt;0,AT270,L270)</f>
        <v>25</v>
      </c>
      <c r="AW270" s="28" t="n">
        <f aca="false">IF(AND(N(M270)&gt;0,N(AV270)&gt;0),M270*AV270,IF(N(AU270)&gt;0,AU270,N270))</f>
        <v>1.4375</v>
      </c>
      <c r="AX270" s="29" t="n">
        <f aca="false">IF(N(AN270)=0,"",AN270+IF(I270="yes",AN270*Inputs!$B$10*Inputs!$B$9,0)+IFERROR(INDEX(Inputs!$B$13:$B$15,MATCH(G270,Inputs!$A$13:$A$15,0)),0)+IFERROR(INDEX(Inputs!$B$18:$B$24,MATCH(H270,Inputs!$A$18:$A$24,0)),0))</f>
        <v>0.06625</v>
      </c>
      <c r="AY270" s="28" t="n">
        <f aca="false">IF(OR(N(AX270)&lt;=0,N(AW270)=0,N(AV270)=0),"",MIN(AV270,AW270/AX270))</f>
        <v>21.6981132075472</v>
      </c>
      <c r="AZ270" s="29" t="str">
        <f aca="false">IF(OR(AY270="",N(O270)=0),"",AY270/O270-1)</f>
        <v/>
      </c>
      <c r="BA270" s="29" t="str">
        <f aca="false">IF(OR(AZ270="",N(O270)=0),"",AZ270+AW270/O270)</f>
        <v/>
      </c>
      <c r="BB270" s="32" t="str">
        <f aca="false">IF(OR(BA270="",N(AR270)=0),"",BA270-AR270)</f>
        <v/>
      </c>
      <c r="BC270" s="35" t="str">
        <f aca="false">IF(OR(BA270="",N(U270)=0),"",BA270-U270)</f>
        <v/>
      </c>
      <c r="BD270" s="36" t="s">
        <v>198</v>
      </c>
    </row>
    <row r="271" customFormat="false" ht="15" hidden="false" customHeight="false" outlineLevel="0" collapsed="false">
      <c r="A271" s="2" t="s">
        <v>556</v>
      </c>
      <c r="B271" s="2" t="n">
        <v>95</v>
      </c>
      <c r="C271" s="2" t="s">
        <v>636</v>
      </c>
      <c r="D271" s="2" t="s">
        <v>633</v>
      </c>
      <c r="E271" s="2" t="s">
        <v>634</v>
      </c>
      <c r="F271" s="27" t="n">
        <v>28700</v>
      </c>
      <c r="G271" s="2" t="s">
        <v>54</v>
      </c>
      <c r="H271" s="2" t="s">
        <v>58</v>
      </c>
      <c r="I271" s="2" t="s">
        <v>151</v>
      </c>
      <c r="J271" s="2" t="s">
        <v>145</v>
      </c>
      <c r="K271" s="2" t="n">
        <v>4</v>
      </c>
      <c r="L271" s="28" t="n">
        <v>25</v>
      </c>
      <c r="M271" s="29" t="n">
        <v>0.05375</v>
      </c>
      <c r="N271" s="28" t="n">
        <v>1.34375</v>
      </c>
      <c r="O271" s="28" t="n">
        <v>0</v>
      </c>
      <c r="P271" s="2" t="s">
        <v>146</v>
      </c>
      <c r="Q271" s="29" t="n">
        <v>0.08</v>
      </c>
      <c r="R271" s="30" t="n">
        <v>0.076</v>
      </c>
      <c r="S271" s="31" t="n">
        <v>17.6809210526316</v>
      </c>
      <c r="T271" s="30"/>
      <c r="U271" s="30"/>
      <c r="V271" s="29" t="n">
        <v>-0.005</v>
      </c>
      <c r="W271" s="29" t="n">
        <f aca="false">IF(N(Q271)=0,"",Q271+IF(I271="yes",Q271*Inputs!$B$10*Inputs!$B$9,0)+V271)</f>
        <v>0.071</v>
      </c>
      <c r="X271" s="28" t="n">
        <f aca="false">IF(OR(N(W271)&lt;=0,N(N271)=0,N(L271)=0),"",MIN(L271,N271/W271))</f>
        <v>18.9260563380282</v>
      </c>
      <c r="Y271" s="29" t="str">
        <f aca="false">IF(OR(X271="",N(O271)=0),"",X271/O271-1)</f>
        <v/>
      </c>
      <c r="Z271" s="29" t="str">
        <f aca="false">IF(OR(Y271="",N(O271)=0),"",Y271+N271/O271)</f>
        <v/>
      </c>
      <c r="AA271" s="32" t="str">
        <f aca="false">IF(OR(Z271="",N(U271)=0),"",Z271-U271)</f>
        <v/>
      </c>
      <c r="AB271" s="29" t="n">
        <f aca="false">IF(N(Q271)=0,"",Q271+IF(I271="yes",Q271*Inputs!$B$10*Inputs!$B$9,0)+IFERROR(INDEX(Inputs!$B$13:$B$15,MATCH(G271,Inputs!$A$13:$A$15,0)),0)+IFERROR(INDEX(Inputs!$B$18:$B$24,MATCH(H271,Inputs!$A$18:$A$24,0)),0))</f>
        <v>0.071</v>
      </c>
      <c r="AC271" s="28" t="n">
        <f aca="false">IF(OR(N(AB271)&lt;=0,N(N271)=0,N(L271)=0),"",MIN(L271,N271/AB271))</f>
        <v>18.9260563380282</v>
      </c>
      <c r="AD271" s="29" t="str">
        <f aca="false">IF(OR(AC271="",N(O271)=0),"",AC271/O271-1)</f>
        <v/>
      </c>
      <c r="AE271" s="29" t="str">
        <f aca="false">IF(OR(AD271="",N(O271)=0),"",AD271+N271/O271)</f>
        <v/>
      </c>
      <c r="AF271" s="32" t="str">
        <f aca="false">IF(OR(AE271="",N(Z271)=0),"",AE271-Z271)</f>
        <v/>
      </c>
      <c r="AG271" s="28" t="n">
        <f aca="false">IF(AND(N(M271)&gt;0,N(L271)&gt;0),M271*L271,N271)</f>
        <v>1.34375</v>
      </c>
      <c r="AH271" s="28" t="n">
        <f aca="false">IF(OR(N(AB271)&lt;=0,N(AG271)=0,N(L271)=0),"",MIN(L271,AG271/AB271))</f>
        <v>18.9260563380282</v>
      </c>
      <c r="AI271" s="29" t="str">
        <f aca="false">IF(OR(AH271="",N(O271)=0),"",AH271/O271-1)</f>
        <v/>
      </c>
      <c r="AJ271" s="29" t="str">
        <f aca="false">IF(OR(AI271="",N(O271)=0),"",AI271+AG271/O271)</f>
        <v/>
      </c>
      <c r="AK271" s="32" t="str">
        <f aca="false">IF(OR(AJ271="",N(AE271)=0),"",AJ271-AE271)</f>
        <v/>
      </c>
      <c r="AL271" s="33" t="n">
        <f aca="false">IF(N(F271)=0,"",INDEX(Inputs!$B$28:$B$32,IFERROR(MATCH(F271,Inputs!$A$28:$A$32,1),0)+1))</f>
        <v>0.075</v>
      </c>
      <c r="AM271" s="34"/>
      <c r="AN271" s="33" t="n">
        <f aca="false">IF(N(AM271)&gt;0,AM271,AL271)</f>
        <v>0.075</v>
      </c>
      <c r="AO271" s="29" t="n">
        <f aca="false">IF(N(AN271)=0,"",AN271+IF(I271="yes",AN271*Inputs!$B$10*Inputs!$B$9,0)+IFERROR(INDEX(Inputs!$B$13:$B$15,MATCH(G271,Inputs!$A$13:$A$15,0)),0)+IFERROR(INDEX(Inputs!$B$18:$B$24,MATCH(H271,Inputs!$A$18:$A$24,0)),0))</f>
        <v>0.06625</v>
      </c>
      <c r="AP271" s="28" t="n">
        <f aca="false">IF(OR(N(AO271)&lt;=0,N(AG271)=0,N(L271)=0),"",MIN(L271,AG271/AO271))</f>
        <v>20.2830188679245</v>
      </c>
      <c r="AQ271" s="29" t="str">
        <f aca="false">IF(OR(AP271="",N(O271)=0),"",AP271/O271-1)</f>
        <v/>
      </c>
      <c r="AR271" s="29" t="str">
        <f aca="false">IF(OR(AQ271="",N(O271)=0),"",AQ271+AG271/O271)</f>
        <v/>
      </c>
      <c r="AS271" s="32" t="str">
        <f aca="false">IF(OR(AR271="",N(AJ271)=0),"",AR271-AJ271)</f>
        <v/>
      </c>
      <c r="AT271" s="28" t="n">
        <v>25</v>
      </c>
      <c r="AU271" s="28" t="n">
        <v>1.34</v>
      </c>
      <c r="AV271" s="28" t="n">
        <f aca="false">IF(N(AT271)&gt;0,AT271,L271)</f>
        <v>25</v>
      </c>
      <c r="AW271" s="28" t="n">
        <f aca="false">IF(AND(N(M271)&gt;0,N(AV271)&gt;0),M271*AV271,IF(N(AU271)&gt;0,AU271,N271))</f>
        <v>1.34375</v>
      </c>
      <c r="AX271" s="29" t="n">
        <f aca="false">IF(N(AN271)=0,"",AN271+IF(I271="yes",AN271*Inputs!$B$10*Inputs!$B$9,0)+IFERROR(INDEX(Inputs!$B$13:$B$15,MATCH(G271,Inputs!$A$13:$A$15,0)),0)+IFERROR(INDEX(Inputs!$B$18:$B$24,MATCH(H271,Inputs!$A$18:$A$24,0)),0))</f>
        <v>0.06625</v>
      </c>
      <c r="AY271" s="28" t="n">
        <f aca="false">IF(OR(N(AX271)&lt;=0,N(AW271)=0,N(AV271)=0),"",MIN(AV271,AW271/AX271))</f>
        <v>20.2830188679245</v>
      </c>
      <c r="AZ271" s="29" t="str">
        <f aca="false">IF(OR(AY271="",N(O271)=0),"",AY271/O271-1)</f>
        <v/>
      </c>
      <c r="BA271" s="29" t="str">
        <f aca="false">IF(OR(AZ271="",N(O271)=0),"",AZ271+AW271/O271)</f>
        <v/>
      </c>
      <c r="BB271" s="32" t="str">
        <f aca="false">IF(OR(BA271="",N(AR271)=0),"",BA271-AR271)</f>
        <v/>
      </c>
      <c r="BC271" s="35" t="str">
        <f aca="false">IF(OR(BA271="",N(U271)=0),"",BA271-U271)</f>
        <v/>
      </c>
      <c r="BD271" s="36" t="s">
        <v>299</v>
      </c>
    </row>
    <row r="272" customFormat="false" ht="15" hidden="false" customHeight="false" outlineLevel="0" collapsed="false">
      <c r="A272" s="2" t="s">
        <v>556</v>
      </c>
      <c r="B272" s="2" t="n">
        <v>96</v>
      </c>
      <c r="C272" s="2" t="s">
        <v>637</v>
      </c>
      <c r="D272" s="2" t="s">
        <v>633</v>
      </c>
      <c r="E272" s="2" t="s">
        <v>634</v>
      </c>
      <c r="F272" s="27" t="n">
        <v>28700</v>
      </c>
      <c r="G272" s="2" t="s">
        <v>54</v>
      </c>
      <c r="H272" s="2" t="s">
        <v>58</v>
      </c>
      <c r="I272" s="2" t="s">
        <v>151</v>
      </c>
      <c r="J272" s="2" t="s">
        <v>145</v>
      </c>
      <c r="K272" s="2" t="n">
        <v>4</v>
      </c>
      <c r="L272" s="28" t="n">
        <v>25</v>
      </c>
      <c r="M272" s="29" t="n">
        <v>0.0545</v>
      </c>
      <c r="N272" s="28" t="n">
        <v>1.3625</v>
      </c>
      <c r="O272" s="28" t="n">
        <v>0</v>
      </c>
      <c r="P272" s="2" t="s">
        <v>146</v>
      </c>
      <c r="Q272" s="29" t="n">
        <v>0.08</v>
      </c>
      <c r="R272" s="30" t="n">
        <v>0.076</v>
      </c>
      <c r="S272" s="31" t="n">
        <v>17.9276315789474</v>
      </c>
      <c r="T272" s="30"/>
      <c r="U272" s="30"/>
      <c r="V272" s="29" t="n">
        <v>-0.005</v>
      </c>
      <c r="W272" s="29" t="n">
        <f aca="false">IF(N(Q272)=0,"",Q272+IF(I272="yes",Q272*Inputs!$B$10*Inputs!$B$9,0)+V272)</f>
        <v>0.071</v>
      </c>
      <c r="X272" s="28" t="n">
        <f aca="false">IF(OR(N(W272)&lt;=0,N(N272)=0,N(L272)=0),"",MIN(L272,N272/W272))</f>
        <v>19.1901408450704</v>
      </c>
      <c r="Y272" s="29" t="str">
        <f aca="false">IF(OR(X272="",N(O272)=0),"",X272/O272-1)</f>
        <v/>
      </c>
      <c r="Z272" s="29" t="str">
        <f aca="false">IF(OR(Y272="",N(O272)=0),"",Y272+N272/O272)</f>
        <v/>
      </c>
      <c r="AA272" s="32" t="str">
        <f aca="false">IF(OR(Z272="",N(U272)=0),"",Z272-U272)</f>
        <v/>
      </c>
      <c r="AB272" s="29" t="n">
        <f aca="false">IF(N(Q272)=0,"",Q272+IF(I272="yes",Q272*Inputs!$B$10*Inputs!$B$9,0)+IFERROR(INDEX(Inputs!$B$13:$B$15,MATCH(G272,Inputs!$A$13:$A$15,0)),0)+IFERROR(INDEX(Inputs!$B$18:$B$24,MATCH(H272,Inputs!$A$18:$A$24,0)),0))</f>
        <v>0.071</v>
      </c>
      <c r="AC272" s="28" t="n">
        <f aca="false">IF(OR(N(AB272)&lt;=0,N(N272)=0,N(L272)=0),"",MIN(L272,N272/AB272))</f>
        <v>19.1901408450704</v>
      </c>
      <c r="AD272" s="29" t="str">
        <f aca="false">IF(OR(AC272="",N(O272)=0),"",AC272/O272-1)</f>
        <v/>
      </c>
      <c r="AE272" s="29" t="str">
        <f aca="false">IF(OR(AD272="",N(O272)=0),"",AD272+N272/O272)</f>
        <v/>
      </c>
      <c r="AF272" s="32" t="str">
        <f aca="false">IF(OR(AE272="",N(Z272)=0),"",AE272-Z272)</f>
        <v/>
      </c>
      <c r="AG272" s="28" t="n">
        <f aca="false">IF(AND(N(M272)&gt;0,N(L272)&gt;0),M272*L272,N272)</f>
        <v>1.3625</v>
      </c>
      <c r="AH272" s="28" t="n">
        <f aca="false">IF(OR(N(AB272)&lt;=0,N(AG272)=0,N(L272)=0),"",MIN(L272,AG272/AB272))</f>
        <v>19.1901408450704</v>
      </c>
      <c r="AI272" s="29" t="str">
        <f aca="false">IF(OR(AH272="",N(O272)=0),"",AH272/O272-1)</f>
        <v/>
      </c>
      <c r="AJ272" s="29" t="str">
        <f aca="false">IF(OR(AI272="",N(O272)=0),"",AI272+AG272/O272)</f>
        <v/>
      </c>
      <c r="AK272" s="32" t="str">
        <f aca="false">IF(OR(AJ272="",N(AE272)=0),"",AJ272-AE272)</f>
        <v/>
      </c>
      <c r="AL272" s="33" t="n">
        <f aca="false">IF(N(F272)=0,"",INDEX(Inputs!$B$28:$B$32,IFERROR(MATCH(F272,Inputs!$A$28:$A$32,1),0)+1))</f>
        <v>0.075</v>
      </c>
      <c r="AM272" s="34"/>
      <c r="AN272" s="33" t="n">
        <f aca="false">IF(N(AM272)&gt;0,AM272,AL272)</f>
        <v>0.075</v>
      </c>
      <c r="AO272" s="29" t="n">
        <f aca="false">IF(N(AN272)=0,"",AN272+IF(I272="yes",AN272*Inputs!$B$10*Inputs!$B$9,0)+IFERROR(INDEX(Inputs!$B$13:$B$15,MATCH(G272,Inputs!$A$13:$A$15,0)),0)+IFERROR(INDEX(Inputs!$B$18:$B$24,MATCH(H272,Inputs!$A$18:$A$24,0)),0))</f>
        <v>0.06625</v>
      </c>
      <c r="AP272" s="28" t="n">
        <f aca="false">IF(OR(N(AO272)&lt;=0,N(AG272)=0,N(L272)=0),"",MIN(L272,AG272/AO272))</f>
        <v>20.5660377358491</v>
      </c>
      <c r="AQ272" s="29" t="str">
        <f aca="false">IF(OR(AP272="",N(O272)=0),"",AP272/O272-1)</f>
        <v/>
      </c>
      <c r="AR272" s="29" t="str">
        <f aca="false">IF(OR(AQ272="",N(O272)=0),"",AQ272+AG272/O272)</f>
        <v/>
      </c>
      <c r="AS272" s="32" t="str">
        <f aca="false">IF(OR(AR272="",N(AJ272)=0),"",AR272-AJ272)</f>
        <v/>
      </c>
      <c r="AT272" s="28" t="n">
        <v>25</v>
      </c>
      <c r="AU272" s="28" t="n">
        <v>1.36</v>
      </c>
      <c r="AV272" s="28" t="n">
        <f aca="false">IF(N(AT272)&gt;0,AT272,L272)</f>
        <v>25</v>
      </c>
      <c r="AW272" s="28" t="n">
        <f aca="false">IF(AND(N(M272)&gt;0,N(AV272)&gt;0),M272*AV272,IF(N(AU272)&gt;0,AU272,N272))</f>
        <v>1.3625</v>
      </c>
      <c r="AX272" s="29" t="n">
        <f aca="false">IF(N(AN272)=0,"",AN272+IF(I272="yes",AN272*Inputs!$B$10*Inputs!$B$9,0)+IFERROR(INDEX(Inputs!$B$13:$B$15,MATCH(G272,Inputs!$A$13:$A$15,0)),0)+IFERROR(INDEX(Inputs!$B$18:$B$24,MATCH(H272,Inputs!$A$18:$A$24,0)),0))</f>
        <v>0.06625</v>
      </c>
      <c r="AY272" s="28" t="n">
        <f aca="false">IF(OR(N(AX272)&lt;=0,N(AW272)=0,N(AV272)=0),"",MIN(AV272,AW272/AX272))</f>
        <v>20.5660377358491</v>
      </c>
      <c r="AZ272" s="29" t="str">
        <f aca="false">IF(OR(AY272="",N(O272)=0),"",AY272/O272-1)</f>
        <v/>
      </c>
      <c r="BA272" s="29" t="str">
        <f aca="false">IF(OR(AZ272="",N(O272)=0),"",AZ272+AW272/O272)</f>
        <v/>
      </c>
      <c r="BB272" s="32" t="str">
        <f aca="false">IF(OR(BA272="",N(AR272)=0),"",BA272-AR272)</f>
        <v/>
      </c>
      <c r="BC272" s="35" t="str">
        <f aca="false">IF(OR(BA272="",N(U272)=0),"",BA272-U272)</f>
        <v/>
      </c>
      <c r="BD272" s="36" t="s">
        <v>299</v>
      </c>
    </row>
    <row r="273" customFormat="false" ht="15" hidden="false" customHeight="false" outlineLevel="0" collapsed="false">
      <c r="A273" s="2" t="s">
        <v>556</v>
      </c>
      <c r="B273" s="2" t="n">
        <v>97</v>
      </c>
      <c r="C273" s="2" t="s">
        <v>638</v>
      </c>
      <c r="D273" s="2" t="s">
        <v>633</v>
      </c>
      <c r="E273" s="2" t="s">
        <v>634</v>
      </c>
      <c r="F273" s="27" t="n">
        <v>28700</v>
      </c>
      <c r="G273" s="2" t="s">
        <v>54</v>
      </c>
      <c r="H273" s="2" t="s">
        <v>58</v>
      </c>
      <c r="I273" s="2" t="s">
        <v>151</v>
      </c>
      <c r="J273" s="2" t="s">
        <v>145</v>
      </c>
      <c r="K273" s="2" t="n">
        <v>4</v>
      </c>
      <c r="L273" s="28" t="n">
        <v>25</v>
      </c>
      <c r="M273" s="29" t="n">
        <v>0.05</v>
      </c>
      <c r="N273" s="28" t="n">
        <v>1.25</v>
      </c>
      <c r="O273" s="28" t="n">
        <v>16.92</v>
      </c>
      <c r="P273" s="2" t="s">
        <v>146</v>
      </c>
      <c r="Q273" s="29" t="n">
        <v>0.08</v>
      </c>
      <c r="R273" s="30" t="n">
        <v>0.076</v>
      </c>
      <c r="S273" s="31" t="n">
        <v>16.4473684210526</v>
      </c>
      <c r="T273" s="30" t="n">
        <v>-0.027933308448426</v>
      </c>
      <c r="U273" s="30" t="n">
        <v>0.0459437601094936</v>
      </c>
      <c r="V273" s="29" t="n">
        <v>-0.005</v>
      </c>
      <c r="W273" s="29" t="n">
        <f aca="false">IF(N(Q273)=0,"",Q273+IF(I273="yes",Q273*Inputs!$B$10*Inputs!$B$9,0)+V273)</f>
        <v>0.071</v>
      </c>
      <c r="X273" s="28" t="n">
        <f aca="false">IF(OR(N(W273)&lt;=0,N(N273)=0,N(L273)=0),"",MIN(L273,N273/W273))</f>
        <v>17.6056338028169</v>
      </c>
      <c r="Y273" s="29" t="n">
        <f aca="false">IF(OR(X273="",N(O273)=0),"",X273/O273-1)</f>
        <v>0.0405220923650651</v>
      </c>
      <c r="Z273" s="29" t="n">
        <f aca="false">IF(OR(Y273="",N(O273)=0),"",Y273+N273/O273)</f>
        <v>0.114399160922985</v>
      </c>
      <c r="AA273" s="32" t="n">
        <f aca="false">IF(OR(Z273="",N(U273)=0),"",Z273-U273)</f>
        <v>0.0684554008134911</v>
      </c>
      <c r="AB273" s="29" t="n">
        <f aca="false">IF(N(Q273)=0,"",Q273+IF(I273="yes",Q273*Inputs!$B$10*Inputs!$B$9,0)+IFERROR(INDEX(Inputs!$B$13:$B$15,MATCH(G273,Inputs!$A$13:$A$15,0)),0)+IFERROR(INDEX(Inputs!$B$18:$B$24,MATCH(H273,Inputs!$A$18:$A$24,0)),0))</f>
        <v>0.071</v>
      </c>
      <c r="AC273" s="28" t="n">
        <f aca="false">IF(OR(N(AB273)&lt;=0,N(N273)=0,N(L273)=0),"",MIN(L273,N273/AB273))</f>
        <v>17.6056338028169</v>
      </c>
      <c r="AD273" s="29" t="n">
        <f aca="false">IF(OR(AC273="",N(O273)=0),"",AC273/O273-1)</f>
        <v>0.0405220923650651</v>
      </c>
      <c r="AE273" s="29" t="n">
        <f aca="false">IF(OR(AD273="",N(O273)=0),"",AD273+N273/O273)</f>
        <v>0.114399160922985</v>
      </c>
      <c r="AF273" s="32" t="n">
        <f aca="false">IF(OR(AE273="",N(Z273)=0),"",AE273-Z273)</f>
        <v>0</v>
      </c>
      <c r="AG273" s="28" t="n">
        <f aca="false">IF(AND(N(M273)&gt;0,N(L273)&gt;0),M273*L273,N273)</f>
        <v>1.25</v>
      </c>
      <c r="AH273" s="28" t="n">
        <f aca="false">IF(OR(N(AB273)&lt;=0,N(AG273)=0,N(L273)=0),"",MIN(L273,AG273/AB273))</f>
        <v>17.6056338028169</v>
      </c>
      <c r="AI273" s="29" t="n">
        <f aca="false">IF(OR(AH273="",N(O273)=0),"",AH273/O273-1)</f>
        <v>0.0405220923650651</v>
      </c>
      <c r="AJ273" s="29" t="n">
        <f aca="false">IF(OR(AI273="",N(O273)=0),"",AI273+AG273/O273)</f>
        <v>0.114399160922985</v>
      </c>
      <c r="AK273" s="32" t="n">
        <f aca="false">IF(OR(AJ273="",N(AE273)=0),"",AJ273-AE273)</f>
        <v>0</v>
      </c>
      <c r="AL273" s="33" t="n">
        <f aca="false">IF(N(F273)=0,"",INDEX(Inputs!$B$28:$B$32,IFERROR(MATCH(F273,Inputs!$A$28:$A$32,1),0)+1))</f>
        <v>0.075</v>
      </c>
      <c r="AM273" s="34"/>
      <c r="AN273" s="33" t="n">
        <f aca="false">IF(N(AM273)&gt;0,AM273,AL273)</f>
        <v>0.075</v>
      </c>
      <c r="AO273" s="29" t="n">
        <f aca="false">IF(N(AN273)=0,"",AN273+IF(I273="yes",AN273*Inputs!$B$10*Inputs!$B$9,0)+IFERROR(INDEX(Inputs!$B$13:$B$15,MATCH(G273,Inputs!$A$13:$A$15,0)),0)+IFERROR(INDEX(Inputs!$B$18:$B$24,MATCH(H273,Inputs!$A$18:$A$24,0)),0))</f>
        <v>0.06625</v>
      </c>
      <c r="AP273" s="28" t="n">
        <f aca="false">IF(OR(N(AO273)&lt;=0,N(AG273)=0,N(L273)=0),"",MIN(L273,AG273/AO273))</f>
        <v>18.8679245283019</v>
      </c>
      <c r="AQ273" s="29" t="n">
        <f aca="false">IF(OR(AP273="",N(O273)=0),"",AP273/O273-1)</f>
        <v>0.11512556313841</v>
      </c>
      <c r="AR273" s="29" t="n">
        <f aca="false">IF(OR(AQ273="",N(O273)=0),"",AQ273+AG273/O273)</f>
        <v>0.189002631696329</v>
      </c>
      <c r="AS273" s="32" t="n">
        <f aca="false">IF(OR(AR273="",N(AJ273)=0),"",AR273-AJ273)</f>
        <v>0.0746034707733445</v>
      </c>
      <c r="AT273" s="28" t="n">
        <v>25</v>
      </c>
      <c r="AU273" s="28" t="n">
        <v>1.25</v>
      </c>
      <c r="AV273" s="28" t="n">
        <f aca="false">IF(N(AT273)&gt;0,AT273,L273)</f>
        <v>25</v>
      </c>
      <c r="AW273" s="28" t="n">
        <f aca="false">IF(AND(N(M273)&gt;0,N(AV273)&gt;0),M273*AV273,IF(N(AU273)&gt;0,AU273,N273))</f>
        <v>1.25</v>
      </c>
      <c r="AX273" s="29" t="n">
        <f aca="false">IF(N(AN273)=0,"",AN273+IF(I273="yes",AN273*Inputs!$B$10*Inputs!$B$9,0)+IFERROR(INDEX(Inputs!$B$13:$B$15,MATCH(G273,Inputs!$A$13:$A$15,0)),0)+IFERROR(INDEX(Inputs!$B$18:$B$24,MATCH(H273,Inputs!$A$18:$A$24,0)),0))</f>
        <v>0.06625</v>
      </c>
      <c r="AY273" s="28" t="n">
        <f aca="false">IF(OR(N(AX273)&lt;=0,N(AW273)=0,N(AV273)=0),"",MIN(AV273,AW273/AX273))</f>
        <v>18.8679245283019</v>
      </c>
      <c r="AZ273" s="29" t="n">
        <f aca="false">IF(OR(AY273="",N(O273)=0),"",AY273/O273-1)</f>
        <v>0.11512556313841</v>
      </c>
      <c r="BA273" s="29" t="n">
        <f aca="false">IF(OR(AZ273="",N(O273)=0),"",AZ273+AW273/O273)</f>
        <v>0.189002631696329</v>
      </c>
      <c r="BB273" s="32" t="n">
        <f aca="false">IF(OR(BA273="",N(AR273)=0),"",BA273-AR273)</f>
        <v>0</v>
      </c>
      <c r="BC273" s="35" t="n">
        <f aca="false">IF(OR(BA273="",N(U273)=0),"",BA273-U273)</f>
        <v>0.143058871586836</v>
      </c>
      <c r="BD273" s="37"/>
    </row>
    <row r="274" customFormat="false" ht="15" hidden="false" customHeight="false" outlineLevel="0" collapsed="false">
      <c r="A274" s="2" t="s">
        <v>556</v>
      </c>
      <c r="B274" s="2" t="n">
        <v>100</v>
      </c>
      <c r="C274" s="2" t="s">
        <v>639</v>
      </c>
      <c r="D274" s="2" t="s">
        <v>640</v>
      </c>
      <c r="E274" s="2" t="s">
        <v>641</v>
      </c>
      <c r="F274" s="27" t="n">
        <v>4700</v>
      </c>
      <c r="G274" s="2" t="s">
        <v>51</v>
      </c>
      <c r="H274" s="2" t="s">
        <v>58</v>
      </c>
      <c r="I274" s="2" t="s">
        <v>144</v>
      </c>
      <c r="J274" s="2" t="s">
        <v>145</v>
      </c>
      <c r="K274" s="2" t="n">
        <v>4</v>
      </c>
      <c r="L274" s="28" t="n">
        <v>25</v>
      </c>
      <c r="M274" s="29" t="n">
        <v>0.0575</v>
      </c>
      <c r="N274" s="28" t="n">
        <v>1.4375</v>
      </c>
      <c r="O274" s="28" t="n">
        <v>27</v>
      </c>
      <c r="P274" s="2" t="s">
        <v>146</v>
      </c>
      <c r="Q274" s="29" t="n">
        <v>0.07</v>
      </c>
      <c r="R274" s="30" t="n">
        <v>0.07</v>
      </c>
      <c r="S274" s="31" t="n">
        <v>20.5357142857143</v>
      </c>
      <c r="T274" s="30" t="n">
        <v>-0.239417989417989</v>
      </c>
      <c r="U274" s="30" t="n">
        <v>-0.186177248677249</v>
      </c>
      <c r="V274" s="29" t="n">
        <v>0</v>
      </c>
      <c r="W274" s="29" t="n">
        <f aca="false">IF(N(Q274)=0,"",Q274+IF(I274="yes",Q274*Inputs!$B$10*Inputs!$B$9,0)+V274)</f>
        <v>0.07</v>
      </c>
      <c r="X274" s="28" t="n">
        <f aca="false">IF(OR(N(W274)&lt;=0,N(N274)=0,N(L274)=0),"",MIN(L274,N274/W274))</f>
        <v>20.5357142857143</v>
      </c>
      <c r="Y274" s="29" t="n">
        <f aca="false">IF(OR(X274="",N(O274)=0),"",X274/O274-1)</f>
        <v>-0.239417989417989</v>
      </c>
      <c r="Z274" s="29" t="n">
        <f aca="false">IF(OR(Y274="",N(O274)=0),"",Y274+N274/O274)</f>
        <v>-0.186177248677249</v>
      </c>
      <c r="AA274" s="32" t="n">
        <f aca="false">IF(OR(Z274="",N(U274)=0),"",Z274-U274)</f>
        <v>0</v>
      </c>
      <c r="AB274" s="29" t="n">
        <f aca="false">IF(N(Q274)=0,"",Q274+IF(I274="yes",Q274*Inputs!$B$10*Inputs!$B$9,0)+IFERROR(INDEX(Inputs!$B$13:$B$15,MATCH(G274,Inputs!$A$13:$A$15,0)),0)+IFERROR(INDEX(Inputs!$B$18:$B$24,MATCH(H274,Inputs!$A$18:$A$24,0)),0))</f>
        <v>0.07</v>
      </c>
      <c r="AC274" s="28" t="n">
        <f aca="false">IF(OR(N(AB274)&lt;=0,N(N274)=0,N(L274)=0),"",MIN(L274,N274/AB274))</f>
        <v>20.5357142857143</v>
      </c>
      <c r="AD274" s="29" t="n">
        <f aca="false">IF(OR(AC274="",N(O274)=0),"",AC274/O274-1)</f>
        <v>-0.239417989417989</v>
      </c>
      <c r="AE274" s="29" t="n">
        <f aca="false">IF(OR(AD274="",N(O274)=0),"",AD274+N274/O274)</f>
        <v>-0.186177248677249</v>
      </c>
      <c r="AF274" s="32" t="n">
        <f aca="false">IF(OR(AE274="",N(Z274)=0),"",AE274-Z274)</f>
        <v>0</v>
      </c>
      <c r="AG274" s="28" t="n">
        <f aca="false">IF(AND(N(M274)&gt;0,N(L274)&gt;0),M274*L274,N274)</f>
        <v>1.4375</v>
      </c>
      <c r="AH274" s="28" t="n">
        <f aca="false">IF(OR(N(AB274)&lt;=0,N(AG274)=0,N(L274)=0),"",MIN(L274,AG274/AB274))</f>
        <v>20.5357142857143</v>
      </c>
      <c r="AI274" s="29" t="n">
        <f aca="false">IF(OR(AH274="",N(O274)=0),"",AH274/O274-1)</f>
        <v>-0.239417989417989</v>
      </c>
      <c r="AJ274" s="29" t="n">
        <f aca="false">IF(OR(AI274="",N(O274)=0),"",AI274+AG274/O274)</f>
        <v>-0.186177248677249</v>
      </c>
      <c r="AK274" s="32" t="n">
        <f aca="false">IF(OR(AJ274="",N(AE274)=0),"",AJ274-AE274)</f>
        <v>0</v>
      </c>
      <c r="AL274" s="33" t="n">
        <f aca="false">IF(N(F274)=0,"",INDEX(Inputs!$B$28:$B$32,IFERROR(MATCH(F274,Inputs!$A$28:$A$32,1),0)+1))</f>
        <v>0.085</v>
      </c>
      <c r="AM274" s="34"/>
      <c r="AN274" s="33" t="n">
        <f aca="false">IF(N(AM274)&gt;0,AM274,AL274)</f>
        <v>0.085</v>
      </c>
      <c r="AO274" s="29" t="n">
        <f aca="false">IF(N(AN274)=0,"",AN274+IF(I274="yes",AN274*Inputs!$B$10*Inputs!$B$9,0)+IFERROR(INDEX(Inputs!$B$13:$B$15,MATCH(G274,Inputs!$A$13:$A$15,0)),0)+IFERROR(INDEX(Inputs!$B$18:$B$24,MATCH(H274,Inputs!$A$18:$A$24,0)),0))</f>
        <v>0.085</v>
      </c>
      <c r="AP274" s="28" t="n">
        <f aca="false">IF(OR(N(AO274)&lt;=0,N(AG274)=0,N(L274)=0),"",MIN(L274,AG274/AO274))</f>
        <v>16.9117647058824</v>
      </c>
      <c r="AQ274" s="29" t="n">
        <f aca="false">IF(OR(AP274="",N(O274)=0),"",AP274/O274-1)</f>
        <v>-0.37363834422658</v>
      </c>
      <c r="AR274" s="29" t="n">
        <f aca="false">IF(OR(AQ274="",N(O274)=0),"",AQ274+AG274/O274)</f>
        <v>-0.320397603485839</v>
      </c>
      <c r="AS274" s="32" t="n">
        <f aca="false">IF(OR(AR274="",N(AJ274)=0),"",AR274-AJ274)</f>
        <v>-0.13422035480859</v>
      </c>
      <c r="AT274" s="28" t="n">
        <v>25</v>
      </c>
      <c r="AU274" s="28" t="n">
        <v>1.44</v>
      </c>
      <c r="AV274" s="28" t="n">
        <f aca="false">IF(N(AT274)&gt;0,AT274,L274)</f>
        <v>25</v>
      </c>
      <c r="AW274" s="28" t="n">
        <f aca="false">IF(AND(N(M274)&gt;0,N(AV274)&gt;0),M274*AV274,IF(N(AU274)&gt;0,AU274,N274))</f>
        <v>1.4375</v>
      </c>
      <c r="AX274" s="29" t="n">
        <f aca="false">IF(N(AN274)=0,"",AN274+IF(I274="yes",AN274*Inputs!$B$10*Inputs!$B$9,0)+IFERROR(INDEX(Inputs!$B$13:$B$15,MATCH(G274,Inputs!$A$13:$A$15,0)),0)+IFERROR(INDEX(Inputs!$B$18:$B$24,MATCH(H274,Inputs!$A$18:$A$24,0)),0))</f>
        <v>0.085</v>
      </c>
      <c r="AY274" s="28" t="n">
        <f aca="false">IF(OR(N(AX274)&lt;=0,N(AW274)=0,N(AV274)=0),"",MIN(AV274,AW274/AX274))</f>
        <v>16.9117647058824</v>
      </c>
      <c r="AZ274" s="29" t="n">
        <f aca="false">IF(OR(AY274="",N(O274)=0),"",AY274/O274-1)</f>
        <v>-0.37363834422658</v>
      </c>
      <c r="BA274" s="29" t="n">
        <f aca="false">IF(OR(AZ274="",N(O274)=0),"",AZ274+AW274/O274)</f>
        <v>-0.320397603485839</v>
      </c>
      <c r="BB274" s="32" t="n">
        <f aca="false">IF(OR(BA274="",N(AR274)=0),"",BA274-AR274)</f>
        <v>0</v>
      </c>
      <c r="BC274" s="35" t="n">
        <f aca="false">IF(OR(BA274="",N(U274)=0),"",BA274-U274)</f>
        <v>-0.13422035480859</v>
      </c>
      <c r="BD274" s="37"/>
    </row>
    <row r="275" customFormat="false" ht="15" hidden="false" customHeight="false" outlineLevel="0" collapsed="false">
      <c r="A275" s="2" t="s">
        <v>556</v>
      </c>
      <c r="B275" s="2" t="n">
        <v>101</v>
      </c>
      <c r="C275" s="2" t="s">
        <v>642</v>
      </c>
      <c r="D275" s="2" t="s">
        <v>640</v>
      </c>
      <c r="E275" s="2" t="s">
        <v>641</v>
      </c>
      <c r="F275" s="27" t="n">
        <v>4700</v>
      </c>
      <c r="G275" s="2" t="s">
        <v>51</v>
      </c>
      <c r="H275" s="2" t="s">
        <v>58</v>
      </c>
      <c r="I275" s="2" t="s">
        <v>144</v>
      </c>
      <c r="J275" s="2" t="s">
        <v>145</v>
      </c>
      <c r="K275" s="2" t="n">
        <v>4</v>
      </c>
      <c r="L275" s="28" t="n">
        <v>25</v>
      </c>
      <c r="M275" s="29" t="n">
        <v>0.09</v>
      </c>
      <c r="N275" s="28" t="n">
        <v>2.25</v>
      </c>
      <c r="O275" s="28" t="n">
        <v>32.47</v>
      </c>
      <c r="P275" s="2" t="s">
        <v>146</v>
      </c>
      <c r="Q275" s="29" t="n">
        <v>0.07</v>
      </c>
      <c r="R275" s="30" t="n">
        <v>0.07</v>
      </c>
      <c r="S275" s="31" t="n">
        <v>25</v>
      </c>
      <c r="T275" s="30" t="n">
        <v>-0.230058515552818</v>
      </c>
      <c r="U275" s="30" t="n">
        <v>-0.160763781952572</v>
      </c>
      <c r="V275" s="29" t="n">
        <v>0</v>
      </c>
      <c r="W275" s="29" t="n">
        <f aca="false">IF(N(Q275)=0,"",Q275+IF(I275="yes",Q275*Inputs!$B$10*Inputs!$B$9,0)+V275)</f>
        <v>0.07</v>
      </c>
      <c r="X275" s="28" t="n">
        <f aca="false">IF(OR(N(W275)&lt;=0,N(N275)=0,N(L275)=0),"",MIN(L275,N275/W275))</f>
        <v>25</v>
      </c>
      <c r="Y275" s="29" t="n">
        <f aca="false">IF(OR(X275="",N(O275)=0),"",X275/O275-1)</f>
        <v>-0.230058515552818</v>
      </c>
      <c r="Z275" s="29" t="n">
        <f aca="false">IF(OR(Y275="",N(O275)=0),"",Y275+N275/O275)</f>
        <v>-0.160763781952572</v>
      </c>
      <c r="AA275" s="32" t="n">
        <f aca="false">IF(OR(Z275="",N(U275)=0),"",Z275-U275)</f>
        <v>0</v>
      </c>
      <c r="AB275" s="29" t="n">
        <f aca="false">IF(N(Q275)=0,"",Q275+IF(I275="yes",Q275*Inputs!$B$10*Inputs!$B$9,0)+IFERROR(INDEX(Inputs!$B$13:$B$15,MATCH(G275,Inputs!$A$13:$A$15,0)),0)+IFERROR(INDEX(Inputs!$B$18:$B$24,MATCH(H275,Inputs!$A$18:$A$24,0)),0))</f>
        <v>0.07</v>
      </c>
      <c r="AC275" s="28" t="n">
        <f aca="false">IF(OR(N(AB275)&lt;=0,N(N275)=0,N(L275)=0),"",MIN(L275,N275/AB275))</f>
        <v>25</v>
      </c>
      <c r="AD275" s="29" t="n">
        <f aca="false">IF(OR(AC275="",N(O275)=0),"",AC275/O275-1)</f>
        <v>-0.230058515552818</v>
      </c>
      <c r="AE275" s="29" t="n">
        <f aca="false">IF(OR(AD275="",N(O275)=0),"",AD275+N275/O275)</f>
        <v>-0.160763781952572</v>
      </c>
      <c r="AF275" s="32" t="n">
        <f aca="false">IF(OR(AE275="",N(Z275)=0),"",AE275-Z275)</f>
        <v>0</v>
      </c>
      <c r="AG275" s="28" t="n">
        <f aca="false">IF(AND(N(M275)&gt;0,N(L275)&gt;0),M275*L275,N275)</f>
        <v>2.25</v>
      </c>
      <c r="AH275" s="28" t="n">
        <f aca="false">IF(OR(N(AB275)&lt;=0,N(AG275)=0,N(L275)=0),"",MIN(L275,AG275/AB275))</f>
        <v>25</v>
      </c>
      <c r="AI275" s="29" t="n">
        <f aca="false">IF(OR(AH275="",N(O275)=0),"",AH275/O275-1)</f>
        <v>-0.230058515552818</v>
      </c>
      <c r="AJ275" s="29" t="n">
        <f aca="false">IF(OR(AI275="",N(O275)=0),"",AI275+AG275/O275)</f>
        <v>-0.160763781952572</v>
      </c>
      <c r="AK275" s="32" t="n">
        <f aca="false">IF(OR(AJ275="",N(AE275)=0),"",AJ275-AE275)</f>
        <v>0</v>
      </c>
      <c r="AL275" s="33" t="n">
        <f aca="false">IF(N(F275)=0,"",INDEX(Inputs!$B$28:$B$32,IFERROR(MATCH(F275,Inputs!$A$28:$A$32,1),0)+1))</f>
        <v>0.085</v>
      </c>
      <c r="AM275" s="34"/>
      <c r="AN275" s="33" t="n">
        <f aca="false">IF(N(AM275)&gt;0,AM275,AL275)</f>
        <v>0.085</v>
      </c>
      <c r="AO275" s="29" t="n">
        <f aca="false">IF(N(AN275)=0,"",AN275+IF(I275="yes",AN275*Inputs!$B$10*Inputs!$B$9,0)+IFERROR(INDEX(Inputs!$B$13:$B$15,MATCH(G275,Inputs!$A$13:$A$15,0)),0)+IFERROR(INDEX(Inputs!$B$18:$B$24,MATCH(H275,Inputs!$A$18:$A$24,0)),0))</f>
        <v>0.085</v>
      </c>
      <c r="AP275" s="28" t="n">
        <f aca="false">IF(OR(N(AO275)&lt;=0,N(AG275)=0,N(L275)=0),"",MIN(L275,AG275/AO275))</f>
        <v>25</v>
      </c>
      <c r="AQ275" s="29" t="n">
        <f aca="false">IF(OR(AP275="",N(O275)=0),"",AP275/O275-1)</f>
        <v>-0.230058515552818</v>
      </c>
      <c r="AR275" s="29" t="n">
        <f aca="false">IF(OR(AQ275="",N(O275)=0),"",AQ275+AG275/O275)</f>
        <v>-0.160763781952572</v>
      </c>
      <c r="AS275" s="32" t="n">
        <f aca="false">IF(OR(AR275="",N(AJ275)=0),"",AR275-AJ275)</f>
        <v>0</v>
      </c>
      <c r="AT275" s="28" t="n">
        <v>25</v>
      </c>
      <c r="AU275" s="28" t="n">
        <v>2.25</v>
      </c>
      <c r="AV275" s="28" t="n">
        <f aca="false">IF(N(AT275)&gt;0,AT275,L275)</f>
        <v>25</v>
      </c>
      <c r="AW275" s="28" t="n">
        <f aca="false">IF(AND(N(M275)&gt;0,N(AV275)&gt;0),M275*AV275,IF(N(AU275)&gt;0,AU275,N275))</f>
        <v>2.25</v>
      </c>
      <c r="AX275" s="29" t="n">
        <f aca="false">IF(N(AN275)=0,"",AN275+IF(I275="yes",AN275*Inputs!$B$10*Inputs!$B$9,0)+IFERROR(INDEX(Inputs!$B$13:$B$15,MATCH(G275,Inputs!$A$13:$A$15,0)),0)+IFERROR(INDEX(Inputs!$B$18:$B$24,MATCH(H275,Inputs!$A$18:$A$24,0)),0))</f>
        <v>0.085</v>
      </c>
      <c r="AY275" s="28" t="n">
        <f aca="false">IF(OR(N(AX275)&lt;=0,N(AW275)=0,N(AV275)=0),"",MIN(AV275,AW275/AX275))</f>
        <v>25</v>
      </c>
      <c r="AZ275" s="29" t="n">
        <f aca="false">IF(OR(AY275="",N(O275)=0),"",AY275/O275-1)</f>
        <v>-0.230058515552818</v>
      </c>
      <c r="BA275" s="29" t="n">
        <f aca="false">IF(OR(AZ275="",N(O275)=0),"",AZ275+AW275/O275)</f>
        <v>-0.160763781952572</v>
      </c>
      <c r="BB275" s="32" t="n">
        <f aca="false">IF(OR(BA275="",N(AR275)=0),"",BA275-AR275)</f>
        <v>0</v>
      </c>
      <c r="BC275" s="35" t="n">
        <f aca="false">IF(OR(BA275="",N(U275)=0),"",BA275-U275)</f>
        <v>0</v>
      </c>
      <c r="BD275" s="37"/>
    </row>
    <row r="276" customFormat="false" ht="15" hidden="false" customHeight="false" outlineLevel="0" collapsed="false">
      <c r="A276" s="2" t="s">
        <v>556</v>
      </c>
      <c r="B276" s="2" t="n">
        <v>102</v>
      </c>
      <c r="C276" s="2" t="s">
        <v>643</v>
      </c>
      <c r="D276" s="2" t="s">
        <v>640</v>
      </c>
      <c r="E276" s="2" t="s">
        <v>641</v>
      </c>
      <c r="F276" s="27" t="n">
        <v>4700</v>
      </c>
      <c r="G276" s="2" t="s">
        <v>51</v>
      </c>
      <c r="H276" s="2" t="s">
        <v>58</v>
      </c>
      <c r="I276" s="2" t="s">
        <v>144</v>
      </c>
      <c r="J276" s="2" t="s">
        <v>145</v>
      </c>
      <c r="K276" s="2" t="n">
        <v>4</v>
      </c>
      <c r="L276" s="28" t="n">
        <v>25</v>
      </c>
      <c r="M276" s="29" t="n">
        <v>0.0575</v>
      </c>
      <c r="N276" s="28" t="n">
        <v>1.4375</v>
      </c>
      <c r="O276" s="28" t="n">
        <v>21.33</v>
      </c>
      <c r="P276" s="2" t="s">
        <v>146</v>
      </c>
      <c r="Q276" s="29" t="n">
        <v>0.07</v>
      </c>
      <c r="R276" s="30" t="n">
        <v>0.07</v>
      </c>
      <c r="S276" s="31" t="n">
        <v>20.5357142857143</v>
      </c>
      <c r="T276" s="30" t="n">
        <v>-0.0372379612885944</v>
      </c>
      <c r="U276" s="30" t="n">
        <v>0.030155381421204</v>
      </c>
      <c r="V276" s="29" t="n">
        <v>0</v>
      </c>
      <c r="W276" s="29" t="n">
        <f aca="false">IF(N(Q276)=0,"",Q276+IF(I276="yes",Q276*Inputs!$B$10*Inputs!$B$9,0)+V276)</f>
        <v>0.07</v>
      </c>
      <c r="X276" s="28" t="n">
        <f aca="false">IF(OR(N(W276)&lt;=0,N(N276)=0,N(L276)=0),"",MIN(L276,N276/W276))</f>
        <v>20.5357142857143</v>
      </c>
      <c r="Y276" s="29" t="n">
        <f aca="false">IF(OR(X276="",N(O276)=0),"",X276/O276-1)</f>
        <v>-0.0372379612885941</v>
      </c>
      <c r="Z276" s="29" t="n">
        <f aca="false">IF(OR(Y276="",N(O276)=0),"",Y276+N276/O276)</f>
        <v>0.0301553814212043</v>
      </c>
      <c r="AA276" s="32" t="n">
        <f aca="false">IF(OR(Z276="",N(U276)=0),"",Z276-U276)</f>
        <v>2.35922392732846E-016</v>
      </c>
      <c r="AB276" s="29" t="n">
        <f aca="false">IF(N(Q276)=0,"",Q276+IF(I276="yes",Q276*Inputs!$B$10*Inputs!$B$9,0)+IFERROR(INDEX(Inputs!$B$13:$B$15,MATCH(G276,Inputs!$A$13:$A$15,0)),0)+IFERROR(INDEX(Inputs!$B$18:$B$24,MATCH(H276,Inputs!$A$18:$A$24,0)),0))</f>
        <v>0.07</v>
      </c>
      <c r="AC276" s="28" t="n">
        <f aca="false">IF(OR(N(AB276)&lt;=0,N(N276)=0,N(L276)=0),"",MIN(L276,N276/AB276))</f>
        <v>20.5357142857143</v>
      </c>
      <c r="AD276" s="29" t="n">
        <f aca="false">IF(OR(AC276="",N(O276)=0),"",AC276/O276-1)</f>
        <v>-0.0372379612885941</v>
      </c>
      <c r="AE276" s="29" t="n">
        <f aca="false">IF(OR(AD276="",N(O276)=0),"",AD276+N276/O276)</f>
        <v>0.0301553814212043</v>
      </c>
      <c r="AF276" s="32" t="n">
        <f aca="false">IF(OR(AE276="",N(Z276)=0),"",AE276-Z276)</f>
        <v>0</v>
      </c>
      <c r="AG276" s="28" t="n">
        <f aca="false">IF(AND(N(M276)&gt;0,N(L276)&gt;0),M276*L276,N276)</f>
        <v>1.4375</v>
      </c>
      <c r="AH276" s="28" t="n">
        <f aca="false">IF(OR(N(AB276)&lt;=0,N(AG276)=0,N(L276)=0),"",MIN(L276,AG276/AB276))</f>
        <v>20.5357142857143</v>
      </c>
      <c r="AI276" s="29" t="n">
        <f aca="false">IF(OR(AH276="",N(O276)=0),"",AH276/O276-1)</f>
        <v>-0.0372379612885941</v>
      </c>
      <c r="AJ276" s="29" t="n">
        <f aca="false">IF(OR(AI276="",N(O276)=0),"",AI276+AG276/O276)</f>
        <v>0.0301553814212043</v>
      </c>
      <c r="AK276" s="32" t="n">
        <f aca="false">IF(OR(AJ276="",N(AE276)=0),"",AJ276-AE276)</f>
        <v>0</v>
      </c>
      <c r="AL276" s="33" t="n">
        <f aca="false">IF(N(F276)=0,"",INDEX(Inputs!$B$28:$B$32,IFERROR(MATCH(F276,Inputs!$A$28:$A$32,1),0)+1))</f>
        <v>0.085</v>
      </c>
      <c r="AM276" s="34"/>
      <c r="AN276" s="33" t="n">
        <f aca="false">IF(N(AM276)&gt;0,AM276,AL276)</f>
        <v>0.085</v>
      </c>
      <c r="AO276" s="29" t="n">
        <f aca="false">IF(N(AN276)=0,"",AN276+IF(I276="yes",AN276*Inputs!$B$10*Inputs!$B$9,0)+IFERROR(INDEX(Inputs!$B$13:$B$15,MATCH(G276,Inputs!$A$13:$A$15,0)),0)+IFERROR(INDEX(Inputs!$B$18:$B$24,MATCH(H276,Inputs!$A$18:$A$24,0)),0))</f>
        <v>0.085</v>
      </c>
      <c r="AP276" s="28" t="n">
        <f aca="false">IF(OR(N(AO276)&lt;=0,N(AG276)=0,N(L276)=0),"",MIN(L276,AG276/AO276))</f>
        <v>16.9117647058824</v>
      </c>
      <c r="AQ276" s="29" t="n">
        <f aca="false">IF(OR(AP276="",N(O276)=0),"",AP276/O276-1)</f>
        <v>-0.207137144590607</v>
      </c>
      <c r="AR276" s="29" t="n">
        <f aca="false">IF(OR(AQ276="",N(O276)=0),"",AQ276+AG276/O276)</f>
        <v>-0.139743801880809</v>
      </c>
      <c r="AS276" s="32" t="n">
        <f aca="false">IF(OR(AR276="",N(AJ276)=0),"",AR276-AJ276)</f>
        <v>-0.169899183302013</v>
      </c>
      <c r="AT276" s="28" t="n">
        <v>25</v>
      </c>
      <c r="AU276" s="28" t="n">
        <v>1.44</v>
      </c>
      <c r="AV276" s="28" t="n">
        <f aca="false">IF(N(AT276)&gt;0,AT276,L276)</f>
        <v>25</v>
      </c>
      <c r="AW276" s="28" t="n">
        <f aca="false">IF(AND(N(M276)&gt;0,N(AV276)&gt;0),M276*AV276,IF(N(AU276)&gt;0,AU276,N276))</f>
        <v>1.4375</v>
      </c>
      <c r="AX276" s="29" t="n">
        <f aca="false">IF(N(AN276)=0,"",AN276+IF(I276="yes",AN276*Inputs!$B$10*Inputs!$B$9,0)+IFERROR(INDEX(Inputs!$B$13:$B$15,MATCH(G276,Inputs!$A$13:$A$15,0)),0)+IFERROR(INDEX(Inputs!$B$18:$B$24,MATCH(H276,Inputs!$A$18:$A$24,0)),0))</f>
        <v>0.085</v>
      </c>
      <c r="AY276" s="28" t="n">
        <f aca="false">IF(OR(N(AX276)&lt;=0,N(AW276)=0,N(AV276)=0),"",MIN(AV276,AW276/AX276))</f>
        <v>16.9117647058824</v>
      </c>
      <c r="AZ276" s="29" t="n">
        <f aca="false">IF(OR(AY276="",N(O276)=0),"",AY276/O276-1)</f>
        <v>-0.207137144590607</v>
      </c>
      <c r="BA276" s="29" t="n">
        <f aca="false">IF(OR(AZ276="",N(O276)=0),"",AZ276+AW276/O276)</f>
        <v>-0.139743801880809</v>
      </c>
      <c r="BB276" s="32" t="n">
        <f aca="false">IF(OR(BA276="",N(AR276)=0),"",BA276-AR276)</f>
        <v>0</v>
      </c>
      <c r="BC276" s="35" t="n">
        <f aca="false">IF(OR(BA276="",N(U276)=0),"",BA276-U276)</f>
        <v>-0.169899183302013</v>
      </c>
      <c r="BD276" s="37"/>
    </row>
    <row r="277" customFormat="false" ht="15" hidden="false" customHeight="false" outlineLevel="0" collapsed="false">
      <c r="A277" s="2" t="s">
        <v>556</v>
      </c>
      <c r="B277" s="2" t="n">
        <v>105</v>
      </c>
      <c r="C277" s="2" t="s">
        <v>644</v>
      </c>
      <c r="D277" s="2" t="s">
        <v>645</v>
      </c>
      <c r="E277" s="2" t="s">
        <v>143</v>
      </c>
      <c r="F277" s="27"/>
      <c r="G277" s="2" t="s">
        <v>51</v>
      </c>
      <c r="H277" s="2" t="s">
        <v>63</v>
      </c>
      <c r="I277" s="2" t="s">
        <v>144</v>
      </c>
      <c r="J277" s="2" t="s">
        <v>145</v>
      </c>
      <c r="K277" s="2" t="n">
        <v>4</v>
      </c>
      <c r="L277" s="28" t="n">
        <v>25</v>
      </c>
      <c r="M277" s="29" t="n">
        <v>0.065</v>
      </c>
      <c r="N277" s="28" t="n">
        <v>1.625</v>
      </c>
      <c r="O277" s="28" t="n">
        <v>0</v>
      </c>
      <c r="P277" s="2" t="s">
        <v>146</v>
      </c>
      <c r="Q277" s="29" t="n">
        <v>0</v>
      </c>
      <c r="R277" s="30" t="n">
        <v>0</v>
      </c>
      <c r="S277" s="31"/>
      <c r="T277" s="30"/>
      <c r="U277" s="30"/>
      <c r="V277" s="29" t="n">
        <v>0</v>
      </c>
      <c r="W277" s="29" t="str">
        <f aca="false">IF(N(Q277)=0,"",Q277+IF(I277="yes",Q277*Inputs!$B$10*Inputs!$B$9,0)+V277)</f>
        <v/>
      </c>
      <c r="X277" s="28" t="str">
        <f aca="false">IF(OR(N(W277)&lt;=0,N(N277)=0,N(L277)=0),"",MIN(L277,N277/W277))</f>
        <v/>
      </c>
      <c r="Y277" s="29" t="str">
        <f aca="false">IF(OR(X277="",N(O277)=0),"",X277/O277-1)</f>
        <v/>
      </c>
      <c r="Z277" s="29" t="str">
        <f aca="false">IF(OR(Y277="",N(O277)=0),"",Y277+N277/O277)</f>
        <v/>
      </c>
      <c r="AA277" s="32" t="str">
        <f aca="false">IF(OR(Z277="",N(U277)=0),"",Z277-U277)</f>
        <v/>
      </c>
      <c r="AB277" s="29" t="str">
        <f aca="false">IF(N(Q277)=0,"",Q277+IF(I277="yes",Q277*Inputs!$B$10*Inputs!$B$9,0)+IFERROR(INDEX(Inputs!$B$13:$B$15,MATCH(G277,Inputs!$A$13:$A$15,0)),0)+IFERROR(INDEX(Inputs!$B$18:$B$24,MATCH(H277,Inputs!$A$18:$A$24,0)),0))</f>
        <v/>
      </c>
      <c r="AC277" s="28" t="str">
        <f aca="false">IF(OR(N(AB277)&lt;=0,N(N277)=0,N(L277)=0),"",MIN(L277,N277/AB277))</f>
        <v/>
      </c>
      <c r="AD277" s="29" t="str">
        <f aca="false">IF(OR(AC277="",N(O277)=0),"",AC277/O277-1)</f>
        <v/>
      </c>
      <c r="AE277" s="29" t="str">
        <f aca="false">IF(OR(AD277="",N(O277)=0),"",AD277+N277/O277)</f>
        <v/>
      </c>
      <c r="AF277" s="32" t="str">
        <f aca="false">IF(OR(AE277="",N(Z277)=0),"",AE277-Z277)</f>
        <v/>
      </c>
      <c r="AG277" s="28" t="n">
        <f aca="false">IF(AND(N(M277)&gt;0,N(L277)&gt;0),M277*L277,N277)</f>
        <v>1.625</v>
      </c>
      <c r="AH277" s="28" t="str">
        <f aca="false">IF(OR(N(AB277)&lt;=0,N(AG277)=0,N(L277)=0),"",MIN(L277,AG277/AB277))</f>
        <v/>
      </c>
      <c r="AI277" s="29" t="str">
        <f aca="false">IF(OR(AH277="",N(O277)=0),"",AH277/O277-1)</f>
        <v/>
      </c>
      <c r="AJ277" s="29" t="str">
        <f aca="false">IF(OR(AI277="",N(O277)=0),"",AI277+AG277/O277)</f>
        <v/>
      </c>
      <c r="AK277" s="32" t="str">
        <f aca="false">IF(OR(AJ277="",N(AE277)=0),"",AJ277-AE277)</f>
        <v/>
      </c>
      <c r="AL277" s="33" t="str">
        <f aca="false">IF(N(F277)=0,"",INDEX(Inputs!$B$28:$B$32,IFERROR(MATCH(F277,Inputs!$A$28:$A$32,1),0)+1))</f>
        <v/>
      </c>
      <c r="AM277" s="34"/>
      <c r="AN277" s="33" t="str">
        <f aca="false">IF(N(AM277)&gt;0,AM277,AL277)</f>
        <v/>
      </c>
      <c r="AO277" s="29" t="str">
        <f aca="false">IF(N(AN277)=0,"",AN277+IF(I277="yes",AN277*Inputs!$B$10*Inputs!$B$9,0)+IFERROR(INDEX(Inputs!$B$13:$B$15,MATCH(G277,Inputs!$A$13:$A$15,0)),0)+IFERROR(INDEX(Inputs!$B$18:$B$24,MATCH(H277,Inputs!$A$18:$A$24,0)),0))</f>
        <v/>
      </c>
      <c r="AP277" s="28" t="str">
        <f aca="false">IF(OR(N(AO277)&lt;=0,N(AG277)=0,N(L277)=0),"",MIN(L277,AG277/AO277))</f>
        <v/>
      </c>
      <c r="AQ277" s="29" t="str">
        <f aca="false">IF(OR(AP277="",N(O277)=0),"",AP277/O277-1)</f>
        <v/>
      </c>
      <c r="AR277" s="29" t="str">
        <f aca="false">IF(OR(AQ277="",N(O277)=0),"",AQ277+AG277/O277)</f>
        <v/>
      </c>
      <c r="AS277" s="32" t="str">
        <f aca="false">IF(OR(AR277="",N(AJ277)=0),"",AR277-AJ277)</f>
        <v/>
      </c>
      <c r="AT277" s="28" t="n">
        <v>25</v>
      </c>
      <c r="AU277" s="28" t="n">
        <v>1.63</v>
      </c>
      <c r="AV277" s="28" t="n">
        <f aca="false">IF(N(AT277)&gt;0,AT277,L277)</f>
        <v>25</v>
      </c>
      <c r="AW277" s="28" t="n">
        <f aca="false">IF(AND(N(M277)&gt;0,N(AV277)&gt;0),M277*AV277,IF(N(AU277)&gt;0,AU277,N277))</f>
        <v>1.625</v>
      </c>
      <c r="AX277" s="29" t="str">
        <f aca="false">IF(N(AN277)=0,"",AN277+IF(I277="yes",AN277*Inputs!$B$10*Inputs!$B$9,0)+IFERROR(INDEX(Inputs!$B$13:$B$15,MATCH(G277,Inputs!$A$13:$A$15,0)),0)+IFERROR(INDEX(Inputs!$B$18:$B$24,MATCH(H277,Inputs!$A$18:$A$24,0)),0))</f>
        <v/>
      </c>
      <c r="AY277" s="28" t="str">
        <f aca="false">IF(OR(N(AX277)&lt;=0,N(AW277)=0,N(AV277)=0),"",MIN(AV277,AW277/AX277))</f>
        <v/>
      </c>
      <c r="AZ277" s="29" t="str">
        <f aca="false">IF(OR(AY277="",N(O277)=0),"",AY277/O277-1)</f>
        <v/>
      </c>
      <c r="BA277" s="29" t="str">
        <f aca="false">IF(OR(AZ277="",N(O277)=0),"",AZ277+AW277/O277)</f>
        <v/>
      </c>
      <c r="BB277" s="32" t="str">
        <f aca="false">IF(OR(BA277="",N(AR277)=0),"",BA277-AR277)</f>
        <v/>
      </c>
      <c r="BC277" s="35" t="str">
        <f aca="false">IF(OR(BA277="",N(U277)=0),"",BA277-U277)</f>
        <v/>
      </c>
      <c r="BD277" s="36" t="s">
        <v>302</v>
      </c>
    </row>
    <row r="278" customFormat="false" ht="15" hidden="false" customHeight="false" outlineLevel="0" collapsed="false">
      <c r="A278" s="2" t="s">
        <v>556</v>
      </c>
      <c r="B278" s="2" t="n">
        <v>109</v>
      </c>
      <c r="C278" s="2" t="s">
        <v>646</v>
      </c>
      <c r="D278" s="2" t="s">
        <v>647</v>
      </c>
      <c r="E278" s="2" t="s">
        <v>648</v>
      </c>
      <c r="F278" s="27" t="n">
        <v>13300</v>
      </c>
      <c r="G278" s="2" t="s">
        <v>51</v>
      </c>
      <c r="H278" s="2" t="s">
        <v>58</v>
      </c>
      <c r="I278" s="2" t="s">
        <v>151</v>
      </c>
      <c r="J278" s="2" t="s">
        <v>145</v>
      </c>
      <c r="K278" s="2" t="n">
        <v>4</v>
      </c>
      <c r="L278" s="28" t="n">
        <v>25</v>
      </c>
      <c r="M278" s="29" t="n">
        <v>0.0525</v>
      </c>
      <c r="N278" s="28" t="n">
        <v>1.3125</v>
      </c>
      <c r="O278" s="28" t="n">
        <v>18.76</v>
      </c>
      <c r="P278" s="2" t="s">
        <v>146</v>
      </c>
      <c r="Q278" s="29" t="n">
        <v>0.08</v>
      </c>
      <c r="R278" s="30" t="n">
        <v>0.076</v>
      </c>
      <c r="S278" s="31" t="n">
        <v>17.2697368421053</v>
      </c>
      <c r="T278" s="30" t="n">
        <v>-0.0794383346425767</v>
      </c>
      <c r="U278" s="30" t="n">
        <v>-0.00947564807541249</v>
      </c>
      <c r="V278" s="29" t="n">
        <v>0</v>
      </c>
      <c r="W278" s="29" t="n">
        <f aca="false">IF(N(Q278)=0,"",Q278+IF(I278="yes",Q278*Inputs!$B$10*Inputs!$B$9,0)+V278)</f>
        <v>0.076</v>
      </c>
      <c r="X278" s="28" t="n">
        <f aca="false">IF(OR(N(W278)&lt;=0,N(N278)=0,N(L278)=0),"",MIN(L278,N278/W278))</f>
        <v>17.2697368421053</v>
      </c>
      <c r="Y278" s="29" t="n">
        <f aca="false">IF(OR(X278="",N(O278)=0),"",X278/O278-1)</f>
        <v>-0.0794383346425767</v>
      </c>
      <c r="Z278" s="29" t="n">
        <f aca="false">IF(OR(Y278="",N(O278)=0),"",Y278+N278/O278)</f>
        <v>-0.00947564807541249</v>
      </c>
      <c r="AA278" s="32" t="n">
        <f aca="false">IF(OR(Z278="",N(U278)=0),"",Z278-U278)</f>
        <v>0</v>
      </c>
      <c r="AB278" s="29" t="n">
        <f aca="false">IF(N(Q278)=0,"",Q278+IF(I278="yes",Q278*Inputs!$B$10*Inputs!$B$9,0)+IFERROR(INDEX(Inputs!$B$13:$B$15,MATCH(G278,Inputs!$A$13:$A$15,0)),0)+IFERROR(INDEX(Inputs!$B$18:$B$24,MATCH(H278,Inputs!$A$18:$A$24,0)),0))</f>
        <v>0.076</v>
      </c>
      <c r="AC278" s="28" t="n">
        <f aca="false">IF(OR(N(AB278)&lt;=0,N(N278)=0,N(L278)=0),"",MIN(L278,N278/AB278))</f>
        <v>17.2697368421053</v>
      </c>
      <c r="AD278" s="29" t="n">
        <f aca="false">IF(OR(AC278="",N(O278)=0),"",AC278/O278-1)</f>
        <v>-0.0794383346425767</v>
      </c>
      <c r="AE278" s="29" t="n">
        <f aca="false">IF(OR(AD278="",N(O278)=0),"",AD278+N278/O278)</f>
        <v>-0.00947564807541249</v>
      </c>
      <c r="AF278" s="32" t="n">
        <f aca="false">IF(OR(AE278="",N(Z278)=0),"",AE278-Z278)</f>
        <v>0</v>
      </c>
      <c r="AG278" s="28" t="n">
        <f aca="false">IF(AND(N(M278)&gt;0,N(L278)&gt;0),M278*L278,N278)</f>
        <v>1.3125</v>
      </c>
      <c r="AH278" s="28" t="n">
        <f aca="false">IF(OR(N(AB278)&lt;=0,N(AG278)=0,N(L278)=0),"",MIN(L278,AG278/AB278))</f>
        <v>17.2697368421053</v>
      </c>
      <c r="AI278" s="29" t="n">
        <f aca="false">IF(OR(AH278="",N(O278)=0),"",AH278/O278-1)</f>
        <v>-0.0794383346425767</v>
      </c>
      <c r="AJ278" s="29" t="n">
        <f aca="false">IF(OR(AI278="",N(O278)=0),"",AI278+AG278/O278)</f>
        <v>-0.00947564807541249</v>
      </c>
      <c r="AK278" s="32" t="n">
        <f aca="false">IF(OR(AJ278="",N(AE278)=0),"",AJ278-AE278)</f>
        <v>0</v>
      </c>
      <c r="AL278" s="33" t="n">
        <f aca="false">IF(N(F278)=0,"",INDEX(Inputs!$B$28:$B$32,IFERROR(MATCH(F278,Inputs!$A$28:$A$32,1),0)+1))</f>
        <v>0.08</v>
      </c>
      <c r="AM278" s="34"/>
      <c r="AN278" s="33" t="n">
        <f aca="false">IF(N(AM278)&gt;0,AM278,AL278)</f>
        <v>0.08</v>
      </c>
      <c r="AO278" s="29" t="n">
        <f aca="false">IF(N(AN278)=0,"",AN278+IF(I278="yes",AN278*Inputs!$B$10*Inputs!$B$9,0)+IFERROR(INDEX(Inputs!$B$13:$B$15,MATCH(G278,Inputs!$A$13:$A$15,0)),0)+IFERROR(INDEX(Inputs!$B$18:$B$24,MATCH(H278,Inputs!$A$18:$A$24,0)),0))</f>
        <v>0.076</v>
      </c>
      <c r="AP278" s="28" t="n">
        <f aca="false">IF(OR(N(AO278)&lt;=0,N(AG278)=0,N(L278)=0),"",MIN(L278,AG278/AO278))</f>
        <v>17.2697368421053</v>
      </c>
      <c r="AQ278" s="29" t="n">
        <f aca="false">IF(OR(AP278="",N(O278)=0),"",AP278/O278-1)</f>
        <v>-0.0794383346425767</v>
      </c>
      <c r="AR278" s="29" t="n">
        <f aca="false">IF(OR(AQ278="",N(O278)=0),"",AQ278+AG278/O278)</f>
        <v>-0.00947564807541249</v>
      </c>
      <c r="AS278" s="32" t="n">
        <f aca="false">IF(OR(AR278="",N(AJ278)=0),"",AR278-AJ278)</f>
        <v>0</v>
      </c>
      <c r="AT278" s="28" t="n">
        <v>25</v>
      </c>
      <c r="AU278" s="28" t="n">
        <v>1.31</v>
      </c>
      <c r="AV278" s="28" t="n">
        <f aca="false">IF(N(AT278)&gt;0,AT278,L278)</f>
        <v>25</v>
      </c>
      <c r="AW278" s="28" t="n">
        <f aca="false">IF(AND(N(M278)&gt;0,N(AV278)&gt;0),M278*AV278,IF(N(AU278)&gt;0,AU278,N278))</f>
        <v>1.3125</v>
      </c>
      <c r="AX278" s="29" t="n">
        <f aca="false">IF(N(AN278)=0,"",AN278+IF(I278="yes",AN278*Inputs!$B$10*Inputs!$B$9,0)+IFERROR(INDEX(Inputs!$B$13:$B$15,MATCH(G278,Inputs!$A$13:$A$15,0)),0)+IFERROR(INDEX(Inputs!$B$18:$B$24,MATCH(H278,Inputs!$A$18:$A$24,0)),0))</f>
        <v>0.076</v>
      </c>
      <c r="AY278" s="28" t="n">
        <f aca="false">IF(OR(N(AX278)&lt;=0,N(AW278)=0,N(AV278)=0),"",MIN(AV278,AW278/AX278))</f>
        <v>17.2697368421053</v>
      </c>
      <c r="AZ278" s="29" t="n">
        <f aca="false">IF(OR(AY278="",N(O278)=0),"",AY278/O278-1)</f>
        <v>-0.0794383346425767</v>
      </c>
      <c r="BA278" s="29" t="n">
        <f aca="false">IF(OR(AZ278="",N(O278)=0),"",AZ278+AW278/O278)</f>
        <v>-0.00947564807541249</v>
      </c>
      <c r="BB278" s="32" t="n">
        <f aca="false">IF(OR(BA278="",N(AR278)=0),"",BA278-AR278)</f>
        <v>0</v>
      </c>
      <c r="BC278" s="35" t="n">
        <f aca="false">IF(OR(BA278="",N(U278)=0),"",BA278-U278)</f>
        <v>0</v>
      </c>
      <c r="BD278" s="37"/>
    </row>
    <row r="279" customFormat="false" ht="15" hidden="false" customHeight="false" outlineLevel="0" collapsed="false">
      <c r="A279" s="2" t="s">
        <v>556</v>
      </c>
      <c r="B279" s="2" t="n">
        <v>110</v>
      </c>
      <c r="C279" s="2" t="s">
        <v>649</v>
      </c>
      <c r="D279" s="2" t="s">
        <v>647</v>
      </c>
      <c r="E279" s="2" t="s">
        <v>648</v>
      </c>
      <c r="F279" s="27" t="n">
        <v>13300</v>
      </c>
      <c r="G279" s="2" t="s">
        <v>51</v>
      </c>
      <c r="H279" s="2" t="s">
        <v>58</v>
      </c>
      <c r="I279" s="2" t="s">
        <v>151</v>
      </c>
      <c r="J279" s="2" t="s">
        <v>145</v>
      </c>
      <c r="K279" s="2" t="n">
        <v>4</v>
      </c>
      <c r="L279" s="28" t="n">
        <v>25</v>
      </c>
      <c r="M279" s="29" t="n">
        <v>0.043</v>
      </c>
      <c r="N279" s="28" t="n">
        <v>1.075</v>
      </c>
      <c r="O279" s="28" t="n">
        <v>16.24</v>
      </c>
      <c r="P279" s="2" t="s">
        <v>146</v>
      </c>
      <c r="Q279" s="29" t="n">
        <v>0.08</v>
      </c>
      <c r="R279" s="30" t="n">
        <v>0.076</v>
      </c>
      <c r="S279" s="31" t="n">
        <v>14.1447368421053</v>
      </c>
      <c r="T279" s="30" t="n">
        <v>-0.12901866735805</v>
      </c>
      <c r="U279" s="30" t="n">
        <v>-0.0628240860772622</v>
      </c>
      <c r="V279" s="29" t="n">
        <v>0</v>
      </c>
      <c r="W279" s="29" t="n">
        <f aca="false">IF(N(Q279)=0,"",Q279+IF(I279="yes",Q279*Inputs!$B$10*Inputs!$B$9,0)+V279)</f>
        <v>0.076</v>
      </c>
      <c r="X279" s="28" t="n">
        <f aca="false">IF(OR(N(W279)&lt;=0,N(N279)=0,N(L279)=0),"",MIN(L279,N279/W279))</f>
        <v>14.1447368421053</v>
      </c>
      <c r="Y279" s="29" t="n">
        <f aca="false">IF(OR(X279="",N(O279)=0),"",X279/O279-1)</f>
        <v>-0.12901866735805</v>
      </c>
      <c r="Z279" s="29" t="n">
        <f aca="false">IF(OR(Y279="",N(O279)=0),"",Y279+N279/O279)</f>
        <v>-0.0628240860772621</v>
      </c>
      <c r="AA279" s="32" t="n">
        <f aca="false">IF(OR(Z279="",N(U279)=0),"",Z279-U279)</f>
        <v>0</v>
      </c>
      <c r="AB279" s="29" t="n">
        <f aca="false">IF(N(Q279)=0,"",Q279+IF(I279="yes",Q279*Inputs!$B$10*Inputs!$B$9,0)+IFERROR(INDEX(Inputs!$B$13:$B$15,MATCH(G279,Inputs!$A$13:$A$15,0)),0)+IFERROR(INDEX(Inputs!$B$18:$B$24,MATCH(H279,Inputs!$A$18:$A$24,0)),0))</f>
        <v>0.076</v>
      </c>
      <c r="AC279" s="28" t="n">
        <f aca="false">IF(OR(N(AB279)&lt;=0,N(N279)=0,N(L279)=0),"",MIN(L279,N279/AB279))</f>
        <v>14.1447368421053</v>
      </c>
      <c r="AD279" s="29" t="n">
        <f aca="false">IF(OR(AC279="",N(O279)=0),"",AC279/O279-1)</f>
        <v>-0.12901866735805</v>
      </c>
      <c r="AE279" s="29" t="n">
        <f aca="false">IF(OR(AD279="",N(O279)=0),"",AD279+N279/O279)</f>
        <v>-0.0628240860772621</v>
      </c>
      <c r="AF279" s="32" t="n">
        <f aca="false">IF(OR(AE279="",N(Z279)=0),"",AE279-Z279)</f>
        <v>0</v>
      </c>
      <c r="AG279" s="28" t="n">
        <f aca="false">IF(AND(N(M279)&gt;0,N(L279)&gt;0),M279*L279,N279)</f>
        <v>1.075</v>
      </c>
      <c r="AH279" s="28" t="n">
        <f aca="false">IF(OR(N(AB279)&lt;=0,N(AG279)=0,N(L279)=0),"",MIN(L279,AG279/AB279))</f>
        <v>14.1447368421053</v>
      </c>
      <c r="AI279" s="29" t="n">
        <f aca="false">IF(OR(AH279="",N(O279)=0),"",AH279/O279-1)</f>
        <v>-0.12901866735805</v>
      </c>
      <c r="AJ279" s="29" t="n">
        <f aca="false">IF(OR(AI279="",N(O279)=0),"",AI279+AG279/O279)</f>
        <v>-0.0628240860772621</v>
      </c>
      <c r="AK279" s="32" t="n">
        <f aca="false">IF(OR(AJ279="",N(AE279)=0),"",AJ279-AE279)</f>
        <v>0</v>
      </c>
      <c r="AL279" s="33" t="n">
        <f aca="false">IF(N(F279)=0,"",INDEX(Inputs!$B$28:$B$32,IFERROR(MATCH(F279,Inputs!$A$28:$A$32,1),0)+1))</f>
        <v>0.08</v>
      </c>
      <c r="AM279" s="34"/>
      <c r="AN279" s="33" t="n">
        <f aca="false">IF(N(AM279)&gt;0,AM279,AL279)</f>
        <v>0.08</v>
      </c>
      <c r="AO279" s="29" t="n">
        <f aca="false">IF(N(AN279)=0,"",AN279+IF(I279="yes",AN279*Inputs!$B$10*Inputs!$B$9,0)+IFERROR(INDEX(Inputs!$B$13:$B$15,MATCH(G279,Inputs!$A$13:$A$15,0)),0)+IFERROR(INDEX(Inputs!$B$18:$B$24,MATCH(H279,Inputs!$A$18:$A$24,0)),0))</f>
        <v>0.076</v>
      </c>
      <c r="AP279" s="28" t="n">
        <f aca="false">IF(OR(N(AO279)&lt;=0,N(AG279)=0,N(L279)=0),"",MIN(L279,AG279/AO279))</f>
        <v>14.1447368421053</v>
      </c>
      <c r="AQ279" s="29" t="n">
        <f aca="false">IF(OR(AP279="",N(O279)=0),"",AP279/O279-1)</f>
        <v>-0.12901866735805</v>
      </c>
      <c r="AR279" s="29" t="n">
        <f aca="false">IF(OR(AQ279="",N(O279)=0),"",AQ279+AG279/O279)</f>
        <v>-0.0628240860772621</v>
      </c>
      <c r="AS279" s="32" t="n">
        <f aca="false">IF(OR(AR279="",N(AJ279)=0),"",AR279-AJ279)</f>
        <v>0</v>
      </c>
      <c r="AT279" s="28" t="n">
        <v>25</v>
      </c>
      <c r="AU279" s="28" t="n">
        <v>1.075</v>
      </c>
      <c r="AV279" s="28" t="n">
        <f aca="false">IF(N(AT279)&gt;0,AT279,L279)</f>
        <v>25</v>
      </c>
      <c r="AW279" s="28" t="n">
        <f aca="false">IF(AND(N(M279)&gt;0,N(AV279)&gt;0),M279*AV279,IF(N(AU279)&gt;0,AU279,N279))</f>
        <v>1.075</v>
      </c>
      <c r="AX279" s="29" t="n">
        <f aca="false">IF(N(AN279)=0,"",AN279+IF(I279="yes",AN279*Inputs!$B$10*Inputs!$B$9,0)+IFERROR(INDEX(Inputs!$B$13:$B$15,MATCH(G279,Inputs!$A$13:$A$15,0)),0)+IFERROR(INDEX(Inputs!$B$18:$B$24,MATCH(H279,Inputs!$A$18:$A$24,0)),0))</f>
        <v>0.076</v>
      </c>
      <c r="AY279" s="28" t="n">
        <f aca="false">IF(OR(N(AX279)&lt;=0,N(AW279)=0,N(AV279)=0),"",MIN(AV279,AW279/AX279))</f>
        <v>14.1447368421053</v>
      </c>
      <c r="AZ279" s="29" t="n">
        <f aca="false">IF(OR(AY279="",N(O279)=0),"",AY279/O279-1)</f>
        <v>-0.12901866735805</v>
      </c>
      <c r="BA279" s="29" t="n">
        <f aca="false">IF(OR(AZ279="",N(O279)=0),"",AZ279+AW279/O279)</f>
        <v>-0.0628240860772621</v>
      </c>
      <c r="BB279" s="32" t="n">
        <f aca="false">IF(OR(BA279="",N(AR279)=0),"",BA279-AR279)</f>
        <v>0</v>
      </c>
      <c r="BC279" s="35" t="n">
        <f aca="false">IF(OR(BA279="",N(U279)=0),"",BA279-U279)</f>
        <v>0</v>
      </c>
      <c r="BD279" s="37"/>
    </row>
    <row r="280" customFormat="false" ht="15" hidden="false" customHeight="false" outlineLevel="0" collapsed="false">
      <c r="A280" s="2" t="s">
        <v>556</v>
      </c>
      <c r="B280" s="2" t="n">
        <v>113</v>
      </c>
      <c r="C280" s="2" t="s">
        <v>650</v>
      </c>
      <c r="D280" s="2" t="s">
        <v>651</v>
      </c>
      <c r="E280" s="2" t="s">
        <v>652</v>
      </c>
      <c r="F280" s="27" t="n">
        <v>27200</v>
      </c>
      <c r="G280" s="2" t="s">
        <v>51</v>
      </c>
      <c r="H280" s="2" t="s">
        <v>58</v>
      </c>
      <c r="I280" s="2" t="s">
        <v>151</v>
      </c>
      <c r="J280" s="2" t="s">
        <v>145</v>
      </c>
      <c r="K280" s="2" t="n">
        <v>4</v>
      </c>
      <c r="L280" s="28" t="n">
        <v>50</v>
      </c>
      <c r="M280" s="29" t="n">
        <v>0.039</v>
      </c>
      <c r="N280" s="28" t="n">
        <v>1.95</v>
      </c>
      <c r="O280" s="28" t="n">
        <v>31.05</v>
      </c>
      <c r="P280" s="2" t="s">
        <v>146</v>
      </c>
      <c r="Q280" s="29" t="n">
        <v>0.08</v>
      </c>
      <c r="R280" s="30" t="n">
        <v>0.076</v>
      </c>
      <c r="S280" s="31" t="n">
        <v>25.6578947368421</v>
      </c>
      <c r="T280" s="30" t="n">
        <v>-0.173658784642766</v>
      </c>
      <c r="U280" s="30" t="n">
        <v>-0.110856852275617</v>
      </c>
      <c r="V280" s="29" t="n">
        <v>0</v>
      </c>
      <c r="W280" s="29" t="n">
        <f aca="false">IF(N(Q280)=0,"",Q280+IF(I280="yes",Q280*Inputs!$B$10*Inputs!$B$9,0)+V280)</f>
        <v>0.076</v>
      </c>
      <c r="X280" s="28" t="n">
        <f aca="false">IF(OR(N(W280)&lt;=0,N(N280)=0,N(L280)=0),"",MIN(L280,N280/W280))</f>
        <v>25.6578947368421</v>
      </c>
      <c r="Y280" s="29" t="n">
        <f aca="false">IF(OR(X280="",N(O280)=0),"",X280/O280-1)</f>
        <v>-0.173658784642766</v>
      </c>
      <c r="Z280" s="29" t="n">
        <f aca="false">IF(OR(Y280="",N(O280)=0),"",Y280+N280/O280)</f>
        <v>-0.110856852275617</v>
      </c>
      <c r="AA280" s="32" t="n">
        <f aca="false">IF(OR(Z280="",N(U280)=0),"",Z280-U280)</f>
        <v>0</v>
      </c>
      <c r="AB280" s="29" t="n">
        <f aca="false">IF(N(Q280)=0,"",Q280+IF(I280="yes",Q280*Inputs!$B$10*Inputs!$B$9,0)+IFERROR(INDEX(Inputs!$B$13:$B$15,MATCH(G280,Inputs!$A$13:$A$15,0)),0)+IFERROR(INDEX(Inputs!$B$18:$B$24,MATCH(H280,Inputs!$A$18:$A$24,0)),0))</f>
        <v>0.076</v>
      </c>
      <c r="AC280" s="28" t="n">
        <f aca="false">IF(OR(N(AB280)&lt;=0,N(N280)=0,N(L280)=0),"",MIN(L280,N280/AB280))</f>
        <v>25.6578947368421</v>
      </c>
      <c r="AD280" s="29" t="n">
        <f aca="false">IF(OR(AC280="",N(O280)=0),"",AC280/O280-1)</f>
        <v>-0.173658784642766</v>
      </c>
      <c r="AE280" s="29" t="n">
        <f aca="false">IF(OR(AD280="",N(O280)=0),"",AD280+N280/O280)</f>
        <v>-0.110856852275617</v>
      </c>
      <c r="AF280" s="32" t="n">
        <f aca="false">IF(OR(AE280="",N(Z280)=0),"",AE280-Z280)</f>
        <v>0</v>
      </c>
      <c r="AG280" s="28" t="n">
        <f aca="false">IF(AND(N(M280)&gt;0,N(L280)&gt;0),M280*L280,N280)</f>
        <v>1.95</v>
      </c>
      <c r="AH280" s="28" t="n">
        <f aca="false">IF(OR(N(AB280)&lt;=0,N(AG280)=0,N(L280)=0),"",MIN(L280,AG280/AB280))</f>
        <v>25.6578947368421</v>
      </c>
      <c r="AI280" s="29" t="n">
        <f aca="false">IF(OR(AH280="",N(O280)=0),"",AH280/O280-1)</f>
        <v>-0.173658784642766</v>
      </c>
      <c r="AJ280" s="29" t="n">
        <f aca="false">IF(OR(AI280="",N(O280)=0),"",AI280+AG280/O280)</f>
        <v>-0.110856852275617</v>
      </c>
      <c r="AK280" s="32" t="n">
        <f aca="false">IF(OR(AJ280="",N(AE280)=0),"",AJ280-AE280)</f>
        <v>0</v>
      </c>
      <c r="AL280" s="33" t="n">
        <f aca="false">IF(N(F280)=0,"",INDEX(Inputs!$B$28:$B$32,IFERROR(MATCH(F280,Inputs!$A$28:$A$32,1),0)+1))</f>
        <v>0.075</v>
      </c>
      <c r="AM280" s="34"/>
      <c r="AN280" s="33" t="n">
        <f aca="false">IF(N(AM280)&gt;0,AM280,AL280)</f>
        <v>0.075</v>
      </c>
      <c r="AO280" s="29" t="n">
        <f aca="false">IF(N(AN280)=0,"",AN280+IF(I280="yes",AN280*Inputs!$B$10*Inputs!$B$9,0)+IFERROR(INDEX(Inputs!$B$13:$B$15,MATCH(G280,Inputs!$A$13:$A$15,0)),0)+IFERROR(INDEX(Inputs!$B$18:$B$24,MATCH(H280,Inputs!$A$18:$A$24,0)),0))</f>
        <v>0.07125</v>
      </c>
      <c r="AP280" s="28" t="n">
        <f aca="false">IF(OR(N(AO280)&lt;=0,N(AG280)=0,N(L280)=0),"",MIN(L280,AG280/AO280))</f>
        <v>27.3684210526316</v>
      </c>
      <c r="AQ280" s="29" t="n">
        <f aca="false">IF(OR(AP280="",N(O280)=0),"",AP280/O280-1)</f>
        <v>-0.118569370285617</v>
      </c>
      <c r="AR280" s="29" t="n">
        <f aca="false">IF(OR(AQ280="",N(O280)=0),"",AQ280+AG280/O280)</f>
        <v>-0.0557674379184676</v>
      </c>
      <c r="AS280" s="32" t="n">
        <f aca="false">IF(OR(AR280="",N(AJ280)=0),"",AR280-AJ280)</f>
        <v>0.055089414357149</v>
      </c>
      <c r="AT280" s="28" t="n">
        <v>50</v>
      </c>
      <c r="AU280" s="28" t="n">
        <v>1.95</v>
      </c>
      <c r="AV280" s="28" t="n">
        <f aca="false">IF(N(AT280)&gt;0,AT280,L280)</f>
        <v>50</v>
      </c>
      <c r="AW280" s="28" t="n">
        <f aca="false">IF(AND(N(M280)&gt;0,N(AV280)&gt;0),M280*AV280,IF(N(AU280)&gt;0,AU280,N280))</f>
        <v>1.95</v>
      </c>
      <c r="AX280" s="29" t="n">
        <f aca="false">IF(N(AN280)=0,"",AN280+IF(I280="yes",AN280*Inputs!$B$10*Inputs!$B$9,0)+IFERROR(INDEX(Inputs!$B$13:$B$15,MATCH(G280,Inputs!$A$13:$A$15,0)),0)+IFERROR(INDEX(Inputs!$B$18:$B$24,MATCH(H280,Inputs!$A$18:$A$24,0)),0))</f>
        <v>0.07125</v>
      </c>
      <c r="AY280" s="28" t="n">
        <f aca="false">IF(OR(N(AX280)&lt;=0,N(AW280)=0,N(AV280)=0),"",MIN(AV280,AW280/AX280))</f>
        <v>27.3684210526316</v>
      </c>
      <c r="AZ280" s="29" t="n">
        <f aca="false">IF(OR(AY280="",N(O280)=0),"",AY280/O280-1)</f>
        <v>-0.118569370285617</v>
      </c>
      <c r="BA280" s="29" t="n">
        <f aca="false">IF(OR(AZ280="",N(O280)=0),"",AZ280+AW280/O280)</f>
        <v>-0.0557674379184676</v>
      </c>
      <c r="BB280" s="32" t="n">
        <f aca="false">IF(OR(BA280="",N(AR280)=0),"",BA280-AR280)</f>
        <v>0</v>
      </c>
      <c r="BC280" s="35" t="n">
        <f aca="false">IF(OR(BA280="",N(U280)=0),"",BA280-U280)</f>
        <v>0.0550894143571489</v>
      </c>
      <c r="BD280" s="37"/>
    </row>
    <row r="281" customFormat="false" ht="15" hidden="false" customHeight="false" outlineLevel="0" collapsed="false">
      <c r="A281" s="2" t="s">
        <v>556</v>
      </c>
      <c r="B281" s="2" t="n">
        <v>114</v>
      </c>
      <c r="C281" s="2" t="s">
        <v>653</v>
      </c>
      <c r="D281" s="2" t="s">
        <v>651</v>
      </c>
      <c r="E281" s="2" t="s">
        <v>652</v>
      </c>
      <c r="F281" s="27" t="n">
        <v>27200</v>
      </c>
      <c r="G281" s="2" t="s">
        <v>51</v>
      </c>
      <c r="H281" s="2" t="s">
        <v>58</v>
      </c>
      <c r="I281" s="2" t="s">
        <v>151</v>
      </c>
      <c r="J281" s="2" t="s">
        <v>145</v>
      </c>
      <c r="K281" s="2" t="n">
        <v>4</v>
      </c>
      <c r="L281" s="28" t="n">
        <v>50</v>
      </c>
      <c r="M281" s="29" t="n">
        <v>0.045</v>
      </c>
      <c r="N281" s="28" t="n">
        <v>2.25</v>
      </c>
      <c r="O281" s="28" t="n">
        <v>35.4</v>
      </c>
      <c r="P281" s="2" t="s">
        <v>146</v>
      </c>
      <c r="Q281" s="29" t="n">
        <v>0.08</v>
      </c>
      <c r="R281" s="30" t="n">
        <v>0.076</v>
      </c>
      <c r="S281" s="31" t="n">
        <v>29.6052631578947</v>
      </c>
      <c r="T281" s="30" t="n">
        <v>-0.163693131132917</v>
      </c>
      <c r="U281" s="30" t="n">
        <v>-0.100133809099019</v>
      </c>
      <c r="V281" s="29" t="n">
        <v>0</v>
      </c>
      <c r="W281" s="29" t="n">
        <f aca="false">IF(N(Q281)=0,"",Q281+IF(I281="yes",Q281*Inputs!$B$10*Inputs!$B$9,0)+V281)</f>
        <v>0.076</v>
      </c>
      <c r="X281" s="28" t="n">
        <f aca="false">IF(OR(N(W281)&lt;=0,N(N281)=0,N(L281)=0),"",MIN(L281,N281/W281))</f>
        <v>29.6052631578947</v>
      </c>
      <c r="Y281" s="29" t="n">
        <f aca="false">IF(OR(X281="",N(O281)=0),"",X281/O281-1)</f>
        <v>-0.163693131132917</v>
      </c>
      <c r="Z281" s="29" t="n">
        <f aca="false">IF(OR(Y281="",N(O281)=0),"",Y281+N281/O281)</f>
        <v>-0.100133809099019</v>
      </c>
      <c r="AA281" s="32" t="n">
        <f aca="false">IF(OR(Z281="",N(U281)=0),"",Z281-U281)</f>
        <v>0</v>
      </c>
      <c r="AB281" s="29" t="n">
        <f aca="false">IF(N(Q281)=0,"",Q281+IF(I281="yes",Q281*Inputs!$B$10*Inputs!$B$9,0)+IFERROR(INDEX(Inputs!$B$13:$B$15,MATCH(G281,Inputs!$A$13:$A$15,0)),0)+IFERROR(INDEX(Inputs!$B$18:$B$24,MATCH(H281,Inputs!$A$18:$A$24,0)),0))</f>
        <v>0.076</v>
      </c>
      <c r="AC281" s="28" t="n">
        <f aca="false">IF(OR(N(AB281)&lt;=0,N(N281)=0,N(L281)=0),"",MIN(L281,N281/AB281))</f>
        <v>29.6052631578947</v>
      </c>
      <c r="AD281" s="29" t="n">
        <f aca="false">IF(OR(AC281="",N(O281)=0),"",AC281/O281-1)</f>
        <v>-0.163693131132917</v>
      </c>
      <c r="AE281" s="29" t="n">
        <f aca="false">IF(OR(AD281="",N(O281)=0),"",AD281+N281/O281)</f>
        <v>-0.100133809099019</v>
      </c>
      <c r="AF281" s="32" t="n">
        <f aca="false">IF(OR(AE281="",N(Z281)=0),"",AE281-Z281)</f>
        <v>0</v>
      </c>
      <c r="AG281" s="28" t="n">
        <f aca="false">IF(AND(N(M281)&gt;0,N(L281)&gt;0),M281*L281,N281)</f>
        <v>2.25</v>
      </c>
      <c r="AH281" s="28" t="n">
        <f aca="false">IF(OR(N(AB281)&lt;=0,N(AG281)=0,N(L281)=0),"",MIN(L281,AG281/AB281))</f>
        <v>29.6052631578947</v>
      </c>
      <c r="AI281" s="29" t="n">
        <f aca="false">IF(OR(AH281="",N(O281)=0),"",AH281/O281-1)</f>
        <v>-0.163693131132917</v>
      </c>
      <c r="AJ281" s="29" t="n">
        <f aca="false">IF(OR(AI281="",N(O281)=0),"",AI281+AG281/O281)</f>
        <v>-0.100133809099019</v>
      </c>
      <c r="AK281" s="32" t="n">
        <f aca="false">IF(OR(AJ281="",N(AE281)=0),"",AJ281-AE281)</f>
        <v>0</v>
      </c>
      <c r="AL281" s="33" t="n">
        <f aca="false">IF(N(F281)=0,"",INDEX(Inputs!$B$28:$B$32,IFERROR(MATCH(F281,Inputs!$A$28:$A$32,1),0)+1))</f>
        <v>0.075</v>
      </c>
      <c r="AM281" s="34"/>
      <c r="AN281" s="33" t="n">
        <f aca="false">IF(N(AM281)&gt;0,AM281,AL281)</f>
        <v>0.075</v>
      </c>
      <c r="AO281" s="29" t="n">
        <f aca="false">IF(N(AN281)=0,"",AN281+IF(I281="yes",AN281*Inputs!$B$10*Inputs!$B$9,0)+IFERROR(INDEX(Inputs!$B$13:$B$15,MATCH(G281,Inputs!$A$13:$A$15,0)),0)+IFERROR(INDEX(Inputs!$B$18:$B$24,MATCH(H281,Inputs!$A$18:$A$24,0)),0))</f>
        <v>0.07125</v>
      </c>
      <c r="AP281" s="28" t="n">
        <f aca="false">IF(OR(N(AO281)&lt;=0,N(AG281)=0,N(L281)=0),"",MIN(L281,AG281/AO281))</f>
        <v>31.5789473684211</v>
      </c>
      <c r="AQ281" s="29" t="n">
        <f aca="false">IF(OR(AP281="",N(O281)=0),"",AP281/O281-1)</f>
        <v>-0.107939339875111</v>
      </c>
      <c r="AR281" s="29" t="n">
        <f aca="false">IF(OR(AQ281="",N(O281)=0),"",AQ281+AG281/O281)</f>
        <v>-0.0443800178412131</v>
      </c>
      <c r="AS281" s="32" t="n">
        <f aca="false">IF(OR(AR281="",N(AJ281)=0),"",AR281-AJ281)</f>
        <v>0.0557537912578057</v>
      </c>
      <c r="AT281" s="28" t="n">
        <v>50</v>
      </c>
      <c r="AU281" s="28" t="n">
        <v>2.25</v>
      </c>
      <c r="AV281" s="28" t="n">
        <f aca="false">IF(N(AT281)&gt;0,AT281,L281)</f>
        <v>50</v>
      </c>
      <c r="AW281" s="28" t="n">
        <f aca="false">IF(AND(N(M281)&gt;0,N(AV281)&gt;0),M281*AV281,IF(N(AU281)&gt;0,AU281,N281))</f>
        <v>2.25</v>
      </c>
      <c r="AX281" s="29" t="n">
        <f aca="false">IF(N(AN281)=0,"",AN281+IF(I281="yes",AN281*Inputs!$B$10*Inputs!$B$9,0)+IFERROR(INDEX(Inputs!$B$13:$B$15,MATCH(G281,Inputs!$A$13:$A$15,0)),0)+IFERROR(INDEX(Inputs!$B$18:$B$24,MATCH(H281,Inputs!$A$18:$A$24,0)),0))</f>
        <v>0.07125</v>
      </c>
      <c r="AY281" s="28" t="n">
        <f aca="false">IF(OR(N(AX281)&lt;=0,N(AW281)=0,N(AV281)=0),"",MIN(AV281,AW281/AX281))</f>
        <v>31.5789473684211</v>
      </c>
      <c r="AZ281" s="29" t="n">
        <f aca="false">IF(OR(AY281="",N(O281)=0),"",AY281/O281-1)</f>
        <v>-0.107939339875111</v>
      </c>
      <c r="BA281" s="29" t="n">
        <f aca="false">IF(OR(AZ281="",N(O281)=0),"",AZ281+AW281/O281)</f>
        <v>-0.0443800178412131</v>
      </c>
      <c r="BB281" s="32" t="n">
        <f aca="false">IF(OR(BA281="",N(AR281)=0),"",BA281-AR281)</f>
        <v>0</v>
      </c>
      <c r="BC281" s="35" t="n">
        <f aca="false">IF(OR(BA281="",N(U281)=0),"",BA281-U281)</f>
        <v>0.0557537912578057</v>
      </c>
      <c r="BD281" s="37"/>
    </row>
    <row r="282" customFormat="false" ht="15" hidden="false" customHeight="false" outlineLevel="0" collapsed="false">
      <c r="A282" s="2" t="s">
        <v>556</v>
      </c>
      <c r="B282" s="2" t="n">
        <v>115</v>
      </c>
      <c r="C282" s="2" t="s">
        <v>654</v>
      </c>
      <c r="D282" s="2" t="s">
        <v>651</v>
      </c>
      <c r="E282" s="2" t="s">
        <v>652</v>
      </c>
      <c r="F282" s="27" t="n">
        <v>27200</v>
      </c>
      <c r="G282" s="2" t="s">
        <v>51</v>
      </c>
      <c r="H282" s="2" t="s">
        <v>58</v>
      </c>
      <c r="I282" s="2" t="s">
        <v>151</v>
      </c>
      <c r="J282" s="2" t="s">
        <v>145</v>
      </c>
      <c r="K282" s="2" t="n">
        <v>4</v>
      </c>
      <c r="L282" s="28" t="n">
        <v>50</v>
      </c>
      <c r="M282" s="29" t="n">
        <v>0.045</v>
      </c>
      <c r="N282" s="28" t="n">
        <v>2.25</v>
      </c>
      <c r="O282" s="28" t="n">
        <v>35.3</v>
      </c>
      <c r="P282" s="2" t="s">
        <v>146</v>
      </c>
      <c r="Q282" s="29" t="n">
        <v>0.08</v>
      </c>
      <c r="R282" s="30" t="n">
        <v>0.076</v>
      </c>
      <c r="S282" s="31" t="n">
        <v>29.6052631578947</v>
      </c>
      <c r="T282" s="30" t="n">
        <v>-0.161323989861339</v>
      </c>
      <c r="U282" s="30" t="n">
        <v>-0.0975846130908008</v>
      </c>
      <c r="V282" s="29" t="n">
        <v>0</v>
      </c>
      <c r="W282" s="29" t="n">
        <f aca="false">IF(N(Q282)=0,"",Q282+IF(I282="yes",Q282*Inputs!$B$10*Inputs!$B$9,0)+V282)</f>
        <v>0.076</v>
      </c>
      <c r="X282" s="28" t="n">
        <f aca="false">IF(OR(N(W282)&lt;=0,N(N282)=0,N(L282)=0),"",MIN(L282,N282/W282))</f>
        <v>29.6052631578947</v>
      </c>
      <c r="Y282" s="29" t="n">
        <f aca="false">IF(OR(X282="",N(O282)=0),"",X282/O282-1)</f>
        <v>-0.161323989861339</v>
      </c>
      <c r="Z282" s="29" t="n">
        <f aca="false">IF(OR(Y282="",N(O282)=0),"",Y282+N282/O282)</f>
        <v>-0.0975846130908007</v>
      </c>
      <c r="AA282" s="32" t="n">
        <f aca="false">IF(OR(Z282="",N(U282)=0),"",Z282-U282)</f>
        <v>0</v>
      </c>
      <c r="AB282" s="29" t="n">
        <f aca="false">IF(N(Q282)=0,"",Q282+IF(I282="yes",Q282*Inputs!$B$10*Inputs!$B$9,0)+IFERROR(INDEX(Inputs!$B$13:$B$15,MATCH(G282,Inputs!$A$13:$A$15,0)),0)+IFERROR(INDEX(Inputs!$B$18:$B$24,MATCH(H282,Inputs!$A$18:$A$24,0)),0))</f>
        <v>0.076</v>
      </c>
      <c r="AC282" s="28" t="n">
        <f aca="false">IF(OR(N(AB282)&lt;=0,N(N282)=0,N(L282)=0),"",MIN(L282,N282/AB282))</f>
        <v>29.6052631578947</v>
      </c>
      <c r="AD282" s="29" t="n">
        <f aca="false">IF(OR(AC282="",N(O282)=0),"",AC282/O282-1)</f>
        <v>-0.161323989861339</v>
      </c>
      <c r="AE282" s="29" t="n">
        <f aca="false">IF(OR(AD282="",N(O282)=0),"",AD282+N282/O282)</f>
        <v>-0.0975846130908007</v>
      </c>
      <c r="AF282" s="32" t="n">
        <f aca="false">IF(OR(AE282="",N(Z282)=0),"",AE282-Z282)</f>
        <v>0</v>
      </c>
      <c r="AG282" s="28" t="n">
        <f aca="false">IF(AND(N(M282)&gt;0,N(L282)&gt;0),M282*L282,N282)</f>
        <v>2.25</v>
      </c>
      <c r="AH282" s="28" t="n">
        <f aca="false">IF(OR(N(AB282)&lt;=0,N(AG282)=0,N(L282)=0),"",MIN(L282,AG282/AB282))</f>
        <v>29.6052631578947</v>
      </c>
      <c r="AI282" s="29" t="n">
        <f aca="false">IF(OR(AH282="",N(O282)=0),"",AH282/O282-1)</f>
        <v>-0.161323989861339</v>
      </c>
      <c r="AJ282" s="29" t="n">
        <f aca="false">IF(OR(AI282="",N(O282)=0),"",AI282+AG282/O282)</f>
        <v>-0.0975846130908007</v>
      </c>
      <c r="AK282" s="32" t="n">
        <f aca="false">IF(OR(AJ282="",N(AE282)=0),"",AJ282-AE282)</f>
        <v>0</v>
      </c>
      <c r="AL282" s="33" t="n">
        <f aca="false">IF(N(F282)=0,"",INDEX(Inputs!$B$28:$B$32,IFERROR(MATCH(F282,Inputs!$A$28:$A$32,1),0)+1))</f>
        <v>0.075</v>
      </c>
      <c r="AM282" s="34"/>
      <c r="AN282" s="33" t="n">
        <f aca="false">IF(N(AM282)&gt;0,AM282,AL282)</f>
        <v>0.075</v>
      </c>
      <c r="AO282" s="29" t="n">
        <f aca="false">IF(N(AN282)=0,"",AN282+IF(I282="yes",AN282*Inputs!$B$10*Inputs!$B$9,0)+IFERROR(INDEX(Inputs!$B$13:$B$15,MATCH(G282,Inputs!$A$13:$A$15,0)),0)+IFERROR(INDEX(Inputs!$B$18:$B$24,MATCH(H282,Inputs!$A$18:$A$24,0)),0))</f>
        <v>0.07125</v>
      </c>
      <c r="AP282" s="28" t="n">
        <f aca="false">IF(OR(N(AO282)&lt;=0,N(AG282)=0,N(L282)=0),"",MIN(L282,AG282/AO282))</f>
        <v>31.5789473684211</v>
      </c>
      <c r="AQ282" s="29" t="n">
        <f aca="false">IF(OR(AP282="",N(O282)=0),"",AP282/O282-1)</f>
        <v>-0.105412255852095</v>
      </c>
      <c r="AR282" s="29" t="n">
        <f aca="false">IF(OR(AQ282="",N(O282)=0),"",AQ282+AG282/O282)</f>
        <v>-0.0416728790815564</v>
      </c>
      <c r="AS282" s="32" t="n">
        <f aca="false">IF(OR(AR282="",N(AJ282)=0),"",AR282-AJ282)</f>
        <v>0.0559117340092442</v>
      </c>
      <c r="AT282" s="28" t="n">
        <v>50</v>
      </c>
      <c r="AU282" s="28" t="n">
        <v>2.25</v>
      </c>
      <c r="AV282" s="28" t="n">
        <f aca="false">IF(N(AT282)&gt;0,AT282,L282)</f>
        <v>50</v>
      </c>
      <c r="AW282" s="28" t="n">
        <f aca="false">IF(AND(N(M282)&gt;0,N(AV282)&gt;0),M282*AV282,IF(N(AU282)&gt;0,AU282,N282))</f>
        <v>2.25</v>
      </c>
      <c r="AX282" s="29" t="n">
        <f aca="false">IF(N(AN282)=0,"",AN282+IF(I282="yes",AN282*Inputs!$B$10*Inputs!$B$9,0)+IFERROR(INDEX(Inputs!$B$13:$B$15,MATCH(G282,Inputs!$A$13:$A$15,0)),0)+IFERROR(INDEX(Inputs!$B$18:$B$24,MATCH(H282,Inputs!$A$18:$A$24,0)),0))</f>
        <v>0.07125</v>
      </c>
      <c r="AY282" s="28" t="n">
        <f aca="false">IF(OR(N(AX282)&lt;=0,N(AW282)=0,N(AV282)=0),"",MIN(AV282,AW282/AX282))</f>
        <v>31.5789473684211</v>
      </c>
      <c r="AZ282" s="29" t="n">
        <f aca="false">IF(OR(AY282="",N(O282)=0),"",AY282/O282-1)</f>
        <v>-0.105412255852095</v>
      </c>
      <c r="BA282" s="29" t="n">
        <f aca="false">IF(OR(AZ282="",N(O282)=0),"",AZ282+AW282/O282)</f>
        <v>-0.0416728790815564</v>
      </c>
      <c r="BB282" s="32" t="n">
        <f aca="false">IF(OR(BA282="",N(AR282)=0),"",BA282-AR282)</f>
        <v>0</v>
      </c>
      <c r="BC282" s="35" t="n">
        <f aca="false">IF(OR(BA282="",N(U282)=0),"",BA282-U282)</f>
        <v>0.0559117340092443</v>
      </c>
      <c r="BD282" s="37"/>
    </row>
    <row r="283" customFormat="false" ht="15" hidden="false" customHeight="false" outlineLevel="0" collapsed="false">
      <c r="A283" s="2" t="s">
        <v>556</v>
      </c>
      <c r="B283" s="2" t="n">
        <v>116</v>
      </c>
      <c r="C283" s="2" t="s">
        <v>655</v>
      </c>
      <c r="D283" s="2" t="s">
        <v>651</v>
      </c>
      <c r="E283" s="2" t="s">
        <v>652</v>
      </c>
      <c r="F283" s="27" t="n">
        <v>27200</v>
      </c>
      <c r="G283" s="2" t="s">
        <v>51</v>
      </c>
      <c r="H283" s="2" t="s">
        <v>58</v>
      </c>
      <c r="I283" s="2" t="s">
        <v>151</v>
      </c>
      <c r="J283" s="2" t="s">
        <v>145</v>
      </c>
      <c r="K283" s="2" t="n">
        <v>4</v>
      </c>
      <c r="L283" s="28" t="n">
        <v>50</v>
      </c>
      <c r="M283" s="29" t="n">
        <v>0.0648</v>
      </c>
      <c r="N283" s="28" t="n">
        <v>3.24</v>
      </c>
      <c r="O283" s="28" t="n">
        <v>52.5</v>
      </c>
      <c r="P283" s="2" t="s">
        <v>146</v>
      </c>
      <c r="Q283" s="29" t="n">
        <v>0.08</v>
      </c>
      <c r="R283" s="30" t="n">
        <v>0.076</v>
      </c>
      <c r="S283" s="31" t="n">
        <v>42.6315789473684</v>
      </c>
      <c r="T283" s="30" t="n">
        <v>-0.18796992481203</v>
      </c>
      <c r="U283" s="30" t="n">
        <v>-0.126255639097744</v>
      </c>
      <c r="V283" s="29" t="n">
        <v>0</v>
      </c>
      <c r="W283" s="29" t="n">
        <f aca="false">IF(N(Q283)=0,"",Q283+IF(I283="yes",Q283*Inputs!$B$10*Inputs!$B$9,0)+V283)</f>
        <v>0.076</v>
      </c>
      <c r="X283" s="28" t="n">
        <f aca="false">IF(OR(N(W283)&lt;=0,N(N283)=0,N(L283)=0),"",MIN(L283,N283/W283))</f>
        <v>42.6315789473684</v>
      </c>
      <c r="Y283" s="29" t="n">
        <f aca="false">IF(OR(X283="",N(O283)=0),"",X283/O283-1)</f>
        <v>-0.18796992481203</v>
      </c>
      <c r="Z283" s="29" t="n">
        <f aca="false">IF(OR(Y283="",N(O283)=0),"",Y283+N283/O283)</f>
        <v>-0.126255639097744</v>
      </c>
      <c r="AA283" s="32" t="n">
        <f aca="false">IF(OR(Z283="",N(U283)=0),"",Z283-U283)</f>
        <v>0</v>
      </c>
      <c r="AB283" s="29" t="n">
        <f aca="false">IF(N(Q283)=0,"",Q283+IF(I283="yes",Q283*Inputs!$B$10*Inputs!$B$9,0)+IFERROR(INDEX(Inputs!$B$13:$B$15,MATCH(G283,Inputs!$A$13:$A$15,0)),0)+IFERROR(INDEX(Inputs!$B$18:$B$24,MATCH(H283,Inputs!$A$18:$A$24,0)),0))</f>
        <v>0.076</v>
      </c>
      <c r="AC283" s="28" t="n">
        <f aca="false">IF(OR(N(AB283)&lt;=0,N(N283)=0,N(L283)=0),"",MIN(L283,N283/AB283))</f>
        <v>42.6315789473684</v>
      </c>
      <c r="AD283" s="29" t="n">
        <f aca="false">IF(OR(AC283="",N(O283)=0),"",AC283/O283-1)</f>
        <v>-0.18796992481203</v>
      </c>
      <c r="AE283" s="29" t="n">
        <f aca="false">IF(OR(AD283="",N(O283)=0),"",AD283+N283/O283)</f>
        <v>-0.126255639097744</v>
      </c>
      <c r="AF283" s="32" t="n">
        <f aca="false">IF(OR(AE283="",N(Z283)=0),"",AE283-Z283)</f>
        <v>0</v>
      </c>
      <c r="AG283" s="28" t="n">
        <f aca="false">IF(AND(N(M283)&gt;0,N(L283)&gt;0),M283*L283,N283)</f>
        <v>3.24</v>
      </c>
      <c r="AH283" s="28" t="n">
        <f aca="false">IF(OR(N(AB283)&lt;=0,N(AG283)=0,N(L283)=0),"",MIN(L283,AG283/AB283))</f>
        <v>42.6315789473684</v>
      </c>
      <c r="AI283" s="29" t="n">
        <f aca="false">IF(OR(AH283="",N(O283)=0),"",AH283/O283-1)</f>
        <v>-0.18796992481203</v>
      </c>
      <c r="AJ283" s="29" t="n">
        <f aca="false">IF(OR(AI283="",N(O283)=0),"",AI283+AG283/O283)</f>
        <v>-0.126255639097744</v>
      </c>
      <c r="AK283" s="32" t="n">
        <f aca="false">IF(OR(AJ283="",N(AE283)=0),"",AJ283-AE283)</f>
        <v>0</v>
      </c>
      <c r="AL283" s="33" t="n">
        <f aca="false">IF(N(F283)=0,"",INDEX(Inputs!$B$28:$B$32,IFERROR(MATCH(F283,Inputs!$A$28:$A$32,1),0)+1))</f>
        <v>0.075</v>
      </c>
      <c r="AM283" s="34"/>
      <c r="AN283" s="33" t="n">
        <f aca="false">IF(N(AM283)&gt;0,AM283,AL283)</f>
        <v>0.075</v>
      </c>
      <c r="AO283" s="29" t="n">
        <f aca="false">IF(N(AN283)=0,"",AN283+IF(I283="yes",AN283*Inputs!$B$10*Inputs!$B$9,0)+IFERROR(INDEX(Inputs!$B$13:$B$15,MATCH(G283,Inputs!$A$13:$A$15,0)),0)+IFERROR(INDEX(Inputs!$B$18:$B$24,MATCH(H283,Inputs!$A$18:$A$24,0)),0))</f>
        <v>0.07125</v>
      </c>
      <c r="AP283" s="28" t="n">
        <f aca="false">IF(OR(N(AO283)&lt;=0,N(AG283)=0,N(L283)=0),"",MIN(L283,AG283/AO283))</f>
        <v>45.4736842105263</v>
      </c>
      <c r="AQ283" s="29" t="n">
        <f aca="false">IF(OR(AP283="",N(O283)=0),"",AP283/O283-1)</f>
        <v>-0.133834586466165</v>
      </c>
      <c r="AR283" s="29" t="n">
        <f aca="false">IF(OR(AQ283="",N(O283)=0),"",AQ283+AG283/O283)</f>
        <v>-0.0721203007518795</v>
      </c>
      <c r="AS283" s="32" t="n">
        <f aca="false">IF(OR(AR283="",N(AJ283)=0),"",AR283-AJ283)</f>
        <v>0.0541353383458647</v>
      </c>
      <c r="AT283" s="28" t="n">
        <v>50</v>
      </c>
      <c r="AU283" s="28" t="n">
        <v>3.24</v>
      </c>
      <c r="AV283" s="28" t="n">
        <f aca="false">IF(N(AT283)&gt;0,AT283,L283)</f>
        <v>50</v>
      </c>
      <c r="AW283" s="28" t="n">
        <f aca="false">IF(AND(N(M283)&gt;0,N(AV283)&gt;0),M283*AV283,IF(N(AU283)&gt;0,AU283,N283))</f>
        <v>3.24</v>
      </c>
      <c r="AX283" s="29" t="n">
        <f aca="false">IF(N(AN283)=0,"",AN283+IF(I283="yes",AN283*Inputs!$B$10*Inputs!$B$9,0)+IFERROR(INDEX(Inputs!$B$13:$B$15,MATCH(G283,Inputs!$A$13:$A$15,0)),0)+IFERROR(INDEX(Inputs!$B$18:$B$24,MATCH(H283,Inputs!$A$18:$A$24,0)),0))</f>
        <v>0.07125</v>
      </c>
      <c r="AY283" s="28" t="n">
        <f aca="false">IF(OR(N(AX283)&lt;=0,N(AW283)=0,N(AV283)=0),"",MIN(AV283,AW283/AX283))</f>
        <v>45.4736842105263</v>
      </c>
      <c r="AZ283" s="29" t="n">
        <f aca="false">IF(OR(AY283="",N(O283)=0),"",AY283/O283-1)</f>
        <v>-0.133834586466165</v>
      </c>
      <c r="BA283" s="29" t="n">
        <f aca="false">IF(OR(AZ283="",N(O283)=0),"",AZ283+AW283/O283)</f>
        <v>-0.0721203007518795</v>
      </c>
      <c r="BB283" s="32" t="n">
        <f aca="false">IF(OR(BA283="",N(AR283)=0),"",BA283-AR283)</f>
        <v>0</v>
      </c>
      <c r="BC283" s="35" t="n">
        <f aca="false">IF(OR(BA283="",N(U283)=0),"",BA283-U283)</f>
        <v>0.0541353383458648</v>
      </c>
      <c r="BD283" s="37"/>
    </row>
    <row r="284" customFormat="false" ht="15" hidden="false" customHeight="false" outlineLevel="0" collapsed="false">
      <c r="A284" s="2" t="s">
        <v>556</v>
      </c>
      <c r="B284" s="2" t="n">
        <v>117</v>
      </c>
      <c r="C284" s="2" t="s">
        <v>656</v>
      </c>
      <c r="D284" s="2" t="s">
        <v>651</v>
      </c>
      <c r="E284" s="2" t="s">
        <v>652</v>
      </c>
      <c r="F284" s="27" t="n">
        <v>27200</v>
      </c>
      <c r="G284" s="2" t="s">
        <v>51</v>
      </c>
      <c r="H284" s="2" t="s">
        <v>58</v>
      </c>
      <c r="I284" s="2" t="s">
        <v>151</v>
      </c>
      <c r="J284" s="2" t="s">
        <v>145</v>
      </c>
      <c r="K284" s="2" t="n">
        <v>4</v>
      </c>
      <c r="L284" s="28" t="n">
        <v>50</v>
      </c>
      <c r="M284" s="29" t="n">
        <v>0.0412</v>
      </c>
      <c r="N284" s="28" t="n">
        <v>2.06</v>
      </c>
      <c r="O284" s="28" t="n">
        <v>32.08</v>
      </c>
      <c r="P284" s="2" t="s">
        <v>146</v>
      </c>
      <c r="Q284" s="29" t="n">
        <v>0.08</v>
      </c>
      <c r="R284" s="30" t="n">
        <v>0.076</v>
      </c>
      <c r="S284" s="31" t="n">
        <v>27.1052631578947</v>
      </c>
      <c r="T284" s="30" t="n">
        <v>-0.155072844205276</v>
      </c>
      <c r="U284" s="30" t="n">
        <v>-0.0908583803648771</v>
      </c>
      <c r="V284" s="29" t="n">
        <v>0</v>
      </c>
      <c r="W284" s="29" t="n">
        <f aca="false">IF(N(Q284)=0,"",Q284+IF(I284="yes",Q284*Inputs!$B$10*Inputs!$B$9,0)+V284)</f>
        <v>0.076</v>
      </c>
      <c r="X284" s="28" t="n">
        <f aca="false">IF(OR(N(W284)&lt;=0,N(N284)=0,N(L284)=0),"",MIN(L284,N284/W284))</f>
        <v>27.1052631578947</v>
      </c>
      <c r="Y284" s="29" t="n">
        <f aca="false">IF(OR(X284="",N(O284)=0),"",X284/O284-1)</f>
        <v>-0.155072844205276</v>
      </c>
      <c r="Z284" s="29" t="n">
        <f aca="false">IF(OR(Y284="",N(O284)=0),"",Y284+N284/O284)</f>
        <v>-0.0908583803648771</v>
      </c>
      <c r="AA284" s="32" t="n">
        <f aca="false">IF(OR(Z284="",N(U284)=0),"",Z284-U284)</f>
        <v>0</v>
      </c>
      <c r="AB284" s="29" t="n">
        <f aca="false">IF(N(Q284)=0,"",Q284+IF(I284="yes",Q284*Inputs!$B$10*Inputs!$B$9,0)+IFERROR(INDEX(Inputs!$B$13:$B$15,MATCH(G284,Inputs!$A$13:$A$15,0)),0)+IFERROR(INDEX(Inputs!$B$18:$B$24,MATCH(H284,Inputs!$A$18:$A$24,0)),0))</f>
        <v>0.076</v>
      </c>
      <c r="AC284" s="28" t="n">
        <f aca="false">IF(OR(N(AB284)&lt;=0,N(N284)=0,N(L284)=0),"",MIN(L284,N284/AB284))</f>
        <v>27.1052631578947</v>
      </c>
      <c r="AD284" s="29" t="n">
        <f aca="false">IF(OR(AC284="",N(O284)=0),"",AC284/O284-1)</f>
        <v>-0.155072844205276</v>
      </c>
      <c r="AE284" s="29" t="n">
        <f aca="false">IF(OR(AD284="",N(O284)=0),"",AD284+N284/O284)</f>
        <v>-0.0908583803648771</v>
      </c>
      <c r="AF284" s="32" t="n">
        <f aca="false">IF(OR(AE284="",N(Z284)=0),"",AE284-Z284)</f>
        <v>0</v>
      </c>
      <c r="AG284" s="28" t="n">
        <f aca="false">IF(AND(N(M284)&gt;0,N(L284)&gt;0),M284*L284,N284)</f>
        <v>2.06</v>
      </c>
      <c r="AH284" s="28" t="n">
        <f aca="false">IF(OR(N(AB284)&lt;=0,N(AG284)=0,N(L284)=0),"",MIN(L284,AG284/AB284))</f>
        <v>27.1052631578947</v>
      </c>
      <c r="AI284" s="29" t="n">
        <f aca="false">IF(OR(AH284="",N(O284)=0),"",AH284/O284-1)</f>
        <v>-0.155072844205276</v>
      </c>
      <c r="AJ284" s="29" t="n">
        <f aca="false">IF(OR(AI284="",N(O284)=0),"",AI284+AG284/O284)</f>
        <v>-0.0908583803648771</v>
      </c>
      <c r="AK284" s="32" t="n">
        <f aca="false">IF(OR(AJ284="",N(AE284)=0),"",AJ284-AE284)</f>
        <v>0</v>
      </c>
      <c r="AL284" s="33" t="n">
        <f aca="false">IF(N(F284)=0,"",INDEX(Inputs!$B$28:$B$32,IFERROR(MATCH(F284,Inputs!$A$28:$A$32,1),0)+1))</f>
        <v>0.075</v>
      </c>
      <c r="AM284" s="34"/>
      <c r="AN284" s="33" t="n">
        <f aca="false">IF(N(AM284)&gt;0,AM284,AL284)</f>
        <v>0.075</v>
      </c>
      <c r="AO284" s="29" t="n">
        <f aca="false">IF(N(AN284)=0,"",AN284+IF(I284="yes",AN284*Inputs!$B$10*Inputs!$B$9,0)+IFERROR(INDEX(Inputs!$B$13:$B$15,MATCH(G284,Inputs!$A$13:$A$15,0)),0)+IFERROR(INDEX(Inputs!$B$18:$B$24,MATCH(H284,Inputs!$A$18:$A$24,0)),0))</f>
        <v>0.07125</v>
      </c>
      <c r="AP284" s="28" t="n">
        <f aca="false">IF(OR(N(AO284)&lt;=0,N(AG284)=0,N(L284)=0),"",MIN(L284,AG284/AO284))</f>
        <v>28.9122807017544</v>
      </c>
      <c r="AQ284" s="29" t="n">
        <f aca="false">IF(OR(AP284="",N(O284)=0),"",AP284/O284-1)</f>
        <v>-0.0987443671522945</v>
      </c>
      <c r="AR284" s="29" t="n">
        <f aca="false">IF(OR(AQ284="",N(O284)=0),"",AQ284+AG284/O284)</f>
        <v>-0.0345299033118955</v>
      </c>
      <c r="AS284" s="32" t="n">
        <f aca="false">IF(OR(AR284="",N(AJ284)=0),"",AR284-AJ284)</f>
        <v>0.0563284770529816</v>
      </c>
      <c r="AT284" s="28" t="n">
        <v>50</v>
      </c>
      <c r="AU284" s="28" t="n">
        <v>2.06</v>
      </c>
      <c r="AV284" s="28" t="n">
        <f aca="false">IF(N(AT284)&gt;0,AT284,L284)</f>
        <v>50</v>
      </c>
      <c r="AW284" s="28" t="n">
        <f aca="false">IF(AND(N(M284)&gt;0,N(AV284)&gt;0),M284*AV284,IF(N(AU284)&gt;0,AU284,N284))</f>
        <v>2.06</v>
      </c>
      <c r="AX284" s="29" t="n">
        <f aca="false">IF(N(AN284)=0,"",AN284+IF(I284="yes",AN284*Inputs!$B$10*Inputs!$B$9,0)+IFERROR(INDEX(Inputs!$B$13:$B$15,MATCH(G284,Inputs!$A$13:$A$15,0)),0)+IFERROR(INDEX(Inputs!$B$18:$B$24,MATCH(H284,Inputs!$A$18:$A$24,0)),0))</f>
        <v>0.07125</v>
      </c>
      <c r="AY284" s="28" t="n">
        <f aca="false">IF(OR(N(AX284)&lt;=0,N(AW284)=0,N(AV284)=0),"",MIN(AV284,AW284/AX284))</f>
        <v>28.9122807017544</v>
      </c>
      <c r="AZ284" s="29" t="n">
        <f aca="false">IF(OR(AY284="",N(O284)=0),"",AY284/O284-1)</f>
        <v>-0.0987443671522945</v>
      </c>
      <c r="BA284" s="29" t="n">
        <f aca="false">IF(OR(AZ284="",N(O284)=0),"",AZ284+AW284/O284)</f>
        <v>-0.0345299033118955</v>
      </c>
      <c r="BB284" s="32" t="n">
        <f aca="false">IF(OR(BA284="",N(AR284)=0),"",BA284-AR284)</f>
        <v>0</v>
      </c>
      <c r="BC284" s="35" t="n">
        <f aca="false">IF(OR(BA284="",N(U284)=0),"",BA284-U284)</f>
        <v>0.0563284770529816</v>
      </c>
      <c r="BD284" s="37"/>
    </row>
    <row r="285" customFormat="false" ht="15" hidden="false" customHeight="false" outlineLevel="0" collapsed="false">
      <c r="A285" s="2" t="s">
        <v>556</v>
      </c>
      <c r="B285" s="2" t="n">
        <v>118</v>
      </c>
      <c r="C285" s="2" t="s">
        <v>657</v>
      </c>
      <c r="D285" s="2" t="s">
        <v>651</v>
      </c>
      <c r="E285" s="2" t="s">
        <v>652</v>
      </c>
      <c r="F285" s="27" t="n">
        <v>27200</v>
      </c>
      <c r="G285" s="2" t="s">
        <v>51</v>
      </c>
      <c r="H285" s="2" t="s">
        <v>58</v>
      </c>
      <c r="I285" s="2" t="s">
        <v>151</v>
      </c>
      <c r="J285" s="2" t="s">
        <v>145</v>
      </c>
      <c r="K285" s="2" t="n">
        <v>4</v>
      </c>
      <c r="L285" s="28" t="n">
        <v>50</v>
      </c>
      <c r="M285" s="29" t="n">
        <v>0.038</v>
      </c>
      <c r="N285" s="28" t="n">
        <v>1.9</v>
      </c>
      <c r="O285" s="28" t="n">
        <v>30.5</v>
      </c>
      <c r="P285" s="2" t="s">
        <v>146</v>
      </c>
      <c r="Q285" s="29" t="n">
        <v>0.08</v>
      </c>
      <c r="R285" s="30" t="n">
        <v>0.076</v>
      </c>
      <c r="S285" s="31" t="n">
        <v>25</v>
      </c>
      <c r="T285" s="30" t="n">
        <v>-0.180327868852459</v>
      </c>
      <c r="U285" s="30" t="n">
        <v>-0.118032786885246</v>
      </c>
      <c r="V285" s="29" t="n">
        <v>0</v>
      </c>
      <c r="W285" s="29" t="n">
        <f aca="false">IF(N(Q285)=0,"",Q285+IF(I285="yes",Q285*Inputs!$B$10*Inputs!$B$9,0)+V285)</f>
        <v>0.076</v>
      </c>
      <c r="X285" s="28" t="n">
        <f aca="false">IF(OR(N(W285)&lt;=0,N(N285)=0,N(L285)=0),"",MIN(L285,N285/W285))</f>
        <v>25</v>
      </c>
      <c r="Y285" s="29" t="n">
        <f aca="false">IF(OR(X285="",N(O285)=0),"",X285/O285-1)</f>
        <v>-0.180327868852459</v>
      </c>
      <c r="Z285" s="29" t="n">
        <f aca="false">IF(OR(Y285="",N(O285)=0),"",Y285+N285/O285)</f>
        <v>-0.118032786885246</v>
      </c>
      <c r="AA285" s="32" t="n">
        <f aca="false">IF(OR(Z285="",N(U285)=0),"",Z285-U285)</f>
        <v>0</v>
      </c>
      <c r="AB285" s="29" t="n">
        <f aca="false">IF(N(Q285)=0,"",Q285+IF(I285="yes",Q285*Inputs!$B$10*Inputs!$B$9,0)+IFERROR(INDEX(Inputs!$B$13:$B$15,MATCH(G285,Inputs!$A$13:$A$15,0)),0)+IFERROR(INDEX(Inputs!$B$18:$B$24,MATCH(H285,Inputs!$A$18:$A$24,0)),0))</f>
        <v>0.076</v>
      </c>
      <c r="AC285" s="28" t="n">
        <f aca="false">IF(OR(N(AB285)&lt;=0,N(N285)=0,N(L285)=0),"",MIN(L285,N285/AB285))</f>
        <v>25</v>
      </c>
      <c r="AD285" s="29" t="n">
        <f aca="false">IF(OR(AC285="",N(O285)=0),"",AC285/O285-1)</f>
        <v>-0.180327868852459</v>
      </c>
      <c r="AE285" s="29" t="n">
        <f aca="false">IF(OR(AD285="",N(O285)=0),"",AD285+N285/O285)</f>
        <v>-0.118032786885246</v>
      </c>
      <c r="AF285" s="32" t="n">
        <f aca="false">IF(OR(AE285="",N(Z285)=0),"",AE285-Z285)</f>
        <v>0</v>
      </c>
      <c r="AG285" s="28" t="n">
        <f aca="false">IF(AND(N(M285)&gt;0,N(L285)&gt;0),M285*L285,N285)</f>
        <v>1.9</v>
      </c>
      <c r="AH285" s="28" t="n">
        <f aca="false">IF(OR(N(AB285)&lt;=0,N(AG285)=0,N(L285)=0),"",MIN(L285,AG285/AB285))</f>
        <v>25</v>
      </c>
      <c r="AI285" s="29" t="n">
        <f aca="false">IF(OR(AH285="",N(O285)=0),"",AH285/O285-1)</f>
        <v>-0.180327868852459</v>
      </c>
      <c r="AJ285" s="29" t="n">
        <f aca="false">IF(OR(AI285="",N(O285)=0),"",AI285+AG285/O285)</f>
        <v>-0.118032786885246</v>
      </c>
      <c r="AK285" s="32" t="n">
        <f aca="false">IF(OR(AJ285="",N(AE285)=0),"",AJ285-AE285)</f>
        <v>0</v>
      </c>
      <c r="AL285" s="33" t="n">
        <f aca="false">IF(N(F285)=0,"",INDEX(Inputs!$B$28:$B$32,IFERROR(MATCH(F285,Inputs!$A$28:$A$32,1),0)+1))</f>
        <v>0.075</v>
      </c>
      <c r="AM285" s="34"/>
      <c r="AN285" s="33" t="n">
        <f aca="false">IF(N(AM285)&gt;0,AM285,AL285)</f>
        <v>0.075</v>
      </c>
      <c r="AO285" s="29" t="n">
        <f aca="false">IF(N(AN285)=0,"",AN285+IF(I285="yes",AN285*Inputs!$B$10*Inputs!$B$9,0)+IFERROR(INDEX(Inputs!$B$13:$B$15,MATCH(G285,Inputs!$A$13:$A$15,0)),0)+IFERROR(INDEX(Inputs!$B$18:$B$24,MATCH(H285,Inputs!$A$18:$A$24,0)),0))</f>
        <v>0.07125</v>
      </c>
      <c r="AP285" s="28" t="n">
        <f aca="false">IF(OR(N(AO285)&lt;=0,N(AG285)=0,N(L285)=0),"",MIN(L285,AG285/AO285))</f>
        <v>26.6666666666667</v>
      </c>
      <c r="AQ285" s="29" t="n">
        <f aca="false">IF(OR(AP285="",N(O285)=0),"",AP285/O285-1)</f>
        <v>-0.12568306010929</v>
      </c>
      <c r="AR285" s="29" t="n">
        <f aca="false">IF(OR(AQ285="",N(O285)=0),"",AQ285+AG285/O285)</f>
        <v>-0.0633879781420764</v>
      </c>
      <c r="AS285" s="32" t="n">
        <f aca="false">IF(OR(AR285="",N(AJ285)=0),"",AR285-AJ285)</f>
        <v>0.0546448087431695</v>
      </c>
      <c r="AT285" s="28" t="n">
        <v>50</v>
      </c>
      <c r="AU285" s="28" t="n">
        <v>1.9</v>
      </c>
      <c r="AV285" s="28" t="n">
        <f aca="false">IF(N(AT285)&gt;0,AT285,L285)</f>
        <v>50</v>
      </c>
      <c r="AW285" s="28" t="n">
        <f aca="false">IF(AND(N(M285)&gt;0,N(AV285)&gt;0),M285*AV285,IF(N(AU285)&gt;0,AU285,N285))</f>
        <v>1.9</v>
      </c>
      <c r="AX285" s="29" t="n">
        <f aca="false">IF(N(AN285)=0,"",AN285+IF(I285="yes",AN285*Inputs!$B$10*Inputs!$B$9,0)+IFERROR(INDEX(Inputs!$B$13:$B$15,MATCH(G285,Inputs!$A$13:$A$15,0)),0)+IFERROR(INDEX(Inputs!$B$18:$B$24,MATCH(H285,Inputs!$A$18:$A$24,0)),0))</f>
        <v>0.07125</v>
      </c>
      <c r="AY285" s="28" t="n">
        <f aca="false">IF(OR(N(AX285)&lt;=0,N(AW285)=0,N(AV285)=0),"",MIN(AV285,AW285/AX285))</f>
        <v>26.6666666666667</v>
      </c>
      <c r="AZ285" s="29" t="n">
        <f aca="false">IF(OR(AY285="",N(O285)=0),"",AY285/O285-1)</f>
        <v>-0.12568306010929</v>
      </c>
      <c r="BA285" s="29" t="n">
        <f aca="false">IF(OR(AZ285="",N(O285)=0),"",AZ285+AW285/O285)</f>
        <v>-0.0633879781420764</v>
      </c>
      <c r="BB285" s="32" t="n">
        <f aca="false">IF(OR(BA285="",N(AR285)=0),"",BA285-AR285)</f>
        <v>0</v>
      </c>
      <c r="BC285" s="35" t="n">
        <f aca="false">IF(OR(BA285="",N(U285)=0),"",BA285-U285)</f>
        <v>0.0546448087431695</v>
      </c>
      <c r="BD285" s="37"/>
    </row>
    <row r="286" customFormat="false" ht="15" hidden="false" customHeight="false" outlineLevel="0" collapsed="false">
      <c r="A286" s="2" t="s">
        <v>556</v>
      </c>
      <c r="B286" s="2" t="n">
        <v>119</v>
      </c>
      <c r="C286" s="2" t="s">
        <v>658</v>
      </c>
      <c r="D286" s="2" t="s">
        <v>651</v>
      </c>
      <c r="E286" s="2" t="s">
        <v>652</v>
      </c>
      <c r="F286" s="27" t="n">
        <v>27200</v>
      </c>
      <c r="G286" s="2" t="s">
        <v>51</v>
      </c>
      <c r="H286" s="2" t="s">
        <v>58</v>
      </c>
      <c r="I286" s="2" t="s">
        <v>151</v>
      </c>
      <c r="J286" s="2" t="s">
        <v>145</v>
      </c>
      <c r="K286" s="2" t="n">
        <v>4</v>
      </c>
      <c r="L286" s="28" t="n">
        <v>50</v>
      </c>
      <c r="M286" s="29" t="n">
        <v>0.04</v>
      </c>
      <c r="N286" s="28" t="n">
        <v>2</v>
      </c>
      <c r="O286" s="28" t="n">
        <v>32</v>
      </c>
      <c r="P286" s="2" t="s">
        <v>146</v>
      </c>
      <c r="Q286" s="29" t="n">
        <v>0.08</v>
      </c>
      <c r="R286" s="30" t="n">
        <v>0.076</v>
      </c>
      <c r="S286" s="31" t="n">
        <v>26.3157894736842</v>
      </c>
      <c r="T286" s="30" t="n">
        <v>-0.177631578947368</v>
      </c>
      <c r="U286" s="30" t="n">
        <v>-0.115131578947368</v>
      </c>
      <c r="V286" s="29" t="n">
        <v>0</v>
      </c>
      <c r="W286" s="29" t="n">
        <f aca="false">IF(N(Q286)=0,"",Q286+IF(I286="yes",Q286*Inputs!$B$10*Inputs!$B$9,0)+V286)</f>
        <v>0.076</v>
      </c>
      <c r="X286" s="28" t="n">
        <f aca="false">IF(OR(N(W286)&lt;=0,N(N286)=0,N(L286)=0),"",MIN(L286,N286/W286))</f>
        <v>26.3157894736842</v>
      </c>
      <c r="Y286" s="29" t="n">
        <f aca="false">IF(OR(X286="",N(O286)=0),"",X286/O286-1)</f>
        <v>-0.177631578947368</v>
      </c>
      <c r="Z286" s="29" t="n">
        <f aca="false">IF(OR(Y286="",N(O286)=0),"",Y286+N286/O286)</f>
        <v>-0.115131578947368</v>
      </c>
      <c r="AA286" s="32" t="n">
        <f aca="false">IF(OR(Z286="",N(U286)=0),"",Z286-U286)</f>
        <v>0</v>
      </c>
      <c r="AB286" s="29" t="n">
        <f aca="false">IF(N(Q286)=0,"",Q286+IF(I286="yes",Q286*Inputs!$B$10*Inputs!$B$9,0)+IFERROR(INDEX(Inputs!$B$13:$B$15,MATCH(G286,Inputs!$A$13:$A$15,0)),0)+IFERROR(INDEX(Inputs!$B$18:$B$24,MATCH(H286,Inputs!$A$18:$A$24,0)),0))</f>
        <v>0.076</v>
      </c>
      <c r="AC286" s="28" t="n">
        <f aca="false">IF(OR(N(AB286)&lt;=0,N(N286)=0,N(L286)=0),"",MIN(L286,N286/AB286))</f>
        <v>26.3157894736842</v>
      </c>
      <c r="AD286" s="29" t="n">
        <f aca="false">IF(OR(AC286="",N(O286)=0),"",AC286/O286-1)</f>
        <v>-0.177631578947368</v>
      </c>
      <c r="AE286" s="29" t="n">
        <f aca="false">IF(OR(AD286="",N(O286)=0),"",AD286+N286/O286)</f>
        <v>-0.115131578947368</v>
      </c>
      <c r="AF286" s="32" t="n">
        <f aca="false">IF(OR(AE286="",N(Z286)=0),"",AE286-Z286)</f>
        <v>0</v>
      </c>
      <c r="AG286" s="28" t="n">
        <f aca="false">IF(AND(N(M286)&gt;0,N(L286)&gt;0),M286*L286,N286)</f>
        <v>2</v>
      </c>
      <c r="AH286" s="28" t="n">
        <f aca="false">IF(OR(N(AB286)&lt;=0,N(AG286)=0,N(L286)=0),"",MIN(L286,AG286/AB286))</f>
        <v>26.3157894736842</v>
      </c>
      <c r="AI286" s="29" t="n">
        <f aca="false">IF(OR(AH286="",N(O286)=0),"",AH286/O286-1)</f>
        <v>-0.177631578947368</v>
      </c>
      <c r="AJ286" s="29" t="n">
        <f aca="false">IF(OR(AI286="",N(O286)=0),"",AI286+AG286/O286)</f>
        <v>-0.115131578947368</v>
      </c>
      <c r="AK286" s="32" t="n">
        <f aca="false">IF(OR(AJ286="",N(AE286)=0),"",AJ286-AE286)</f>
        <v>0</v>
      </c>
      <c r="AL286" s="33" t="n">
        <f aca="false">IF(N(F286)=0,"",INDEX(Inputs!$B$28:$B$32,IFERROR(MATCH(F286,Inputs!$A$28:$A$32,1),0)+1))</f>
        <v>0.075</v>
      </c>
      <c r="AM286" s="34"/>
      <c r="AN286" s="33" t="n">
        <f aca="false">IF(N(AM286)&gt;0,AM286,AL286)</f>
        <v>0.075</v>
      </c>
      <c r="AO286" s="29" t="n">
        <f aca="false">IF(N(AN286)=0,"",AN286+IF(I286="yes",AN286*Inputs!$B$10*Inputs!$B$9,0)+IFERROR(INDEX(Inputs!$B$13:$B$15,MATCH(G286,Inputs!$A$13:$A$15,0)),0)+IFERROR(INDEX(Inputs!$B$18:$B$24,MATCH(H286,Inputs!$A$18:$A$24,0)),0))</f>
        <v>0.07125</v>
      </c>
      <c r="AP286" s="28" t="n">
        <f aca="false">IF(OR(N(AO286)&lt;=0,N(AG286)=0,N(L286)=0),"",MIN(L286,AG286/AO286))</f>
        <v>28.0701754385965</v>
      </c>
      <c r="AQ286" s="29" t="n">
        <f aca="false">IF(OR(AP286="",N(O286)=0),"",AP286/O286-1)</f>
        <v>-0.12280701754386</v>
      </c>
      <c r="AR286" s="29" t="n">
        <f aca="false">IF(OR(AQ286="",N(O286)=0),"",AQ286+AG286/O286)</f>
        <v>-0.0603070175438596</v>
      </c>
      <c r="AS286" s="32" t="n">
        <f aca="false">IF(OR(AR286="",N(AJ286)=0),"",AR286-AJ286)</f>
        <v>0.0548245614035088</v>
      </c>
      <c r="AT286" s="28" t="n">
        <v>50</v>
      </c>
      <c r="AU286" s="28" t="n">
        <v>2</v>
      </c>
      <c r="AV286" s="28" t="n">
        <f aca="false">IF(N(AT286)&gt;0,AT286,L286)</f>
        <v>50</v>
      </c>
      <c r="AW286" s="28" t="n">
        <f aca="false">IF(AND(N(M286)&gt;0,N(AV286)&gt;0),M286*AV286,IF(N(AU286)&gt;0,AU286,N286))</f>
        <v>2</v>
      </c>
      <c r="AX286" s="29" t="n">
        <f aca="false">IF(N(AN286)=0,"",AN286+IF(I286="yes",AN286*Inputs!$B$10*Inputs!$B$9,0)+IFERROR(INDEX(Inputs!$B$13:$B$15,MATCH(G286,Inputs!$A$13:$A$15,0)),0)+IFERROR(INDEX(Inputs!$B$18:$B$24,MATCH(H286,Inputs!$A$18:$A$24,0)),0))</f>
        <v>0.07125</v>
      </c>
      <c r="AY286" s="28" t="n">
        <f aca="false">IF(OR(N(AX286)&lt;=0,N(AW286)=0,N(AV286)=0),"",MIN(AV286,AW286/AX286))</f>
        <v>28.0701754385965</v>
      </c>
      <c r="AZ286" s="29" t="n">
        <f aca="false">IF(OR(AY286="",N(O286)=0),"",AY286/O286-1)</f>
        <v>-0.12280701754386</v>
      </c>
      <c r="BA286" s="29" t="n">
        <f aca="false">IF(OR(AZ286="",N(O286)=0),"",AZ286+AW286/O286)</f>
        <v>-0.0603070175438596</v>
      </c>
      <c r="BB286" s="32" t="n">
        <f aca="false">IF(OR(BA286="",N(AR286)=0),"",BA286-AR286)</f>
        <v>0</v>
      </c>
      <c r="BC286" s="35" t="n">
        <f aca="false">IF(OR(BA286="",N(U286)=0),"",BA286-U286)</f>
        <v>0.0548245614035088</v>
      </c>
      <c r="BD286" s="37"/>
    </row>
    <row r="287" customFormat="false" ht="15" hidden="false" customHeight="false" outlineLevel="0" collapsed="false">
      <c r="A287" s="2" t="s">
        <v>556</v>
      </c>
      <c r="B287" s="2" t="n">
        <v>120</v>
      </c>
      <c r="C287" s="2" t="s">
        <v>659</v>
      </c>
      <c r="D287" s="2" t="s">
        <v>651</v>
      </c>
      <c r="E287" s="2" t="s">
        <v>652</v>
      </c>
      <c r="F287" s="27" t="n">
        <v>27200</v>
      </c>
      <c r="G287" s="2" t="s">
        <v>51</v>
      </c>
      <c r="H287" s="2" t="s">
        <v>58</v>
      </c>
      <c r="I287" s="2" t="s">
        <v>151</v>
      </c>
      <c r="J287" s="2" t="s">
        <v>145</v>
      </c>
      <c r="K287" s="2" t="n">
        <v>4</v>
      </c>
      <c r="L287" s="28" t="n">
        <v>50</v>
      </c>
      <c r="M287" s="29" t="n">
        <v>0.044</v>
      </c>
      <c r="N287" s="28" t="n">
        <v>2.2</v>
      </c>
      <c r="O287" s="28" t="n">
        <v>34.5</v>
      </c>
      <c r="P287" s="2" t="s">
        <v>146</v>
      </c>
      <c r="Q287" s="29" t="n">
        <v>0.08</v>
      </c>
      <c r="R287" s="30" t="n">
        <v>0.076</v>
      </c>
      <c r="S287" s="31" t="n">
        <v>28.9473684210526</v>
      </c>
      <c r="T287" s="30" t="n">
        <v>-0.16094584286804</v>
      </c>
      <c r="U287" s="30" t="n">
        <v>-0.0971777269260106</v>
      </c>
      <c r="V287" s="29" t="n">
        <v>0</v>
      </c>
      <c r="W287" s="29" t="n">
        <f aca="false">IF(N(Q287)=0,"",Q287+IF(I287="yes",Q287*Inputs!$B$10*Inputs!$B$9,0)+V287)</f>
        <v>0.076</v>
      </c>
      <c r="X287" s="28" t="n">
        <f aca="false">IF(OR(N(W287)&lt;=0,N(N287)=0,N(L287)=0),"",MIN(L287,N287/W287))</f>
        <v>28.9473684210526</v>
      </c>
      <c r="Y287" s="29" t="n">
        <f aca="false">IF(OR(X287="",N(O287)=0),"",X287/O287-1)</f>
        <v>-0.16094584286804</v>
      </c>
      <c r="Z287" s="29" t="n">
        <f aca="false">IF(OR(Y287="",N(O287)=0),"",Y287+N287/O287)</f>
        <v>-0.0971777269260106</v>
      </c>
      <c r="AA287" s="32" t="n">
        <f aca="false">IF(OR(Z287="",N(U287)=0),"",Z287-U287)</f>
        <v>0</v>
      </c>
      <c r="AB287" s="29" t="n">
        <f aca="false">IF(N(Q287)=0,"",Q287+IF(I287="yes",Q287*Inputs!$B$10*Inputs!$B$9,0)+IFERROR(INDEX(Inputs!$B$13:$B$15,MATCH(G287,Inputs!$A$13:$A$15,0)),0)+IFERROR(INDEX(Inputs!$B$18:$B$24,MATCH(H287,Inputs!$A$18:$A$24,0)),0))</f>
        <v>0.076</v>
      </c>
      <c r="AC287" s="28" t="n">
        <f aca="false">IF(OR(N(AB287)&lt;=0,N(N287)=0,N(L287)=0),"",MIN(L287,N287/AB287))</f>
        <v>28.9473684210526</v>
      </c>
      <c r="AD287" s="29" t="n">
        <f aca="false">IF(OR(AC287="",N(O287)=0),"",AC287/O287-1)</f>
        <v>-0.16094584286804</v>
      </c>
      <c r="AE287" s="29" t="n">
        <f aca="false">IF(OR(AD287="",N(O287)=0),"",AD287+N287/O287)</f>
        <v>-0.0971777269260106</v>
      </c>
      <c r="AF287" s="32" t="n">
        <f aca="false">IF(OR(AE287="",N(Z287)=0),"",AE287-Z287)</f>
        <v>0</v>
      </c>
      <c r="AG287" s="28" t="n">
        <f aca="false">IF(AND(N(M287)&gt;0,N(L287)&gt;0),M287*L287,N287)</f>
        <v>2.2</v>
      </c>
      <c r="AH287" s="28" t="n">
        <f aca="false">IF(OR(N(AB287)&lt;=0,N(AG287)=0,N(L287)=0),"",MIN(L287,AG287/AB287))</f>
        <v>28.9473684210526</v>
      </c>
      <c r="AI287" s="29" t="n">
        <f aca="false">IF(OR(AH287="",N(O287)=0),"",AH287/O287-1)</f>
        <v>-0.16094584286804</v>
      </c>
      <c r="AJ287" s="29" t="n">
        <f aca="false">IF(OR(AI287="",N(O287)=0),"",AI287+AG287/O287)</f>
        <v>-0.0971777269260107</v>
      </c>
      <c r="AK287" s="32" t="n">
        <f aca="false">IF(OR(AJ287="",N(AE287)=0),"",AJ287-AE287)</f>
        <v>0</v>
      </c>
      <c r="AL287" s="33" t="n">
        <f aca="false">IF(N(F287)=0,"",INDEX(Inputs!$B$28:$B$32,IFERROR(MATCH(F287,Inputs!$A$28:$A$32,1),0)+1))</f>
        <v>0.075</v>
      </c>
      <c r="AM287" s="34"/>
      <c r="AN287" s="33" t="n">
        <f aca="false">IF(N(AM287)&gt;0,AM287,AL287)</f>
        <v>0.075</v>
      </c>
      <c r="AO287" s="29" t="n">
        <f aca="false">IF(N(AN287)=0,"",AN287+IF(I287="yes",AN287*Inputs!$B$10*Inputs!$B$9,0)+IFERROR(INDEX(Inputs!$B$13:$B$15,MATCH(G287,Inputs!$A$13:$A$15,0)),0)+IFERROR(INDEX(Inputs!$B$18:$B$24,MATCH(H287,Inputs!$A$18:$A$24,0)),0))</f>
        <v>0.07125</v>
      </c>
      <c r="AP287" s="28" t="n">
        <f aca="false">IF(OR(N(AO287)&lt;=0,N(AG287)=0,N(L287)=0),"",MIN(L287,AG287/AO287))</f>
        <v>30.8771929824561</v>
      </c>
      <c r="AQ287" s="29" t="n">
        <f aca="false">IF(OR(AP287="",N(O287)=0),"",AP287/O287-1)</f>
        <v>-0.105008899059242</v>
      </c>
      <c r="AR287" s="29" t="n">
        <f aca="false">IF(OR(AQ287="",N(O287)=0),"",AQ287+AG287/O287)</f>
        <v>-0.0412407831172133</v>
      </c>
      <c r="AS287" s="32" t="n">
        <f aca="false">IF(OR(AR287="",N(AJ287)=0),"",AR287-AJ287)</f>
        <v>0.0559369438087974</v>
      </c>
      <c r="AT287" s="28" t="n">
        <v>50</v>
      </c>
      <c r="AU287" s="28" t="n">
        <v>2.2</v>
      </c>
      <c r="AV287" s="28" t="n">
        <f aca="false">IF(N(AT287)&gt;0,AT287,L287)</f>
        <v>50</v>
      </c>
      <c r="AW287" s="28" t="n">
        <f aca="false">IF(AND(N(M287)&gt;0,N(AV287)&gt;0),M287*AV287,IF(N(AU287)&gt;0,AU287,N287))</f>
        <v>2.2</v>
      </c>
      <c r="AX287" s="29" t="n">
        <f aca="false">IF(N(AN287)=0,"",AN287+IF(I287="yes",AN287*Inputs!$B$10*Inputs!$B$9,0)+IFERROR(INDEX(Inputs!$B$13:$B$15,MATCH(G287,Inputs!$A$13:$A$15,0)),0)+IFERROR(INDEX(Inputs!$B$18:$B$24,MATCH(H287,Inputs!$A$18:$A$24,0)),0))</f>
        <v>0.07125</v>
      </c>
      <c r="AY287" s="28" t="n">
        <f aca="false">IF(OR(N(AX287)&lt;=0,N(AW287)=0,N(AV287)=0),"",MIN(AV287,AW287/AX287))</f>
        <v>30.8771929824561</v>
      </c>
      <c r="AZ287" s="29" t="n">
        <f aca="false">IF(OR(AY287="",N(O287)=0),"",AY287/O287-1)</f>
        <v>-0.105008899059242</v>
      </c>
      <c r="BA287" s="29" t="n">
        <f aca="false">IF(OR(AZ287="",N(O287)=0),"",AZ287+AW287/O287)</f>
        <v>-0.0412407831172133</v>
      </c>
      <c r="BB287" s="32" t="n">
        <f aca="false">IF(OR(BA287="",N(AR287)=0),"",BA287-AR287)</f>
        <v>0</v>
      </c>
      <c r="BC287" s="35" t="n">
        <f aca="false">IF(OR(BA287="",N(U287)=0),"",BA287-U287)</f>
        <v>0.0559369438087973</v>
      </c>
      <c r="BD287" s="37"/>
    </row>
    <row r="288" customFormat="false" ht="15" hidden="false" customHeight="false" outlineLevel="0" collapsed="false">
      <c r="A288" s="2" t="s">
        <v>556</v>
      </c>
      <c r="B288" s="2" t="n">
        <v>121</v>
      </c>
      <c r="C288" s="2" t="s">
        <v>660</v>
      </c>
      <c r="D288" s="2" t="s">
        <v>651</v>
      </c>
      <c r="E288" s="2" t="s">
        <v>652</v>
      </c>
      <c r="F288" s="27" t="n">
        <v>27200</v>
      </c>
      <c r="G288" s="2" t="s">
        <v>51</v>
      </c>
      <c r="H288" s="2" t="s">
        <v>58</v>
      </c>
      <c r="I288" s="2" t="s">
        <v>151</v>
      </c>
      <c r="J288" s="2" t="s">
        <v>145</v>
      </c>
      <c r="K288" s="2" t="n">
        <v>4</v>
      </c>
      <c r="L288" s="28" t="n">
        <v>50</v>
      </c>
      <c r="M288" s="29" t="n">
        <v>0.0418</v>
      </c>
      <c r="N288" s="28" t="n">
        <v>2.09</v>
      </c>
      <c r="O288" s="28" t="n">
        <v>33.05</v>
      </c>
      <c r="P288" s="2" t="s">
        <v>146</v>
      </c>
      <c r="Q288" s="29" t="n">
        <v>0.08</v>
      </c>
      <c r="R288" s="30" t="n">
        <v>0.076</v>
      </c>
      <c r="S288" s="31" t="n">
        <v>27.5</v>
      </c>
      <c r="T288" s="30" t="n">
        <v>-0.167927382753404</v>
      </c>
      <c r="U288" s="30" t="n">
        <v>-0.104689863842663</v>
      </c>
      <c r="V288" s="29" t="n">
        <v>0</v>
      </c>
      <c r="W288" s="29" t="n">
        <f aca="false">IF(N(Q288)=0,"",Q288+IF(I288="yes",Q288*Inputs!$B$10*Inputs!$B$9,0)+V288)</f>
        <v>0.076</v>
      </c>
      <c r="X288" s="28" t="n">
        <f aca="false">IF(OR(N(W288)&lt;=0,N(N288)=0,N(L288)=0),"",MIN(L288,N288/W288))</f>
        <v>27.5</v>
      </c>
      <c r="Y288" s="29" t="n">
        <f aca="false">IF(OR(X288="",N(O288)=0),"",X288/O288-1)</f>
        <v>-0.167927382753404</v>
      </c>
      <c r="Z288" s="29" t="n">
        <f aca="false">IF(OR(Y288="",N(O288)=0),"",Y288+N288/O288)</f>
        <v>-0.104689863842663</v>
      </c>
      <c r="AA288" s="32" t="n">
        <f aca="false">IF(OR(Z288="",N(U288)=0),"",Z288-U288)</f>
        <v>0</v>
      </c>
      <c r="AB288" s="29" t="n">
        <f aca="false">IF(N(Q288)=0,"",Q288+IF(I288="yes",Q288*Inputs!$B$10*Inputs!$B$9,0)+IFERROR(INDEX(Inputs!$B$13:$B$15,MATCH(G288,Inputs!$A$13:$A$15,0)),0)+IFERROR(INDEX(Inputs!$B$18:$B$24,MATCH(H288,Inputs!$A$18:$A$24,0)),0))</f>
        <v>0.076</v>
      </c>
      <c r="AC288" s="28" t="n">
        <f aca="false">IF(OR(N(AB288)&lt;=0,N(N288)=0,N(L288)=0),"",MIN(L288,N288/AB288))</f>
        <v>27.5</v>
      </c>
      <c r="AD288" s="29" t="n">
        <f aca="false">IF(OR(AC288="",N(O288)=0),"",AC288/O288-1)</f>
        <v>-0.167927382753404</v>
      </c>
      <c r="AE288" s="29" t="n">
        <f aca="false">IF(OR(AD288="",N(O288)=0),"",AD288+N288/O288)</f>
        <v>-0.104689863842663</v>
      </c>
      <c r="AF288" s="32" t="n">
        <f aca="false">IF(OR(AE288="",N(Z288)=0),"",AE288-Z288)</f>
        <v>0</v>
      </c>
      <c r="AG288" s="28" t="n">
        <f aca="false">IF(AND(N(M288)&gt;0,N(L288)&gt;0),M288*L288,N288)</f>
        <v>2.09</v>
      </c>
      <c r="AH288" s="28" t="n">
        <f aca="false">IF(OR(N(AB288)&lt;=0,N(AG288)=0,N(L288)=0),"",MIN(L288,AG288/AB288))</f>
        <v>27.5</v>
      </c>
      <c r="AI288" s="29" t="n">
        <f aca="false">IF(OR(AH288="",N(O288)=0),"",AH288/O288-1)</f>
        <v>-0.167927382753404</v>
      </c>
      <c r="AJ288" s="29" t="n">
        <f aca="false">IF(OR(AI288="",N(O288)=0),"",AI288+AG288/O288)</f>
        <v>-0.104689863842663</v>
      </c>
      <c r="AK288" s="32" t="n">
        <f aca="false">IF(OR(AJ288="",N(AE288)=0),"",AJ288-AE288)</f>
        <v>0</v>
      </c>
      <c r="AL288" s="33" t="n">
        <f aca="false">IF(N(F288)=0,"",INDEX(Inputs!$B$28:$B$32,IFERROR(MATCH(F288,Inputs!$A$28:$A$32,1),0)+1))</f>
        <v>0.075</v>
      </c>
      <c r="AM288" s="34"/>
      <c r="AN288" s="33" t="n">
        <f aca="false">IF(N(AM288)&gt;0,AM288,AL288)</f>
        <v>0.075</v>
      </c>
      <c r="AO288" s="29" t="n">
        <f aca="false">IF(N(AN288)=0,"",AN288+IF(I288="yes",AN288*Inputs!$B$10*Inputs!$B$9,0)+IFERROR(INDEX(Inputs!$B$13:$B$15,MATCH(G288,Inputs!$A$13:$A$15,0)),0)+IFERROR(INDEX(Inputs!$B$18:$B$24,MATCH(H288,Inputs!$A$18:$A$24,0)),0))</f>
        <v>0.07125</v>
      </c>
      <c r="AP288" s="28" t="n">
        <f aca="false">IF(OR(N(AO288)&lt;=0,N(AG288)=0,N(L288)=0),"",MIN(L288,AG288/AO288))</f>
        <v>29.3333333333333</v>
      </c>
      <c r="AQ288" s="29" t="n">
        <f aca="false">IF(OR(AP288="",N(O288)=0),"",AP288/O288-1)</f>
        <v>-0.112455874936964</v>
      </c>
      <c r="AR288" s="29" t="n">
        <f aca="false">IF(OR(AQ288="",N(O288)=0),"",AQ288+AG288/O288)</f>
        <v>-0.0492183560262229</v>
      </c>
      <c r="AS288" s="32" t="n">
        <f aca="false">IF(OR(AR288="",N(AJ288)=0),"",AR288-AJ288)</f>
        <v>0.0554715078164397</v>
      </c>
      <c r="AT288" s="28" t="n">
        <v>50</v>
      </c>
      <c r="AU288" s="28" t="n">
        <v>2.09</v>
      </c>
      <c r="AV288" s="28" t="n">
        <f aca="false">IF(N(AT288)&gt;0,AT288,L288)</f>
        <v>50</v>
      </c>
      <c r="AW288" s="28" t="n">
        <f aca="false">IF(AND(N(M288)&gt;0,N(AV288)&gt;0),M288*AV288,IF(N(AU288)&gt;0,AU288,N288))</f>
        <v>2.09</v>
      </c>
      <c r="AX288" s="29" t="n">
        <f aca="false">IF(N(AN288)=0,"",AN288+IF(I288="yes",AN288*Inputs!$B$10*Inputs!$B$9,0)+IFERROR(INDEX(Inputs!$B$13:$B$15,MATCH(G288,Inputs!$A$13:$A$15,0)),0)+IFERROR(INDEX(Inputs!$B$18:$B$24,MATCH(H288,Inputs!$A$18:$A$24,0)),0))</f>
        <v>0.07125</v>
      </c>
      <c r="AY288" s="28" t="n">
        <f aca="false">IF(OR(N(AX288)&lt;=0,N(AW288)=0,N(AV288)=0),"",MIN(AV288,AW288/AX288))</f>
        <v>29.3333333333333</v>
      </c>
      <c r="AZ288" s="29" t="n">
        <f aca="false">IF(OR(AY288="",N(O288)=0),"",AY288/O288-1)</f>
        <v>-0.112455874936964</v>
      </c>
      <c r="BA288" s="29" t="n">
        <f aca="false">IF(OR(AZ288="",N(O288)=0),"",AZ288+AW288/O288)</f>
        <v>-0.0492183560262229</v>
      </c>
      <c r="BB288" s="32" t="n">
        <f aca="false">IF(OR(BA288="",N(AR288)=0),"",BA288-AR288)</f>
        <v>0</v>
      </c>
      <c r="BC288" s="35" t="n">
        <f aca="false">IF(OR(BA288="",N(U288)=0),"",BA288-U288)</f>
        <v>0.0554715078164398</v>
      </c>
      <c r="BD288" s="37"/>
    </row>
    <row r="289" customFormat="false" ht="15" hidden="false" customHeight="false" outlineLevel="0" collapsed="false">
      <c r="A289" s="2" t="s">
        <v>556</v>
      </c>
      <c r="B289" s="2" t="n">
        <v>122</v>
      </c>
      <c r="C289" s="2" t="s">
        <v>661</v>
      </c>
      <c r="D289" s="2" t="s">
        <v>651</v>
      </c>
      <c r="E289" s="2" t="s">
        <v>652</v>
      </c>
      <c r="F289" s="27" t="n">
        <v>27200</v>
      </c>
      <c r="G289" s="2" t="s">
        <v>51</v>
      </c>
      <c r="H289" s="2" t="s">
        <v>58</v>
      </c>
      <c r="I289" s="2" t="s">
        <v>151</v>
      </c>
      <c r="J289" s="2" t="s">
        <v>145</v>
      </c>
      <c r="K289" s="2" t="n">
        <v>4</v>
      </c>
      <c r="L289" s="28" t="n">
        <v>50</v>
      </c>
      <c r="M289" s="29" t="n">
        <v>0.0408</v>
      </c>
      <c r="N289" s="28" t="n">
        <v>2.04</v>
      </c>
      <c r="O289" s="28" t="n">
        <v>32.7904</v>
      </c>
      <c r="P289" s="2" t="s">
        <v>146</v>
      </c>
      <c r="Q289" s="29" t="n">
        <v>0.08</v>
      </c>
      <c r="R289" s="30" t="n">
        <v>0.076</v>
      </c>
      <c r="S289" s="31" t="n">
        <v>26.8421052631579</v>
      </c>
      <c r="T289" s="30" t="n">
        <v>-0.181403543013873</v>
      </c>
      <c r="U289" s="30" t="n">
        <v>-0.119190212282927</v>
      </c>
      <c r="V289" s="29" t="n">
        <v>0</v>
      </c>
      <c r="W289" s="29" t="n">
        <f aca="false">IF(N(Q289)=0,"",Q289+IF(I289="yes",Q289*Inputs!$B$10*Inputs!$B$9,0)+V289)</f>
        <v>0.076</v>
      </c>
      <c r="X289" s="28" t="n">
        <f aca="false">IF(OR(N(W289)&lt;=0,N(N289)=0,N(L289)=0),"",MIN(L289,N289/W289))</f>
        <v>26.8421052631579</v>
      </c>
      <c r="Y289" s="29" t="n">
        <f aca="false">IF(OR(X289="",N(O289)=0),"",X289/O289-1)</f>
        <v>-0.181403543013873</v>
      </c>
      <c r="Z289" s="29" t="n">
        <f aca="false">IF(OR(Y289="",N(O289)=0),"",Y289+N289/O289)</f>
        <v>-0.119190212282927</v>
      </c>
      <c r="AA289" s="32" t="n">
        <f aca="false">IF(OR(Z289="",N(U289)=0),"",Z289-U289)</f>
        <v>0</v>
      </c>
      <c r="AB289" s="29" t="n">
        <f aca="false">IF(N(Q289)=0,"",Q289+IF(I289="yes",Q289*Inputs!$B$10*Inputs!$B$9,0)+IFERROR(INDEX(Inputs!$B$13:$B$15,MATCH(G289,Inputs!$A$13:$A$15,0)),0)+IFERROR(INDEX(Inputs!$B$18:$B$24,MATCH(H289,Inputs!$A$18:$A$24,0)),0))</f>
        <v>0.076</v>
      </c>
      <c r="AC289" s="28" t="n">
        <f aca="false">IF(OR(N(AB289)&lt;=0,N(N289)=0,N(L289)=0),"",MIN(L289,N289/AB289))</f>
        <v>26.8421052631579</v>
      </c>
      <c r="AD289" s="29" t="n">
        <f aca="false">IF(OR(AC289="",N(O289)=0),"",AC289/O289-1)</f>
        <v>-0.181403543013873</v>
      </c>
      <c r="AE289" s="29" t="n">
        <f aca="false">IF(OR(AD289="",N(O289)=0),"",AD289+N289/O289)</f>
        <v>-0.119190212282927</v>
      </c>
      <c r="AF289" s="32" t="n">
        <f aca="false">IF(OR(AE289="",N(Z289)=0),"",AE289-Z289)</f>
        <v>0</v>
      </c>
      <c r="AG289" s="28" t="n">
        <f aca="false">IF(AND(N(M289)&gt;0,N(L289)&gt;0),M289*L289,N289)</f>
        <v>2.04</v>
      </c>
      <c r="AH289" s="28" t="n">
        <f aca="false">IF(OR(N(AB289)&lt;=0,N(AG289)=0,N(L289)=0),"",MIN(L289,AG289/AB289))</f>
        <v>26.8421052631579</v>
      </c>
      <c r="AI289" s="29" t="n">
        <f aca="false">IF(OR(AH289="",N(O289)=0),"",AH289/O289-1)</f>
        <v>-0.181403543013873</v>
      </c>
      <c r="AJ289" s="29" t="n">
        <f aca="false">IF(OR(AI289="",N(O289)=0),"",AI289+AG289/O289)</f>
        <v>-0.119190212282927</v>
      </c>
      <c r="AK289" s="32" t="n">
        <f aca="false">IF(OR(AJ289="",N(AE289)=0),"",AJ289-AE289)</f>
        <v>0</v>
      </c>
      <c r="AL289" s="33" t="n">
        <f aca="false">IF(N(F289)=0,"",INDEX(Inputs!$B$28:$B$32,IFERROR(MATCH(F289,Inputs!$A$28:$A$32,1),0)+1))</f>
        <v>0.075</v>
      </c>
      <c r="AM289" s="34"/>
      <c r="AN289" s="33" t="n">
        <f aca="false">IF(N(AM289)&gt;0,AM289,AL289)</f>
        <v>0.075</v>
      </c>
      <c r="AO289" s="29" t="n">
        <f aca="false">IF(N(AN289)=0,"",AN289+IF(I289="yes",AN289*Inputs!$B$10*Inputs!$B$9,0)+IFERROR(INDEX(Inputs!$B$13:$B$15,MATCH(G289,Inputs!$A$13:$A$15,0)),0)+IFERROR(INDEX(Inputs!$B$18:$B$24,MATCH(H289,Inputs!$A$18:$A$24,0)),0))</f>
        <v>0.07125</v>
      </c>
      <c r="AP289" s="28" t="n">
        <f aca="false">IF(OR(N(AO289)&lt;=0,N(AG289)=0,N(L289)=0),"",MIN(L289,AG289/AO289))</f>
        <v>28.6315789473684</v>
      </c>
      <c r="AQ289" s="29" t="n">
        <f aca="false">IF(OR(AP289="",N(O289)=0),"",AP289/O289-1)</f>
        <v>-0.126830445881465</v>
      </c>
      <c r="AR289" s="29" t="n">
        <f aca="false">IF(OR(AQ289="",N(O289)=0),"",AQ289+AG289/O289)</f>
        <v>-0.0646171151505189</v>
      </c>
      <c r="AS289" s="32" t="n">
        <f aca="false">IF(OR(AR289="",N(AJ289)=0),"",AR289-AJ289)</f>
        <v>0.0545730971324084</v>
      </c>
      <c r="AT289" s="28" t="n">
        <v>50</v>
      </c>
      <c r="AU289" s="28" t="n">
        <v>2.04</v>
      </c>
      <c r="AV289" s="28" t="n">
        <f aca="false">IF(N(AT289)&gt;0,AT289,L289)</f>
        <v>50</v>
      </c>
      <c r="AW289" s="28" t="n">
        <f aca="false">IF(AND(N(M289)&gt;0,N(AV289)&gt;0),M289*AV289,IF(N(AU289)&gt;0,AU289,N289))</f>
        <v>2.04</v>
      </c>
      <c r="AX289" s="29" t="n">
        <f aca="false">IF(N(AN289)=0,"",AN289+IF(I289="yes",AN289*Inputs!$B$10*Inputs!$B$9,0)+IFERROR(INDEX(Inputs!$B$13:$B$15,MATCH(G289,Inputs!$A$13:$A$15,0)),0)+IFERROR(INDEX(Inputs!$B$18:$B$24,MATCH(H289,Inputs!$A$18:$A$24,0)),0))</f>
        <v>0.07125</v>
      </c>
      <c r="AY289" s="28" t="n">
        <f aca="false">IF(OR(N(AX289)&lt;=0,N(AW289)=0,N(AV289)=0),"",MIN(AV289,AW289/AX289))</f>
        <v>28.6315789473684</v>
      </c>
      <c r="AZ289" s="29" t="n">
        <f aca="false">IF(OR(AY289="",N(O289)=0),"",AY289/O289-1)</f>
        <v>-0.126830445881465</v>
      </c>
      <c r="BA289" s="29" t="n">
        <f aca="false">IF(OR(AZ289="",N(O289)=0),"",AZ289+AW289/O289)</f>
        <v>-0.0646171151505189</v>
      </c>
      <c r="BB289" s="32" t="n">
        <f aca="false">IF(OR(BA289="",N(AR289)=0),"",BA289-AR289)</f>
        <v>0</v>
      </c>
      <c r="BC289" s="35" t="n">
        <f aca="false">IF(OR(BA289="",N(U289)=0),"",BA289-U289)</f>
        <v>0.0545730971324084</v>
      </c>
      <c r="BD289" s="37"/>
    </row>
    <row r="290" customFormat="false" ht="15" hidden="false" customHeight="false" outlineLevel="0" collapsed="false">
      <c r="A290" s="2" t="s">
        <v>556</v>
      </c>
      <c r="B290" s="2" t="n">
        <v>123</v>
      </c>
      <c r="C290" s="2" t="s">
        <v>662</v>
      </c>
      <c r="D290" s="2" t="s">
        <v>651</v>
      </c>
      <c r="E290" s="2" t="s">
        <v>652</v>
      </c>
      <c r="F290" s="27" t="n">
        <v>27200</v>
      </c>
      <c r="G290" s="2" t="s">
        <v>51</v>
      </c>
      <c r="H290" s="2" t="s">
        <v>58</v>
      </c>
      <c r="I290" s="2" t="s">
        <v>151</v>
      </c>
      <c r="J290" s="2" t="s">
        <v>145</v>
      </c>
      <c r="K290" s="2" t="n">
        <v>4</v>
      </c>
      <c r="L290" s="28" t="n">
        <v>50</v>
      </c>
      <c r="M290" s="29" t="n">
        <v>0.0496</v>
      </c>
      <c r="N290" s="28" t="n">
        <v>2.48</v>
      </c>
      <c r="O290" s="28" t="n">
        <v>38.4</v>
      </c>
      <c r="P290" s="2" t="s">
        <v>146</v>
      </c>
      <c r="Q290" s="29" t="n">
        <v>0.08</v>
      </c>
      <c r="R290" s="30" t="n">
        <v>0.076</v>
      </c>
      <c r="S290" s="31" t="n">
        <v>32.6315789473684</v>
      </c>
      <c r="T290" s="30" t="n">
        <v>-0.150219298245614</v>
      </c>
      <c r="U290" s="30" t="n">
        <v>-0.0856359649122805</v>
      </c>
      <c r="V290" s="29" t="n">
        <v>0</v>
      </c>
      <c r="W290" s="29" t="n">
        <f aca="false">IF(N(Q290)=0,"",Q290+IF(I290="yes",Q290*Inputs!$B$10*Inputs!$B$9,0)+V290)</f>
        <v>0.076</v>
      </c>
      <c r="X290" s="28" t="n">
        <f aca="false">IF(OR(N(W290)&lt;=0,N(N290)=0,N(L290)=0),"",MIN(L290,N290/W290))</f>
        <v>32.6315789473684</v>
      </c>
      <c r="Y290" s="29" t="n">
        <f aca="false">IF(OR(X290="",N(O290)=0),"",X290/O290-1)</f>
        <v>-0.150219298245614</v>
      </c>
      <c r="Z290" s="29" t="n">
        <f aca="false">IF(OR(Y290="",N(O290)=0),"",Y290+N290/O290)</f>
        <v>-0.0856359649122805</v>
      </c>
      <c r="AA290" s="32" t="n">
        <f aca="false">IF(OR(Z290="",N(U290)=0),"",Z290-U290)</f>
        <v>0</v>
      </c>
      <c r="AB290" s="29" t="n">
        <f aca="false">IF(N(Q290)=0,"",Q290+IF(I290="yes",Q290*Inputs!$B$10*Inputs!$B$9,0)+IFERROR(INDEX(Inputs!$B$13:$B$15,MATCH(G290,Inputs!$A$13:$A$15,0)),0)+IFERROR(INDEX(Inputs!$B$18:$B$24,MATCH(H290,Inputs!$A$18:$A$24,0)),0))</f>
        <v>0.076</v>
      </c>
      <c r="AC290" s="28" t="n">
        <f aca="false">IF(OR(N(AB290)&lt;=0,N(N290)=0,N(L290)=0),"",MIN(L290,N290/AB290))</f>
        <v>32.6315789473684</v>
      </c>
      <c r="AD290" s="29" t="n">
        <f aca="false">IF(OR(AC290="",N(O290)=0),"",AC290/O290-1)</f>
        <v>-0.150219298245614</v>
      </c>
      <c r="AE290" s="29" t="n">
        <f aca="false">IF(OR(AD290="",N(O290)=0),"",AD290+N290/O290)</f>
        <v>-0.0856359649122805</v>
      </c>
      <c r="AF290" s="32" t="n">
        <f aca="false">IF(OR(AE290="",N(Z290)=0),"",AE290-Z290)</f>
        <v>0</v>
      </c>
      <c r="AG290" s="28" t="n">
        <f aca="false">IF(AND(N(M290)&gt;0,N(L290)&gt;0),M290*L290,N290)</f>
        <v>2.48</v>
      </c>
      <c r="AH290" s="28" t="n">
        <f aca="false">IF(OR(N(AB290)&lt;=0,N(AG290)=0,N(L290)=0),"",MIN(L290,AG290/AB290))</f>
        <v>32.6315789473684</v>
      </c>
      <c r="AI290" s="29" t="n">
        <f aca="false">IF(OR(AH290="",N(O290)=0),"",AH290/O290-1)</f>
        <v>-0.150219298245614</v>
      </c>
      <c r="AJ290" s="29" t="n">
        <f aca="false">IF(OR(AI290="",N(O290)=0),"",AI290+AG290/O290)</f>
        <v>-0.0856359649122805</v>
      </c>
      <c r="AK290" s="32" t="n">
        <f aca="false">IF(OR(AJ290="",N(AE290)=0),"",AJ290-AE290)</f>
        <v>0</v>
      </c>
      <c r="AL290" s="33" t="n">
        <f aca="false">IF(N(F290)=0,"",INDEX(Inputs!$B$28:$B$32,IFERROR(MATCH(F290,Inputs!$A$28:$A$32,1),0)+1))</f>
        <v>0.075</v>
      </c>
      <c r="AM290" s="34"/>
      <c r="AN290" s="33" t="n">
        <f aca="false">IF(N(AM290)&gt;0,AM290,AL290)</f>
        <v>0.075</v>
      </c>
      <c r="AO290" s="29" t="n">
        <f aca="false">IF(N(AN290)=0,"",AN290+IF(I290="yes",AN290*Inputs!$B$10*Inputs!$B$9,0)+IFERROR(INDEX(Inputs!$B$13:$B$15,MATCH(G290,Inputs!$A$13:$A$15,0)),0)+IFERROR(INDEX(Inputs!$B$18:$B$24,MATCH(H290,Inputs!$A$18:$A$24,0)),0))</f>
        <v>0.07125</v>
      </c>
      <c r="AP290" s="28" t="n">
        <f aca="false">IF(OR(N(AO290)&lt;=0,N(AG290)=0,N(L290)=0),"",MIN(L290,AG290/AO290))</f>
        <v>34.8070175438597</v>
      </c>
      <c r="AQ290" s="29" t="n">
        <f aca="false">IF(OR(AP290="",N(O290)=0),"",AP290/O290-1)</f>
        <v>-0.0935672514619882</v>
      </c>
      <c r="AR290" s="29" t="n">
        <f aca="false">IF(OR(AQ290="",N(O290)=0),"",AQ290+AG290/O290)</f>
        <v>-0.0289839181286548</v>
      </c>
      <c r="AS290" s="32" t="n">
        <f aca="false">IF(OR(AR290="",N(AJ290)=0),"",AR290-AJ290)</f>
        <v>0.0566520467836257</v>
      </c>
      <c r="AT290" s="28" t="n">
        <v>50</v>
      </c>
      <c r="AU290" s="28" t="n">
        <v>2.48</v>
      </c>
      <c r="AV290" s="28" t="n">
        <f aca="false">IF(N(AT290)&gt;0,AT290,L290)</f>
        <v>50</v>
      </c>
      <c r="AW290" s="28" t="n">
        <f aca="false">IF(AND(N(M290)&gt;0,N(AV290)&gt;0),M290*AV290,IF(N(AU290)&gt;0,AU290,N290))</f>
        <v>2.48</v>
      </c>
      <c r="AX290" s="29" t="n">
        <f aca="false">IF(N(AN290)=0,"",AN290+IF(I290="yes",AN290*Inputs!$B$10*Inputs!$B$9,0)+IFERROR(INDEX(Inputs!$B$13:$B$15,MATCH(G290,Inputs!$A$13:$A$15,0)),0)+IFERROR(INDEX(Inputs!$B$18:$B$24,MATCH(H290,Inputs!$A$18:$A$24,0)),0))</f>
        <v>0.07125</v>
      </c>
      <c r="AY290" s="28" t="n">
        <f aca="false">IF(OR(N(AX290)&lt;=0,N(AW290)=0,N(AV290)=0),"",MIN(AV290,AW290/AX290))</f>
        <v>34.8070175438597</v>
      </c>
      <c r="AZ290" s="29" t="n">
        <f aca="false">IF(OR(AY290="",N(O290)=0),"",AY290/O290-1)</f>
        <v>-0.0935672514619882</v>
      </c>
      <c r="BA290" s="29" t="n">
        <f aca="false">IF(OR(AZ290="",N(O290)=0),"",AZ290+AW290/O290)</f>
        <v>-0.0289839181286548</v>
      </c>
      <c r="BB290" s="32" t="n">
        <f aca="false">IF(OR(BA290="",N(AR290)=0),"",BA290-AR290)</f>
        <v>0</v>
      </c>
      <c r="BC290" s="35" t="n">
        <f aca="false">IF(OR(BA290="",N(U290)=0),"",BA290-U290)</f>
        <v>0.0566520467836257</v>
      </c>
      <c r="BD290" s="37"/>
    </row>
    <row r="291" customFormat="false" ht="15" hidden="false" customHeight="false" outlineLevel="0" collapsed="false">
      <c r="A291" s="2" t="s">
        <v>556</v>
      </c>
      <c r="B291" s="2" t="n">
        <v>124</v>
      </c>
      <c r="C291" s="2" t="s">
        <v>663</v>
      </c>
      <c r="D291" s="2" t="s">
        <v>651</v>
      </c>
      <c r="E291" s="2" t="s">
        <v>652</v>
      </c>
      <c r="F291" s="27" t="n">
        <v>27200</v>
      </c>
      <c r="G291" s="2" t="s">
        <v>51</v>
      </c>
      <c r="H291" s="2" t="s">
        <v>58</v>
      </c>
      <c r="I291" s="2" t="s">
        <v>151</v>
      </c>
      <c r="J291" s="2" t="s">
        <v>145</v>
      </c>
      <c r="K291" s="2" t="n">
        <v>4</v>
      </c>
      <c r="L291" s="28" t="n">
        <v>50</v>
      </c>
      <c r="M291" s="29" t="n">
        <v>0.0528</v>
      </c>
      <c r="N291" s="28" t="n">
        <v>2.64</v>
      </c>
      <c r="O291" s="28" t="n">
        <v>42.5</v>
      </c>
      <c r="P291" s="2" t="s">
        <v>146</v>
      </c>
      <c r="Q291" s="29" t="n">
        <v>0.08</v>
      </c>
      <c r="R291" s="30" t="n">
        <v>0.076</v>
      </c>
      <c r="S291" s="31" t="n">
        <v>34.7368421052632</v>
      </c>
      <c r="T291" s="30" t="n">
        <v>-0.18266253869969</v>
      </c>
      <c r="U291" s="30" t="n">
        <v>-0.120544891640867</v>
      </c>
      <c r="V291" s="29" t="n">
        <v>0</v>
      </c>
      <c r="W291" s="29" t="n">
        <f aca="false">IF(N(Q291)=0,"",Q291+IF(I291="yes",Q291*Inputs!$B$10*Inputs!$B$9,0)+V291)</f>
        <v>0.076</v>
      </c>
      <c r="X291" s="28" t="n">
        <f aca="false">IF(OR(N(W291)&lt;=0,N(N291)=0,N(L291)=0),"",MIN(L291,N291/W291))</f>
        <v>34.7368421052632</v>
      </c>
      <c r="Y291" s="29" t="n">
        <f aca="false">IF(OR(X291="",N(O291)=0),"",X291/O291-1)</f>
        <v>-0.18266253869969</v>
      </c>
      <c r="Z291" s="29" t="n">
        <f aca="false">IF(OR(Y291="",N(O291)=0),"",Y291+N291/O291)</f>
        <v>-0.120544891640867</v>
      </c>
      <c r="AA291" s="32" t="n">
        <f aca="false">IF(OR(Z291="",N(U291)=0),"",Z291-U291)</f>
        <v>0</v>
      </c>
      <c r="AB291" s="29" t="n">
        <f aca="false">IF(N(Q291)=0,"",Q291+IF(I291="yes",Q291*Inputs!$B$10*Inputs!$B$9,0)+IFERROR(INDEX(Inputs!$B$13:$B$15,MATCH(G291,Inputs!$A$13:$A$15,0)),0)+IFERROR(INDEX(Inputs!$B$18:$B$24,MATCH(H291,Inputs!$A$18:$A$24,0)),0))</f>
        <v>0.076</v>
      </c>
      <c r="AC291" s="28" t="n">
        <f aca="false">IF(OR(N(AB291)&lt;=0,N(N291)=0,N(L291)=0),"",MIN(L291,N291/AB291))</f>
        <v>34.7368421052632</v>
      </c>
      <c r="AD291" s="29" t="n">
        <f aca="false">IF(OR(AC291="",N(O291)=0),"",AC291/O291-1)</f>
        <v>-0.18266253869969</v>
      </c>
      <c r="AE291" s="29" t="n">
        <f aca="false">IF(OR(AD291="",N(O291)=0),"",AD291+N291/O291)</f>
        <v>-0.120544891640867</v>
      </c>
      <c r="AF291" s="32" t="n">
        <f aca="false">IF(OR(AE291="",N(Z291)=0),"",AE291-Z291)</f>
        <v>0</v>
      </c>
      <c r="AG291" s="28" t="n">
        <f aca="false">IF(AND(N(M291)&gt;0,N(L291)&gt;0),M291*L291,N291)</f>
        <v>2.64</v>
      </c>
      <c r="AH291" s="28" t="n">
        <f aca="false">IF(OR(N(AB291)&lt;=0,N(AG291)=0,N(L291)=0),"",MIN(L291,AG291/AB291))</f>
        <v>34.7368421052632</v>
      </c>
      <c r="AI291" s="29" t="n">
        <f aca="false">IF(OR(AH291="",N(O291)=0),"",AH291/O291-1)</f>
        <v>-0.18266253869969</v>
      </c>
      <c r="AJ291" s="29" t="n">
        <f aca="false">IF(OR(AI291="",N(O291)=0),"",AI291+AG291/O291)</f>
        <v>-0.120544891640867</v>
      </c>
      <c r="AK291" s="32" t="n">
        <f aca="false">IF(OR(AJ291="",N(AE291)=0),"",AJ291-AE291)</f>
        <v>0</v>
      </c>
      <c r="AL291" s="33" t="n">
        <f aca="false">IF(N(F291)=0,"",INDEX(Inputs!$B$28:$B$32,IFERROR(MATCH(F291,Inputs!$A$28:$A$32,1),0)+1))</f>
        <v>0.075</v>
      </c>
      <c r="AM291" s="34"/>
      <c r="AN291" s="33" t="n">
        <f aca="false">IF(N(AM291)&gt;0,AM291,AL291)</f>
        <v>0.075</v>
      </c>
      <c r="AO291" s="29" t="n">
        <f aca="false">IF(N(AN291)=0,"",AN291+IF(I291="yes",AN291*Inputs!$B$10*Inputs!$B$9,0)+IFERROR(INDEX(Inputs!$B$13:$B$15,MATCH(G291,Inputs!$A$13:$A$15,0)),0)+IFERROR(INDEX(Inputs!$B$18:$B$24,MATCH(H291,Inputs!$A$18:$A$24,0)),0))</f>
        <v>0.07125</v>
      </c>
      <c r="AP291" s="28" t="n">
        <f aca="false">IF(OR(N(AO291)&lt;=0,N(AG291)=0,N(L291)=0),"",MIN(L291,AG291/AO291))</f>
        <v>37.0526315789474</v>
      </c>
      <c r="AQ291" s="29" t="n">
        <f aca="false">IF(OR(AP291="",N(O291)=0),"",AP291/O291-1)</f>
        <v>-0.128173374613003</v>
      </c>
      <c r="AR291" s="29" t="n">
        <f aca="false">IF(OR(AQ291="",N(O291)=0),"",AQ291+AG291/O291)</f>
        <v>-0.0660557275541795</v>
      </c>
      <c r="AS291" s="32" t="n">
        <f aca="false">IF(OR(AR291="",N(AJ291)=0),"",AR291-AJ291)</f>
        <v>0.0544891640866874</v>
      </c>
      <c r="AT291" s="28" t="n">
        <v>50</v>
      </c>
      <c r="AU291" s="28" t="n">
        <v>2.64</v>
      </c>
      <c r="AV291" s="28" t="n">
        <f aca="false">IF(N(AT291)&gt;0,AT291,L291)</f>
        <v>50</v>
      </c>
      <c r="AW291" s="28" t="n">
        <f aca="false">IF(AND(N(M291)&gt;0,N(AV291)&gt;0),M291*AV291,IF(N(AU291)&gt;0,AU291,N291))</f>
        <v>2.64</v>
      </c>
      <c r="AX291" s="29" t="n">
        <f aca="false">IF(N(AN291)=0,"",AN291+IF(I291="yes",AN291*Inputs!$B$10*Inputs!$B$9,0)+IFERROR(INDEX(Inputs!$B$13:$B$15,MATCH(G291,Inputs!$A$13:$A$15,0)),0)+IFERROR(INDEX(Inputs!$B$18:$B$24,MATCH(H291,Inputs!$A$18:$A$24,0)),0))</f>
        <v>0.07125</v>
      </c>
      <c r="AY291" s="28" t="n">
        <f aca="false">IF(OR(N(AX291)&lt;=0,N(AW291)=0,N(AV291)=0),"",MIN(AV291,AW291/AX291))</f>
        <v>37.0526315789474</v>
      </c>
      <c r="AZ291" s="29" t="n">
        <f aca="false">IF(OR(AY291="",N(O291)=0),"",AY291/O291-1)</f>
        <v>-0.128173374613003</v>
      </c>
      <c r="BA291" s="29" t="n">
        <f aca="false">IF(OR(AZ291="",N(O291)=0),"",AZ291+AW291/O291)</f>
        <v>-0.0660557275541795</v>
      </c>
      <c r="BB291" s="32" t="n">
        <f aca="false">IF(OR(BA291="",N(AR291)=0),"",BA291-AR291)</f>
        <v>0</v>
      </c>
      <c r="BC291" s="35" t="n">
        <f aca="false">IF(OR(BA291="",N(U291)=0),"",BA291-U291)</f>
        <v>0.0544891640866874</v>
      </c>
      <c r="BD291" s="37"/>
    </row>
    <row r="292" customFormat="false" ht="15" hidden="false" customHeight="false" outlineLevel="0" collapsed="false">
      <c r="A292" s="2" t="s">
        <v>556</v>
      </c>
      <c r="B292" s="2" t="n">
        <v>125</v>
      </c>
      <c r="C292" s="2" t="s">
        <v>664</v>
      </c>
      <c r="D292" s="2" t="s">
        <v>651</v>
      </c>
      <c r="E292" s="2" t="s">
        <v>652</v>
      </c>
      <c r="F292" s="27" t="n">
        <v>27200</v>
      </c>
      <c r="G292" s="2" t="s">
        <v>51</v>
      </c>
      <c r="H292" s="2" t="s">
        <v>58</v>
      </c>
      <c r="I292" s="2" t="s">
        <v>151</v>
      </c>
      <c r="J292" s="2" t="s">
        <v>145</v>
      </c>
      <c r="K292" s="2" t="n">
        <v>4</v>
      </c>
      <c r="L292" s="28" t="n">
        <v>50</v>
      </c>
      <c r="M292" s="29" t="n">
        <v>0.0656</v>
      </c>
      <c r="N292" s="28" t="n">
        <v>3.28</v>
      </c>
      <c r="O292" s="28" t="n">
        <v>52</v>
      </c>
      <c r="P292" s="2" t="s">
        <v>146</v>
      </c>
      <c r="Q292" s="29" t="n">
        <v>0.08</v>
      </c>
      <c r="R292" s="30" t="n">
        <v>0.076</v>
      </c>
      <c r="S292" s="31" t="n">
        <v>43.1578947368421</v>
      </c>
      <c r="T292" s="30" t="n">
        <v>-0.17004048582996</v>
      </c>
      <c r="U292" s="30" t="n">
        <v>-0.106963562753037</v>
      </c>
      <c r="V292" s="29" t="n">
        <v>0</v>
      </c>
      <c r="W292" s="29" t="n">
        <f aca="false">IF(N(Q292)=0,"",Q292+IF(I292="yes",Q292*Inputs!$B$10*Inputs!$B$9,0)+V292)</f>
        <v>0.076</v>
      </c>
      <c r="X292" s="28" t="n">
        <f aca="false">IF(OR(N(W292)&lt;=0,N(N292)=0,N(L292)=0),"",MIN(L292,N292/W292))</f>
        <v>43.1578947368421</v>
      </c>
      <c r="Y292" s="29" t="n">
        <f aca="false">IF(OR(X292="",N(O292)=0),"",X292/O292-1)</f>
        <v>-0.17004048582996</v>
      </c>
      <c r="Z292" s="29" t="n">
        <f aca="false">IF(OR(Y292="",N(O292)=0),"",Y292+N292/O292)</f>
        <v>-0.106963562753036</v>
      </c>
      <c r="AA292" s="32" t="n">
        <f aca="false">IF(OR(Z292="",N(U292)=0),"",Z292-U292)</f>
        <v>0</v>
      </c>
      <c r="AB292" s="29" t="n">
        <f aca="false">IF(N(Q292)=0,"",Q292+IF(I292="yes",Q292*Inputs!$B$10*Inputs!$B$9,0)+IFERROR(INDEX(Inputs!$B$13:$B$15,MATCH(G292,Inputs!$A$13:$A$15,0)),0)+IFERROR(INDEX(Inputs!$B$18:$B$24,MATCH(H292,Inputs!$A$18:$A$24,0)),0))</f>
        <v>0.076</v>
      </c>
      <c r="AC292" s="28" t="n">
        <f aca="false">IF(OR(N(AB292)&lt;=0,N(N292)=0,N(L292)=0),"",MIN(L292,N292/AB292))</f>
        <v>43.1578947368421</v>
      </c>
      <c r="AD292" s="29" t="n">
        <f aca="false">IF(OR(AC292="",N(O292)=0),"",AC292/O292-1)</f>
        <v>-0.17004048582996</v>
      </c>
      <c r="AE292" s="29" t="n">
        <f aca="false">IF(OR(AD292="",N(O292)=0),"",AD292+N292/O292)</f>
        <v>-0.106963562753036</v>
      </c>
      <c r="AF292" s="32" t="n">
        <f aca="false">IF(OR(AE292="",N(Z292)=0),"",AE292-Z292)</f>
        <v>0</v>
      </c>
      <c r="AG292" s="28" t="n">
        <f aca="false">IF(AND(N(M292)&gt;0,N(L292)&gt;0),M292*L292,N292)</f>
        <v>3.28</v>
      </c>
      <c r="AH292" s="28" t="n">
        <f aca="false">IF(OR(N(AB292)&lt;=0,N(AG292)=0,N(L292)=0),"",MIN(L292,AG292/AB292))</f>
        <v>43.1578947368421</v>
      </c>
      <c r="AI292" s="29" t="n">
        <f aca="false">IF(OR(AH292="",N(O292)=0),"",AH292/O292-1)</f>
        <v>-0.17004048582996</v>
      </c>
      <c r="AJ292" s="29" t="n">
        <f aca="false">IF(OR(AI292="",N(O292)=0),"",AI292+AG292/O292)</f>
        <v>-0.106963562753037</v>
      </c>
      <c r="AK292" s="32" t="n">
        <f aca="false">IF(OR(AJ292="",N(AE292)=0),"",AJ292-AE292)</f>
        <v>0</v>
      </c>
      <c r="AL292" s="33" t="n">
        <f aca="false">IF(N(F292)=0,"",INDEX(Inputs!$B$28:$B$32,IFERROR(MATCH(F292,Inputs!$A$28:$A$32,1),0)+1))</f>
        <v>0.075</v>
      </c>
      <c r="AM292" s="34"/>
      <c r="AN292" s="33" t="n">
        <f aca="false">IF(N(AM292)&gt;0,AM292,AL292)</f>
        <v>0.075</v>
      </c>
      <c r="AO292" s="29" t="n">
        <f aca="false">IF(N(AN292)=0,"",AN292+IF(I292="yes",AN292*Inputs!$B$10*Inputs!$B$9,0)+IFERROR(INDEX(Inputs!$B$13:$B$15,MATCH(G292,Inputs!$A$13:$A$15,0)),0)+IFERROR(INDEX(Inputs!$B$18:$B$24,MATCH(H292,Inputs!$A$18:$A$24,0)),0))</f>
        <v>0.07125</v>
      </c>
      <c r="AP292" s="28" t="n">
        <f aca="false">IF(OR(N(AO292)&lt;=0,N(AG292)=0,N(L292)=0),"",MIN(L292,AG292/AO292))</f>
        <v>46.0350877192982</v>
      </c>
      <c r="AQ292" s="29" t="n">
        <f aca="false">IF(OR(AP292="",N(O292)=0),"",AP292/O292-1)</f>
        <v>-0.114709851551957</v>
      </c>
      <c r="AR292" s="29" t="n">
        <f aca="false">IF(OR(AQ292="",N(O292)=0),"",AQ292+AG292/O292)</f>
        <v>-0.0516329284750338</v>
      </c>
      <c r="AS292" s="32" t="n">
        <f aca="false">IF(OR(AR292="",N(AJ292)=0),"",AR292-AJ292)</f>
        <v>0.0553306342780028</v>
      </c>
      <c r="AT292" s="28" t="n">
        <v>50</v>
      </c>
      <c r="AU292" s="28" t="n">
        <v>3.28</v>
      </c>
      <c r="AV292" s="28" t="n">
        <f aca="false">IF(N(AT292)&gt;0,AT292,L292)</f>
        <v>50</v>
      </c>
      <c r="AW292" s="28" t="n">
        <f aca="false">IF(AND(N(M292)&gt;0,N(AV292)&gt;0),M292*AV292,IF(N(AU292)&gt;0,AU292,N292))</f>
        <v>3.28</v>
      </c>
      <c r="AX292" s="29" t="n">
        <f aca="false">IF(N(AN292)=0,"",AN292+IF(I292="yes",AN292*Inputs!$B$10*Inputs!$B$9,0)+IFERROR(INDEX(Inputs!$B$13:$B$15,MATCH(G292,Inputs!$A$13:$A$15,0)),0)+IFERROR(INDEX(Inputs!$B$18:$B$24,MATCH(H292,Inputs!$A$18:$A$24,0)),0))</f>
        <v>0.07125</v>
      </c>
      <c r="AY292" s="28" t="n">
        <f aca="false">IF(OR(N(AX292)&lt;=0,N(AW292)=0,N(AV292)=0),"",MIN(AV292,AW292/AX292))</f>
        <v>46.0350877192982</v>
      </c>
      <c r="AZ292" s="29" t="n">
        <f aca="false">IF(OR(AY292="",N(O292)=0),"",AY292/O292-1)</f>
        <v>-0.114709851551957</v>
      </c>
      <c r="BA292" s="29" t="n">
        <f aca="false">IF(OR(AZ292="",N(O292)=0),"",AZ292+AW292/O292)</f>
        <v>-0.0516329284750338</v>
      </c>
      <c r="BB292" s="32" t="n">
        <f aca="false">IF(OR(BA292="",N(AR292)=0),"",BA292-AR292)</f>
        <v>0</v>
      </c>
      <c r="BC292" s="35" t="n">
        <f aca="false">IF(OR(BA292="",N(U292)=0),"",BA292-U292)</f>
        <v>0.0553306342780027</v>
      </c>
      <c r="BD292" s="37"/>
    </row>
    <row r="293" customFormat="false" ht="15" hidden="false" customHeight="false" outlineLevel="0" collapsed="false">
      <c r="A293" s="2" t="s">
        <v>556</v>
      </c>
      <c r="B293" s="2" t="n">
        <v>126</v>
      </c>
      <c r="C293" s="2" t="s">
        <v>665</v>
      </c>
      <c r="D293" s="2" t="s">
        <v>651</v>
      </c>
      <c r="E293" s="2" t="s">
        <v>652</v>
      </c>
      <c r="F293" s="27" t="n">
        <v>27200</v>
      </c>
      <c r="G293" s="2" t="s">
        <v>51</v>
      </c>
      <c r="H293" s="2" t="s">
        <v>58</v>
      </c>
      <c r="I293" s="2" t="s">
        <v>151</v>
      </c>
      <c r="J293" s="2" t="s">
        <v>145</v>
      </c>
      <c r="K293" s="2" t="n">
        <v>4</v>
      </c>
      <c r="L293" s="28" t="n">
        <v>100</v>
      </c>
      <c r="M293" s="29" t="n">
        <v>0.0478</v>
      </c>
      <c r="N293" s="28" t="n">
        <v>4.78</v>
      </c>
      <c r="O293" s="28" t="n">
        <v>79</v>
      </c>
      <c r="P293" s="2" t="s">
        <v>146</v>
      </c>
      <c r="Q293" s="29" t="n">
        <v>0.08</v>
      </c>
      <c r="R293" s="30" t="n">
        <v>0.076</v>
      </c>
      <c r="S293" s="31" t="n">
        <v>62.8947368421053</v>
      </c>
      <c r="T293" s="30" t="n">
        <v>-0.203864090606262</v>
      </c>
      <c r="U293" s="30" t="n">
        <v>-0.143357761492338</v>
      </c>
      <c r="V293" s="29" t="n">
        <v>0</v>
      </c>
      <c r="W293" s="29" t="n">
        <f aca="false">IF(N(Q293)=0,"",Q293+IF(I293="yes",Q293*Inputs!$B$10*Inputs!$B$9,0)+V293)</f>
        <v>0.076</v>
      </c>
      <c r="X293" s="28" t="n">
        <f aca="false">IF(OR(N(W293)&lt;=0,N(N293)=0,N(L293)=0),"",MIN(L293,N293/W293))</f>
        <v>62.8947368421053</v>
      </c>
      <c r="Y293" s="29" t="n">
        <f aca="false">IF(OR(X293="",N(O293)=0),"",X293/O293-1)</f>
        <v>-0.203864090606262</v>
      </c>
      <c r="Z293" s="29" t="n">
        <f aca="false">IF(OR(Y293="",N(O293)=0),"",Y293+N293/O293)</f>
        <v>-0.143357761492338</v>
      </c>
      <c r="AA293" s="32" t="n">
        <f aca="false">IF(OR(Z293="",N(U293)=0),"",Z293-U293)</f>
        <v>0</v>
      </c>
      <c r="AB293" s="29" t="n">
        <f aca="false">IF(N(Q293)=0,"",Q293+IF(I293="yes",Q293*Inputs!$B$10*Inputs!$B$9,0)+IFERROR(INDEX(Inputs!$B$13:$B$15,MATCH(G293,Inputs!$A$13:$A$15,0)),0)+IFERROR(INDEX(Inputs!$B$18:$B$24,MATCH(H293,Inputs!$A$18:$A$24,0)),0))</f>
        <v>0.076</v>
      </c>
      <c r="AC293" s="28" t="n">
        <f aca="false">IF(OR(N(AB293)&lt;=0,N(N293)=0,N(L293)=0),"",MIN(L293,N293/AB293))</f>
        <v>62.8947368421053</v>
      </c>
      <c r="AD293" s="29" t="n">
        <f aca="false">IF(OR(AC293="",N(O293)=0),"",AC293/O293-1)</f>
        <v>-0.203864090606262</v>
      </c>
      <c r="AE293" s="29" t="n">
        <f aca="false">IF(OR(AD293="",N(O293)=0),"",AD293+N293/O293)</f>
        <v>-0.143357761492338</v>
      </c>
      <c r="AF293" s="32" t="n">
        <f aca="false">IF(OR(AE293="",N(Z293)=0),"",AE293-Z293)</f>
        <v>0</v>
      </c>
      <c r="AG293" s="28" t="n">
        <f aca="false">IF(AND(N(M293)&gt;0,N(L293)&gt;0),M293*L293,N293)</f>
        <v>4.78</v>
      </c>
      <c r="AH293" s="28" t="n">
        <f aca="false">IF(OR(N(AB293)&lt;=0,N(AG293)=0,N(L293)=0),"",MIN(L293,AG293/AB293))</f>
        <v>62.8947368421053</v>
      </c>
      <c r="AI293" s="29" t="n">
        <f aca="false">IF(OR(AH293="",N(O293)=0),"",AH293/O293-1)</f>
        <v>-0.203864090606262</v>
      </c>
      <c r="AJ293" s="29" t="n">
        <f aca="false">IF(OR(AI293="",N(O293)=0),"",AI293+AG293/O293)</f>
        <v>-0.143357761492338</v>
      </c>
      <c r="AK293" s="32" t="n">
        <f aca="false">IF(OR(AJ293="",N(AE293)=0),"",AJ293-AE293)</f>
        <v>0</v>
      </c>
      <c r="AL293" s="33" t="n">
        <f aca="false">IF(N(F293)=0,"",INDEX(Inputs!$B$28:$B$32,IFERROR(MATCH(F293,Inputs!$A$28:$A$32,1),0)+1))</f>
        <v>0.075</v>
      </c>
      <c r="AM293" s="34"/>
      <c r="AN293" s="33" t="n">
        <f aca="false">IF(N(AM293)&gt;0,AM293,AL293)</f>
        <v>0.075</v>
      </c>
      <c r="AO293" s="29" t="n">
        <f aca="false">IF(N(AN293)=0,"",AN293+IF(I293="yes",AN293*Inputs!$B$10*Inputs!$B$9,0)+IFERROR(INDEX(Inputs!$B$13:$B$15,MATCH(G293,Inputs!$A$13:$A$15,0)),0)+IFERROR(INDEX(Inputs!$B$18:$B$24,MATCH(H293,Inputs!$A$18:$A$24,0)),0))</f>
        <v>0.07125</v>
      </c>
      <c r="AP293" s="28" t="n">
        <f aca="false">IF(OR(N(AO293)&lt;=0,N(AG293)=0,N(L293)=0),"",MIN(L293,AG293/AO293))</f>
        <v>67.0877192982456</v>
      </c>
      <c r="AQ293" s="29" t="n">
        <f aca="false">IF(OR(AP293="",N(O293)=0),"",AP293/O293-1)</f>
        <v>-0.150788363313347</v>
      </c>
      <c r="AR293" s="29" t="n">
        <f aca="false">IF(OR(AQ293="",N(O293)=0),"",AQ293+AG293/O293)</f>
        <v>-0.0902820341994226</v>
      </c>
      <c r="AS293" s="32" t="n">
        <f aca="false">IF(OR(AR293="",N(AJ293)=0),"",AR293-AJ293)</f>
        <v>0.0530757272929158</v>
      </c>
      <c r="AT293" s="28" t="n">
        <v>100</v>
      </c>
      <c r="AU293" s="28" t="n">
        <v>4.78</v>
      </c>
      <c r="AV293" s="28" t="n">
        <f aca="false">IF(N(AT293)&gt;0,AT293,L293)</f>
        <v>100</v>
      </c>
      <c r="AW293" s="28" t="n">
        <f aca="false">IF(AND(N(M293)&gt;0,N(AV293)&gt;0),M293*AV293,IF(N(AU293)&gt;0,AU293,N293))</f>
        <v>4.78</v>
      </c>
      <c r="AX293" s="29" t="n">
        <f aca="false">IF(N(AN293)=0,"",AN293+IF(I293="yes",AN293*Inputs!$B$10*Inputs!$B$9,0)+IFERROR(INDEX(Inputs!$B$13:$B$15,MATCH(G293,Inputs!$A$13:$A$15,0)),0)+IFERROR(INDEX(Inputs!$B$18:$B$24,MATCH(H293,Inputs!$A$18:$A$24,0)),0))</f>
        <v>0.07125</v>
      </c>
      <c r="AY293" s="28" t="n">
        <f aca="false">IF(OR(N(AX293)&lt;=0,N(AW293)=0,N(AV293)=0),"",MIN(AV293,AW293/AX293))</f>
        <v>67.0877192982456</v>
      </c>
      <c r="AZ293" s="29" t="n">
        <f aca="false">IF(OR(AY293="",N(O293)=0),"",AY293/O293-1)</f>
        <v>-0.150788363313347</v>
      </c>
      <c r="BA293" s="29" t="n">
        <f aca="false">IF(OR(AZ293="",N(O293)=0),"",AZ293+AW293/O293)</f>
        <v>-0.0902820341994226</v>
      </c>
      <c r="BB293" s="32" t="n">
        <f aca="false">IF(OR(BA293="",N(AR293)=0),"",BA293-AR293)</f>
        <v>0</v>
      </c>
      <c r="BC293" s="35" t="n">
        <f aca="false">IF(OR(BA293="",N(U293)=0),"",BA293-U293)</f>
        <v>0.0530757272929158</v>
      </c>
      <c r="BD293" s="37"/>
    </row>
    <row r="294" customFormat="false" ht="15" hidden="false" customHeight="false" outlineLevel="0" collapsed="false">
      <c r="A294" s="2" t="s">
        <v>556</v>
      </c>
      <c r="B294" s="2" t="n">
        <v>127</v>
      </c>
      <c r="C294" s="2" t="s">
        <v>666</v>
      </c>
      <c r="D294" s="2" t="s">
        <v>651</v>
      </c>
      <c r="E294" s="2" t="s">
        <v>652</v>
      </c>
      <c r="F294" s="27" t="n">
        <v>27200</v>
      </c>
      <c r="G294" s="2" t="s">
        <v>51</v>
      </c>
      <c r="H294" s="2" t="s">
        <v>58</v>
      </c>
      <c r="I294" s="2" t="s">
        <v>151</v>
      </c>
      <c r="J294" s="2" t="s">
        <v>145</v>
      </c>
      <c r="K294" s="2" t="n">
        <v>4</v>
      </c>
      <c r="L294" s="28" t="n">
        <v>100</v>
      </c>
      <c r="M294" s="29" t="n">
        <v>0.0425</v>
      </c>
      <c r="N294" s="28" t="n">
        <v>4.25</v>
      </c>
      <c r="O294" s="28" t="n">
        <v>68.15</v>
      </c>
      <c r="P294" s="2" t="s">
        <v>146</v>
      </c>
      <c r="Q294" s="29" t="n">
        <v>0.08</v>
      </c>
      <c r="R294" s="30" t="n">
        <v>0.076</v>
      </c>
      <c r="S294" s="31" t="n">
        <v>55.921052631579</v>
      </c>
      <c r="T294" s="30" t="n">
        <v>-0.17944163416612</v>
      </c>
      <c r="U294" s="30" t="n">
        <v>-0.117079198362745</v>
      </c>
      <c r="V294" s="29" t="n">
        <v>0</v>
      </c>
      <c r="W294" s="29" t="n">
        <f aca="false">IF(N(Q294)=0,"",Q294+IF(I294="yes",Q294*Inputs!$B$10*Inputs!$B$9,0)+V294)</f>
        <v>0.076</v>
      </c>
      <c r="X294" s="28" t="n">
        <f aca="false">IF(OR(N(W294)&lt;=0,N(N294)=0,N(L294)=0),"",MIN(L294,N294/W294))</f>
        <v>55.921052631579</v>
      </c>
      <c r="Y294" s="29" t="n">
        <f aca="false">IF(OR(X294="",N(O294)=0),"",X294/O294-1)</f>
        <v>-0.17944163416612</v>
      </c>
      <c r="Z294" s="29" t="n">
        <f aca="false">IF(OR(Y294="",N(O294)=0),"",Y294+N294/O294)</f>
        <v>-0.117079198362745</v>
      </c>
      <c r="AA294" s="32" t="n">
        <f aca="false">IF(OR(Z294="",N(U294)=0),"",Z294-U294)</f>
        <v>0</v>
      </c>
      <c r="AB294" s="29" t="n">
        <f aca="false">IF(N(Q294)=0,"",Q294+IF(I294="yes",Q294*Inputs!$B$10*Inputs!$B$9,0)+IFERROR(INDEX(Inputs!$B$13:$B$15,MATCH(G294,Inputs!$A$13:$A$15,0)),0)+IFERROR(INDEX(Inputs!$B$18:$B$24,MATCH(H294,Inputs!$A$18:$A$24,0)),0))</f>
        <v>0.076</v>
      </c>
      <c r="AC294" s="28" t="n">
        <f aca="false">IF(OR(N(AB294)&lt;=0,N(N294)=0,N(L294)=0),"",MIN(L294,N294/AB294))</f>
        <v>55.921052631579</v>
      </c>
      <c r="AD294" s="29" t="n">
        <f aca="false">IF(OR(AC294="",N(O294)=0),"",AC294/O294-1)</f>
        <v>-0.17944163416612</v>
      </c>
      <c r="AE294" s="29" t="n">
        <f aca="false">IF(OR(AD294="",N(O294)=0),"",AD294+N294/O294)</f>
        <v>-0.117079198362745</v>
      </c>
      <c r="AF294" s="32" t="n">
        <f aca="false">IF(OR(AE294="",N(Z294)=0),"",AE294-Z294)</f>
        <v>0</v>
      </c>
      <c r="AG294" s="28" t="n">
        <f aca="false">IF(AND(N(M294)&gt;0,N(L294)&gt;0),M294*L294,N294)</f>
        <v>4.25</v>
      </c>
      <c r="AH294" s="28" t="n">
        <f aca="false">IF(OR(N(AB294)&lt;=0,N(AG294)=0,N(L294)=0),"",MIN(L294,AG294/AB294))</f>
        <v>55.921052631579</v>
      </c>
      <c r="AI294" s="29" t="n">
        <f aca="false">IF(OR(AH294="",N(O294)=0),"",AH294/O294-1)</f>
        <v>-0.17944163416612</v>
      </c>
      <c r="AJ294" s="29" t="n">
        <f aca="false">IF(OR(AI294="",N(O294)=0),"",AI294+AG294/O294)</f>
        <v>-0.117079198362745</v>
      </c>
      <c r="AK294" s="32" t="n">
        <f aca="false">IF(OR(AJ294="",N(AE294)=0),"",AJ294-AE294)</f>
        <v>0</v>
      </c>
      <c r="AL294" s="33" t="n">
        <f aca="false">IF(N(F294)=0,"",INDEX(Inputs!$B$28:$B$32,IFERROR(MATCH(F294,Inputs!$A$28:$A$32,1),0)+1))</f>
        <v>0.075</v>
      </c>
      <c r="AM294" s="34"/>
      <c r="AN294" s="33" t="n">
        <f aca="false">IF(N(AM294)&gt;0,AM294,AL294)</f>
        <v>0.075</v>
      </c>
      <c r="AO294" s="29" t="n">
        <f aca="false">IF(N(AN294)=0,"",AN294+IF(I294="yes",AN294*Inputs!$B$10*Inputs!$B$9,0)+IFERROR(INDEX(Inputs!$B$13:$B$15,MATCH(G294,Inputs!$A$13:$A$15,0)),0)+IFERROR(INDEX(Inputs!$B$18:$B$24,MATCH(H294,Inputs!$A$18:$A$24,0)),0))</f>
        <v>0.07125</v>
      </c>
      <c r="AP294" s="28" t="n">
        <f aca="false">IF(OR(N(AO294)&lt;=0,N(AG294)=0,N(L294)=0),"",MIN(L294,AG294/AO294))</f>
        <v>59.6491228070176</v>
      </c>
      <c r="AQ294" s="29" t="n">
        <f aca="false">IF(OR(AP294="",N(O294)=0),"",AP294/O294-1)</f>
        <v>-0.124737743110528</v>
      </c>
      <c r="AR294" s="29" t="n">
        <f aca="false">IF(OR(AQ294="",N(O294)=0),"",AQ294+AG294/O294)</f>
        <v>-0.0623753073071528</v>
      </c>
      <c r="AS294" s="32" t="n">
        <f aca="false">IF(OR(AR294="",N(AJ294)=0),"",AR294-AJ294)</f>
        <v>0.0547038910555919</v>
      </c>
      <c r="AT294" s="28" t="n">
        <v>100</v>
      </c>
      <c r="AU294" s="28" t="n">
        <v>4.25</v>
      </c>
      <c r="AV294" s="28" t="n">
        <f aca="false">IF(N(AT294)&gt;0,AT294,L294)</f>
        <v>100</v>
      </c>
      <c r="AW294" s="28" t="n">
        <f aca="false">IF(AND(N(M294)&gt;0,N(AV294)&gt;0),M294*AV294,IF(N(AU294)&gt;0,AU294,N294))</f>
        <v>4.25</v>
      </c>
      <c r="AX294" s="29" t="n">
        <f aca="false">IF(N(AN294)=0,"",AN294+IF(I294="yes",AN294*Inputs!$B$10*Inputs!$B$9,0)+IFERROR(INDEX(Inputs!$B$13:$B$15,MATCH(G294,Inputs!$A$13:$A$15,0)),0)+IFERROR(INDEX(Inputs!$B$18:$B$24,MATCH(H294,Inputs!$A$18:$A$24,0)),0))</f>
        <v>0.07125</v>
      </c>
      <c r="AY294" s="28" t="n">
        <f aca="false">IF(OR(N(AX294)&lt;=0,N(AW294)=0,N(AV294)=0),"",MIN(AV294,AW294/AX294))</f>
        <v>59.6491228070176</v>
      </c>
      <c r="AZ294" s="29" t="n">
        <f aca="false">IF(OR(AY294="",N(O294)=0),"",AY294/O294-1)</f>
        <v>-0.124737743110528</v>
      </c>
      <c r="BA294" s="29" t="n">
        <f aca="false">IF(OR(AZ294="",N(O294)=0),"",AZ294+AW294/O294)</f>
        <v>-0.0623753073071528</v>
      </c>
      <c r="BB294" s="32" t="n">
        <f aca="false">IF(OR(BA294="",N(AR294)=0),"",BA294-AR294)</f>
        <v>0</v>
      </c>
      <c r="BC294" s="35" t="n">
        <f aca="false">IF(OR(BA294="",N(U294)=0),"",BA294-U294)</f>
        <v>0.054703891055592</v>
      </c>
      <c r="BD294" s="37"/>
    </row>
    <row r="295" customFormat="false" ht="15" hidden="false" customHeight="false" outlineLevel="0" collapsed="false">
      <c r="A295" s="2" t="s">
        <v>556</v>
      </c>
      <c r="B295" s="2" t="n">
        <v>130</v>
      </c>
      <c r="C295" s="2" t="s">
        <v>667</v>
      </c>
      <c r="D295" s="2" t="s">
        <v>668</v>
      </c>
      <c r="E295" s="2" t="s">
        <v>143</v>
      </c>
      <c r="F295" s="27"/>
      <c r="G295" s="2" t="s">
        <v>51</v>
      </c>
      <c r="H295" s="2" t="s">
        <v>58</v>
      </c>
      <c r="I295" s="2" t="s">
        <v>151</v>
      </c>
      <c r="J295" s="2" t="s">
        <v>145</v>
      </c>
      <c r="K295" s="2" t="n">
        <v>4</v>
      </c>
      <c r="L295" s="28" t="n">
        <v>25</v>
      </c>
      <c r="M295" s="29" t="n">
        <v>0.07</v>
      </c>
      <c r="N295" s="28" t="n">
        <v>1.75</v>
      </c>
      <c r="O295" s="28" t="n">
        <v>0</v>
      </c>
      <c r="P295" s="2" t="s">
        <v>146</v>
      </c>
      <c r="Q295" s="29" t="n">
        <v>0</v>
      </c>
      <c r="R295" s="30" t="n">
        <v>0</v>
      </c>
      <c r="S295" s="31"/>
      <c r="T295" s="30"/>
      <c r="U295" s="30"/>
      <c r="V295" s="29" t="n">
        <v>0</v>
      </c>
      <c r="W295" s="29" t="str">
        <f aca="false">IF(N(Q295)=0,"",Q295+IF(I295="yes",Q295*Inputs!$B$10*Inputs!$B$9,0)+V295)</f>
        <v/>
      </c>
      <c r="X295" s="28" t="str">
        <f aca="false">IF(OR(N(W295)&lt;=0,N(N295)=0,N(L295)=0),"",MIN(L295,N295/W295))</f>
        <v/>
      </c>
      <c r="Y295" s="29" t="str">
        <f aca="false">IF(OR(X295="",N(O295)=0),"",X295/O295-1)</f>
        <v/>
      </c>
      <c r="Z295" s="29" t="str">
        <f aca="false">IF(OR(Y295="",N(O295)=0),"",Y295+N295/O295)</f>
        <v/>
      </c>
      <c r="AA295" s="32" t="str">
        <f aca="false">IF(OR(Z295="",N(U295)=0),"",Z295-U295)</f>
        <v/>
      </c>
      <c r="AB295" s="29" t="str">
        <f aca="false">IF(N(Q295)=0,"",Q295+IF(I295="yes",Q295*Inputs!$B$10*Inputs!$B$9,0)+IFERROR(INDEX(Inputs!$B$13:$B$15,MATCH(G295,Inputs!$A$13:$A$15,0)),0)+IFERROR(INDEX(Inputs!$B$18:$B$24,MATCH(H295,Inputs!$A$18:$A$24,0)),0))</f>
        <v/>
      </c>
      <c r="AC295" s="28" t="str">
        <f aca="false">IF(OR(N(AB295)&lt;=0,N(N295)=0,N(L295)=0),"",MIN(L295,N295/AB295))</f>
        <v/>
      </c>
      <c r="AD295" s="29" t="str">
        <f aca="false">IF(OR(AC295="",N(O295)=0),"",AC295/O295-1)</f>
        <v/>
      </c>
      <c r="AE295" s="29" t="str">
        <f aca="false">IF(OR(AD295="",N(O295)=0),"",AD295+N295/O295)</f>
        <v/>
      </c>
      <c r="AF295" s="32" t="str">
        <f aca="false">IF(OR(AE295="",N(Z295)=0),"",AE295-Z295)</f>
        <v/>
      </c>
      <c r="AG295" s="28" t="n">
        <f aca="false">IF(AND(N(M295)&gt;0,N(L295)&gt;0),M295*L295,N295)</f>
        <v>1.75</v>
      </c>
      <c r="AH295" s="28" t="str">
        <f aca="false">IF(OR(N(AB295)&lt;=0,N(AG295)=0,N(L295)=0),"",MIN(L295,AG295/AB295))</f>
        <v/>
      </c>
      <c r="AI295" s="29" t="str">
        <f aca="false">IF(OR(AH295="",N(O295)=0),"",AH295/O295-1)</f>
        <v/>
      </c>
      <c r="AJ295" s="29" t="str">
        <f aca="false">IF(OR(AI295="",N(O295)=0),"",AI295+AG295/O295)</f>
        <v/>
      </c>
      <c r="AK295" s="32" t="str">
        <f aca="false">IF(OR(AJ295="",N(AE295)=0),"",AJ295-AE295)</f>
        <v/>
      </c>
      <c r="AL295" s="33" t="str">
        <f aca="false">IF(N(F295)=0,"",INDEX(Inputs!$B$28:$B$32,IFERROR(MATCH(F295,Inputs!$A$28:$A$32,1),0)+1))</f>
        <v/>
      </c>
      <c r="AM295" s="34"/>
      <c r="AN295" s="33" t="str">
        <f aca="false">IF(N(AM295)&gt;0,AM295,AL295)</f>
        <v/>
      </c>
      <c r="AO295" s="29" t="str">
        <f aca="false">IF(N(AN295)=0,"",AN295+IF(I295="yes",AN295*Inputs!$B$10*Inputs!$B$9,0)+IFERROR(INDEX(Inputs!$B$13:$B$15,MATCH(G295,Inputs!$A$13:$A$15,0)),0)+IFERROR(INDEX(Inputs!$B$18:$B$24,MATCH(H295,Inputs!$A$18:$A$24,0)),0))</f>
        <v/>
      </c>
      <c r="AP295" s="28" t="str">
        <f aca="false">IF(OR(N(AO295)&lt;=0,N(AG295)=0,N(L295)=0),"",MIN(L295,AG295/AO295))</f>
        <v/>
      </c>
      <c r="AQ295" s="29" t="str">
        <f aca="false">IF(OR(AP295="",N(O295)=0),"",AP295/O295-1)</f>
        <v/>
      </c>
      <c r="AR295" s="29" t="str">
        <f aca="false">IF(OR(AQ295="",N(O295)=0),"",AQ295+AG295/O295)</f>
        <v/>
      </c>
      <c r="AS295" s="32" t="str">
        <f aca="false">IF(OR(AR295="",N(AJ295)=0),"",AR295-AJ295)</f>
        <v/>
      </c>
      <c r="AT295" s="28"/>
      <c r="AU295" s="28"/>
      <c r="AV295" s="28" t="n">
        <f aca="false">IF(N(AT295)&gt;0,AT295,L295)</f>
        <v>25</v>
      </c>
      <c r="AW295" s="28" t="n">
        <f aca="false">IF(AND(N(M295)&gt;0,N(AV295)&gt;0),M295*AV295,IF(N(AU295)&gt;0,AU295,N295))</f>
        <v>1.75</v>
      </c>
      <c r="AX295" s="29" t="str">
        <f aca="false">IF(N(AN295)=0,"",AN295+IF(I295="yes",AN295*Inputs!$B$10*Inputs!$B$9,0)+IFERROR(INDEX(Inputs!$B$13:$B$15,MATCH(G295,Inputs!$A$13:$A$15,0)),0)+IFERROR(INDEX(Inputs!$B$18:$B$24,MATCH(H295,Inputs!$A$18:$A$24,0)),0))</f>
        <v/>
      </c>
      <c r="AY295" s="28" t="str">
        <f aca="false">IF(OR(N(AX295)&lt;=0,N(AW295)=0,N(AV295)=0),"",MIN(AV295,AW295/AX295))</f>
        <v/>
      </c>
      <c r="AZ295" s="29" t="str">
        <f aca="false">IF(OR(AY295="",N(O295)=0),"",AY295/O295-1)</f>
        <v/>
      </c>
      <c r="BA295" s="29" t="str">
        <f aca="false">IF(OR(AZ295="",N(O295)=0),"",AZ295+AW295/O295)</f>
        <v/>
      </c>
      <c r="BB295" s="32" t="str">
        <f aca="false">IF(OR(BA295="",N(AR295)=0),"",BA295-AR295)</f>
        <v/>
      </c>
      <c r="BC295" s="35" t="str">
        <f aca="false">IF(OR(BA295="",N(U295)=0),"",BA295-U295)</f>
        <v/>
      </c>
      <c r="BD295" s="36" t="s">
        <v>147</v>
      </c>
    </row>
    <row r="296" customFormat="false" ht="15" hidden="false" customHeight="false" outlineLevel="0" collapsed="false">
      <c r="A296" s="2" t="s">
        <v>556</v>
      </c>
      <c r="B296" s="2" t="n">
        <v>131</v>
      </c>
      <c r="C296" s="2" t="s">
        <v>669</v>
      </c>
      <c r="D296" s="2" t="s">
        <v>668</v>
      </c>
      <c r="E296" s="2" t="s">
        <v>143</v>
      </c>
      <c r="F296" s="27"/>
      <c r="G296" s="2" t="s">
        <v>51</v>
      </c>
      <c r="H296" s="2" t="s">
        <v>59</v>
      </c>
      <c r="I296" s="2" t="s">
        <v>151</v>
      </c>
      <c r="J296" s="2" t="s">
        <v>145</v>
      </c>
      <c r="K296" s="2" t="n">
        <v>4</v>
      </c>
      <c r="L296" s="28" t="n">
        <v>25</v>
      </c>
      <c r="M296" s="29" t="n">
        <v>0.07</v>
      </c>
      <c r="N296" s="28" t="n">
        <v>1.75</v>
      </c>
      <c r="O296" s="28" t="n">
        <v>0</v>
      </c>
      <c r="P296" s="2" t="s">
        <v>146</v>
      </c>
      <c r="Q296" s="29" t="n">
        <v>0</v>
      </c>
      <c r="R296" s="30" t="n">
        <v>0</v>
      </c>
      <c r="S296" s="31"/>
      <c r="T296" s="30"/>
      <c r="U296" s="30"/>
      <c r="V296" s="29" t="n">
        <v>0</v>
      </c>
      <c r="W296" s="29" t="str">
        <f aca="false">IF(N(Q296)=0,"",Q296+IF(I296="yes",Q296*Inputs!$B$10*Inputs!$B$9,0)+V296)</f>
        <v/>
      </c>
      <c r="X296" s="28" t="str">
        <f aca="false">IF(OR(N(W296)&lt;=0,N(N296)=0,N(L296)=0),"",MIN(L296,N296/W296))</f>
        <v/>
      </c>
      <c r="Y296" s="29" t="str">
        <f aca="false">IF(OR(X296="",N(O296)=0),"",X296/O296-1)</f>
        <v/>
      </c>
      <c r="Z296" s="29" t="str">
        <f aca="false">IF(OR(Y296="",N(O296)=0),"",Y296+N296/O296)</f>
        <v/>
      </c>
      <c r="AA296" s="32" t="str">
        <f aca="false">IF(OR(Z296="",N(U296)=0),"",Z296-U296)</f>
        <v/>
      </c>
      <c r="AB296" s="29" t="str">
        <f aca="false">IF(N(Q296)=0,"",Q296+IF(I296="yes",Q296*Inputs!$B$10*Inputs!$B$9,0)+IFERROR(INDEX(Inputs!$B$13:$B$15,MATCH(G296,Inputs!$A$13:$A$15,0)),0)+IFERROR(INDEX(Inputs!$B$18:$B$24,MATCH(H296,Inputs!$A$18:$A$24,0)),0))</f>
        <v/>
      </c>
      <c r="AC296" s="28" t="str">
        <f aca="false">IF(OR(N(AB296)&lt;=0,N(N296)=0,N(L296)=0),"",MIN(L296,N296/AB296))</f>
        <v/>
      </c>
      <c r="AD296" s="29" t="str">
        <f aca="false">IF(OR(AC296="",N(O296)=0),"",AC296/O296-1)</f>
        <v/>
      </c>
      <c r="AE296" s="29" t="str">
        <f aca="false">IF(OR(AD296="",N(O296)=0),"",AD296+N296/O296)</f>
        <v/>
      </c>
      <c r="AF296" s="32" t="str">
        <f aca="false">IF(OR(AE296="",N(Z296)=0),"",AE296-Z296)</f>
        <v/>
      </c>
      <c r="AG296" s="28" t="n">
        <f aca="false">IF(AND(N(M296)&gt;0,N(L296)&gt;0),M296*L296,N296)</f>
        <v>1.75</v>
      </c>
      <c r="AH296" s="28" t="str">
        <f aca="false">IF(OR(N(AB296)&lt;=0,N(AG296)=0,N(L296)=0),"",MIN(L296,AG296/AB296))</f>
        <v/>
      </c>
      <c r="AI296" s="29" t="str">
        <f aca="false">IF(OR(AH296="",N(O296)=0),"",AH296/O296-1)</f>
        <v/>
      </c>
      <c r="AJ296" s="29" t="str">
        <f aca="false">IF(OR(AI296="",N(O296)=0),"",AI296+AG296/O296)</f>
        <v/>
      </c>
      <c r="AK296" s="32" t="str">
        <f aca="false">IF(OR(AJ296="",N(AE296)=0),"",AJ296-AE296)</f>
        <v/>
      </c>
      <c r="AL296" s="33" t="str">
        <f aca="false">IF(N(F296)=0,"",INDEX(Inputs!$B$28:$B$32,IFERROR(MATCH(F296,Inputs!$A$28:$A$32,1),0)+1))</f>
        <v/>
      </c>
      <c r="AM296" s="34"/>
      <c r="AN296" s="33" t="str">
        <f aca="false">IF(N(AM296)&gt;0,AM296,AL296)</f>
        <v/>
      </c>
      <c r="AO296" s="29" t="str">
        <f aca="false">IF(N(AN296)=0,"",AN296+IF(I296="yes",AN296*Inputs!$B$10*Inputs!$B$9,0)+IFERROR(INDEX(Inputs!$B$13:$B$15,MATCH(G296,Inputs!$A$13:$A$15,0)),0)+IFERROR(INDEX(Inputs!$B$18:$B$24,MATCH(H296,Inputs!$A$18:$A$24,0)),0))</f>
        <v/>
      </c>
      <c r="AP296" s="28" t="str">
        <f aca="false">IF(OR(N(AO296)&lt;=0,N(AG296)=0,N(L296)=0),"",MIN(L296,AG296/AO296))</f>
        <v/>
      </c>
      <c r="AQ296" s="29" t="str">
        <f aca="false">IF(OR(AP296="",N(O296)=0),"",AP296/O296-1)</f>
        <v/>
      </c>
      <c r="AR296" s="29" t="str">
        <f aca="false">IF(OR(AQ296="",N(O296)=0),"",AQ296+AG296/O296)</f>
        <v/>
      </c>
      <c r="AS296" s="32" t="str">
        <f aca="false">IF(OR(AR296="",N(AJ296)=0),"",AR296-AJ296)</f>
        <v/>
      </c>
      <c r="AT296" s="28"/>
      <c r="AU296" s="28"/>
      <c r="AV296" s="28" t="n">
        <f aca="false">IF(N(AT296)&gt;0,AT296,L296)</f>
        <v>25</v>
      </c>
      <c r="AW296" s="28" t="n">
        <f aca="false">IF(AND(N(M296)&gt;0,N(AV296)&gt;0),M296*AV296,IF(N(AU296)&gt;0,AU296,N296))</f>
        <v>1.75</v>
      </c>
      <c r="AX296" s="29" t="str">
        <f aca="false">IF(N(AN296)=0,"",AN296+IF(I296="yes",AN296*Inputs!$B$10*Inputs!$B$9,0)+IFERROR(INDEX(Inputs!$B$13:$B$15,MATCH(G296,Inputs!$A$13:$A$15,0)),0)+IFERROR(INDEX(Inputs!$B$18:$B$24,MATCH(H296,Inputs!$A$18:$A$24,0)),0))</f>
        <v/>
      </c>
      <c r="AY296" s="28" t="str">
        <f aca="false">IF(OR(N(AX296)&lt;=0,N(AW296)=0,N(AV296)=0),"",MIN(AV296,AW296/AX296))</f>
        <v/>
      </c>
      <c r="AZ296" s="29" t="str">
        <f aca="false">IF(OR(AY296="",N(O296)=0),"",AY296/O296-1)</f>
        <v/>
      </c>
      <c r="BA296" s="29" t="str">
        <f aca="false">IF(OR(AZ296="",N(O296)=0),"",AZ296+AW296/O296)</f>
        <v/>
      </c>
      <c r="BB296" s="32" t="str">
        <f aca="false">IF(OR(BA296="",N(AR296)=0),"",BA296-AR296)</f>
        <v/>
      </c>
      <c r="BC296" s="35" t="str">
        <f aca="false">IF(OR(BA296="",N(U296)=0),"",BA296-U296)</f>
        <v/>
      </c>
      <c r="BD296" s="36" t="s">
        <v>147</v>
      </c>
    </row>
    <row r="297" customFormat="false" ht="15" hidden="false" customHeight="false" outlineLevel="0" collapsed="false">
      <c r="A297" s="2" t="s">
        <v>556</v>
      </c>
      <c r="B297" s="2" t="n">
        <v>134</v>
      </c>
      <c r="C297" s="2" t="s">
        <v>670</v>
      </c>
      <c r="D297" s="2" t="s">
        <v>671</v>
      </c>
      <c r="E297" s="2" t="s">
        <v>672</v>
      </c>
      <c r="F297" s="27" t="n">
        <v>73000</v>
      </c>
      <c r="G297" s="2" t="s">
        <v>51</v>
      </c>
      <c r="H297" s="2" t="s">
        <v>59</v>
      </c>
      <c r="I297" s="2" t="s">
        <v>144</v>
      </c>
      <c r="J297" s="2" t="s">
        <v>145</v>
      </c>
      <c r="K297" s="2" t="n">
        <v>4</v>
      </c>
      <c r="L297" s="28" t="n">
        <v>25</v>
      </c>
      <c r="M297" s="29" t="n">
        <v>0.07375</v>
      </c>
      <c r="N297" s="28" t="n">
        <v>1.84375</v>
      </c>
      <c r="O297" s="28" t="n">
        <v>0</v>
      </c>
      <c r="P297" s="2" t="s">
        <v>146</v>
      </c>
      <c r="Q297" s="29" t="n">
        <v>0</v>
      </c>
      <c r="R297" s="30" t="n">
        <v>0</v>
      </c>
      <c r="S297" s="31"/>
      <c r="T297" s="30"/>
      <c r="U297" s="30"/>
      <c r="V297" s="29" t="n">
        <v>0</v>
      </c>
      <c r="W297" s="29" t="str">
        <f aca="false">IF(N(Q297)=0,"",Q297+IF(I297="yes",Q297*Inputs!$B$10*Inputs!$B$9,0)+V297)</f>
        <v/>
      </c>
      <c r="X297" s="28" t="str">
        <f aca="false">IF(OR(N(W297)&lt;=0,N(N297)=0,N(L297)=0),"",MIN(L297,N297/W297))</f>
        <v/>
      </c>
      <c r="Y297" s="29" t="str">
        <f aca="false">IF(OR(X297="",N(O297)=0),"",X297/O297-1)</f>
        <v/>
      </c>
      <c r="Z297" s="29" t="str">
        <f aca="false">IF(OR(Y297="",N(O297)=0),"",Y297+N297/O297)</f>
        <v/>
      </c>
      <c r="AA297" s="32" t="str">
        <f aca="false">IF(OR(Z297="",N(U297)=0),"",Z297-U297)</f>
        <v/>
      </c>
      <c r="AB297" s="29" t="str">
        <f aca="false">IF(N(Q297)=0,"",Q297+IF(I297="yes",Q297*Inputs!$B$10*Inputs!$B$9,0)+IFERROR(INDEX(Inputs!$B$13:$B$15,MATCH(G297,Inputs!$A$13:$A$15,0)),0)+IFERROR(INDEX(Inputs!$B$18:$B$24,MATCH(H297,Inputs!$A$18:$A$24,0)),0))</f>
        <v/>
      </c>
      <c r="AC297" s="28" t="str">
        <f aca="false">IF(OR(N(AB297)&lt;=0,N(N297)=0,N(L297)=0),"",MIN(L297,N297/AB297))</f>
        <v/>
      </c>
      <c r="AD297" s="29" t="str">
        <f aca="false">IF(OR(AC297="",N(O297)=0),"",AC297/O297-1)</f>
        <v/>
      </c>
      <c r="AE297" s="29" t="str">
        <f aca="false">IF(OR(AD297="",N(O297)=0),"",AD297+N297/O297)</f>
        <v/>
      </c>
      <c r="AF297" s="32" t="str">
        <f aca="false">IF(OR(AE297="",N(Z297)=0),"",AE297-Z297)</f>
        <v/>
      </c>
      <c r="AG297" s="28" t="n">
        <f aca="false">IF(AND(N(M297)&gt;0,N(L297)&gt;0),M297*L297,N297)</f>
        <v>1.84375</v>
      </c>
      <c r="AH297" s="28" t="str">
        <f aca="false">IF(OR(N(AB297)&lt;=0,N(AG297)=0,N(L297)=0),"",MIN(L297,AG297/AB297))</f>
        <v/>
      </c>
      <c r="AI297" s="29" t="str">
        <f aca="false">IF(OR(AH297="",N(O297)=0),"",AH297/O297-1)</f>
        <v/>
      </c>
      <c r="AJ297" s="29" t="str">
        <f aca="false">IF(OR(AI297="",N(O297)=0),"",AI297+AG297/O297)</f>
        <v/>
      </c>
      <c r="AK297" s="32" t="str">
        <f aca="false">IF(OR(AJ297="",N(AE297)=0),"",AJ297-AE297)</f>
        <v/>
      </c>
      <c r="AL297" s="33" t="n">
        <f aca="false">IF(N(F297)=0,"",INDEX(Inputs!$B$28:$B$32,IFERROR(MATCH(F297,Inputs!$A$28:$A$32,1),0)+1))</f>
        <v>0.075</v>
      </c>
      <c r="AM297" s="34"/>
      <c r="AN297" s="33" t="n">
        <f aca="false">IF(N(AM297)&gt;0,AM297,AL297)</f>
        <v>0.075</v>
      </c>
      <c r="AO297" s="29" t="n">
        <f aca="false">IF(N(AN297)=0,"",AN297+IF(I297="yes",AN297*Inputs!$B$10*Inputs!$B$9,0)+IFERROR(INDEX(Inputs!$B$13:$B$15,MATCH(G297,Inputs!$A$13:$A$15,0)),0)+IFERROR(INDEX(Inputs!$B$18:$B$24,MATCH(H297,Inputs!$A$18:$A$24,0)),0))</f>
        <v>0.075</v>
      </c>
      <c r="AP297" s="28" t="n">
        <f aca="false">IF(OR(N(AO297)&lt;=0,N(AG297)=0,N(L297)=0),"",MIN(L297,AG297/AO297))</f>
        <v>24.5833333333333</v>
      </c>
      <c r="AQ297" s="29" t="str">
        <f aca="false">IF(OR(AP297="",N(O297)=0),"",AP297/O297-1)</f>
        <v/>
      </c>
      <c r="AR297" s="29" t="str">
        <f aca="false">IF(OR(AQ297="",N(O297)=0),"",AQ297+AG297/O297)</f>
        <v/>
      </c>
      <c r="AS297" s="32" t="str">
        <f aca="false">IF(OR(AR297="",N(AJ297)=0),"",AR297-AJ297)</f>
        <v/>
      </c>
      <c r="AT297" s="28"/>
      <c r="AU297" s="28"/>
      <c r="AV297" s="28" t="n">
        <f aca="false">IF(N(AT297)&gt;0,AT297,L297)</f>
        <v>25</v>
      </c>
      <c r="AW297" s="28" t="n">
        <f aca="false">IF(AND(N(M297)&gt;0,N(AV297)&gt;0),M297*AV297,IF(N(AU297)&gt;0,AU297,N297))</f>
        <v>1.84375</v>
      </c>
      <c r="AX297" s="29" t="n">
        <f aca="false">IF(N(AN297)=0,"",AN297+IF(I297="yes",AN297*Inputs!$B$10*Inputs!$B$9,0)+IFERROR(INDEX(Inputs!$B$13:$B$15,MATCH(G297,Inputs!$A$13:$A$15,0)),0)+IFERROR(INDEX(Inputs!$B$18:$B$24,MATCH(H297,Inputs!$A$18:$A$24,0)),0))</f>
        <v>0.075</v>
      </c>
      <c r="AY297" s="28" t="n">
        <f aca="false">IF(OR(N(AX297)&lt;=0,N(AW297)=0,N(AV297)=0),"",MIN(AV297,AW297/AX297))</f>
        <v>24.5833333333333</v>
      </c>
      <c r="AZ297" s="29" t="str">
        <f aca="false">IF(OR(AY297="",N(O297)=0),"",AY297/O297-1)</f>
        <v/>
      </c>
      <c r="BA297" s="29" t="str">
        <f aca="false">IF(OR(AZ297="",N(O297)=0),"",AZ297+AW297/O297)</f>
        <v/>
      </c>
      <c r="BB297" s="32" t="str">
        <f aca="false">IF(OR(BA297="",N(AR297)=0),"",BA297-AR297)</f>
        <v/>
      </c>
      <c r="BC297" s="35" t="str">
        <f aca="false">IF(OR(BA297="",N(U297)=0),"",BA297-U297)</f>
        <v/>
      </c>
      <c r="BD297" s="36" t="s">
        <v>147</v>
      </c>
    </row>
    <row r="298" customFormat="false" ht="15" hidden="false" customHeight="false" outlineLevel="0" collapsed="false">
      <c r="A298" s="2" t="s">
        <v>556</v>
      </c>
      <c r="B298" s="2" t="n">
        <v>135</v>
      </c>
      <c r="C298" s="2" t="s">
        <v>673</v>
      </c>
      <c r="D298" s="2" t="s">
        <v>671</v>
      </c>
      <c r="E298" s="2" t="s">
        <v>672</v>
      </c>
      <c r="F298" s="27" t="n">
        <v>73000</v>
      </c>
      <c r="G298" s="2" t="s">
        <v>51</v>
      </c>
      <c r="H298" s="2" t="s">
        <v>59</v>
      </c>
      <c r="I298" s="2" t="s">
        <v>144</v>
      </c>
      <c r="J298" s="2" t="s">
        <v>145</v>
      </c>
      <c r="K298" s="2" t="n">
        <v>4</v>
      </c>
      <c r="L298" s="28" t="n">
        <v>25</v>
      </c>
      <c r="M298" s="29" t="n">
        <v>0.07625</v>
      </c>
      <c r="N298" s="28" t="n">
        <v>1.90625</v>
      </c>
      <c r="O298" s="28" t="n">
        <v>0</v>
      </c>
      <c r="P298" s="2" t="s">
        <v>146</v>
      </c>
      <c r="Q298" s="29" t="n">
        <v>0</v>
      </c>
      <c r="R298" s="30" t="n">
        <v>0</v>
      </c>
      <c r="S298" s="31"/>
      <c r="T298" s="30"/>
      <c r="U298" s="30"/>
      <c r="V298" s="29" t="n">
        <v>0</v>
      </c>
      <c r="W298" s="29" t="str">
        <f aca="false">IF(N(Q298)=0,"",Q298+IF(I298="yes",Q298*Inputs!$B$10*Inputs!$B$9,0)+V298)</f>
        <v/>
      </c>
      <c r="X298" s="28" t="str">
        <f aca="false">IF(OR(N(W298)&lt;=0,N(N298)=0,N(L298)=0),"",MIN(L298,N298/W298))</f>
        <v/>
      </c>
      <c r="Y298" s="29" t="str">
        <f aca="false">IF(OR(X298="",N(O298)=0),"",X298/O298-1)</f>
        <v/>
      </c>
      <c r="Z298" s="29" t="str">
        <f aca="false">IF(OR(Y298="",N(O298)=0),"",Y298+N298/O298)</f>
        <v/>
      </c>
      <c r="AA298" s="32" t="str">
        <f aca="false">IF(OR(Z298="",N(U298)=0),"",Z298-U298)</f>
        <v/>
      </c>
      <c r="AB298" s="29" t="str">
        <f aca="false">IF(N(Q298)=0,"",Q298+IF(I298="yes",Q298*Inputs!$B$10*Inputs!$B$9,0)+IFERROR(INDEX(Inputs!$B$13:$B$15,MATCH(G298,Inputs!$A$13:$A$15,0)),0)+IFERROR(INDEX(Inputs!$B$18:$B$24,MATCH(H298,Inputs!$A$18:$A$24,0)),0))</f>
        <v/>
      </c>
      <c r="AC298" s="28" t="str">
        <f aca="false">IF(OR(N(AB298)&lt;=0,N(N298)=0,N(L298)=0),"",MIN(L298,N298/AB298))</f>
        <v/>
      </c>
      <c r="AD298" s="29" t="str">
        <f aca="false">IF(OR(AC298="",N(O298)=0),"",AC298/O298-1)</f>
        <v/>
      </c>
      <c r="AE298" s="29" t="str">
        <f aca="false">IF(OR(AD298="",N(O298)=0),"",AD298+N298/O298)</f>
        <v/>
      </c>
      <c r="AF298" s="32" t="str">
        <f aca="false">IF(OR(AE298="",N(Z298)=0),"",AE298-Z298)</f>
        <v/>
      </c>
      <c r="AG298" s="28" t="n">
        <f aca="false">IF(AND(N(M298)&gt;0,N(L298)&gt;0),M298*L298,N298)</f>
        <v>1.90625</v>
      </c>
      <c r="AH298" s="28" t="str">
        <f aca="false">IF(OR(N(AB298)&lt;=0,N(AG298)=0,N(L298)=0),"",MIN(L298,AG298/AB298))</f>
        <v/>
      </c>
      <c r="AI298" s="29" t="str">
        <f aca="false">IF(OR(AH298="",N(O298)=0),"",AH298/O298-1)</f>
        <v/>
      </c>
      <c r="AJ298" s="29" t="str">
        <f aca="false">IF(OR(AI298="",N(O298)=0),"",AI298+AG298/O298)</f>
        <v/>
      </c>
      <c r="AK298" s="32" t="str">
        <f aca="false">IF(OR(AJ298="",N(AE298)=0),"",AJ298-AE298)</f>
        <v/>
      </c>
      <c r="AL298" s="33" t="n">
        <f aca="false">IF(N(F298)=0,"",INDEX(Inputs!$B$28:$B$32,IFERROR(MATCH(F298,Inputs!$A$28:$A$32,1),0)+1))</f>
        <v>0.075</v>
      </c>
      <c r="AM298" s="34"/>
      <c r="AN298" s="33" t="n">
        <f aca="false">IF(N(AM298)&gt;0,AM298,AL298)</f>
        <v>0.075</v>
      </c>
      <c r="AO298" s="29" t="n">
        <f aca="false">IF(N(AN298)=0,"",AN298+IF(I298="yes",AN298*Inputs!$B$10*Inputs!$B$9,0)+IFERROR(INDEX(Inputs!$B$13:$B$15,MATCH(G298,Inputs!$A$13:$A$15,0)),0)+IFERROR(INDEX(Inputs!$B$18:$B$24,MATCH(H298,Inputs!$A$18:$A$24,0)),0))</f>
        <v>0.075</v>
      </c>
      <c r="AP298" s="28" t="n">
        <f aca="false">IF(OR(N(AO298)&lt;=0,N(AG298)=0,N(L298)=0),"",MIN(L298,AG298/AO298))</f>
        <v>25</v>
      </c>
      <c r="AQ298" s="29" t="str">
        <f aca="false">IF(OR(AP298="",N(O298)=0),"",AP298/O298-1)</f>
        <v/>
      </c>
      <c r="AR298" s="29" t="str">
        <f aca="false">IF(OR(AQ298="",N(O298)=0),"",AQ298+AG298/O298)</f>
        <v/>
      </c>
      <c r="AS298" s="32" t="str">
        <f aca="false">IF(OR(AR298="",N(AJ298)=0),"",AR298-AJ298)</f>
        <v/>
      </c>
      <c r="AT298" s="28"/>
      <c r="AU298" s="28"/>
      <c r="AV298" s="28" t="n">
        <f aca="false">IF(N(AT298)&gt;0,AT298,L298)</f>
        <v>25</v>
      </c>
      <c r="AW298" s="28" t="n">
        <f aca="false">IF(AND(N(M298)&gt;0,N(AV298)&gt;0),M298*AV298,IF(N(AU298)&gt;0,AU298,N298))</f>
        <v>1.90625</v>
      </c>
      <c r="AX298" s="29" t="n">
        <f aca="false">IF(N(AN298)=0,"",AN298+IF(I298="yes",AN298*Inputs!$B$10*Inputs!$B$9,0)+IFERROR(INDEX(Inputs!$B$13:$B$15,MATCH(G298,Inputs!$A$13:$A$15,0)),0)+IFERROR(INDEX(Inputs!$B$18:$B$24,MATCH(H298,Inputs!$A$18:$A$24,0)),0))</f>
        <v>0.075</v>
      </c>
      <c r="AY298" s="28" t="n">
        <f aca="false">IF(OR(N(AX298)&lt;=0,N(AW298)=0,N(AV298)=0),"",MIN(AV298,AW298/AX298))</f>
        <v>25</v>
      </c>
      <c r="AZ298" s="29" t="str">
        <f aca="false">IF(OR(AY298="",N(O298)=0),"",AY298/O298-1)</f>
        <v/>
      </c>
      <c r="BA298" s="29" t="str">
        <f aca="false">IF(OR(AZ298="",N(O298)=0),"",AZ298+AW298/O298)</f>
        <v/>
      </c>
      <c r="BB298" s="32" t="str">
        <f aca="false">IF(OR(BA298="",N(AR298)=0),"",BA298-AR298)</f>
        <v/>
      </c>
      <c r="BC298" s="35" t="str">
        <f aca="false">IF(OR(BA298="",N(U298)=0),"",BA298-U298)</f>
        <v/>
      </c>
      <c r="BD298" s="36" t="s">
        <v>147</v>
      </c>
    </row>
    <row r="299" customFormat="false" ht="15" hidden="false" customHeight="false" outlineLevel="0" collapsed="false">
      <c r="A299" s="2" t="s">
        <v>556</v>
      </c>
      <c r="B299" s="2" t="n">
        <v>136</v>
      </c>
      <c r="C299" s="2" t="s">
        <v>674</v>
      </c>
      <c r="D299" s="2" t="s">
        <v>671</v>
      </c>
      <c r="E299" s="2" t="s">
        <v>672</v>
      </c>
      <c r="F299" s="27" t="n">
        <v>73000</v>
      </c>
      <c r="G299" s="2" t="s">
        <v>51</v>
      </c>
      <c r="H299" s="2" t="s">
        <v>59</v>
      </c>
      <c r="I299" s="2" t="s">
        <v>144</v>
      </c>
      <c r="J299" s="2" t="s">
        <v>145</v>
      </c>
      <c r="K299" s="2" t="n">
        <v>4</v>
      </c>
      <c r="L299" s="28" t="n">
        <v>25</v>
      </c>
      <c r="M299" s="29" t="n">
        <v>0.076</v>
      </c>
      <c r="N299" s="28" t="n">
        <v>1.9</v>
      </c>
      <c r="O299" s="28" t="n">
        <v>0</v>
      </c>
      <c r="P299" s="2" t="s">
        <v>146</v>
      </c>
      <c r="Q299" s="29" t="n">
        <v>0</v>
      </c>
      <c r="R299" s="30" t="n">
        <v>0</v>
      </c>
      <c r="S299" s="31"/>
      <c r="T299" s="30"/>
      <c r="U299" s="30"/>
      <c r="V299" s="29" t="n">
        <v>0</v>
      </c>
      <c r="W299" s="29" t="str">
        <f aca="false">IF(N(Q299)=0,"",Q299+IF(I299="yes",Q299*Inputs!$B$10*Inputs!$B$9,0)+V299)</f>
        <v/>
      </c>
      <c r="X299" s="28" t="str">
        <f aca="false">IF(OR(N(W299)&lt;=0,N(N299)=0,N(L299)=0),"",MIN(L299,N299/W299))</f>
        <v/>
      </c>
      <c r="Y299" s="29" t="str">
        <f aca="false">IF(OR(X299="",N(O299)=0),"",X299/O299-1)</f>
        <v/>
      </c>
      <c r="Z299" s="29" t="str">
        <f aca="false">IF(OR(Y299="",N(O299)=0),"",Y299+N299/O299)</f>
        <v/>
      </c>
      <c r="AA299" s="32" t="str">
        <f aca="false">IF(OR(Z299="",N(U299)=0),"",Z299-U299)</f>
        <v/>
      </c>
      <c r="AB299" s="29" t="str">
        <f aca="false">IF(N(Q299)=0,"",Q299+IF(I299="yes",Q299*Inputs!$B$10*Inputs!$B$9,0)+IFERROR(INDEX(Inputs!$B$13:$B$15,MATCH(G299,Inputs!$A$13:$A$15,0)),0)+IFERROR(INDEX(Inputs!$B$18:$B$24,MATCH(H299,Inputs!$A$18:$A$24,0)),0))</f>
        <v/>
      </c>
      <c r="AC299" s="28" t="str">
        <f aca="false">IF(OR(N(AB299)&lt;=0,N(N299)=0,N(L299)=0),"",MIN(L299,N299/AB299))</f>
        <v/>
      </c>
      <c r="AD299" s="29" t="str">
        <f aca="false">IF(OR(AC299="",N(O299)=0),"",AC299/O299-1)</f>
        <v/>
      </c>
      <c r="AE299" s="29" t="str">
        <f aca="false">IF(OR(AD299="",N(O299)=0),"",AD299+N299/O299)</f>
        <v/>
      </c>
      <c r="AF299" s="32" t="str">
        <f aca="false">IF(OR(AE299="",N(Z299)=0),"",AE299-Z299)</f>
        <v/>
      </c>
      <c r="AG299" s="28" t="n">
        <f aca="false">IF(AND(N(M299)&gt;0,N(L299)&gt;0),M299*L299,N299)</f>
        <v>1.9</v>
      </c>
      <c r="AH299" s="28" t="str">
        <f aca="false">IF(OR(N(AB299)&lt;=0,N(AG299)=0,N(L299)=0),"",MIN(L299,AG299/AB299))</f>
        <v/>
      </c>
      <c r="AI299" s="29" t="str">
        <f aca="false">IF(OR(AH299="",N(O299)=0),"",AH299/O299-1)</f>
        <v/>
      </c>
      <c r="AJ299" s="29" t="str">
        <f aca="false">IF(OR(AI299="",N(O299)=0),"",AI299+AG299/O299)</f>
        <v/>
      </c>
      <c r="AK299" s="32" t="str">
        <f aca="false">IF(OR(AJ299="",N(AE299)=0),"",AJ299-AE299)</f>
        <v/>
      </c>
      <c r="AL299" s="33" t="n">
        <f aca="false">IF(N(F299)=0,"",INDEX(Inputs!$B$28:$B$32,IFERROR(MATCH(F299,Inputs!$A$28:$A$32,1),0)+1))</f>
        <v>0.075</v>
      </c>
      <c r="AM299" s="34"/>
      <c r="AN299" s="33" t="n">
        <f aca="false">IF(N(AM299)&gt;0,AM299,AL299)</f>
        <v>0.075</v>
      </c>
      <c r="AO299" s="29" t="n">
        <f aca="false">IF(N(AN299)=0,"",AN299+IF(I299="yes",AN299*Inputs!$B$10*Inputs!$B$9,0)+IFERROR(INDEX(Inputs!$B$13:$B$15,MATCH(G299,Inputs!$A$13:$A$15,0)),0)+IFERROR(INDEX(Inputs!$B$18:$B$24,MATCH(H299,Inputs!$A$18:$A$24,0)),0))</f>
        <v>0.075</v>
      </c>
      <c r="AP299" s="28" t="n">
        <f aca="false">IF(OR(N(AO299)&lt;=0,N(AG299)=0,N(L299)=0),"",MIN(L299,AG299/AO299))</f>
        <v>25</v>
      </c>
      <c r="AQ299" s="29" t="str">
        <f aca="false">IF(OR(AP299="",N(O299)=0),"",AP299/O299-1)</f>
        <v/>
      </c>
      <c r="AR299" s="29" t="str">
        <f aca="false">IF(OR(AQ299="",N(O299)=0),"",AQ299+AG299/O299)</f>
        <v/>
      </c>
      <c r="AS299" s="32" t="str">
        <f aca="false">IF(OR(AR299="",N(AJ299)=0),"",AR299-AJ299)</f>
        <v/>
      </c>
      <c r="AT299" s="28"/>
      <c r="AU299" s="28"/>
      <c r="AV299" s="28" t="n">
        <f aca="false">IF(N(AT299)&gt;0,AT299,L299)</f>
        <v>25</v>
      </c>
      <c r="AW299" s="28" t="n">
        <f aca="false">IF(AND(N(M299)&gt;0,N(AV299)&gt;0),M299*AV299,IF(N(AU299)&gt;0,AU299,N299))</f>
        <v>1.9</v>
      </c>
      <c r="AX299" s="29" t="n">
        <f aca="false">IF(N(AN299)=0,"",AN299+IF(I299="yes",AN299*Inputs!$B$10*Inputs!$B$9,0)+IFERROR(INDEX(Inputs!$B$13:$B$15,MATCH(G299,Inputs!$A$13:$A$15,0)),0)+IFERROR(INDEX(Inputs!$B$18:$B$24,MATCH(H299,Inputs!$A$18:$A$24,0)),0))</f>
        <v>0.075</v>
      </c>
      <c r="AY299" s="28" t="n">
        <f aca="false">IF(OR(N(AX299)&lt;=0,N(AW299)=0,N(AV299)=0),"",MIN(AV299,AW299/AX299))</f>
        <v>25</v>
      </c>
      <c r="AZ299" s="29" t="str">
        <f aca="false">IF(OR(AY299="",N(O299)=0),"",AY299/O299-1)</f>
        <v/>
      </c>
      <c r="BA299" s="29" t="str">
        <f aca="false">IF(OR(AZ299="",N(O299)=0),"",AZ299+AW299/O299)</f>
        <v/>
      </c>
      <c r="BB299" s="32" t="str">
        <f aca="false">IF(OR(BA299="",N(AR299)=0),"",BA299-AR299)</f>
        <v/>
      </c>
      <c r="BC299" s="35" t="str">
        <f aca="false">IF(OR(BA299="",N(U299)=0),"",BA299-U299)</f>
        <v/>
      </c>
      <c r="BD299" s="36" t="s">
        <v>147</v>
      </c>
    </row>
    <row r="300" customFormat="false" ht="15" hidden="false" customHeight="false" outlineLevel="0" collapsed="false">
      <c r="A300" s="2" t="s">
        <v>556</v>
      </c>
      <c r="B300" s="2" t="n">
        <v>139</v>
      </c>
      <c r="C300" s="2" t="s">
        <v>675</v>
      </c>
      <c r="D300" s="2" t="s">
        <v>676</v>
      </c>
      <c r="E300" s="2" t="s">
        <v>677</v>
      </c>
      <c r="F300" s="27" t="n">
        <v>50100</v>
      </c>
      <c r="G300" s="2" t="s">
        <v>52</v>
      </c>
      <c r="H300" s="2" t="s">
        <v>58</v>
      </c>
      <c r="I300" s="2" t="s">
        <v>144</v>
      </c>
      <c r="J300" s="2" t="s">
        <v>145</v>
      </c>
      <c r="K300" s="2" t="n">
        <v>4</v>
      </c>
      <c r="L300" s="28" t="n">
        <v>25</v>
      </c>
      <c r="M300" s="29" t="n">
        <v>0.05</v>
      </c>
      <c r="N300" s="28" t="n">
        <v>1.25</v>
      </c>
      <c r="O300" s="28" t="n">
        <v>19.7</v>
      </c>
      <c r="P300" s="2" t="s">
        <v>146</v>
      </c>
      <c r="Q300" s="29" t="n">
        <v>0.08</v>
      </c>
      <c r="R300" s="30" t="n">
        <v>0.075</v>
      </c>
      <c r="S300" s="31" t="n">
        <v>16.6666666666667</v>
      </c>
      <c r="T300" s="30" t="n">
        <v>-0.153976311336717</v>
      </c>
      <c r="U300" s="30" t="n">
        <v>-0.0905245346869711</v>
      </c>
      <c r="V300" s="29" t="n">
        <v>-0.005</v>
      </c>
      <c r="W300" s="29" t="n">
        <f aca="false">IF(N(Q300)=0,"",Q300+IF(I300="yes",Q300*Inputs!$B$10*Inputs!$B$9,0)+V300)</f>
        <v>0.075</v>
      </c>
      <c r="X300" s="28" t="n">
        <f aca="false">IF(OR(N(W300)&lt;=0,N(N300)=0,N(L300)=0),"",MIN(L300,N300/W300))</f>
        <v>16.6666666666667</v>
      </c>
      <c r="Y300" s="29" t="n">
        <f aca="false">IF(OR(X300="",N(O300)=0),"",X300/O300-1)</f>
        <v>-0.153976311336717</v>
      </c>
      <c r="Z300" s="29" t="n">
        <f aca="false">IF(OR(Y300="",N(O300)=0),"",Y300+N300/O300)</f>
        <v>-0.0905245346869711</v>
      </c>
      <c r="AA300" s="32" t="n">
        <f aca="false">IF(OR(Z300="",N(U300)=0),"",Z300-U300)</f>
        <v>0</v>
      </c>
      <c r="AB300" s="29" t="n">
        <f aca="false">IF(N(Q300)=0,"",Q300+IF(I300="yes",Q300*Inputs!$B$10*Inputs!$B$9,0)+IFERROR(INDEX(Inputs!$B$13:$B$15,MATCH(G300,Inputs!$A$13:$A$15,0)),0)+IFERROR(INDEX(Inputs!$B$18:$B$24,MATCH(H300,Inputs!$A$18:$A$24,0)),0))</f>
        <v>0.075</v>
      </c>
      <c r="AC300" s="28" t="n">
        <f aca="false">IF(OR(N(AB300)&lt;=0,N(N300)=0,N(L300)=0),"",MIN(L300,N300/AB300))</f>
        <v>16.6666666666667</v>
      </c>
      <c r="AD300" s="29" t="n">
        <f aca="false">IF(OR(AC300="",N(O300)=0),"",AC300/O300-1)</f>
        <v>-0.153976311336717</v>
      </c>
      <c r="AE300" s="29" t="n">
        <f aca="false">IF(OR(AD300="",N(O300)=0),"",AD300+N300/O300)</f>
        <v>-0.0905245346869711</v>
      </c>
      <c r="AF300" s="32" t="n">
        <f aca="false">IF(OR(AE300="",N(Z300)=0),"",AE300-Z300)</f>
        <v>0</v>
      </c>
      <c r="AG300" s="28" t="n">
        <f aca="false">IF(AND(N(M300)&gt;0,N(L300)&gt;0),M300*L300,N300)</f>
        <v>1.25</v>
      </c>
      <c r="AH300" s="28" t="n">
        <f aca="false">IF(OR(N(AB300)&lt;=0,N(AG300)=0,N(L300)=0),"",MIN(L300,AG300/AB300))</f>
        <v>16.6666666666667</v>
      </c>
      <c r="AI300" s="29" t="n">
        <f aca="false">IF(OR(AH300="",N(O300)=0),"",AH300/O300-1)</f>
        <v>-0.153976311336717</v>
      </c>
      <c r="AJ300" s="29" t="n">
        <f aca="false">IF(OR(AI300="",N(O300)=0),"",AI300+AG300/O300)</f>
        <v>-0.0905245346869711</v>
      </c>
      <c r="AK300" s="32" t="n">
        <f aca="false">IF(OR(AJ300="",N(AE300)=0),"",AJ300-AE300)</f>
        <v>0</v>
      </c>
      <c r="AL300" s="33" t="n">
        <f aca="false">IF(N(F300)=0,"",INDEX(Inputs!$B$28:$B$32,IFERROR(MATCH(F300,Inputs!$A$28:$A$32,1),0)+1))</f>
        <v>0.075</v>
      </c>
      <c r="AM300" s="34"/>
      <c r="AN300" s="33" t="n">
        <f aca="false">IF(N(AM300)&gt;0,AM300,AL300)</f>
        <v>0.075</v>
      </c>
      <c r="AO300" s="29" t="n">
        <f aca="false">IF(N(AN300)=0,"",AN300+IF(I300="yes",AN300*Inputs!$B$10*Inputs!$B$9,0)+IFERROR(INDEX(Inputs!$B$13:$B$15,MATCH(G300,Inputs!$A$13:$A$15,0)),0)+IFERROR(INDEX(Inputs!$B$18:$B$24,MATCH(H300,Inputs!$A$18:$A$24,0)),0))</f>
        <v>0.07</v>
      </c>
      <c r="AP300" s="28" t="n">
        <f aca="false">IF(OR(N(AO300)&lt;=0,N(AG300)=0,N(L300)=0),"",MIN(L300,AG300/AO300))</f>
        <v>17.8571428571429</v>
      </c>
      <c r="AQ300" s="29" t="n">
        <f aca="false">IF(OR(AP300="",N(O300)=0),"",AP300/O300-1)</f>
        <v>-0.0935460478607686</v>
      </c>
      <c r="AR300" s="29" t="n">
        <f aca="false">IF(OR(AQ300="",N(O300)=0),"",AQ300+AG300/O300)</f>
        <v>-0.0300942712110224</v>
      </c>
      <c r="AS300" s="32" t="n">
        <f aca="false">IF(OR(AR300="",N(AJ300)=0),"",AR300-AJ300)</f>
        <v>0.0604302634759487</v>
      </c>
      <c r="AT300" s="28" t="n">
        <v>25</v>
      </c>
      <c r="AU300" s="28" t="n">
        <v>1.25</v>
      </c>
      <c r="AV300" s="28" t="n">
        <f aca="false">IF(N(AT300)&gt;0,AT300,L300)</f>
        <v>25</v>
      </c>
      <c r="AW300" s="28" t="n">
        <f aca="false">IF(AND(N(M300)&gt;0,N(AV300)&gt;0),M300*AV300,IF(N(AU300)&gt;0,AU300,N300))</f>
        <v>1.25</v>
      </c>
      <c r="AX300" s="29" t="n">
        <f aca="false">IF(N(AN300)=0,"",AN300+IF(I300="yes",AN300*Inputs!$B$10*Inputs!$B$9,0)+IFERROR(INDEX(Inputs!$B$13:$B$15,MATCH(G300,Inputs!$A$13:$A$15,0)),0)+IFERROR(INDEX(Inputs!$B$18:$B$24,MATCH(H300,Inputs!$A$18:$A$24,0)),0))</f>
        <v>0.07</v>
      </c>
      <c r="AY300" s="28" t="n">
        <f aca="false">IF(OR(N(AX300)&lt;=0,N(AW300)=0,N(AV300)=0),"",MIN(AV300,AW300/AX300))</f>
        <v>17.8571428571429</v>
      </c>
      <c r="AZ300" s="29" t="n">
        <f aca="false">IF(OR(AY300="",N(O300)=0),"",AY300/O300-1)</f>
        <v>-0.0935460478607686</v>
      </c>
      <c r="BA300" s="29" t="n">
        <f aca="false">IF(OR(AZ300="",N(O300)=0),"",AZ300+AW300/O300)</f>
        <v>-0.0300942712110224</v>
      </c>
      <c r="BB300" s="32" t="n">
        <f aca="false">IF(OR(BA300="",N(AR300)=0),"",BA300-AR300)</f>
        <v>0</v>
      </c>
      <c r="BC300" s="35" t="n">
        <f aca="false">IF(OR(BA300="",N(U300)=0),"",BA300-U300)</f>
        <v>0.0604302634759487</v>
      </c>
      <c r="BD300" s="37"/>
    </row>
    <row r="301" customFormat="false" ht="15" hidden="false" customHeight="false" outlineLevel="0" collapsed="false">
      <c r="A301" s="2" t="s">
        <v>556</v>
      </c>
      <c r="B301" s="2" t="n">
        <v>140</v>
      </c>
      <c r="C301" s="2" t="s">
        <v>678</v>
      </c>
      <c r="D301" s="2" t="s">
        <v>676</v>
      </c>
      <c r="E301" s="2" t="s">
        <v>677</v>
      </c>
      <c r="F301" s="27" t="n">
        <v>50100</v>
      </c>
      <c r="G301" s="2" t="s">
        <v>52</v>
      </c>
      <c r="H301" s="2" t="s">
        <v>58</v>
      </c>
      <c r="I301" s="2" t="s">
        <v>144</v>
      </c>
      <c r="J301" s="2" t="s">
        <v>145</v>
      </c>
      <c r="K301" s="2" t="n">
        <v>4</v>
      </c>
      <c r="L301" s="28" t="n">
        <v>25</v>
      </c>
      <c r="M301" s="29" t="n">
        <v>0.055</v>
      </c>
      <c r="N301" s="28" t="n">
        <v>1.375</v>
      </c>
      <c r="O301" s="28" t="n">
        <v>20.93</v>
      </c>
      <c r="P301" s="2" t="s">
        <v>146</v>
      </c>
      <c r="Q301" s="29" t="n">
        <v>0.08</v>
      </c>
      <c r="R301" s="30" t="n">
        <v>0.075</v>
      </c>
      <c r="S301" s="31" t="n">
        <v>18.3333333333333</v>
      </c>
      <c r="T301" s="30" t="n">
        <v>-0.124064341455646</v>
      </c>
      <c r="U301" s="30" t="n">
        <v>-0.0583691670648192</v>
      </c>
      <c r="V301" s="29" t="n">
        <v>-0.005</v>
      </c>
      <c r="W301" s="29" t="n">
        <f aca="false">IF(N(Q301)=0,"",Q301+IF(I301="yes",Q301*Inputs!$B$10*Inputs!$B$9,0)+V301)</f>
        <v>0.075</v>
      </c>
      <c r="X301" s="28" t="n">
        <f aca="false">IF(OR(N(W301)&lt;=0,N(N301)=0,N(L301)=0),"",MIN(L301,N301/W301))</f>
        <v>18.3333333333333</v>
      </c>
      <c r="Y301" s="29" t="n">
        <f aca="false">IF(OR(X301="",N(O301)=0),"",X301/O301-1)</f>
        <v>-0.124064341455646</v>
      </c>
      <c r="Z301" s="29" t="n">
        <f aca="false">IF(OR(Y301="",N(O301)=0),"",Y301+N301/O301)</f>
        <v>-0.0583691670648192</v>
      </c>
      <c r="AA301" s="32" t="n">
        <f aca="false">IF(OR(Z301="",N(U301)=0),"",Z301-U301)</f>
        <v>0</v>
      </c>
      <c r="AB301" s="29" t="n">
        <f aca="false">IF(N(Q301)=0,"",Q301+IF(I301="yes",Q301*Inputs!$B$10*Inputs!$B$9,0)+IFERROR(INDEX(Inputs!$B$13:$B$15,MATCH(G301,Inputs!$A$13:$A$15,0)),0)+IFERROR(INDEX(Inputs!$B$18:$B$24,MATCH(H301,Inputs!$A$18:$A$24,0)),0))</f>
        <v>0.075</v>
      </c>
      <c r="AC301" s="28" t="n">
        <f aca="false">IF(OR(N(AB301)&lt;=0,N(N301)=0,N(L301)=0),"",MIN(L301,N301/AB301))</f>
        <v>18.3333333333333</v>
      </c>
      <c r="AD301" s="29" t="n">
        <f aca="false">IF(OR(AC301="",N(O301)=0),"",AC301/O301-1)</f>
        <v>-0.124064341455646</v>
      </c>
      <c r="AE301" s="29" t="n">
        <f aca="false">IF(OR(AD301="",N(O301)=0),"",AD301+N301/O301)</f>
        <v>-0.0583691670648192</v>
      </c>
      <c r="AF301" s="32" t="n">
        <f aca="false">IF(OR(AE301="",N(Z301)=0),"",AE301-Z301)</f>
        <v>0</v>
      </c>
      <c r="AG301" s="28" t="n">
        <f aca="false">IF(AND(N(M301)&gt;0,N(L301)&gt;0),M301*L301,N301)</f>
        <v>1.375</v>
      </c>
      <c r="AH301" s="28" t="n">
        <f aca="false">IF(OR(N(AB301)&lt;=0,N(AG301)=0,N(L301)=0),"",MIN(L301,AG301/AB301))</f>
        <v>18.3333333333333</v>
      </c>
      <c r="AI301" s="29" t="n">
        <f aca="false">IF(OR(AH301="",N(O301)=0),"",AH301/O301-1)</f>
        <v>-0.124064341455646</v>
      </c>
      <c r="AJ301" s="29" t="n">
        <f aca="false">IF(OR(AI301="",N(O301)=0),"",AI301+AG301/O301)</f>
        <v>-0.0583691670648192</v>
      </c>
      <c r="AK301" s="32" t="n">
        <f aca="false">IF(OR(AJ301="",N(AE301)=0),"",AJ301-AE301)</f>
        <v>0</v>
      </c>
      <c r="AL301" s="33" t="n">
        <f aca="false">IF(N(F301)=0,"",INDEX(Inputs!$B$28:$B$32,IFERROR(MATCH(F301,Inputs!$A$28:$A$32,1),0)+1))</f>
        <v>0.075</v>
      </c>
      <c r="AM301" s="34"/>
      <c r="AN301" s="33" t="n">
        <f aca="false">IF(N(AM301)&gt;0,AM301,AL301)</f>
        <v>0.075</v>
      </c>
      <c r="AO301" s="29" t="n">
        <f aca="false">IF(N(AN301)=0,"",AN301+IF(I301="yes",AN301*Inputs!$B$10*Inputs!$B$9,0)+IFERROR(INDEX(Inputs!$B$13:$B$15,MATCH(G301,Inputs!$A$13:$A$15,0)),0)+IFERROR(INDEX(Inputs!$B$18:$B$24,MATCH(H301,Inputs!$A$18:$A$24,0)),0))</f>
        <v>0.07</v>
      </c>
      <c r="AP301" s="28" t="n">
        <f aca="false">IF(OR(N(AO301)&lt;=0,N(AG301)=0,N(L301)=0),"",MIN(L301,AG301/AO301))</f>
        <v>19.6428571428571</v>
      </c>
      <c r="AQ301" s="29" t="n">
        <f aca="false">IF(OR(AP301="",N(O301)=0),"",AP301/O301-1)</f>
        <v>-0.0614975087024775</v>
      </c>
      <c r="AR301" s="29" t="n">
        <f aca="false">IF(OR(AQ301="",N(O301)=0),"",AQ301+AG301/O301)</f>
        <v>0.00419766568834906</v>
      </c>
      <c r="AS301" s="32" t="n">
        <f aca="false">IF(OR(AR301="",N(AJ301)=0),"",AR301-AJ301)</f>
        <v>0.0625668327531682</v>
      </c>
      <c r="AT301" s="28" t="n">
        <v>25</v>
      </c>
      <c r="AU301" s="28" t="n">
        <v>1.38</v>
      </c>
      <c r="AV301" s="28" t="n">
        <f aca="false">IF(N(AT301)&gt;0,AT301,L301)</f>
        <v>25</v>
      </c>
      <c r="AW301" s="28" t="n">
        <f aca="false">IF(AND(N(M301)&gt;0,N(AV301)&gt;0),M301*AV301,IF(N(AU301)&gt;0,AU301,N301))</f>
        <v>1.375</v>
      </c>
      <c r="AX301" s="29" t="n">
        <f aca="false">IF(N(AN301)=0,"",AN301+IF(I301="yes",AN301*Inputs!$B$10*Inputs!$B$9,0)+IFERROR(INDEX(Inputs!$B$13:$B$15,MATCH(G301,Inputs!$A$13:$A$15,0)),0)+IFERROR(INDEX(Inputs!$B$18:$B$24,MATCH(H301,Inputs!$A$18:$A$24,0)),0))</f>
        <v>0.07</v>
      </c>
      <c r="AY301" s="28" t="n">
        <f aca="false">IF(OR(N(AX301)&lt;=0,N(AW301)=0,N(AV301)=0),"",MIN(AV301,AW301/AX301))</f>
        <v>19.6428571428571</v>
      </c>
      <c r="AZ301" s="29" t="n">
        <f aca="false">IF(OR(AY301="",N(O301)=0),"",AY301/O301-1)</f>
        <v>-0.0614975087024775</v>
      </c>
      <c r="BA301" s="29" t="n">
        <f aca="false">IF(OR(AZ301="",N(O301)=0),"",AZ301+AW301/O301)</f>
        <v>0.00419766568834906</v>
      </c>
      <c r="BB301" s="32" t="n">
        <f aca="false">IF(OR(BA301="",N(AR301)=0),"",BA301-AR301)</f>
        <v>0</v>
      </c>
      <c r="BC301" s="35" t="n">
        <f aca="false">IF(OR(BA301="",N(U301)=0),"",BA301-U301)</f>
        <v>0.0625668327531682</v>
      </c>
      <c r="BD301" s="37"/>
    </row>
    <row r="302" customFormat="false" ht="15" hidden="false" customHeight="false" outlineLevel="0" collapsed="false">
      <c r="A302" s="2" t="s">
        <v>556</v>
      </c>
      <c r="B302" s="2" t="n">
        <v>141</v>
      </c>
      <c r="C302" s="2" t="s">
        <v>679</v>
      </c>
      <c r="D302" s="2" t="s">
        <v>676</v>
      </c>
      <c r="E302" s="2" t="s">
        <v>677</v>
      </c>
      <c r="F302" s="27" t="n">
        <v>50100</v>
      </c>
      <c r="G302" s="2" t="s">
        <v>52</v>
      </c>
      <c r="H302" s="2" t="s">
        <v>58</v>
      </c>
      <c r="I302" s="2" t="s">
        <v>144</v>
      </c>
      <c r="J302" s="2" t="s">
        <v>145</v>
      </c>
      <c r="K302" s="2" t="n">
        <v>4</v>
      </c>
      <c r="L302" s="28" t="n">
        <v>25</v>
      </c>
      <c r="M302" s="29" t="n">
        <v>0.04875</v>
      </c>
      <c r="N302" s="28" t="n">
        <v>1.21875</v>
      </c>
      <c r="O302" s="28" t="n">
        <v>19.85</v>
      </c>
      <c r="P302" s="2" t="s">
        <v>146</v>
      </c>
      <c r="Q302" s="29" t="n">
        <v>0.08</v>
      </c>
      <c r="R302" s="30" t="n">
        <v>0.075</v>
      </c>
      <c r="S302" s="31" t="n">
        <v>16.25</v>
      </c>
      <c r="T302" s="30" t="n">
        <v>-0.181360201511335</v>
      </c>
      <c r="U302" s="30" t="n">
        <v>-0.119962216624685</v>
      </c>
      <c r="V302" s="29" t="n">
        <v>-0.005</v>
      </c>
      <c r="W302" s="29" t="n">
        <f aca="false">IF(N(Q302)=0,"",Q302+IF(I302="yes",Q302*Inputs!$B$10*Inputs!$B$9,0)+V302)</f>
        <v>0.075</v>
      </c>
      <c r="X302" s="28" t="n">
        <f aca="false">IF(OR(N(W302)&lt;=0,N(N302)=0,N(L302)=0),"",MIN(L302,N302/W302))</f>
        <v>16.25</v>
      </c>
      <c r="Y302" s="29" t="n">
        <f aca="false">IF(OR(X302="",N(O302)=0),"",X302/O302-1)</f>
        <v>-0.181360201511335</v>
      </c>
      <c r="Z302" s="29" t="n">
        <f aca="false">IF(OR(Y302="",N(O302)=0),"",Y302+N302/O302)</f>
        <v>-0.119962216624685</v>
      </c>
      <c r="AA302" s="32" t="n">
        <f aca="false">IF(OR(Z302="",N(U302)=0),"",Z302-U302)</f>
        <v>0</v>
      </c>
      <c r="AB302" s="29" t="n">
        <f aca="false">IF(N(Q302)=0,"",Q302+IF(I302="yes",Q302*Inputs!$B$10*Inputs!$B$9,0)+IFERROR(INDEX(Inputs!$B$13:$B$15,MATCH(G302,Inputs!$A$13:$A$15,0)),0)+IFERROR(INDEX(Inputs!$B$18:$B$24,MATCH(H302,Inputs!$A$18:$A$24,0)),0))</f>
        <v>0.075</v>
      </c>
      <c r="AC302" s="28" t="n">
        <f aca="false">IF(OR(N(AB302)&lt;=0,N(N302)=0,N(L302)=0),"",MIN(L302,N302/AB302))</f>
        <v>16.25</v>
      </c>
      <c r="AD302" s="29" t="n">
        <f aca="false">IF(OR(AC302="",N(O302)=0),"",AC302/O302-1)</f>
        <v>-0.181360201511335</v>
      </c>
      <c r="AE302" s="29" t="n">
        <f aca="false">IF(OR(AD302="",N(O302)=0),"",AD302+N302/O302)</f>
        <v>-0.119962216624685</v>
      </c>
      <c r="AF302" s="32" t="n">
        <f aca="false">IF(OR(AE302="",N(Z302)=0),"",AE302-Z302)</f>
        <v>0</v>
      </c>
      <c r="AG302" s="28" t="n">
        <f aca="false">IF(AND(N(M302)&gt;0,N(L302)&gt;0),M302*L302,N302)</f>
        <v>1.21875</v>
      </c>
      <c r="AH302" s="28" t="n">
        <f aca="false">IF(OR(N(AB302)&lt;=0,N(AG302)=0,N(L302)=0),"",MIN(L302,AG302/AB302))</f>
        <v>16.25</v>
      </c>
      <c r="AI302" s="29" t="n">
        <f aca="false">IF(OR(AH302="",N(O302)=0),"",AH302/O302-1)</f>
        <v>-0.181360201511335</v>
      </c>
      <c r="AJ302" s="29" t="n">
        <f aca="false">IF(OR(AI302="",N(O302)=0),"",AI302+AG302/O302)</f>
        <v>-0.119962216624685</v>
      </c>
      <c r="AK302" s="32" t="n">
        <f aca="false">IF(OR(AJ302="",N(AE302)=0),"",AJ302-AE302)</f>
        <v>0</v>
      </c>
      <c r="AL302" s="33" t="n">
        <f aca="false">IF(N(F302)=0,"",INDEX(Inputs!$B$28:$B$32,IFERROR(MATCH(F302,Inputs!$A$28:$A$32,1),0)+1))</f>
        <v>0.075</v>
      </c>
      <c r="AM302" s="34"/>
      <c r="AN302" s="33" t="n">
        <f aca="false">IF(N(AM302)&gt;0,AM302,AL302)</f>
        <v>0.075</v>
      </c>
      <c r="AO302" s="29" t="n">
        <f aca="false">IF(N(AN302)=0,"",AN302+IF(I302="yes",AN302*Inputs!$B$10*Inputs!$B$9,0)+IFERROR(INDEX(Inputs!$B$13:$B$15,MATCH(G302,Inputs!$A$13:$A$15,0)),0)+IFERROR(INDEX(Inputs!$B$18:$B$24,MATCH(H302,Inputs!$A$18:$A$24,0)),0))</f>
        <v>0.07</v>
      </c>
      <c r="AP302" s="28" t="n">
        <f aca="false">IF(OR(N(AO302)&lt;=0,N(AG302)=0,N(L302)=0),"",MIN(L302,AG302/AO302))</f>
        <v>17.4107142857143</v>
      </c>
      <c r="AQ302" s="29" t="n">
        <f aca="false">IF(OR(AP302="",N(O302)=0),"",AP302/O302-1)</f>
        <v>-0.122885930190716</v>
      </c>
      <c r="AR302" s="29" t="n">
        <f aca="false">IF(OR(AQ302="",N(O302)=0),"",AQ302+AG302/O302)</f>
        <v>-0.0614879453040662</v>
      </c>
      <c r="AS302" s="32" t="n">
        <f aca="false">IF(OR(AR302="",N(AJ302)=0),"",AR302-AJ302)</f>
        <v>0.058474271320619</v>
      </c>
      <c r="AT302" s="28" t="n">
        <v>25</v>
      </c>
      <c r="AU302" s="28" t="n">
        <v>1.22</v>
      </c>
      <c r="AV302" s="28" t="n">
        <f aca="false">IF(N(AT302)&gt;0,AT302,L302)</f>
        <v>25</v>
      </c>
      <c r="AW302" s="28" t="n">
        <f aca="false">IF(AND(N(M302)&gt;0,N(AV302)&gt;0),M302*AV302,IF(N(AU302)&gt;0,AU302,N302))</f>
        <v>1.21875</v>
      </c>
      <c r="AX302" s="29" t="n">
        <f aca="false">IF(N(AN302)=0,"",AN302+IF(I302="yes",AN302*Inputs!$B$10*Inputs!$B$9,0)+IFERROR(INDEX(Inputs!$B$13:$B$15,MATCH(G302,Inputs!$A$13:$A$15,0)),0)+IFERROR(INDEX(Inputs!$B$18:$B$24,MATCH(H302,Inputs!$A$18:$A$24,0)),0))</f>
        <v>0.07</v>
      </c>
      <c r="AY302" s="28" t="n">
        <f aca="false">IF(OR(N(AX302)&lt;=0,N(AW302)=0,N(AV302)=0),"",MIN(AV302,AW302/AX302))</f>
        <v>17.4107142857143</v>
      </c>
      <c r="AZ302" s="29" t="n">
        <f aca="false">IF(OR(AY302="",N(O302)=0),"",AY302/O302-1)</f>
        <v>-0.122885930190716</v>
      </c>
      <c r="BA302" s="29" t="n">
        <f aca="false">IF(OR(AZ302="",N(O302)=0),"",AZ302+AW302/O302)</f>
        <v>-0.0614879453040662</v>
      </c>
      <c r="BB302" s="32" t="n">
        <f aca="false">IF(OR(BA302="",N(AR302)=0),"",BA302-AR302)</f>
        <v>0</v>
      </c>
      <c r="BC302" s="35" t="n">
        <f aca="false">IF(OR(BA302="",N(U302)=0),"",BA302-U302)</f>
        <v>0.058474271320619</v>
      </c>
      <c r="BD302" s="37"/>
    </row>
    <row r="303" customFormat="false" ht="15" hidden="false" customHeight="false" outlineLevel="0" collapsed="false">
      <c r="A303" s="2" t="s">
        <v>556</v>
      </c>
      <c r="B303" s="2" t="n">
        <v>142</v>
      </c>
      <c r="C303" s="2" t="s">
        <v>680</v>
      </c>
      <c r="D303" s="2" t="s">
        <v>676</v>
      </c>
      <c r="E303" s="2" t="s">
        <v>677</v>
      </c>
      <c r="F303" s="27" t="n">
        <v>50100</v>
      </c>
      <c r="G303" s="2" t="s">
        <v>52</v>
      </c>
      <c r="H303" s="2" t="s">
        <v>58</v>
      </c>
      <c r="I303" s="2" t="s">
        <v>144</v>
      </c>
      <c r="J303" s="2" t="s">
        <v>145</v>
      </c>
      <c r="K303" s="2" t="n">
        <v>4</v>
      </c>
      <c r="L303" s="28" t="n">
        <v>25</v>
      </c>
      <c r="M303" s="29" t="n">
        <v>0.04875</v>
      </c>
      <c r="N303" s="28" t="n">
        <v>1.21875</v>
      </c>
      <c r="O303" s="28" t="n">
        <v>19.77</v>
      </c>
      <c r="P303" s="2" t="s">
        <v>146</v>
      </c>
      <c r="Q303" s="29" t="n">
        <v>0.08</v>
      </c>
      <c r="R303" s="30" t="n">
        <v>0.075</v>
      </c>
      <c r="S303" s="31" t="n">
        <v>16.25</v>
      </c>
      <c r="T303" s="30" t="n">
        <v>-0.178047546788063</v>
      </c>
      <c r="U303" s="30" t="n">
        <v>-0.116401112797167</v>
      </c>
      <c r="V303" s="29" t="n">
        <v>-0.005</v>
      </c>
      <c r="W303" s="29" t="n">
        <f aca="false">IF(N(Q303)=0,"",Q303+IF(I303="yes",Q303*Inputs!$B$10*Inputs!$B$9,0)+V303)</f>
        <v>0.075</v>
      </c>
      <c r="X303" s="28" t="n">
        <f aca="false">IF(OR(N(W303)&lt;=0,N(N303)=0,N(L303)=0),"",MIN(L303,N303/W303))</f>
        <v>16.25</v>
      </c>
      <c r="Y303" s="29" t="n">
        <f aca="false">IF(OR(X303="",N(O303)=0),"",X303/O303-1)</f>
        <v>-0.178047546788063</v>
      </c>
      <c r="Z303" s="29" t="n">
        <f aca="false">IF(OR(Y303="",N(O303)=0),"",Y303+N303/O303)</f>
        <v>-0.116401112797167</v>
      </c>
      <c r="AA303" s="32" t="n">
        <f aca="false">IF(OR(Z303="",N(U303)=0),"",Z303-U303)</f>
        <v>0</v>
      </c>
      <c r="AB303" s="29" t="n">
        <f aca="false">IF(N(Q303)=0,"",Q303+IF(I303="yes",Q303*Inputs!$B$10*Inputs!$B$9,0)+IFERROR(INDEX(Inputs!$B$13:$B$15,MATCH(G303,Inputs!$A$13:$A$15,0)),0)+IFERROR(INDEX(Inputs!$B$18:$B$24,MATCH(H303,Inputs!$A$18:$A$24,0)),0))</f>
        <v>0.075</v>
      </c>
      <c r="AC303" s="28" t="n">
        <f aca="false">IF(OR(N(AB303)&lt;=0,N(N303)=0,N(L303)=0),"",MIN(L303,N303/AB303))</f>
        <v>16.25</v>
      </c>
      <c r="AD303" s="29" t="n">
        <f aca="false">IF(OR(AC303="",N(O303)=0),"",AC303/O303-1)</f>
        <v>-0.178047546788063</v>
      </c>
      <c r="AE303" s="29" t="n">
        <f aca="false">IF(OR(AD303="",N(O303)=0),"",AD303+N303/O303)</f>
        <v>-0.116401112797167</v>
      </c>
      <c r="AF303" s="32" t="n">
        <f aca="false">IF(OR(AE303="",N(Z303)=0),"",AE303-Z303)</f>
        <v>0</v>
      </c>
      <c r="AG303" s="28" t="n">
        <f aca="false">IF(AND(N(M303)&gt;0,N(L303)&gt;0),M303*L303,N303)</f>
        <v>1.21875</v>
      </c>
      <c r="AH303" s="28" t="n">
        <f aca="false">IF(OR(N(AB303)&lt;=0,N(AG303)=0,N(L303)=0),"",MIN(L303,AG303/AB303))</f>
        <v>16.25</v>
      </c>
      <c r="AI303" s="29" t="n">
        <f aca="false">IF(OR(AH303="",N(O303)=0),"",AH303/O303-1)</f>
        <v>-0.178047546788063</v>
      </c>
      <c r="AJ303" s="29" t="n">
        <f aca="false">IF(OR(AI303="",N(O303)=0),"",AI303+AG303/O303)</f>
        <v>-0.116401112797167</v>
      </c>
      <c r="AK303" s="32" t="n">
        <f aca="false">IF(OR(AJ303="",N(AE303)=0),"",AJ303-AE303)</f>
        <v>0</v>
      </c>
      <c r="AL303" s="33" t="n">
        <f aca="false">IF(N(F303)=0,"",INDEX(Inputs!$B$28:$B$32,IFERROR(MATCH(F303,Inputs!$A$28:$A$32,1),0)+1))</f>
        <v>0.075</v>
      </c>
      <c r="AM303" s="34"/>
      <c r="AN303" s="33" t="n">
        <f aca="false">IF(N(AM303)&gt;0,AM303,AL303)</f>
        <v>0.075</v>
      </c>
      <c r="AO303" s="29" t="n">
        <f aca="false">IF(N(AN303)=0,"",AN303+IF(I303="yes",AN303*Inputs!$B$10*Inputs!$B$9,0)+IFERROR(INDEX(Inputs!$B$13:$B$15,MATCH(G303,Inputs!$A$13:$A$15,0)),0)+IFERROR(INDEX(Inputs!$B$18:$B$24,MATCH(H303,Inputs!$A$18:$A$24,0)),0))</f>
        <v>0.07</v>
      </c>
      <c r="AP303" s="28" t="n">
        <f aca="false">IF(OR(N(AO303)&lt;=0,N(AG303)=0,N(L303)=0),"",MIN(L303,AG303/AO303))</f>
        <v>17.4107142857143</v>
      </c>
      <c r="AQ303" s="29" t="n">
        <f aca="false">IF(OR(AP303="",N(O303)=0),"",AP303/O303-1)</f>
        <v>-0.119336657272924</v>
      </c>
      <c r="AR303" s="29" t="n">
        <f aca="false">IF(OR(AQ303="",N(O303)=0),"",AQ303+AG303/O303)</f>
        <v>-0.0576902232820289</v>
      </c>
      <c r="AS303" s="32" t="n">
        <f aca="false">IF(OR(AR303="",N(AJ303)=0),"",AR303-AJ303)</f>
        <v>0.0587108895151385</v>
      </c>
      <c r="AT303" s="28" t="n">
        <v>25</v>
      </c>
      <c r="AU303" s="28" t="n">
        <v>1.22</v>
      </c>
      <c r="AV303" s="28" t="n">
        <f aca="false">IF(N(AT303)&gt;0,AT303,L303)</f>
        <v>25</v>
      </c>
      <c r="AW303" s="28" t="n">
        <f aca="false">IF(AND(N(M303)&gt;0,N(AV303)&gt;0),M303*AV303,IF(N(AU303)&gt;0,AU303,N303))</f>
        <v>1.21875</v>
      </c>
      <c r="AX303" s="29" t="n">
        <f aca="false">IF(N(AN303)=0,"",AN303+IF(I303="yes",AN303*Inputs!$B$10*Inputs!$B$9,0)+IFERROR(INDEX(Inputs!$B$13:$B$15,MATCH(G303,Inputs!$A$13:$A$15,0)),0)+IFERROR(INDEX(Inputs!$B$18:$B$24,MATCH(H303,Inputs!$A$18:$A$24,0)),0))</f>
        <v>0.07</v>
      </c>
      <c r="AY303" s="28" t="n">
        <f aca="false">IF(OR(N(AX303)&lt;=0,N(AW303)=0,N(AV303)=0),"",MIN(AV303,AW303/AX303))</f>
        <v>17.4107142857143</v>
      </c>
      <c r="AZ303" s="29" t="n">
        <f aca="false">IF(OR(AY303="",N(O303)=0),"",AY303/O303-1)</f>
        <v>-0.119336657272924</v>
      </c>
      <c r="BA303" s="29" t="n">
        <f aca="false">IF(OR(AZ303="",N(O303)=0),"",AZ303+AW303/O303)</f>
        <v>-0.0576902232820289</v>
      </c>
      <c r="BB303" s="32" t="n">
        <f aca="false">IF(OR(BA303="",N(AR303)=0),"",BA303-AR303)</f>
        <v>0</v>
      </c>
      <c r="BC303" s="35" t="n">
        <f aca="false">IF(OR(BA303="",N(U303)=0),"",BA303-U303)</f>
        <v>0.0587108895151385</v>
      </c>
      <c r="BD303" s="37"/>
    </row>
    <row r="304" customFormat="false" ht="15" hidden="false" customHeight="false" outlineLevel="0" collapsed="false">
      <c r="A304" s="2" t="s">
        <v>556</v>
      </c>
      <c r="B304" s="2" t="n">
        <v>143</v>
      </c>
      <c r="C304" s="2" t="s">
        <v>681</v>
      </c>
      <c r="D304" s="2" t="s">
        <v>676</v>
      </c>
      <c r="E304" s="2" t="s">
        <v>677</v>
      </c>
      <c r="F304" s="27" t="n">
        <v>50100</v>
      </c>
      <c r="G304" s="2" t="s">
        <v>52</v>
      </c>
      <c r="H304" s="2" t="s">
        <v>58</v>
      </c>
      <c r="I304" s="2" t="s">
        <v>144</v>
      </c>
      <c r="J304" s="2" t="s">
        <v>145</v>
      </c>
      <c r="K304" s="2" t="n">
        <v>4</v>
      </c>
      <c r="L304" s="28" t="n">
        <v>25</v>
      </c>
      <c r="M304" s="29" t="n">
        <v>0.049</v>
      </c>
      <c r="N304" s="28" t="n">
        <v>1.225</v>
      </c>
      <c r="O304" s="28" t="n">
        <v>19.97</v>
      </c>
      <c r="P304" s="2" t="s">
        <v>146</v>
      </c>
      <c r="Q304" s="29" t="n">
        <v>0.08</v>
      </c>
      <c r="R304" s="30" t="n">
        <v>0.075</v>
      </c>
      <c r="S304" s="31" t="n">
        <v>16.3333333333333</v>
      </c>
      <c r="T304" s="30" t="n">
        <v>-0.182106493072943</v>
      </c>
      <c r="U304" s="30" t="n">
        <v>-0.120764480053413</v>
      </c>
      <c r="V304" s="29" t="n">
        <v>-0.005</v>
      </c>
      <c r="W304" s="29" t="n">
        <f aca="false">IF(N(Q304)=0,"",Q304+IF(I304="yes",Q304*Inputs!$B$10*Inputs!$B$9,0)+V304)</f>
        <v>0.075</v>
      </c>
      <c r="X304" s="28" t="n">
        <f aca="false">IF(OR(N(W304)&lt;=0,N(N304)=0,N(L304)=0),"",MIN(L304,N304/W304))</f>
        <v>16.3333333333333</v>
      </c>
      <c r="Y304" s="29" t="n">
        <f aca="false">IF(OR(X304="",N(O304)=0),"",X304/O304-1)</f>
        <v>-0.182106493072943</v>
      </c>
      <c r="Z304" s="29" t="n">
        <f aca="false">IF(OR(Y304="",N(O304)=0),"",Y304+N304/O304)</f>
        <v>-0.120764480053413</v>
      </c>
      <c r="AA304" s="32" t="n">
        <f aca="false">IF(OR(Z304="",N(U304)=0),"",Z304-U304)</f>
        <v>0</v>
      </c>
      <c r="AB304" s="29" t="n">
        <f aca="false">IF(N(Q304)=0,"",Q304+IF(I304="yes",Q304*Inputs!$B$10*Inputs!$B$9,0)+IFERROR(INDEX(Inputs!$B$13:$B$15,MATCH(G304,Inputs!$A$13:$A$15,0)),0)+IFERROR(INDEX(Inputs!$B$18:$B$24,MATCH(H304,Inputs!$A$18:$A$24,0)),0))</f>
        <v>0.075</v>
      </c>
      <c r="AC304" s="28" t="n">
        <f aca="false">IF(OR(N(AB304)&lt;=0,N(N304)=0,N(L304)=0),"",MIN(L304,N304/AB304))</f>
        <v>16.3333333333333</v>
      </c>
      <c r="AD304" s="29" t="n">
        <f aca="false">IF(OR(AC304="",N(O304)=0),"",AC304/O304-1)</f>
        <v>-0.182106493072943</v>
      </c>
      <c r="AE304" s="29" t="n">
        <f aca="false">IF(OR(AD304="",N(O304)=0),"",AD304+N304/O304)</f>
        <v>-0.120764480053413</v>
      </c>
      <c r="AF304" s="32" t="n">
        <f aca="false">IF(OR(AE304="",N(Z304)=0),"",AE304-Z304)</f>
        <v>0</v>
      </c>
      <c r="AG304" s="28" t="n">
        <f aca="false">IF(AND(N(M304)&gt;0,N(L304)&gt;0),M304*L304,N304)</f>
        <v>1.225</v>
      </c>
      <c r="AH304" s="28" t="n">
        <f aca="false">IF(OR(N(AB304)&lt;=0,N(AG304)=0,N(L304)=0),"",MIN(L304,AG304/AB304))</f>
        <v>16.3333333333333</v>
      </c>
      <c r="AI304" s="29" t="n">
        <f aca="false">IF(OR(AH304="",N(O304)=0),"",AH304/O304-1)</f>
        <v>-0.182106493072943</v>
      </c>
      <c r="AJ304" s="29" t="n">
        <f aca="false">IF(OR(AI304="",N(O304)=0),"",AI304+AG304/O304)</f>
        <v>-0.120764480053413</v>
      </c>
      <c r="AK304" s="32" t="n">
        <f aca="false">IF(OR(AJ304="",N(AE304)=0),"",AJ304-AE304)</f>
        <v>0</v>
      </c>
      <c r="AL304" s="33" t="n">
        <f aca="false">IF(N(F304)=0,"",INDEX(Inputs!$B$28:$B$32,IFERROR(MATCH(F304,Inputs!$A$28:$A$32,1),0)+1))</f>
        <v>0.075</v>
      </c>
      <c r="AM304" s="34"/>
      <c r="AN304" s="33" t="n">
        <f aca="false">IF(N(AM304)&gt;0,AM304,AL304)</f>
        <v>0.075</v>
      </c>
      <c r="AO304" s="29" t="n">
        <f aca="false">IF(N(AN304)=0,"",AN304+IF(I304="yes",AN304*Inputs!$B$10*Inputs!$B$9,0)+IFERROR(INDEX(Inputs!$B$13:$B$15,MATCH(G304,Inputs!$A$13:$A$15,0)),0)+IFERROR(INDEX(Inputs!$B$18:$B$24,MATCH(H304,Inputs!$A$18:$A$24,0)),0))</f>
        <v>0.07</v>
      </c>
      <c r="AP304" s="28" t="n">
        <f aca="false">IF(OR(N(AO304)&lt;=0,N(AG304)=0,N(L304)=0),"",MIN(L304,AG304/AO304))</f>
        <v>17.5</v>
      </c>
      <c r="AQ304" s="29" t="n">
        <f aca="false">IF(OR(AP304="",N(O304)=0),"",AP304/O304-1)</f>
        <v>-0.123685528292438</v>
      </c>
      <c r="AR304" s="29" t="n">
        <f aca="false">IF(OR(AQ304="",N(O304)=0),"",AQ304+AG304/O304)</f>
        <v>-0.0623435152729091</v>
      </c>
      <c r="AS304" s="32" t="n">
        <f aca="false">IF(OR(AR304="",N(AJ304)=0),"",AR304-AJ304)</f>
        <v>0.0584209647805042</v>
      </c>
      <c r="AT304" s="28" t="n">
        <v>25</v>
      </c>
      <c r="AU304" s="28" t="n">
        <v>1.23</v>
      </c>
      <c r="AV304" s="28" t="n">
        <f aca="false">IF(N(AT304)&gt;0,AT304,L304)</f>
        <v>25</v>
      </c>
      <c r="AW304" s="28" t="n">
        <f aca="false">IF(AND(N(M304)&gt;0,N(AV304)&gt;0),M304*AV304,IF(N(AU304)&gt;0,AU304,N304))</f>
        <v>1.225</v>
      </c>
      <c r="AX304" s="29" t="n">
        <f aca="false">IF(N(AN304)=0,"",AN304+IF(I304="yes",AN304*Inputs!$B$10*Inputs!$B$9,0)+IFERROR(INDEX(Inputs!$B$13:$B$15,MATCH(G304,Inputs!$A$13:$A$15,0)),0)+IFERROR(INDEX(Inputs!$B$18:$B$24,MATCH(H304,Inputs!$A$18:$A$24,0)),0))</f>
        <v>0.07</v>
      </c>
      <c r="AY304" s="28" t="n">
        <f aca="false">IF(OR(N(AX304)&lt;=0,N(AW304)=0,N(AV304)=0),"",MIN(AV304,AW304/AX304))</f>
        <v>17.5</v>
      </c>
      <c r="AZ304" s="29" t="n">
        <f aca="false">IF(OR(AY304="",N(O304)=0),"",AY304/O304-1)</f>
        <v>-0.123685528292438</v>
      </c>
      <c r="BA304" s="29" t="n">
        <f aca="false">IF(OR(AZ304="",N(O304)=0),"",AZ304+AW304/O304)</f>
        <v>-0.0623435152729091</v>
      </c>
      <c r="BB304" s="32" t="n">
        <f aca="false">IF(OR(BA304="",N(AR304)=0),"",BA304-AR304)</f>
        <v>0</v>
      </c>
      <c r="BC304" s="35" t="n">
        <f aca="false">IF(OR(BA304="",N(U304)=0),"",BA304-U304)</f>
        <v>0.0584209647805042</v>
      </c>
      <c r="BD304" s="37"/>
    </row>
    <row r="305" customFormat="false" ht="15" hidden="false" customHeight="false" outlineLevel="0" collapsed="false">
      <c r="A305" s="2" t="s">
        <v>556</v>
      </c>
      <c r="B305" s="2" t="n">
        <v>144</v>
      </c>
      <c r="C305" s="2" t="s">
        <v>682</v>
      </c>
      <c r="D305" s="2" t="s">
        <v>676</v>
      </c>
      <c r="E305" s="2" t="s">
        <v>677</v>
      </c>
      <c r="F305" s="27" t="n">
        <v>50100</v>
      </c>
      <c r="G305" s="2" t="s">
        <v>51</v>
      </c>
      <c r="H305" s="2" t="s">
        <v>58</v>
      </c>
      <c r="I305" s="2" t="s">
        <v>151</v>
      </c>
      <c r="J305" s="2" t="s">
        <v>145</v>
      </c>
      <c r="K305" s="2" t="n">
        <v>4</v>
      </c>
      <c r="L305" s="28" t="n">
        <v>25</v>
      </c>
      <c r="M305" s="29" t="n">
        <v>0.0536</v>
      </c>
      <c r="N305" s="28" t="n">
        <v>1.34</v>
      </c>
      <c r="O305" s="28" t="n">
        <v>23.47</v>
      </c>
      <c r="P305" s="2" t="s">
        <v>146</v>
      </c>
      <c r="Q305" s="29" t="n">
        <v>0.08</v>
      </c>
      <c r="R305" s="30" t="n">
        <v>0.076</v>
      </c>
      <c r="S305" s="31" t="n">
        <v>17.6315789473684</v>
      </c>
      <c r="T305" s="30" t="n">
        <v>-0.248761016303007</v>
      </c>
      <c r="U305" s="30" t="n">
        <v>-0.191666853542036</v>
      </c>
      <c r="V305" s="29" t="n">
        <v>0</v>
      </c>
      <c r="W305" s="29" t="n">
        <f aca="false">IF(N(Q305)=0,"",Q305+IF(I305="yes",Q305*Inputs!$B$10*Inputs!$B$9,0)+V305)</f>
        <v>0.076</v>
      </c>
      <c r="X305" s="28" t="n">
        <f aca="false">IF(OR(N(W305)&lt;=0,N(N305)=0,N(L305)=0),"",MIN(L305,N305/W305))</f>
        <v>17.6315789473684</v>
      </c>
      <c r="Y305" s="29" t="n">
        <f aca="false">IF(OR(X305="",N(O305)=0),"",X305/O305-1)</f>
        <v>-0.248761016303007</v>
      </c>
      <c r="Z305" s="29" t="n">
        <f aca="false">IF(OR(Y305="",N(O305)=0),"",Y305+N305/O305)</f>
        <v>-0.191666853542036</v>
      </c>
      <c r="AA305" s="32" t="n">
        <f aca="false">IF(OR(Z305="",N(U305)=0),"",Z305-U305)</f>
        <v>0</v>
      </c>
      <c r="AB305" s="29" t="n">
        <f aca="false">IF(N(Q305)=0,"",Q305+IF(I305="yes",Q305*Inputs!$B$10*Inputs!$B$9,0)+IFERROR(INDEX(Inputs!$B$13:$B$15,MATCH(G305,Inputs!$A$13:$A$15,0)),0)+IFERROR(INDEX(Inputs!$B$18:$B$24,MATCH(H305,Inputs!$A$18:$A$24,0)),0))</f>
        <v>0.076</v>
      </c>
      <c r="AC305" s="28" t="n">
        <f aca="false">IF(OR(N(AB305)&lt;=0,N(N305)=0,N(L305)=0),"",MIN(L305,N305/AB305))</f>
        <v>17.6315789473684</v>
      </c>
      <c r="AD305" s="29" t="n">
        <f aca="false">IF(OR(AC305="",N(O305)=0),"",AC305/O305-1)</f>
        <v>-0.248761016303007</v>
      </c>
      <c r="AE305" s="29" t="n">
        <f aca="false">IF(OR(AD305="",N(O305)=0),"",AD305+N305/O305)</f>
        <v>-0.191666853542036</v>
      </c>
      <c r="AF305" s="32" t="n">
        <f aca="false">IF(OR(AE305="",N(Z305)=0),"",AE305-Z305)</f>
        <v>0</v>
      </c>
      <c r="AG305" s="28" t="n">
        <f aca="false">IF(AND(N(M305)&gt;0,N(L305)&gt;0),M305*L305,N305)</f>
        <v>1.34</v>
      </c>
      <c r="AH305" s="28" t="n">
        <f aca="false">IF(OR(N(AB305)&lt;=0,N(AG305)=0,N(L305)=0),"",MIN(L305,AG305/AB305))</f>
        <v>17.6315789473684</v>
      </c>
      <c r="AI305" s="29" t="n">
        <f aca="false">IF(OR(AH305="",N(O305)=0),"",AH305/O305-1)</f>
        <v>-0.248761016303007</v>
      </c>
      <c r="AJ305" s="29" t="n">
        <f aca="false">IF(OR(AI305="",N(O305)=0),"",AI305+AG305/O305)</f>
        <v>-0.191666853542036</v>
      </c>
      <c r="AK305" s="32" t="n">
        <f aca="false">IF(OR(AJ305="",N(AE305)=0),"",AJ305-AE305)</f>
        <v>0</v>
      </c>
      <c r="AL305" s="33" t="n">
        <f aca="false">IF(N(F305)=0,"",INDEX(Inputs!$B$28:$B$32,IFERROR(MATCH(F305,Inputs!$A$28:$A$32,1),0)+1))</f>
        <v>0.075</v>
      </c>
      <c r="AM305" s="34"/>
      <c r="AN305" s="33" t="n">
        <f aca="false">IF(N(AM305)&gt;0,AM305,AL305)</f>
        <v>0.075</v>
      </c>
      <c r="AO305" s="29" t="n">
        <f aca="false">IF(N(AN305)=0,"",AN305+IF(I305="yes",AN305*Inputs!$B$10*Inputs!$B$9,0)+IFERROR(INDEX(Inputs!$B$13:$B$15,MATCH(G305,Inputs!$A$13:$A$15,0)),0)+IFERROR(INDEX(Inputs!$B$18:$B$24,MATCH(H305,Inputs!$A$18:$A$24,0)),0))</f>
        <v>0.07125</v>
      </c>
      <c r="AP305" s="28" t="n">
        <f aca="false">IF(OR(N(AO305)&lt;=0,N(AG305)=0,N(L305)=0),"",MIN(L305,AG305/AO305))</f>
        <v>18.8070175438597</v>
      </c>
      <c r="AQ305" s="29" t="n">
        <f aca="false">IF(OR(AP305="",N(O305)=0),"",AP305/O305-1)</f>
        <v>-0.198678417389874</v>
      </c>
      <c r="AR305" s="29" t="n">
        <f aca="false">IF(OR(AQ305="",N(O305)=0),"",AQ305+AG305/O305)</f>
        <v>-0.141584254628903</v>
      </c>
      <c r="AS305" s="32" t="n">
        <f aca="false">IF(OR(AR305="",N(AJ305)=0),"",AR305-AJ305)</f>
        <v>0.0500825989131329</v>
      </c>
      <c r="AT305" s="28" t="n">
        <v>25</v>
      </c>
      <c r="AU305" s="28" t="n">
        <v>1.34</v>
      </c>
      <c r="AV305" s="28" t="n">
        <f aca="false">IF(N(AT305)&gt;0,AT305,L305)</f>
        <v>25</v>
      </c>
      <c r="AW305" s="28" t="n">
        <f aca="false">IF(AND(N(M305)&gt;0,N(AV305)&gt;0),M305*AV305,IF(N(AU305)&gt;0,AU305,N305))</f>
        <v>1.34</v>
      </c>
      <c r="AX305" s="29" t="n">
        <f aca="false">IF(N(AN305)=0,"",AN305+IF(I305="yes",AN305*Inputs!$B$10*Inputs!$B$9,0)+IFERROR(INDEX(Inputs!$B$13:$B$15,MATCH(G305,Inputs!$A$13:$A$15,0)),0)+IFERROR(INDEX(Inputs!$B$18:$B$24,MATCH(H305,Inputs!$A$18:$A$24,0)),0))</f>
        <v>0.07125</v>
      </c>
      <c r="AY305" s="28" t="n">
        <f aca="false">IF(OR(N(AX305)&lt;=0,N(AW305)=0,N(AV305)=0),"",MIN(AV305,AW305/AX305))</f>
        <v>18.8070175438597</v>
      </c>
      <c r="AZ305" s="29" t="n">
        <f aca="false">IF(OR(AY305="",N(O305)=0),"",AY305/O305-1)</f>
        <v>-0.198678417389874</v>
      </c>
      <c r="BA305" s="29" t="n">
        <f aca="false">IF(OR(AZ305="",N(O305)=0),"",AZ305+AW305/O305)</f>
        <v>-0.141584254628903</v>
      </c>
      <c r="BB305" s="32" t="n">
        <f aca="false">IF(OR(BA305="",N(AR305)=0),"",BA305-AR305)</f>
        <v>0</v>
      </c>
      <c r="BC305" s="35" t="n">
        <f aca="false">IF(OR(BA305="",N(U305)=0),"",BA305-U305)</f>
        <v>0.0500825989131329</v>
      </c>
      <c r="BD305" s="37"/>
    </row>
    <row r="306" customFormat="false" ht="15" hidden="false" customHeight="false" outlineLevel="0" collapsed="false">
      <c r="A306" s="2" t="s">
        <v>556</v>
      </c>
      <c r="B306" s="2" t="n">
        <v>147</v>
      </c>
      <c r="C306" s="2" t="s">
        <v>683</v>
      </c>
      <c r="D306" s="2" t="s">
        <v>684</v>
      </c>
      <c r="E306" s="2" t="s">
        <v>685</v>
      </c>
      <c r="F306" s="27" t="n">
        <v>46500</v>
      </c>
      <c r="G306" s="2" t="s">
        <v>51</v>
      </c>
      <c r="H306" s="2" t="s">
        <v>58</v>
      </c>
      <c r="I306" s="2" t="s">
        <v>144</v>
      </c>
      <c r="J306" s="2" t="s">
        <v>277</v>
      </c>
      <c r="K306" s="2" t="n">
        <v>2</v>
      </c>
      <c r="L306" s="28" t="n">
        <v>25</v>
      </c>
      <c r="M306" s="29" t="n">
        <v>0.08</v>
      </c>
      <c r="N306" s="28" t="n">
        <v>2</v>
      </c>
      <c r="O306" s="28" t="n">
        <v>28.75</v>
      </c>
      <c r="P306" s="2" t="s">
        <v>146</v>
      </c>
      <c r="Q306" s="29" t="n">
        <v>0.08</v>
      </c>
      <c r="R306" s="30" t="n">
        <v>0.08</v>
      </c>
      <c r="S306" s="31" t="n">
        <v>25</v>
      </c>
      <c r="T306" s="30" t="n">
        <v>-0.130434782608696</v>
      </c>
      <c r="U306" s="30" t="n">
        <v>-0.0608695652173913</v>
      </c>
      <c r="V306" s="29" t="n">
        <v>0</v>
      </c>
      <c r="W306" s="29" t="n">
        <f aca="false">IF(N(Q306)=0,"",Q306+IF(I306="yes",Q306*Inputs!$B$10*Inputs!$B$9,0)+V306)</f>
        <v>0.08</v>
      </c>
      <c r="X306" s="28" t="n">
        <f aca="false">IF(OR(N(W306)&lt;=0,N(N306)=0,N(L306)=0),"",MIN(L306,N306/W306))</f>
        <v>25</v>
      </c>
      <c r="Y306" s="29" t="n">
        <f aca="false">IF(OR(X306="",N(O306)=0),"",X306/O306-1)</f>
        <v>-0.130434782608696</v>
      </c>
      <c r="Z306" s="29" t="n">
        <f aca="false">IF(OR(Y306="",N(O306)=0),"",Y306+N306/O306)</f>
        <v>-0.0608695652173913</v>
      </c>
      <c r="AA306" s="32" t="n">
        <f aca="false">IF(OR(Z306="",N(U306)=0),"",Z306-U306)</f>
        <v>0</v>
      </c>
      <c r="AB306" s="29" t="n">
        <f aca="false">IF(N(Q306)=0,"",Q306+IF(I306="yes",Q306*Inputs!$B$10*Inputs!$B$9,0)+IFERROR(INDEX(Inputs!$B$13:$B$15,MATCH(G306,Inputs!$A$13:$A$15,0)),0)+IFERROR(INDEX(Inputs!$B$18:$B$24,MATCH(H306,Inputs!$A$18:$A$24,0)),0))</f>
        <v>0.08</v>
      </c>
      <c r="AC306" s="28" t="n">
        <f aca="false">IF(OR(N(AB306)&lt;=0,N(N306)=0,N(L306)=0),"",MIN(L306,N306/AB306))</f>
        <v>25</v>
      </c>
      <c r="AD306" s="29" t="n">
        <f aca="false">IF(OR(AC306="",N(O306)=0),"",AC306/O306-1)</f>
        <v>-0.130434782608696</v>
      </c>
      <c r="AE306" s="29" t="n">
        <f aca="false">IF(OR(AD306="",N(O306)=0),"",AD306+N306/O306)</f>
        <v>-0.0608695652173913</v>
      </c>
      <c r="AF306" s="32" t="n">
        <f aca="false">IF(OR(AE306="",N(Z306)=0),"",AE306-Z306)</f>
        <v>0</v>
      </c>
      <c r="AG306" s="28" t="n">
        <f aca="false">IF(AND(N(M306)&gt;0,N(L306)&gt;0),M306*L306,N306)</f>
        <v>2</v>
      </c>
      <c r="AH306" s="28" t="n">
        <f aca="false">IF(OR(N(AB306)&lt;=0,N(AG306)=0,N(L306)=0),"",MIN(L306,AG306/AB306))</f>
        <v>25</v>
      </c>
      <c r="AI306" s="29" t="n">
        <f aca="false">IF(OR(AH306="",N(O306)=0),"",AH306/O306-1)</f>
        <v>-0.130434782608696</v>
      </c>
      <c r="AJ306" s="29" t="n">
        <f aca="false">IF(OR(AI306="",N(O306)=0),"",AI306+AG306/O306)</f>
        <v>-0.0608695652173913</v>
      </c>
      <c r="AK306" s="32" t="n">
        <f aca="false">IF(OR(AJ306="",N(AE306)=0),"",AJ306-AE306)</f>
        <v>0</v>
      </c>
      <c r="AL306" s="33" t="n">
        <f aca="false">IF(N(F306)=0,"",INDEX(Inputs!$B$28:$B$32,IFERROR(MATCH(F306,Inputs!$A$28:$A$32,1),0)+1))</f>
        <v>0.075</v>
      </c>
      <c r="AM306" s="34"/>
      <c r="AN306" s="33" t="n">
        <f aca="false">IF(N(AM306)&gt;0,AM306,AL306)</f>
        <v>0.075</v>
      </c>
      <c r="AO306" s="29" t="n">
        <f aca="false">IF(N(AN306)=0,"",AN306+IF(I306="yes",AN306*Inputs!$B$10*Inputs!$B$9,0)+IFERROR(INDEX(Inputs!$B$13:$B$15,MATCH(G306,Inputs!$A$13:$A$15,0)),0)+IFERROR(INDEX(Inputs!$B$18:$B$24,MATCH(H306,Inputs!$A$18:$A$24,0)),0))</f>
        <v>0.075</v>
      </c>
      <c r="AP306" s="28" t="n">
        <f aca="false">IF(OR(N(AO306)&lt;=0,N(AG306)=0,N(L306)=0),"",MIN(L306,AG306/AO306))</f>
        <v>25</v>
      </c>
      <c r="AQ306" s="29" t="n">
        <f aca="false">IF(OR(AP306="",N(O306)=0),"",AP306/O306-1)</f>
        <v>-0.130434782608696</v>
      </c>
      <c r="AR306" s="29" t="n">
        <f aca="false">IF(OR(AQ306="",N(O306)=0),"",AQ306+AG306/O306)</f>
        <v>-0.0608695652173913</v>
      </c>
      <c r="AS306" s="32" t="n">
        <f aca="false">IF(OR(AR306="",N(AJ306)=0),"",AR306-AJ306)</f>
        <v>0</v>
      </c>
      <c r="AT306" s="28" t="n">
        <v>27.1</v>
      </c>
      <c r="AU306" s="28" t="n">
        <v>2</v>
      </c>
      <c r="AV306" s="28" t="n">
        <f aca="false">IF(N(AT306)&gt;0,AT306,L306)</f>
        <v>27.1</v>
      </c>
      <c r="AW306" s="28" t="n">
        <f aca="false">IF(AND(N(M306)&gt;0,N(AV306)&gt;0),M306*AV306,IF(N(AU306)&gt;0,AU306,N306))</f>
        <v>2.168</v>
      </c>
      <c r="AX306" s="29" t="n">
        <f aca="false">IF(N(AN306)=0,"",AN306+IF(I306="yes",AN306*Inputs!$B$10*Inputs!$B$9,0)+IFERROR(INDEX(Inputs!$B$13:$B$15,MATCH(G306,Inputs!$A$13:$A$15,0)),0)+IFERROR(INDEX(Inputs!$B$18:$B$24,MATCH(H306,Inputs!$A$18:$A$24,0)),0))</f>
        <v>0.075</v>
      </c>
      <c r="AY306" s="28" t="n">
        <f aca="false">IF(OR(N(AX306)&lt;=0,N(AW306)=0,N(AV306)=0),"",MIN(AV306,AW306/AX306))</f>
        <v>27.1</v>
      </c>
      <c r="AZ306" s="29" t="n">
        <f aca="false">IF(OR(AY306="",N(O306)=0),"",AY306/O306-1)</f>
        <v>-0.057391304347826</v>
      </c>
      <c r="BA306" s="29" t="n">
        <f aca="false">IF(OR(AZ306="",N(O306)=0),"",AZ306+AW306/O306)</f>
        <v>0.0180173913043479</v>
      </c>
      <c r="BB306" s="32" t="n">
        <f aca="false">IF(OR(BA306="",N(AR306)=0),"",BA306-AR306)</f>
        <v>0.0788869565217392</v>
      </c>
      <c r="BC306" s="35" t="n">
        <f aca="false">IF(OR(BA306="",N(U306)=0),"",BA306-U306)</f>
        <v>0.0788869565217392</v>
      </c>
      <c r="BD306" s="36" t="s">
        <v>172</v>
      </c>
    </row>
    <row r="307" customFormat="false" ht="15" hidden="false" customHeight="false" outlineLevel="0" collapsed="false">
      <c r="A307" s="2" t="s">
        <v>556</v>
      </c>
      <c r="B307" s="2" t="n">
        <v>153</v>
      </c>
      <c r="C307" s="2" t="s">
        <v>686</v>
      </c>
      <c r="D307" s="2" t="s">
        <v>687</v>
      </c>
      <c r="E307" s="2" t="s">
        <v>688</v>
      </c>
      <c r="F307" s="27" t="n">
        <v>54800</v>
      </c>
      <c r="G307" s="2" t="s">
        <v>52</v>
      </c>
      <c r="H307" s="2" t="s">
        <v>58</v>
      </c>
      <c r="I307" s="2" t="s">
        <v>144</v>
      </c>
      <c r="J307" s="2" t="s">
        <v>145</v>
      </c>
      <c r="K307" s="2" t="n">
        <v>4</v>
      </c>
      <c r="L307" s="28" t="n">
        <v>25</v>
      </c>
      <c r="M307" s="29" t="n">
        <v>0.062</v>
      </c>
      <c r="N307" s="28" t="n">
        <v>1.55</v>
      </c>
      <c r="O307" s="28" t="n">
        <v>19.87</v>
      </c>
      <c r="P307" s="2" t="s">
        <v>146</v>
      </c>
      <c r="Q307" s="29" t="n">
        <v>0.09</v>
      </c>
      <c r="R307" s="30" t="n">
        <v>0.085</v>
      </c>
      <c r="S307" s="31" t="n">
        <v>18.2352941176471</v>
      </c>
      <c r="T307" s="30" t="n">
        <v>-0.0822700494390006</v>
      </c>
      <c r="U307" s="30" t="n">
        <v>-0.00426300364131567</v>
      </c>
      <c r="V307" s="29" t="n">
        <v>-0.005</v>
      </c>
      <c r="W307" s="29" t="n">
        <f aca="false">IF(N(Q307)=0,"",Q307+IF(I307="yes",Q307*Inputs!$B$10*Inputs!$B$9,0)+V307)</f>
        <v>0.085</v>
      </c>
      <c r="X307" s="28" t="n">
        <f aca="false">IF(OR(N(W307)&lt;=0,N(N307)=0,N(L307)=0),"",MIN(L307,N307/W307))</f>
        <v>18.2352941176471</v>
      </c>
      <c r="Y307" s="29" t="n">
        <f aca="false">IF(OR(X307="",N(O307)=0),"",X307/O307-1)</f>
        <v>-0.0822700494390006</v>
      </c>
      <c r="Z307" s="29" t="n">
        <f aca="false">IF(OR(Y307="",N(O307)=0),"",Y307+N307/O307)</f>
        <v>-0.00426300364131567</v>
      </c>
      <c r="AA307" s="32" t="n">
        <f aca="false">IF(OR(Z307="",N(U307)=0),"",Z307-U307)</f>
        <v>0</v>
      </c>
      <c r="AB307" s="29" t="n">
        <f aca="false">IF(N(Q307)=0,"",Q307+IF(I307="yes",Q307*Inputs!$B$10*Inputs!$B$9,0)+IFERROR(INDEX(Inputs!$B$13:$B$15,MATCH(G307,Inputs!$A$13:$A$15,0)),0)+IFERROR(INDEX(Inputs!$B$18:$B$24,MATCH(H307,Inputs!$A$18:$A$24,0)),0))</f>
        <v>0.085</v>
      </c>
      <c r="AC307" s="28" t="n">
        <f aca="false">IF(OR(N(AB307)&lt;=0,N(N307)=0,N(L307)=0),"",MIN(L307,N307/AB307))</f>
        <v>18.2352941176471</v>
      </c>
      <c r="AD307" s="29" t="n">
        <f aca="false">IF(OR(AC307="",N(O307)=0),"",AC307/O307-1)</f>
        <v>-0.0822700494390006</v>
      </c>
      <c r="AE307" s="29" t="n">
        <f aca="false">IF(OR(AD307="",N(O307)=0),"",AD307+N307/O307)</f>
        <v>-0.00426300364131567</v>
      </c>
      <c r="AF307" s="32" t="n">
        <f aca="false">IF(OR(AE307="",N(Z307)=0),"",AE307-Z307)</f>
        <v>0</v>
      </c>
      <c r="AG307" s="28" t="n">
        <f aca="false">IF(AND(N(M307)&gt;0,N(L307)&gt;0),M307*L307,N307)</f>
        <v>1.55</v>
      </c>
      <c r="AH307" s="28" t="n">
        <f aca="false">IF(OR(N(AB307)&lt;=0,N(AG307)=0,N(L307)=0),"",MIN(L307,AG307/AB307))</f>
        <v>18.2352941176471</v>
      </c>
      <c r="AI307" s="29" t="n">
        <f aca="false">IF(OR(AH307="",N(O307)=0),"",AH307/O307-1)</f>
        <v>-0.0822700494390006</v>
      </c>
      <c r="AJ307" s="29" t="n">
        <f aca="false">IF(OR(AI307="",N(O307)=0),"",AI307+AG307/O307)</f>
        <v>-0.00426300364131567</v>
      </c>
      <c r="AK307" s="32" t="n">
        <f aca="false">IF(OR(AJ307="",N(AE307)=0),"",AJ307-AE307)</f>
        <v>0</v>
      </c>
      <c r="AL307" s="33" t="n">
        <f aca="false">IF(N(F307)=0,"",INDEX(Inputs!$B$28:$B$32,IFERROR(MATCH(F307,Inputs!$A$28:$A$32,1),0)+1))</f>
        <v>0.075</v>
      </c>
      <c r="AM307" s="34"/>
      <c r="AN307" s="33" t="n">
        <f aca="false">IF(N(AM307)&gt;0,AM307,AL307)</f>
        <v>0.075</v>
      </c>
      <c r="AO307" s="29" t="n">
        <f aca="false">IF(N(AN307)=0,"",AN307+IF(I307="yes",AN307*Inputs!$B$10*Inputs!$B$9,0)+IFERROR(INDEX(Inputs!$B$13:$B$15,MATCH(G307,Inputs!$A$13:$A$15,0)),0)+IFERROR(INDEX(Inputs!$B$18:$B$24,MATCH(H307,Inputs!$A$18:$A$24,0)),0))</f>
        <v>0.07</v>
      </c>
      <c r="AP307" s="28" t="n">
        <f aca="false">IF(OR(N(AO307)&lt;=0,N(AG307)=0,N(L307)=0),"",MIN(L307,AG307/AO307))</f>
        <v>22.1428571428571</v>
      </c>
      <c r="AQ307" s="29" t="n">
        <f aca="false">IF(OR(AP307="",N(O307)=0),"",AP307/O307-1)</f>
        <v>0.114386368538357</v>
      </c>
      <c r="AR307" s="29" t="n">
        <f aca="false">IF(OR(AQ307="",N(O307)=0),"",AQ307+AG307/O307)</f>
        <v>0.192393414336042</v>
      </c>
      <c r="AS307" s="32" t="n">
        <f aca="false">IF(OR(AR307="",N(AJ307)=0),"",AR307-AJ307)</f>
        <v>0.196656417977357</v>
      </c>
      <c r="AT307" s="28" t="n">
        <v>25</v>
      </c>
      <c r="AU307" s="28" t="n">
        <v>1.55</v>
      </c>
      <c r="AV307" s="28" t="n">
        <f aca="false">IF(N(AT307)&gt;0,AT307,L307)</f>
        <v>25</v>
      </c>
      <c r="AW307" s="28" t="n">
        <f aca="false">IF(AND(N(M307)&gt;0,N(AV307)&gt;0),M307*AV307,IF(N(AU307)&gt;0,AU307,N307))</f>
        <v>1.55</v>
      </c>
      <c r="AX307" s="29" t="n">
        <f aca="false">IF(N(AN307)=0,"",AN307+IF(I307="yes",AN307*Inputs!$B$10*Inputs!$B$9,0)+IFERROR(INDEX(Inputs!$B$13:$B$15,MATCH(G307,Inputs!$A$13:$A$15,0)),0)+IFERROR(INDEX(Inputs!$B$18:$B$24,MATCH(H307,Inputs!$A$18:$A$24,0)),0))</f>
        <v>0.07</v>
      </c>
      <c r="AY307" s="28" t="n">
        <f aca="false">IF(OR(N(AX307)&lt;=0,N(AW307)=0,N(AV307)=0),"",MIN(AV307,AW307/AX307))</f>
        <v>22.1428571428571</v>
      </c>
      <c r="AZ307" s="29" t="n">
        <f aca="false">IF(OR(AY307="",N(O307)=0),"",AY307/O307-1)</f>
        <v>0.114386368538357</v>
      </c>
      <c r="BA307" s="29" t="n">
        <f aca="false">IF(OR(AZ307="",N(O307)=0),"",AZ307+AW307/O307)</f>
        <v>0.192393414336042</v>
      </c>
      <c r="BB307" s="32" t="n">
        <f aca="false">IF(OR(BA307="",N(AR307)=0),"",BA307-AR307)</f>
        <v>0</v>
      </c>
      <c r="BC307" s="35" t="n">
        <f aca="false">IF(OR(BA307="",N(U307)=0),"",BA307-U307)</f>
        <v>0.196656417977357</v>
      </c>
      <c r="BD307" s="37"/>
    </row>
    <row r="308" customFormat="false" ht="15" hidden="false" customHeight="false" outlineLevel="0" collapsed="false">
      <c r="A308" s="2" t="s">
        <v>556</v>
      </c>
      <c r="B308" s="2" t="n">
        <v>154</v>
      </c>
      <c r="C308" s="2" t="s">
        <v>689</v>
      </c>
      <c r="D308" s="2" t="s">
        <v>687</v>
      </c>
      <c r="E308" s="2" t="s">
        <v>688</v>
      </c>
      <c r="F308" s="27" t="n">
        <v>54800</v>
      </c>
      <c r="G308" s="2" t="s">
        <v>52</v>
      </c>
      <c r="H308" s="2" t="s">
        <v>58</v>
      </c>
      <c r="I308" s="2" t="s">
        <v>144</v>
      </c>
      <c r="J308" s="2" t="s">
        <v>145</v>
      </c>
      <c r="K308" s="2" t="n">
        <v>4</v>
      </c>
      <c r="L308" s="28" t="n">
        <v>25</v>
      </c>
      <c r="M308" s="29" t="n">
        <v>0.06</v>
      </c>
      <c r="N308" s="28" t="n">
        <v>1.5</v>
      </c>
      <c r="O308" s="28" t="n">
        <v>19.61</v>
      </c>
      <c r="P308" s="2" t="s">
        <v>146</v>
      </c>
      <c r="Q308" s="29" t="n">
        <v>0.09</v>
      </c>
      <c r="R308" s="30" t="n">
        <v>0.085</v>
      </c>
      <c r="S308" s="31" t="n">
        <v>17.6470588235294</v>
      </c>
      <c r="T308" s="30" t="n">
        <v>-0.100098989111198</v>
      </c>
      <c r="U308" s="30" t="n">
        <v>-0.0236074031856497</v>
      </c>
      <c r="V308" s="29" t="n">
        <v>-0.005</v>
      </c>
      <c r="W308" s="29" t="n">
        <f aca="false">IF(N(Q308)=0,"",Q308+IF(I308="yes",Q308*Inputs!$B$10*Inputs!$B$9,0)+V308)</f>
        <v>0.085</v>
      </c>
      <c r="X308" s="28" t="n">
        <f aca="false">IF(OR(N(W308)&lt;=0,N(N308)=0,N(L308)=0),"",MIN(L308,N308/W308))</f>
        <v>17.6470588235294</v>
      </c>
      <c r="Y308" s="29" t="n">
        <f aca="false">IF(OR(X308="",N(O308)=0),"",X308/O308-1)</f>
        <v>-0.100098989111198</v>
      </c>
      <c r="Z308" s="29" t="n">
        <f aca="false">IF(OR(Y308="",N(O308)=0),"",Y308+N308/O308)</f>
        <v>-0.0236074031856497</v>
      </c>
      <c r="AA308" s="32" t="n">
        <f aca="false">IF(OR(Z308="",N(U308)=0),"",Z308-U308)</f>
        <v>0</v>
      </c>
      <c r="AB308" s="29" t="n">
        <f aca="false">IF(N(Q308)=0,"",Q308+IF(I308="yes",Q308*Inputs!$B$10*Inputs!$B$9,0)+IFERROR(INDEX(Inputs!$B$13:$B$15,MATCH(G308,Inputs!$A$13:$A$15,0)),0)+IFERROR(INDEX(Inputs!$B$18:$B$24,MATCH(H308,Inputs!$A$18:$A$24,0)),0))</f>
        <v>0.085</v>
      </c>
      <c r="AC308" s="28" t="n">
        <f aca="false">IF(OR(N(AB308)&lt;=0,N(N308)=0,N(L308)=0),"",MIN(L308,N308/AB308))</f>
        <v>17.6470588235294</v>
      </c>
      <c r="AD308" s="29" t="n">
        <f aca="false">IF(OR(AC308="",N(O308)=0),"",AC308/O308-1)</f>
        <v>-0.100098989111198</v>
      </c>
      <c r="AE308" s="29" t="n">
        <f aca="false">IF(OR(AD308="",N(O308)=0),"",AD308+N308/O308)</f>
        <v>-0.0236074031856497</v>
      </c>
      <c r="AF308" s="32" t="n">
        <f aca="false">IF(OR(AE308="",N(Z308)=0),"",AE308-Z308)</f>
        <v>0</v>
      </c>
      <c r="AG308" s="28" t="n">
        <f aca="false">IF(AND(N(M308)&gt;0,N(L308)&gt;0),M308*L308,N308)</f>
        <v>1.5</v>
      </c>
      <c r="AH308" s="28" t="n">
        <f aca="false">IF(OR(N(AB308)&lt;=0,N(AG308)=0,N(L308)=0),"",MIN(L308,AG308/AB308))</f>
        <v>17.6470588235294</v>
      </c>
      <c r="AI308" s="29" t="n">
        <f aca="false">IF(OR(AH308="",N(O308)=0),"",AH308/O308-1)</f>
        <v>-0.100098989111198</v>
      </c>
      <c r="AJ308" s="29" t="n">
        <f aca="false">IF(OR(AI308="",N(O308)=0),"",AI308+AG308/O308)</f>
        <v>-0.0236074031856497</v>
      </c>
      <c r="AK308" s="32" t="n">
        <f aca="false">IF(OR(AJ308="",N(AE308)=0),"",AJ308-AE308)</f>
        <v>0</v>
      </c>
      <c r="AL308" s="33" t="n">
        <f aca="false">IF(N(F308)=0,"",INDEX(Inputs!$B$28:$B$32,IFERROR(MATCH(F308,Inputs!$A$28:$A$32,1),0)+1))</f>
        <v>0.075</v>
      </c>
      <c r="AM308" s="34"/>
      <c r="AN308" s="33" t="n">
        <f aca="false">IF(N(AM308)&gt;0,AM308,AL308)</f>
        <v>0.075</v>
      </c>
      <c r="AO308" s="29" t="n">
        <f aca="false">IF(N(AN308)=0,"",AN308+IF(I308="yes",AN308*Inputs!$B$10*Inputs!$B$9,0)+IFERROR(INDEX(Inputs!$B$13:$B$15,MATCH(G308,Inputs!$A$13:$A$15,0)),0)+IFERROR(INDEX(Inputs!$B$18:$B$24,MATCH(H308,Inputs!$A$18:$A$24,0)),0))</f>
        <v>0.07</v>
      </c>
      <c r="AP308" s="28" t="n">
        <f aca="false">IF(OR(N(AO308)&lt;=0,N(AG308)=0,N(L308)=0),"",MIN(L308,AG308/AO308))</f>
        <v>21.4285714285714</v>
      </c>
      <c r="AQ308" s="29" t="n">
        <f aca="false">IF(OR(AP308="",N(O308)=0),"",AP308/O308-1)</f>
        <v>0.0927369417935458</v>
      </c>
      <c r="AR308" s="29" t="n">
        <f aca="false">IF(OR(AQ308="",N(O308)=0),"",AQ308+AG308/O308)</f>
        <v>0.169228527719094</v>
      </c>
      <c r="AS308" s="32" t="n">
        <f aca="false">IF(OR(AR308="",N(AJ308)=0),"",AR308-AJ308)</f>
        <v>0.192835930904744</v>
      </c>
      <c r="AT308" s="28" t="n">
        <v>25</v>
      </c>
      <c r="AU308" s="28" t="n">
        <v>1.5</v>
      </c>
      <c r="AV308" s="28" t="n">
        <f aca="false">IF(N(AT308)&gt;0,AT308,L308)</f>
        <v>25</v>
      </c>
      <c r="AW308" s="28" t="n">
        <f aca="false">IF(AND(N(M308)&gt;0,N(AV308)&gt;0),M308*AV308,IF(N(AU308)&gt;0,AU308,N308))</f>
        <v>1.5</v>
      </c>
      <c r="AX308" s="29" t="n">
        <f aca="false">IF(N(AN308)=0,"",AN308+IF(I308="yes",AN308*Inputs!$B$10*Inputs!$B$9,0)+IFERROR(INDEX(Inputs!$B$13:$B$15,MATCH(G308,Inputs!$A$13:$A$15,0)),0)+IFERROR(INDEX(Inputs!$B$18:$B$24,MATCH(H308,Inputs!$A$18:$A$24,0)),0))</f>
        <v>0.07</v>
      </c>
      <c r="AY308" s="28" t="n">
        <f aca="false">IF(OR(N(AX308)&lt;=0,N(AW308)=0,N(AV308)=0),"",MIN(AV308,AW308/AX308))</f>
        <v>21.4285714285714</v>
      </c>
      <c r="AZ308" s="29" t="n">
        <f aca="false">IF(OR(AY308="",N(O308)=0),"",AY308/O308-1)</f>
        <v>0.0927369417935458</v>
      </c>
      <c r="BA308" s="29" t="n">
        <f aca="false">IF(OR(AZ308="",N(O308)=0),"",AZ308+AW308/O308)</f>
        <v>0.169228527719094</v>
      </c>
      <c r="BB308" s="32" t="n">
        <f aca="false">IF(OR(BA308="",N(AR308)=0),"",BA308-AR308)</f>
        <v>0</v>
      </c>
      <c r="BC308" s="35" t="n">
        <f aca="false">IF(OR(BA308="",N(U308)=0),"",BA308-U308)</f>
        <v>0.192835930904744</v>
      </c>
      <c r="BD308" s="37"/>
    </row>
    <row r="309" customFormat="false" ht="15" hidden="false" customHeight="false" outlineLevel="0" collapsed="false">
      <c r="A309" s="2" t="s">
        <v>556</v>
      </c>
      <c r="B309" s="2" t="n">
        <v>155</v>
      </c>
      <c r="C309" s="2" t="s">
        <v>690</v>
      </c>
      <c r="D309" s="2" t="s">
        <v>687</v>
      </c>
      <c r="E309" s="2" t="s">
        <v>688</v>
      </c>
      <c r="F309" s="27" t="n">
        <v>54800</v>
      </c>
      <c r="G309" s="2" t="s">
        <v>52</v>
      </c>
      <c r="H309" s="2" t="s">
        <v>58</v>
      </c>
      <c r="I309" s="2" t="s">
        <v>144</v>
      </c>
      <c r="J309" s="2" t="s">
        <v>145</v>
      </c>
      <c r="K309" s="2" t="n">
        <v>4</v>
      </c>
      <c r="L309" s="28" t="n">
        <v>25</v>
      </c>
      <c r="M309" s="29" t="n">
        <v>0.065</v>
      </c>
      <c r="N309" s="28" t="n">
        <v>1.625</v>
      </c>
      <c r="O309" s="28" t="n">
        <v>20.73</v>
      </c>
      <c r="P309" s="2" t="s">
        <v>223</v>
      </c>
      <c r="Q309" s="29" t="n">
        <v>0.09</v>
      </c>
      <c r="R309" s="30" t="n">
        <v>0.09</v>
      </c>
      <c r="S309" s="31" t="n">
        <v>18.0555555555556</v>
      </c>
      <c r="T309" s="30" t="n">
        <v>-0.129013238998767</v>
      </c>
      <c r="U309" s="30" t="n">
        <v>-0.0506244305086564</v>
      </c>
      <c r="V309" s="29" t="n">
        <v>-0.005</v>
      </c>
      <c r="W309" s="29" t="n">
        <f aca="false">IF(N(Q309)=0,"",Q309+IF(I309="yes",Q309*Inputs!$B$10*Inputs!$B$9,0)+V309)</f>
        <v>0.085</v>
      </c>
      <c r="X309" s="28" t="n">
        <f aca="false">IF(OR(N(W309)&lt;=0,N(N309)=0,N(L309)=0),"",MIN(L309,N309/W309))</f>
        <v>19.1176470588235</v>
      </c>
      <c r="Y309" s="29" t="n">
        <f aca="false">IF(OR(X309="",N(O309)=0),"",X309/O309-1)</f>
        <v>-0.0777787236457536</v>
      </c>
      <c r="Z309" s="29" t="n">
        <f aca="false">IF(OR(Y309="",N(O309)=0),"",Y309+N309/O309)</f>
        <v>0.000610084844357386</v>
      </c>
      <c r="AA309" s="32" t="n">
        <f aca="false">IF(OR(Z309="",N(U309)=0),"",Z309-U309)</f>
        <v>0.0512345153530138</v>
      </c>
      <c r="AB309" s="29" t="n">
        <f aca="false">IF(N(Q309)=0,"",Q309+IF(I309="yes",Q309*Inputs!$B$10*Inputs!$B$9,0)+IFERROR(INDEX(Inputs!$B$13:$B$15,MATCH(G309,Inputs!$A$13:$A$15,0)),0)+IFERROR(INDEX(Inputs!$B$18:$B$24,MATCH(H309,Inputs!$A$18:$A$24,0)),0))</f>
        <v>0.085</v>
      </c>
      <c r="AC309" s="28" t="n">
        <f aca="false">IF(OR(N(AB309)&lt;=0,N(N309)=0,N(L309)=0),"",MIN(L309,N309/AB309))</f>
        <v>19.1176470588235</v>
      </c>
      <c r="AD309" s="29" t="n">
        <f aca="false">IF(OR(AC309="",N(O309)=0),"",AC309/O309-1)</f>
        <v>-0.0777787236457536</v>
      </c>
      <c r="AE309" s="29" t="n">
        <f aca="false">IF(OR(AD309="",N(O309)=0),"",AD309+N309/O309)</f>
        <v>0.000610084844357386</v>
      </c>
      <c r="AF309" s="32" t="n">
        <f aca="false">IF(OR(AE309="",N(Z309)=0),"",AE309-Z309)</f>
        <v>0</v>
      </c>
      <c r="AG309" s="28" t="n">
        <f aca="false">IF(AND(N(M309)&gt;0,N(L309)&gt;0),M309*L309,N309)</f>
        <v>1.625</v>
      </c>
      <c r="AH309" s="28" t="n">
        <f aca="false">IF(OR(N(AB309)&lt;=0,N(AG309)=0,N(L309)=0),"",MIN(L309,AG309/AB309))</f>
        <v>19.1176470588235</v>
      </c>
      <c r="AI309" s="29" t="n">
        <f aca="false">IF(OR(AH309="",N(O309)=0),"",AH309/O309-1)</f>
        <v>-0.0777787236457536</v>
      </c>
      <c r="AJ309" s="29" t="n">
        <f aca="false">IF(OR(AI309="",N(O309)=0),"",AI309+AG309/O309)</f>
        <v>0.000610084844357386</v>
      </c>
      <c r="AK309" s="32" t="n">
        <f aca="false">IF(OR(AJ309="",N(AE309)=0),"",AJ309-AE309)</f>
        <v>0</v>
      </c>
      <c r="AL309" s="33" t="n">
        <f aca="false">IF(N(F309)=0,"",INDEX(Inputs!$B$28:$B$32,IFERROR(MATCH(F309,Inputs!$A$28:$A$32,1),0)+1))</f>
        <v>0.075</v>
      </c>
      <c r="AM309" s="34"/>
      <c r="AN309" s="33" t="n">
        <f aca="false">IF(N(AM309)&gt;0,AM309,AL309)</f>
        <v>0.075</v>
      </c>
      <c r="AO309" s="29" t="n">
        <f aca="false">IF(N(AN309)=0,"",AN309+IF(I309="yes",AN309*Inputs!$B$10*Inputs!$B$9,0)+IFERROR(INDEX(Inputs!$B$13:$B$15,MATCH(G309,Inputs!$A$13:$A$15,0)),0)+IFERROR(INDEX(Inputs!$B$18:$B$24,MATCH(H309,Inputs!$A$18:$A$24,0)),0))</f>
        <v>0.07</v>
      </c>
      <c r="AP309" s="28" t="n">
        <f aca="false">IF(OR(N(AO309)&lt;=0,N(AG309)=0,N(L309)=0),"",MIN(L309,AG309/AO309))</f>
        <v>23.2142857142857</v>
      </c>
      <c r="AQ309" s="29" t="n">
        <f aca="false">IF(OR(AP309="",N(O309)=0),"",AP309/O309-1)</f>
        <v>0.119840121287299</v>
      </c>
      <c r="AR309" s="29" t="n">
        <f aca="false">IF(OR(AQ309="",N(O309)=0),"",AQ309+AG309/O309)</f>
        <v>0.19822892977741</v>
      </c>
      <c r="AS309" s="32" t="n">
        <f aca="false">IF(OR(AR309="",N(AJ309)=0),"",AR309-AJ309)</f>
        <v>0.197618844933053</v>
      </c>
      <c r="AT309" s="28" t="n">
        <v>25</v>
      </c>
      <c r="AU309" s="28" t="n">
        <v>1.625</v>
      </c>
      <c r="AV309" s="28" t="n">
        <f aca="false">IF(N(AT309)&gt;0,AT309,L309)</f>
        <v>25</v>
      </c>
      <c r="AW309" s="28" t="n">
        <f aca="false">IF(AND(N(M309)&gt;0,N(AV309)&gt;0),M309*AV309,IF(N(AU309)&gt;0,AU309,N309))</f>
        <v>1.625</v>
      </c>
      <c r="AX309" s="29" t="n">
        <f aca="false">IF(N(AN309)=0,"",AN309+IF(I309="yes",AN309*Inputs!$B$10*Inputs!$B$9,0)+IFERROR(INDEX(Inputs!$B$13:$B$15,MATCH(G309,Inputs!$A$13:$A$15,0)),0)+IFERROR(INDEX(Inputs!$B$18:$B$24,MATCH(H309,Inputs!$A$18:$A$24,0)),0))</f>
        <v>0.07</v>
      </c>
      <c r="AY309" s="28" t="n">
        <f aca="false">IF(OR(N(AX309)&lt;=0,N(AW309)=0,N(AV309)=0),"",MIN(AV309,AW309/AX309))</f>
        <v>23.2142857142857</v>
      </c>
      <c r="AZ309" s="29" t="n">
        <f aca="false">IF(OR(AY309="",N(O309)=0),"",AY309/O309-1)</f>
        <v>0.119840121287299</v>
      </c>
      <c r="BA309" s="29" t="n">
        <f aca="false">IF(OR(AZ309="",N(O309)=0),"",AZ309+AW309/O309)</f>
        <v>0.19822892977741</v>
      </c>
      <c r="BB309" s="32" t="n">
        <f aca="false">IF(OR(BA309="",N(AR309)=0),"",BA309-AR309)</f>
        <v>0</v>
      </c>
      <c r="BC309" s="35" t="n">
        <f aca="false">IF(OR(BA309="",N(U309)=0),"",BA309-U309)</f>
        <v>0.248853360286067</v>
      </c>
      <c r="BD309" s="36" t="s">
        <v>224</v>
      </c>
    </row>
    <row r="310" customFormat="false" ht="15" hidden="false" customHeight="false" outlineLevel="0" collapsed="false">
      <c r="A310" s="2" t="s">
        <v>556</v>
      </c>
      <c r="B310" s="2" t="n">
        <v>158</v>
      </c>
      <c r="C310" s="2" t="s">
        <v>691</v>
      </c>
      <c r="D310" s="2" t="s">
        <v>692</v>
      </c>
      <c r="E310" s="2" t="s">
        <v>143</v>
      </c>
      <c r="F310" s="27"/>
      <c r="G310" s="2" t="s">
        <v>51</v>
      </c>
      <c r="H310" s="2" t="s">
        <v>58</v>
      </c>
      <c r="I310" s="2" t="s">
        <v>151</v>
      </c>
      <c r="J310" s="2" t="s">
        <v>168</v>
      </c>
      <c r="K310" s="2" t="n">
        <v>12</v>
      </c>
      <c r="L310" s="28" t="n">
        <v>25</v>
      </c>
      <c r="M310" s="29" t="n">
        <v>0.0825</v>
      </c>
      <c r="N310" s="28" t="n">
        <v>2.0625</v>
      </c>
      <c r="O310" s="28" t="n">
        <v>0</v>
      </c>
      <c r="P310" s="2" t="s">
        <v>146</v>
      </c>
      <c r="Q310" s="29" t="n">
        <v>0</v>
      </c>
      <c r="R310" s="30" t="n">
        <v>0</v>
      </c>
      <c r="S310" s="31"/>
      <c r="T310" s="30"/>
      <c r="U310" s="30"/>
      <c r="V310" s="29" t="n">
        <v>0</v>
      </c>
      <c r="W310" s="29" t="str">
        <f aca="false">IF(N(Q310)=0,"",Q310+IF(I310="yes",Q310*Inputs!$B$10*Inputs!$B$9,0)+V310)</f>
        <v/>
      </c>
      <c r="X310" s="28" t="str">
        <f aca="false">IF(OR(N(W310)&lt;=0,N(N310)=0,N(L310)=0),"",MIN(L310,N310/W310))</f>
        <v/>
      </c>
      <c r="Y310" s="29" t="str">
        <f aca="false">IF(OR(X310="",N(O310)=0),"",X310/O310-1)</f>
        <v/>
      </c>
      <c r="Z310" s="29" t="str">
        <f aca="false">IF(OR(Y310="",N(O310)=0),"",Y310+N310/O310)</f>
        <v/>
      </c>
      <c r="AA310" s="32" t="str">
        <f aca="false">IF(OR(Z310="",N(U310)=0),"",Z310-U310)</f>
        <v/>
      </c>
      <c r="AB310" s="29" t="str">
        <f aca="false">IF(N(Q310)=0,"",Q310+IF(I310="yes",Q310*Inputs!$B$10*Inputs!$B$9,0)+IFERROR(INDEX(Inputs!$B$13:$B$15,MATCH(G310,Inputs!$A$13:$A$15,0)),0)+IFERROR(INDEX(Inputs!$B$18:$B$24,MATCH(H310,Inputs!$A$18:$A$24,0)),0))</f>
        <v/>
      </c>
      <c r="AC310" s="28" t="str">
        <f aca="false">IF(OR(N(AB310)&lt;=0,N(N310)=0,N(L310)=0),"",MIN(L310,N310/AB310))</f>
        <v/>
      </c>
      <c r="AD310" s="29" t="str">
        <f aca="false">IF(OR(AC310="",N(O310)=0),"",AC310/O310-1)</f>
        <v/>
      </c>
      <c r="AE310" s="29" t="str">
        <f aca="false">IF(OR(AD310="",N(O310)=0),"",AD310+N310/O310)</f>
        <v/>
      </c>
      <c r="AF310" s="32" t="str">
        <f aca="false">IF(OR(AE310="",N(Z310)=0),"",AE310-Z310)</f>
        <v/>
      </c>
      <c r="AG310" s="28" t="n">
        <f aca="false">IF(AND(N(M310)&gt;0,N(L310)&gt;0),M310*L310,N310)</f>
        <v>2.0625</v>
      </c>
      <c r="AH310" s="28" t="str">
        <f aca="false">IF(OR(N(AB310)&lt;=0,N(AG310)=0,N(L310)=0),"",MIN(L310,AG310/AB310))</f>
        <v/>
      </c>
      <c r="AI310" s="29" t="str">
        <f aca="false">IF(OR(AH310="",N(O310)=0),"",AH310/O310-1)</f>
        <v/>
      </c>
      <c r="AJ310" s="29" t="str">
        <f aca="false">IF(OR(AI310="",N(O310)=0),"",AI310+AG310/O310)</f>
        <v/>
      </c>
      <c r="AK310" s="32" t="str">
        <f aca="false">IF(OR(AJ310="",N(AE310)=0),"",AJ310-AE310)</f>
        <v/>
      </c>
      <c r="AL310" s="33" t="str">
        <f aca="false">IF(N(F310)=0,"",INDEX(Inputs!$B$28:$B$32,IFERROR(MATCH(F310,Inputs!$A$28:$A$32,1),0)+1))</f>
        <v/>
      </c>
      <c r="AM310" s="34"/>
      <c r="AN310" s="33" t="str">
        <f aca="false">IF(N(AM310)&gt;0,AM310,AL310)</f>
        <v/>
      </c>
      <c r="AO310" s="29" t="str">
        <f aca="false">IF(N(AN310)=0,"",AN310+IF(I310="yes",AN310*Inputs!$B$10*Inputs!$B$9,0)+IFERROR(INDEX(Inputs!$B$13:$B$15,MATCH(G310,Inputs!$A$13:$A$15,0)),0)+IFERROR(INDEX(Inputs!$B$18:$B$24,MATCH(H310,Inputs!$A$18:$A$24,0)),0))</f>
        <v/>
      </c>
      <c r="AP310" s="28" t="str">
        <f aca="false">IF(OR(N(AO310)&lt;=0,N(AG310)=0,N(L310)=0),"",MIN(L310,AG310/AO310))</f>
        <v/>
      </c>
      <c r="AQ310" s="29" t="str">
        <f aca="false">IF(OR(AP310="",N(O310)=0),"",AP310/O310-1)</f>
        <v/>
      </c>
      <c r="AR310" s="29" t="str">
        <f aca="false">IF(OR(AQ310="",N(O310)=0),"",AQ310+AG310/O310)</f>
        <v/>
      </c>
      <c r="AS310" s="32" t="str">
        <f aca="false">IF(OR(AR310="",N(AJ310)=0),"",AR310-AJ310)</f>
        <v/>
      </c>
      <c r="AT310" s="28"/>
      <c r="AU310" s="28"/>
      <c r="AV310" s="28" t="n">
        <f aca="false">IF(N(AT310)&gt;0,AT310,L310)</f>
        <v>25</v>
      </c>
      <c r="AW310" s="28" t="n">
        <f aca="false">IF(AND(N(M310)&gt;0,N(AV310)&gt;0),M310*AV310,IF(N(AU310)&gt;0,AU310,N310))</f>
        <v>2.0625</v>
      </c>
      <c r="AX310" s="29" t="str">
        <f aca="false">IF(N(AN310)=0,"",AN310+IF(I310="yes",AN310*Inputs!$B$10*Inputs!$B$9,0)+IFERROR(INDEX(Inputs!$B$13:$B$15,MATCH(G310,Inputs!$A$13:$A$15,0)),0)+IFERROR(INDEX(Inputs!$B$18:$B$24,MATCH(H310,Inputs!$A$18:$A$24,0)),0))</f>
        <v/>
      </c>
      <c r="AY310" s="28" t="str">
        <f aca="false">IF(OR(N(AX310)&lt;=0,N(AW310)=0,N(AV310)=0),"",MIN(AV310,AW310/AX310))</f>
        <v/>
      </c>
      <c r="AZ310" s="29" t="str">
        <f aca="false">IF(OR(AY310="",N(O310)=0),"",AY310/O310-1)</f>
        <v/>
      </c>
      <c r="BA310" s="29" t="str">
        <f aca="false">IF(OR(AZ310="",N(O310)=0),"",AZ310+AW310/O310)</f>
        <v/>
      </c>
      <c r="BB310" s="32" t="str">
        <f aca="false">IF(OR(BA310="",N(AR310)=0),"",BA310-AR310)</f>
        <v/>
      </c>
      <c r="BC310" s="35" t="str">
        <f aca="false">IF(OR(BA310="",N(U310)=0),"",BA310-U310)</f>
        <v/>
      </c>
      <c r="BD310" s="36" t="s">
        <v>147</v>
      </c>
    </row>
    <row r="311" customFormat="false" ht="15" hidden="false" customHeight="false" outlineLevel="0" collapsed="false">
      <c r="A311" s="2" t="s">
        <v>556</v>
      </c>
      <c r="B311" s="2" t="n">
        <v>162</v>
      </c>
      <c r="C311" s="2" t="s">
        <v>693</v>
      </c>
      <c r="D311" s="2" t="s">
        <v>694</v>
      </c>
      <c r="E311" s="2" t="s">
        <v>695</v>
      </c>
      <c r="F311" s="27" t="n">
        <v>92</v>
      </c>
      <c r="G311" s="2" t="s">
        <v>51</v>
      </c>
      <c r="H311" s="2" t="s">
        <v>58</v>
      </c>
      <c r="I311" s="2" t="s">
        <v>151</v>
      </c>
      <c r="J311" s="2" t="s">
        <v>145</v>
      </c>
      <c r="K311" s="2" t="n">
        <v>4</v>
      </c>
      <c r="L311" s="28" t="n">
        <v>25</v>
      </c>
      <c r="M311" s="29" t="n">
        <v>0.09375</v>
      </c>
      <c r="N311" s="28" t="n">
        <v>2.34375</v>
      </c>
      <c r="O311" s="28" t="n">
        <v>18.35</v>
      </c>
      <c r="P311" s="2" t="s">
        <v>146</v>
      </c>
      <c r="Q311" s="29" t="n">
        <v>0.1</v>
      </c>
      <c r="R311" s="30" t="n">
        <v>0.095</v>
      </c>
      <c r="S311" s="31" t="n">
        <v>24.671052631579</v>
      </c>
      <c r="T311" s="30" t="n">
        <v>0.344471533056074</v>
      </c>
      <c r="U311" s="30" t="n">
        <v>0.4721963286964</v>
      </c>
      <c r="V311" s="29" t="n">
        <v>0</v>
      </c>
      <c r="W311" s="29" t="n">
        <f aca="false">IF(N(Q311)=0,"",Q311+IF(I311="yes",Q311*Inputs!$B$10*Inputs!$B$9,0)+V311)</f>
        <v>0.095</v>
      </c>
      <c r="X311" s="28" t="n">
        <f aca="false">IF(OR(N(W311)&lt;=0,N(N311)=0,N(L311)=0),"",MIN(L311,N311/W311))</f>
        <v>24.671052631579</v>
      </c>
      <c r="Y311" s="29" t="n">
        <f aca="false">IF(OR(X311="",N(O311)=0),"",X311/O311-1)</f>
        <v>0.344471533056074</v>
      </c>
      <c r="Z311" s="29" t="n">
        <f aca="false">IF(OR(Y311="",N(O311)=0),"",Y311+N311/O311)</f>
        <v>0.4721963286964</v>
      </c>
      <c r="AA311" s="32" t="n">
        <f aca="false">IF(OR(Z311="",N(U311)=0),"",Z311-U311)</f>
        <v>0</v>
      </c>
      <c r="AB311" s="29" t="n">
        <f aca="false">IF(N(Q311)=0,"",Q311+IF(I311="yes",Q311*Inputs!$B$10*Inputs!$B$9,0)+IFERROR(INDEX(Inputs!$B$13:$B$15,MATCH(G311,Inputs!$A$13:$A$15,0)),0)+IFERROR(INDEX(Inputs!$B$18:$B$24,MATCH(H311,Inputs!$A$18:$A$24,0)),0))</f>
        <v>0.095</v>
      </c>
      <c r="AC311" s="28" t="n">
        <f aca="false">IF(OR(N(AB311)&lt;=0,N(N311)=0,N(L311)=0),"",MIN(L311,N311/AB311))</f>
        <v>24.671052631579</v>
      </c>
      <c r="AD311" s="29" t="n">
        <f aca="false">IF(OR(AC311="",N(O311)=0),"",AC311/O311-1)</f>
        <v>0.344471533056074</v>
      </c>
      <c r="AE311" s="29" t="n">
        <f aca="false">IF(OR(AD311="",N(O311)=0),"",AD311+N311/O311)</f>
        <v>0.4721963286964</v>
      </c>
      <c r="AF311" s="32" t="n">
        <f aca="false">IF(OR(AE311="",N(Z311)=0),"",AE311-Z311)</f>
        <v>0</v>
      </c>
      <c r="AG311" s="28" t="n">
        <f aca="false">IF(AND(N(M311)&gt;0,N(L311)&gt;0),M311*L311,N311)</f>
        <v>2.34375</v>
      </c>
      <c r="AH311" s="28" t="n">
        <f aca="false">IF(OR(N(AB311)&lt;=0,N(AG311)=0,N(L311)=0),"",MIN(L311,AG311/AB311))</f>
        <v>24.671052631579</v>
      </c>
      <c r="AI311" s="29" t="n">
        <f aca="false">IF(OR(AH311="",N(O311)=0),"",AH311/O311-1)</f>
        <v>0.344471533056074</v>
      </c>
      <c r="AJ311" s="29" t="n">
        <f aca="false">IF(OR(AI311="",N(O311)=0),"",AI311+AG311/O311)</f>
        <v>0.4721963286964</v>
      </c>
      <c r="AK311" s="32" t="n">
        <f aca="false">IF(OR(AJ311="",N(AE311)=0),"",AJ311-AE311)</f>
        <v>0</v>
      </c>
      <c r="AL311" s="33" t="n">
        <f aca="false">IF(N(F311)=0,"",INDEX(Inputs!$B$28:$B$32,IFERROR(MATCH(F311,Inputs!$A$28:$A$32,1),0)+1))</f>
        <v>0.1</v>
      </c>
      <c r="AM311" s="34"/>
      <c r="AN311" s="33" t="n">
        <f aca="false">IF(N(AM311)&gt;0,AM311,AL311)</f>
        <v>0.1</v>
      </c>
      <c r="AO311" s="29" t="n">
        <f aca="false">IF(N(AN311)=0,"",AN311+IF(I311="yes",AN311*Inputs!$B$10*Inputs!$B$9,0)+IFERROR(INDEX(Inputs!$B$13:$B$15,MATCH(G311,Inputs!$A$13:$A$15,0)),0)+IFERROR(INDEX(Inputs!$B$18:$B$24,MATCH(H311,Inputs!$A$18:$A$24,0)),0))</f>
        <v>0.095</v>
      </c>
      <c r="AP311" s="28" t="n">
        <f aca="false">IF(OR(N(AO311)&lt;=0,N(AG311)=0,N(L311)=0),"",MIN(L311,AG311/AO311))</f>
        <v>24.671052631579</v>
      </c>
      <c r="AQ311" s="29" t="n">
        <f aca="false">IF(OR(AP311="",N(O311)=0),"",AP311/O311-1)</f>
        <v>0.344471533056074</v>
      </c>
      <c r="AR311" s="29" t="n">
        <f aca="false">IF(OR(AQ311="",N(O311)=0),"",AQ311+AG311/O311)</f>
        <v>0.4721963286964</v>
      </c>
      <c r="AS311" s="32" t="n">
        <f aca="false">IF(OR(AR311="",N(AJ311)=0),"",AR311-AJ311)</f>
        <v>0</v>
      </c>
      <c r="AT311" s="28" t="n">
        <v>25</v>
      </c>
      <c r="AU311" s="28" t="n">
        <v>2.34</v>
      </c>
      <c r="AV311" s="28" t="n">
        <f aca="false">IF(N(AT311)&gt;0,AT311,L311)</f>
        <v>25</v>
      </c>
      <c r="AW311" s="28" t="n">
        <f aca="false">IF(AND(N(M311)&gt;0,N(AV311)&gt;0),M311*AV311,IF(N(AU311)&gt;0,AU311,N311))</f>
        <v>2.34375</v>
      </c>
      <c r="AX311" s="29" t="n">
        <f aca="false">IF(N(AN311)=0,"",AN311+IF(I311="yes",AN311*Inputs!$B$10*Inputs!$B$9,0)+IFERROR(INDEX(Inputs!$B$13:$B$15,MATCH(G311,Inputs!$A$13:$A$15,0)),0)+IFERROR(INDEX(Inputs!$B$18:$B$24,MATCH(H311,Inputs!$A$18:$A$24,0)),0))</f>
        <v>0.095</v>
      </c>
      <c r="AY311" s="28" t="n">
        <f aca="false">IF(OR(N(AX311)&lt;=0,N(AW311)=0,N(AV311)=0),"",MIN(AV311,AW311/AX311))</f>
        <v>24.671052631579</v>
      </c>
      <c r="AZ311" s="29" t="n">
        <f aca="false">IF(OR(AY311="",N(O311)=0),"",AY311/O311-1)</f>
        <v>0.344471533056074</v>
      </c>
      <c r="BA311" s="29" t="n">
        <f aca="false">IF(OR(AZ311="",N(O311)=0),"",AZ311+AW311/O311)</f>
        <v>0.4721963286964</v>
      </c>
      <c r="BB311" s="32" t="n">
        <f aca="false">IF(OR(BA311="",N(AR311)=0),"",BA311-AR311)</f>
        <v>0</v>
      </c>
      <c r="BC311" s="35" t="n">
        <f aca="false">IF(OR(BA311="",N(U311)=0),"",BA311-U311)</f>
        <v>0</v>
      </c>
      <c r="BD311" s="37"/>
    </row>
    <row r="312" customFormat="false" ht="15" hidden="false" customHeight="false" outlineLevel="0" collapsed="false">
      <c r="A312" s="2" t="s">
        <v>556</v>
      </c>
      <c r="B312" s="2" t="n">
        <v>166</v>
      </c>
      <c r="C312" s="2" t="s">
        <v>696</v>
      </c>
      <c r="D312" s="2" t="s">
        <v>697</v>
      </c>
      <c r="E312" s="2" t="s">
        <v>698</v>
      </c>
      <c r="F312" s="27" t="n">
        <v>670</v>
      </c>
      <c r="G312" s="2" t="s">
        <v>51</v>
      </c>
      <c r="H312" s="2" t="s">
        <v>58</v>
      </c>
      <c r="I312" s="2" t="s">
        <v>151</v>
      </c>
      <c r="J312" s="2" t="s">
        <v>145</v>
      </c>
      <c r="K312" s="2" t="n">
        <v>4</v>
      </c>
      <c r="L312" s="28" t="n">
        <v>25</v>
      </c>
      <c r="M312" s="29" t="n">
        <v>0.075</v>
      </c>
      <c r="N312" s="28" t="n">
        <v>1.875</v>
      </c>
      <c r="O312" s="28" t="n">
        <v>19.32</v>
      </c>
      <c r="P312" s="2" t="s">
        <v>146</v>
      </c>
      <c r="Q312" s="29" t="n">
        <v>0.1</v>
      </c>
      <c r="R312" s="30" t="n">
        <v>0.095</v>
      </c>
      <c r="S312" s="31" t="n">
        <v>19.7368421052632</v>
      </c>
      <c r="T312" s="30" t="n">
        <v>0.0215756783262504</v>
      </c>
      <c r="U312" s="30" t="n">
        <v>0.118625367767244</v>
      </c>
      <c r="V312" s="29" t="n">
        <v>0</v>
      </c>
      <c r="W312" s="29" t="n">
        <f aca="false">IF(N(Q312)=0,"",Q312+IF(I312="yes",Q312*Inputs!$B$10*Inputs!$B$9,0)+V312)</f>
        <v>0.095</v>
      </c>
      <c r="X312" s="28" t="n">
        <f aca="false">IF(OR(N(W312)&lt;=0,N(N312)=0,N(L312)=0),"",MIN(L312,N312/W312))</f>
        <v>19.7368421052632</v>
      </c>
      <c r="Y312" s="29" t="n">
        <f aca="false">IF(OR(X312="",N(O312)=0),"",X312/O312-1)</f>
        <v>0.0215756783262504</v>
      </c>
      <c r="Z312" s="29" t="n">
        <f aca="false">IF(OR(Y312="",N(O312)=0),"",Y312+N312/O312)</f>
        <v>0.118625367767244</v>
      </c>
      <c r="AA312" s="32" t="n">
        <f aca="false">IF(OR(Z312="",N(U312)=0),"",Z312-U312)</f>
        <v>0</v>
      </c>
      <c r="AB312" s="29" t="n">
        <f aca="false">IF(N(Q312)=0,"",Q312+IF(I312="yes",Q312*Inputs!$B$10*Inputs!$B$9,0)+IFERROR(INDEX(Inputs!$B$13:$B$15,MATCH(G312,Inputs!$A$13:$A$15,0)),0)+IFERROR(INDEX(Inputs!$B$18:$B$24,MATCH(H312,Inputs!$A$18:$A$24,0)),0))</f>
        <v>0.095</v>
      </c>
      <c r="AC312" s="28" t="n">
        <f aca="false">IF(OR(N(AB312)&lt;=0,N(N312)=0,N(L312)=0),"",MIN(L312,N312/AB312))</f>
        <v>19.7368421052632</v>
      </c>
      <c r="AD312" s="29" t="n">
        <f aca="false">IF(OR(AC312="",N(O312)=0),"",AC312/O312-1)</f>
        <v>0.0215756783262504</v>
      </c>
      <c r="AE312" s="29" t="n">
        <f aca="false">IF(OR(AD312="",N(O312)=0),"",AD312+N312/O312)</f>
        <v>0.118625367767244</v>
      </c>
      <c r="AF312" s="32" t="n">
        <f aca="false">IF(OR(AE312="",N(Z312)=0),"",AE312-Z312)</f>
        <v>0</v>
      </c>
      <c r="AG312" s="28" t="n">
        <f aca="false">IF(AND(N(M312)&gt;0,N(L312)&gt;0),M312*L312,N312)</f>
        <v>1.875</v>
      </c>
      <c r="AH312" s="28" t="n">
        <f aca="false">IF(OR(N(AB312)&lt;=0,N(AG312)=0,N(L312)=0),"",MIN(L312,AG312/AB312))</f>
        <v>19.7368421052632</v>
      </c>
      <c r="AI312" s="29" t="n">
        <f aca="false">IF(OR(AH312="",N(O312)=0),"",AH312/O312-1)</f>
        <v>0.0215756783262504</v>
      </c>
      <c r="AJ312" s="29" t="n">
        <f aca="false">IF(OR(AI312="",N(O312)=0),"",AI312+AG312/O312)</f>
        <v>0.118625367767244</v>
      </c>
      <c r="AK312" s="32" t="n">
        <f aca="false">IF(OR(AJ312="",N(AE312)=0),"",AJ312-AE312)</f>
        <v>0</v>
      </c>
      <c r="AL312" s="33" t="n">
        <f aca="false">IF(N(F312)=0,"",INDEX(Inputs!$B$28:$B$32,IFERROR(MATCH(F312,Inputs!$A$28:$A$32,1),0)+1))</f>
        <v>0.09</v>
      </c>
      <c r="AM312" s="34"/>
      <c r="AN312" s="33" t="n">
        <f aca="false">IF(N(AM312)&gt;0,AM312,AL312)</f>
        <v>0.09</v>
      </c>
      <c r="AO312" s="29" t="n">
        <f aca="false">IF(N(AN312)=0,"",AN312+IF(I312="yes",AN312*Inputs!$B$10*Inputs!$B$9,0)+IFERROR(INDEX(Inputs!$B$13:$B$15,MATCH(G312,Inputs!$A$13:$A$15,0)),0)+IFERROR(INDEX(Inputs!$B$18:$B$24,MATCH(H312,Inputs!$A$18:$A$24,0)),0))</f>
        <v>0.0855</v>
      </c>
      <c r="AP312" s="28" t="n">
        <f aca="false">IF(OR(N(AO312)&lt;=0,N(AG312)=0,N(L312)=0),"",MIN(L312,AG312/AO312))</f>
        <v>21.9298245614035</v>
      </c>
      <c r="AQ312" s="29" t="n">
        <f aca="false">IF(OR(AP312="",N(O312)=0),"",AP312/O312-1)</f>
        <v>0.135084087029167</v>
      </c>
      <c r="AR312" s="29" t="n">
        <f aca="false">IF(OR(AQ312="",N(O312)=0),"",AQ312+AG312/O312)</f>
        <v>0.232133776470161</v>
      </c>
      <c r="AS312" s="32" t="n">
        <f aca="false">IF(OR(AR312="",N(AJ312)=0),"",AR312-AJ312)</f>
        <v>0.113508408702917</v>
      </c>
      <c r="AT312" s="28" t="n">
        <v>25</v>
      </c>
      <c r="AU312" s="28" t="n">
        <v>1.88</v>
      </c>
      <c r="AV312" s="28" t="n">
        <f aca="false">IF(N(AT312)&gt;0,AT312,L312)</f>
        <v>25</v>
      </c>
      <c r="AW312" s="28" t="n">
        <f aca="false">IF(AND(N(M312)&gt;0,N(AV312)&gt;0),M312*AV312,IF(N(AU312)&gt;0,AU312,N312))</f>
        <v>1.875</v>
      </c>
      <c r="AX312" s="29" t="n">
        <f aca="false">IF(N(AN312)=0,"",AN312+IF(I312="yes",AN312*Inputs!$B$10*Inputs!$B$9,0)+IFERROR(INDEX(Inputs!$B$13:$B$15,MATCH(G312,Inputs!$A$13:$A$15,0)),0)+IFERROR(INDEX(Inputs!$B$18:$B$24,MATCH(H312,Inputs!$A$18:$A$24,0)),0))</f>
        <v>0.0855</v>
      </c>
      <c r="AY312" s="28" t="n">
        <f aca="false">IF(OR(N(AX312)&lt;=0,N(AW312)=0,N(AV312)=0),"",MIN(AV312,AW312/AX312))</f>
        <v>21.9298245614035</v>
      </c>
      <c r="AZ312" s="29" t="n">
        <f aca="false">IF(OR(AY312="",N(O312)=0),"",AY312/O312-1)</f>
        <v>0.135084087029167</v>
      </c>
      <c r="BA312" s="29" t="n">
        <f aca="false">IF(OR(AZ312="",N(O312)=0),"",AZ312+AW312/O312)</f>
        <v>0.232133776470161</v>
      </c>
      <c r="BB312" s="32" t="n">
        <f aca="false">IF(OR(BA312="",N(AR312)=0),"",BA312-AR312)</f>
        <v>0</v>
      </c>
      <c r="BC312" s="35" t="n">
        <f aca="false">IF(OR(BA312="",N(U312)=0),"",BA312-U312)</f>
        <v>0.113508408702917</v>
      </c>
      <c r="BD312" s="37"/>
    </row>
    <row r="313" customFormat="false" ht="15" hidden="false" customHeight="false" outlineLevel="0" collapsed="false">
      <c r="A313" s="2" t="s">
        <v>556</v>
      </c>
      <c r="B313" s="2" t="n">
        <v>170</v>
      </c>
      <c r="C313" s="2" t="s">
        <v>699</v>
      </c>
      <c r="D313" s="2" t="s">
        <v>700</v>
      </c>
      <c r="E313" s="2" t="s">
        <v>701</v>
      </c>
      <c r="F313" s="27" t="n">
        <v>22100</v>
      </c>
      <c r="G313" s="2" t="s">
        <v>51</v>
      </c>
      <c r="H313" s="2" t="s">
        <v>58</v>
      </c>
      <c r="I313" s="2" t="s">
        <v>151</v>
      </c>
      <c r="J313" s="2" t="s">
        <v>145</v>
      </c>
      <c r="K313" s="2" t="n">
        <v>4</v>
      </c>
      <c r="L313" s="28" t="n">
        <v>25</v>
      </c>
      <c r="M313" s="29" t="n">
        <v>0.05625</v>
      </c>
      <c r="N313" s="28" t="n">
        <v>1.40625</v>
      </c>
      <c r="O313" s="28" t="n">
        <v>20.61</v>
      </c>
      <c r="P313" s="2" t="s">
        <v>146</v>
      </c>
      <c r="Q313" s="29" t="n">
        <v>0.08</v>
      </c>
      <c r="R313" s="30" t="n">
        <v>0.076</v>
      </c>
      <c r="S313" s="31" t="n">
        <v>18.5032894736842</v>
      </c>
      <c r="T313" s="30" t="n">
        <v>-0.102217880946909</v>
      </c>
      <c r="U313" s="30" t="n">
        <v>-0.0339864398988737</v>
      </c>
      <c r="V313" s="29" t="n">
        <v>0</v>
      </c>
      <c r="W313" s="29" t="n">
        <f aca="false">IF(N(Q313)=0,"",Q313+IF(I313="yes",Q313*Inputs!$B$10*Inputs!$B$9,0)+V313)</f>
        <v>0.076</v>
      </c>
      <c r="X313" s="28" t="n">
        <f aca="false">IF(OR(N(W313)&lt;=0,N(N313)=0,N(L313)=0),"",MIN(L313,N313/W313))</f>
        <v>18.5032894736842</v>
      </c>
      <c r="Y313" s="29" t="n">
        <f aca="false">IF(OR(X313="",N(O313)=0),"",X313/O313-1)</f>
        <v>-0.102217880946909</v>
      </c>
      <c r="Z313" s="29" t="n">
        <f aca="false">IF(OR(Y313="",N(O313)=0),"",Y313+N313/O313)</f>
        <v>-0.0339864398988737</v>
      </c>
      <c r="AA313" s="32" t="n">
        <f aca="false">IF(OR(Z313="",N(U313)=0),"",Z313-U313)</f>
        <v>0</v>
      </c>
      <c r="AB313" s="29" t="n">
        <f aca="false">IF(N(Q313)=0,"",Q313+IF(I313="yes",Q313*Inputs!$B$10*Inputs!$B$9,0)+IFERROR(INDEX(Inputs!$B$13:$B$15,MATCH(G313,Inputs!$A$13:$A$15,0)),0)+IFERROR(INDEX(Inputs!$B$18:$B$24,MATCH(H313,Inputs!$A$18:$A$24,0)),0))</f>
        <v>0.076</v>
      </c>
      <c r="AC313" s="28" t="n">
        <f aca="false">IF(OR(N(AB313)&lt;=0,N(N313)=0,N(L313)=0),"",MIN(L313,N313/AB313))</f>
        <v>18.5032894736842</v>
      </c>
      <c r="AD313" s="29" t="n">
        <f aca="false">IF(OR(AC313="",N(O313)=0),"",AC313/O313-1)</f>
        <v>-0.102217880946909</v>
      </c>
      <c r="AE313" s="29" t="n">
        <f aca="false">IF(OR(AD313="",N(O313)=0),"",AD313+N313/O313)</f>
        <v>-0.0339864398988737</v>
      </c>
      <c r="AF313" s="32" t="n">
        <f aca="false">IF(OR(AE313="",N(Z313)=0),"",AE313-Z313)</f>
        <v>0</v>
      </c>
      <c r="AG313" s="28" t="n">
        <f aca="false">IF(AND(N(M313)&gt;0,N(L313)&gt;0),M313*L313,N313)</f>
        <v>1.40625</v>
      </c>
      <c r="AH313" s="28" t="n">
        <f aca="false">IF(OR(N(AB313)&lt;=0,N(AG313)=0,N(L313)=0),"",MIN(L313,AG313/AB313))</f>
        <v>18.5032894736842</v>
      </c>
      <c r="AI313" s="29" t="n">
        <f aca="false">IF(OR(AH313="",N(O313)=0),"",AH313/O313-1)</f>
        <v>-0.102217880946909</v>
      </c>
      <c r="AJ313" s="29" t="n">
        <f aca="false">IF(OR(AI313="",N(O313)=0),"",AI313+AG313/O313)</f>
        <v>-0.0339864398988737</v>
      </c>
      <c r="AK313" s="32" t="n">
        <f aca="false">IF(OR(AJ313="",N(AE313)=0),"",AJ313-AE313)</f>
        <v>0</v>
      </c>
      <c r="AL313" s="33" t="n">
        <f aca="false">IF(N(F313)=0,"",INDEX(Inputs!$B$28:$B$32,IFERROR(MATCH(F313,Inputs!$A$28:$A$32,1),0)+1))</f>
        <v>0.075</v>
      </c>
      <c r="AM313" s="34"/>
      <c r="AN313" s="33" t="n">
        <f aca="false">IF(N(AM313)&gt;0,AM313,AL313)</f>
        <v>0.075</v>
      </c>
      <c r="AO313" s="29" t="n">
        <f aca="false">IF(N(AN313)=0,"",AN313+IF(I313="yes",AN313*Inputs!$B$10*Inputs!$B$9,0)+IFERROR(INDEX(Inputs!$B$13:$B$15,MATCH(G313,Inputs!$A$13:$A$15,0)),0)+IFERROR(INDEX(Inputs!$B$18:$B$24,MATCH(H313,Inputs!$A$18:$A$24,0)),0))</f>
        <v>0.07125</v>
      </c>
      <c r="AP313" s="28" t="n">
        <f aca="false">IF(OR(N(AO313)&lt;=0,N(AG313)=0,N(L313)=0),"",MIN(L313,AG313/AO313))</f>
        <v>19.7368421052632</v>
      </c>
      <c r="AQ313" s="29" t="n">
        <f aca="false">IF(OR(AP313="",N(O313)=0),"",AP313/O313-1)</f>
        <v>-0.0423657396767025</v>
      </c>
      <c r="AR313" s="29" t="n">
        <f aca="false">IF(OR(AQ313="",N(O313)=0),"",AQ313+AG313/O313)</f>
        <v>0.0258657013713324</v>
      </c>
      <c r="AS313" s="32" t="n">
        <f aca="false">IF(OR(AR313="",N(AJ313)=0),"",AR313-AJ313)</f>
        <v>0.0598521412702061</v>
      </c>
      <c r="AT313" s="28" t="n">
        <v>25</v>
      </c>
      <c r="AU313" s="28" t="n">
        <v>1.41</v>
      </c>
      <c r="AV313" s="28" t="n">
        <f aca="false">IF(N(AT313)&gt;0,AT313,L313)</f>
        <v>25</v>
      </c>
      <c r="AW313" s="28" t="n">
        <f aca="false">IF(AND(N(M313)&gt;0,N(AV313)&gt;0),M313*AV313,IF(N(AU313)&gt;0,AU313,N313))</f>
        <v>1.40625</v>
      </c>
      <c r="AX313" s="29" t="n">
        <f aca="false">IF(N(AN313)=0,"",AN313+IF(I313="yes",AN313*Inputs!$B$10*Inputs!$B$9,0)+IFERROR(INDEX(Inputs!$B$13:$B$15,MATCH(G313,Inputs!$A$13:$A$15,0)),0)+IFERROR(INDEX(Inputs!$B$18:$B$24,MATCH(H313,Inputs!$A$18:$A$24,0)),0))</f>
        <v>0.07125</v>
      </c>
      <c r="AY313" s="28" t="n">
        <f aca="false">IF(OR(N(AX313)&lt;=0,N(AW313)=0,N(AV313)=0),"",MIN(AV313,AW313/AX313))</f>
        <v>19.7368421052632</v>
      </c>
      <c r="AZ313" s="29" t="n">
        <f aca="false">IF(OR(AY313="",N(O313)=0),"",AY313/O313-1)</f>
        <v>-0.0423657396767025</v>
      </c>
      <c r="BA313" s="29" t="n">
        <f aca="false">IF(OR(AZ313="",N(O313)=0),"",AZ313+AW313/O313)</f>
        <v>0.0258657013713324</v>
      </c>
      <c r="BB313" s="32" t="n">
        <f aca="false">IF(OR(BA313="",N(AR313)=0),"",BA313-AR313)</f>
        <v>0</v>
      </c>
      <c r="BC313" s="35" t="n">
        <f aca="false">IF(OR(BA313="",N(U313)=0),"",BA313-U313)</f>
        <v>0.0598521412702061</v>
      </c>
      <c r="BD313" s="37"/>
    </row>
    <row r="314" customFormat="false" ht="15" hidden="false" customHeight="false" outlineLevel="0" collapsed="false">
      <c r="A314" s="2" t="s">
        <v>556</v>
      </c>
      <c r="B314" s="2" t="n">
        <v>171</v>
      </c>
      <c r="C314" s="2" t="s">
        <v>702</v>
      </c>
      <c r="D314" s="2" t="s">
        <v>700</v>
      </c>
      <c r="E314" s="2" t="s">
        <v>701</v>
      </c>
      <c r="F314" s="27" t="n">
        <v>22100</v>
      </c>
      <c r="G314" s="2" t="s">
        <v>51</v>
      </c>
      <c r="H314" s="2" t="s">
        <v>58</v>
      </c>
      <c r="I314" s="2" t="s">
        <v>151</v>
      </c>
      <c r="J314" s="2" t="s">
        <v>145</v>
      </c>
      <c r="K314" s="2" t="n">
        <v>4</v>
      </c>
      <c r="L314" s="28" t="n">
        <v>25</v>
      </c>
      <c r="M314" s="29" t="n">
        <v>0.05375</v>
      </c>
      <c r="N314" s="28" t="n">
        <v>1.34375</v>
      </c>
      <c r="O314" s="28" t="n">
        <v>19.73</v>
      </c>
      <c r="P314" s="2" t="s">
        <v>146</v>
      </c>
      <c r="Q314" s="29" t="n">
        <v>0.08</v>
      </c>
      <c r="R314" s="30" t="n">
        <v>0.076</v>
      </c>
      <c r="S314" s="31" t="n">
        <v>17.6809210526316</v>
      </c>
      <c r="T314" s="30" t="n">
        <v>-0.103856003414517</v>
      </c>
      <c r="U314" s="30" t="n">
        <v>-0.0357490596740204</v>
      </c>
      <c r="V314" s="29" t="n">
        <v>0</v>
      </c>
      <c r="W314" s="29" t="n">
        <f aca="false">IF(N(Q314)=0,"",Q314+IF(I314="yes",Q314*Inputs!$B$10*Inputs!$B$9,0)+V314)</f>
        <v>0.076</v>
      </c>
      <c r="X314" s="28" t="n">
        <f aca="false">IF(OR(N(W314)&lt;=0,N(N314)=0,N(L314)=0),"",MIN(L314,N314/W314))</f>
        <v>17.6809210526316</v>
      </c>
      <c r="Y314" s="29" t="n">
        <f aca="false">IF(OR(X314="",N(O314)=0),"",X314/O314-1)</f>
        <v>-0.103856003414517</v>
      </c>
      <c r="Z314" s="29" t="n">
        <f aca="false">IF(OR(Y314="",N(O314)=0),"",Y314+N314/O314)</f>
        <v>-0.0357490596740204</v>
      </c>
      <c r="AA314" s="32" t="n">
        <f aca="false">IF(OR(Z314="",N(U314)=0),"",Z314-U314)</f>
        <v>0</v>
      </c>
      <c r="AB314" s="29" t="n">
        <f aca="false">IF(N(Q314)=0,"",Q314+IF(I314="yes",Q314*Inputs!$B$10*Inputs!$B$9,0)+IFERROR(INDEX(Inputs!$B$13:$B$15,MATCH(G314,Inputs!$A$13:$A$15,0)),0)+IFERROR(INDEX(Inputs!$B$18:$B$24,MATCH(H314,Inputs!$A$18:$A$24,0)),0))</f>
        <v>0.076</v>
      </c>
      <c r="AC314" s="28" t="n">
        <f aca="false">IF(OR(N(AB314)&lt;=0,N(N314)=0,N(L314)=0),"",MIN(L314,N314/AB314))</f>
        <v>17.6809210526316</v>
      </c>
      <c r="AD314" s="29" t="n">
        <f aca="false">IF(OR(AC314="",N(O314)=0),"",AC314/O314-1)</f>
        <v>-0.103856003414517</v>
      </c>
      <c r="AE314" s="29" t="n">
        <f aca="false">IF(OR(AD314="",N(O314)=0),"",AD314+N314/O314)</f>
        <v>-0.0357490596740204</v>
      </c>
      <c r="AF314" s="32" t="n">
        <f aca="false">IF(OR(AE314="",N(Z314)=0),"",AE314-Z314)</f>
        <v>0</v>
      </c>
      <c r="AG314" s="28" t="n">
        <f aca="false">IF(AND(N(M314)&gt;0,N(L314)&gt;0),M314*L314,N314)</f>
        <v>1.34375</v>
      </c>
      <c r="AH314" s="28" t="n">
        <f aca="false">IF(OR(N(AB314)&lt;=0,N(AG314)=0,N(L314)=0),"",MIN(L314,AG314/AB314))</f>
        <v>17.6809210526316</v>
      </c>
      <c r="AI314" s="29" t="n">
        <f aca="false">IF(OR(AH314="",N(O314)=0),"",AH314/O314-1)</f>
        <v>-0.103856003414517</v>
      </c>
      <c r="AJ314" s="29" t="n">
        <f aca="false">IF(OR(AI314="",N(O314)=0),"",AI314+AG314/O314)</f>
        <v>-0.0357490596740204</v>
      </c>
      <c r="AK314" s="32" t="n">
        <f aca="false">IF(OR(AJ314="",N(AE314)=0),"",AJ314-AE314)</f>
        <v>0</v>
      </c>
      <c r="AL314" s="33" t="n">
        <f aca="false">IF(N(F314)=0,"",INDEX(Inputs!$B$28:$B$32,IFERROR(MATCH(F314,Inputs!$A$28:$A$32,1),0)+1))</f>
        <v>0.075</v>
      </c>
      <c r="AM314" s="34"/>
      <c r="AN314" s="33" t="n">
        <f aca="false">IF(N(AM314)&gt;0,AM314,AL314)</f>
        <v>0.075</v>
      </c>
      <c r="AO314" s="29" t="n">
        <f aca="false">IF(N(AN314)=0,"",AN314+IF(I314="yes",AN314*Inputs!$B$10*Inputs!$B$9,0)+IFERROR(INDEX(Inputs!$B$13:$B$15,MATCH(G314,Inputs!$A$13:$A$15,0)),0)+IFERROR(INDEX(Inputs!$B$18:$B$24,MATCH(H314,Inputs!$A$18:$A$24,0)),0))</f>
        <v>0.07125</v>
      </c>
      <c r="AP314" s="28" t="n">
        <f aca="false">IF(OR(N(AO314)&lt;=0,N(AG314)=0,N(L314)=0),"",MIN(L314,AG314/AO314))</f>
        <v>18.859649122807</v>
      </c>
      <c r="AQ314" s="29" t="n">
        <f aca="false">IF(OR(AP314="",N(O314)=0),"",AP314/O314-1)</f>
        <v>-0.0441130703088181</v>
      </c>
      <c r="AR314" s="29" t="n">
        <f aca="false">IF(OR(AQ314="",N(O314)=0),"",AQ314+AG314/O314)</f>
        <v>0.0239938734316787</v>
      </c>
      <c r="AS314" s="32" t="n">
        <f aca="false">IF(OR(AR314="",N(AJ314)=0),"",AR314-AJ314)</f>
        <v>0.059742933105699</v>
      </c>
      <c r="AT314" s="28" t="n">
        <v>25</v>
      </c>
      <c r="AU314" s="28" t="n">
        <v>1.34375</v>
      </c>
      <c r="AV314" s="28" t="n">
        <f aca="false">IF(N(AT314)&gt;0,AT314,L314)</f>
        <v>25</v>
      </c>
      <c r="AW314" s="28" t="n">
        <f aca="false">IF(AND(N(M314)&gt;0,N(AV314)&gt;0),M314*AV314,IF(N(AU314)&gt;0,AU314,N314))</f>
        <v>1.34375</v>
      </c>
      <c r="AX314" s="29" t="n">
        <f aca="false">IF(N(AN314)=0,"",AN314+IF(I314="yes",AN314*Inputs!$B$10*Inputs!$B$9,0)+IFERROR(INDEX(Inputs!$B$13:$B$15,MATCH(G314,Inputs!$A$13:$A$15,0)),0)+IFERROR(INDEX(Inputs!$B$18:$B$24,MATCH(H314,Inputs!$A$18:$A$24,0)),0))</f>
        <v>0.07125</v>
      </c>
      <c r="AY314" s="28" t="n">
        <f aca="false">IF(OR(N(AX314)&lt;=0,N(AW314)=0,N(AV314)=0),"",MIN(AV314,AW314/AX314))</f>
        <v>18.859649122807</v>
      </c>
      <c r="AZ314" s="29" t="n">
        <f aca="false">IF(OR(AY314="",N(O314)=0),"",AY314/O314-1)</f>
        <v>-0.0441130703088181</v>
      </c>
      <c r="BA314" s="29" t="n">
        <f aca="false">IF(OR(AZ314="",N(O314)=0),"",AZ314+AW314/O314)</f>
        <v>0.0239938734316787</v>
      </c>
      <c r="BB314" s="32" t="n">
        <f aca="false">IF(OR(BA314="",N(AR314)=0),"",BA314-AR314)</f>
        <v>0</v>
      </c>
      <c r="BC314" s="35" t="n">
        <f aca="false">IF(OR(BA314="",N(U314)=0),"",BA314-U314)</f>
        <v>0.059742933105699</v>
      </c>
      <c r="BD314" s="37"/>
    </row>
    <row r="315" customFormat="false" ht="15" hidden="false" customHeight="false" outlineLevel="0" collapsed="false">
      <c r="A315" s="2" t="s">
        <v>556</v>
      </c>
      <c r="B315" s="2" t="n">
        <v>174</v>
      </c>
      <c r="C315" s="2" t="s">
        <v>703</v>
      </c>
      <c r="D315" s="2" t="s">
        <v>704</v>
      </c>
      <c r="E315" s="2" t="s">
        <v>705</v>
      </c>
      <c r="F315" s="27" t="n">
        <v>11700</v>
      </c>
      <c r="G315" s="2" t="s">
        <v>51</v>
      </c>
      <c r="H315" s="2" t="s">
        <v>58</v>
      </c>
      <c r="I315" s="2" t="s">
        <v>151</v>
      </c>
      <c r="J315" s="2" t="s">
        <v>145</v>
      </c>
      <c r="K315" s="2" t="n">
        <v>4</v>
      </c>
      <c r="L315" s="28" t="n">
        <v>25</v>
      </c>
      <c r="M315" s="29" t="n">
        <v>0.065</v>
      </c>
      <c r="N315" s="28" t="n">
        <v>1.625</v>
      </c>
      <c r="O315" s="28" t="n">
        <v>23.33</v>
      </c>
      <c r="P315" s="2" t="s">
        <v>146</v>
      </c>
      <c r="Q315" s="29" t="n">
        <v>0.08</v>
      </c>
      <c r="R315" s="30" t="n">
        <v>0.076</v>
      </c>
      <c r="S315" s="31" t="n">
        <v>21.3815789473684</v>
      </c>
      <c r="T315" s="30" t="n">
        <v>-0.0835156902113836</v>
      </c>
      <c r="U315" s="30" t="n">
        <v>-0.0138628826674488</v>
      </c>
      <c r="V315" s="29" t="n">
        <v>0</v>
      </c>
      <c r="W315" s="29" t="n">
        <f aca="false">IF(N(Q315)=0,"",Q315+IF(I315="yes",Q315*Inputs!$B$10*Inputs!$B$9,0)+V315)</f>
        <v>0.076</v>
      </c>
      <c r="X315" s="28" t="n">
        <f aca="false">IF(OR(N(W315)&lt;=0,N(N315)=0,N(L315)=0),"",MIN(L315,N315/W315))</f>
        <v>21.3815789473684</v>
      </c>
      <c r="Y315" s="29" t="n">
        <f aca="false">IF(OR(X315="",N(O315)=0),"",X315/O315-1)</f>
        <v>-0.0835156902113835</v>
      </c>
      <c r="Z315" s="29" t="n">
        <f aca="false">IF(OR(Y315="",N(O315)=0),"",Y315+N315/O315)</f>
        <v>-0.0138628826674486</v>
      </c>
      <c r="AA315" s="32" t="n">
        <f aca="false">IF(OR(Z315="",N(U315)=0),"",Z315-U315)</f>
        <v>1.2490009027033E-016</v>
      </c>
      <c r="AB315" s="29" t="n">
        <f aca="false">IF(N(Q315)=0,"",Q315+IF(I315="yes",Q315*Inputs!$B$10*Inputs!$B$9,0)+IFERROR(INDEX(Inputs!$B$13:$B$15,MATCH(G315,Inputs!$A$13:$A$15,0)),0)+IFERROR(INDEX(Inputs!$B$18:$B$24,MATCH(H315,Inputs!$A$18:$A$24,0)),0))</f>
        <v>0.076</v>
      </c>
      <c r="AC315" s="28" t="n">
        <f aca="false">IF(OR(N(AB315)&lt;=0,N(N315)=0,N(L315)=0),"",MIN(L315,N315/AB315))</f>
        <v>21.3815789473684</v>
      </c>
      <c r="AD315" s="29" t="n">
        <f aca="false">IF(OR(AC315="",N(O315)=0),"",AC315/O315-1)</f>
        <v>-0.0835156902113835</v>
      </c>
      <c r="AE315" s="29" t="n">
        <f aca="false">IF(OR(AD315="",N(O315)=0),"",AD315+N315/O315)</f>
        <v>-0.0138628826674486</v>
      </c>
      <c r="AF315" s="32" t="n">
        <f aca="false">IF(OR(AE315="",N(Z315)=0),"",AE315-Z315)</f>
        <v>0</v>
      </c>
      <c r="AG315" s="28" t="n">
        <f aca="false">IF(AND(N(M315)&gt;0,N(L315)&gt;0),M315*L315,N315)</f>
        <v>1.625</v>
      </c>
      <c r="AH315" s="28" t="n">
        <f aca="false">IF(OR(N(AB315)&lt;=0,N(AG315)=0,N(L315)=0),"",MIN(L315,AG315/AB315))</f>
        <v>21.3815789473684</v>
      </c>
      <c r="AI315" s="29" t="n">
        <f aca="false">IF(OR(AH315="",N(O315)=0),"",AH315/O315-1)</f>
        <v>-0.0835156902113835</v>
      </c>
      <c r="AJ315" s="29" t="n">
        <f aca="false">IF(OR(AI315="",N(O315)=0),"",AI315+AG315/O315)</f>
        <v>-0.0138628826674486</v>
      </c>
      <c r="AK315" s="32" t="n">
        <f aca="false">IF(OR(AJ315="",N(AE315)=0),"",AJ315-AE315)</f>
        <v>0</v>
      </c>
      <c r="AL315" s="33" t="n">
        <f aca="false">IF(N(F315)=0,"",INDEX(Inputs!$B$28:$B$32,IFERROR(MATCH(F315,Inputs!$A$28:$A$32,1),0)+1))</f>
        <v>0.08</v>
      </c>
      <c r="AM315" s="34"/>
      <c r="AN315" s="33" t="n">
        <f aca="false">IF(N(AM315)&gt;0,AM315,AL315)</f>
        <v>0.08</v>
      </c>
      <c r="AO315" s="29" t="n">
        <f aca="false">IF(N(AN315)=0,"",AN315+IF(I315="yes",AN315*Inputs!$B$10*Inputs!$B$9,0)+IFERROR(INDEX(Inputs!$B$13:$B$15,MATCH(G315,Inputs!$A$13:$A$15,0)),0)+IFERROR(INDEX(Inputs!$B$18:$B$24,MATCH(H315,Inputs!$A$18:$A$24,0)),0))</f>
        <v>0.076</v>
      </c>
      <c r="AP315" s="28" t="n">
        <f aca="false">IF(OR(N(AO315)&lt;=0,N(AG315)=0,N(L315)=0),"",MIN(L315,AG315/AO315))</f>
        <v>21.3815789473684</v>
      </c>
      <c r="AQ315" s="29" t="n">
        <f aca="false">IF(OR(AP315="",N(O315)=0),"",AP315/O315-1)</f>
        <v>-0.0835156902113835</v>
      </c>
      <c r="AR315" s="29" t="n">
        <f aca="false">IF(OR(AQ315="",N(O315)=0),"",AQ315+AG315/O315)</f>
        <v>-0.0138628826674486</v>
      </c>
      <c r="AS315" s="32" t="n">
        <f aca="false">IF(OR(AR315="",N(AJ315)=0),"",AR315-AJ315)</f>
        <v>0</v>
      </c>
      <c r="AT315" s="28" t="n">
        <v>25</v>
      </c>
      <c r="AU315" s="28" t="n">
        <v>1.625</v>
      </c>
      <c r="AV315" s="28" t="n">
        <f aca="false">IF(N(AT315)&gt;0,AT315,L315)</f>
        <v>25</v>
      </c>
      <c r="AW315" s="28" t="n">
        <f aca="false">IF(AND(N(M315)&gt;0,N(AV315)&gt;0),M315*AV315,IF(N(AU315)&gt;0,AU315,N315))</f>
        <v>1.625</v>
      </c>
      <c r="AX315" s="29" t="n">
        <f aca="false">IF(N(AN315)=0,"",AN315+IF(I315="yes",AN315*Inputs!$B$10*Inputs!$B$9,0)+IFERROR(INDEX(Inputs!$B$13:$B$15,MATCH(G315,Inputs!$A$13:$A$15,0)),0)+IFERROR(INDEX(Inputs!$B$18:$B$24,MATCH(H315,Inputs!$A$18:$A$24,0)),0))</f>
        <v>0.076</v>
      </c>
      <c r="AY315" s="28" t="n">
        <f aca="false">IF(OR(N(AX315)&lt;=0,N(AW315)=0,N(AV315)=0),"",MIN(AV315,AW315/AX315))</f>
        <v>21.3815789473684</v>
      </c>
      <c r="AZ315" s="29" t="n">
        <f aca="false">IF(OR(AY315="",N(O315)=0),"",AY315/O315-1)</f>
        <v>-0.0835156902113835</v>
      </c>
      <c r="BA315" s="29" t="n">
        <f aca="false">IF(OR(AZ315="",N(O315)=0),"",AZ315+AW315/O315)</f>
        <v>-0.0138628826674486</v>
      </c>
      <c r="BB315" s="32" t="n">
        <f aca="false">IF(OR(BA315="",N(AR315)=0),"",BA315-AR315)</f>
        <v>0</v>
      </c>
      <c r="BC315" s="35" t="n">
        <f aca="false">IF(OR(BA315="",N(U315)=0),"",BA315-U315)</f>
        <v>1.2490009027033E-016</v>
      </c>
      <c r="BD315" s="37"/>
    </row>
    <row r="316" customFormat="false" ht="15" hidden="false" customHeight="false" outlineLevel="0" collapsed="false">
      <c r="A316" s="2" t="s">
        <v>556</v>
      </c>
      <c r="B316" s="2" t="n">
        <v>175</v>
      </c>
      <c r="C316" s="2" t="s">
        <v>706</v>
      </c>
      <c r="D316" s="2" t="s">
        <v>704</v>
      </c>
      <c r="E316" s="2" t="s">
        <v>705</v>
      </c>
      <c r="F316" s="27" t="n">
        <v>11700</v>
      </c>
      <c r="G316" s="2" t="s">
        <v>51</v>
      </c>
      <c r="H316" s="2" t="s">
        <v>58</v>
      </c>
      <c r="I316" s="2" t="s">
        <v>151</v>
      </c>
      <c r="J316" s="2" t="s">
        <v>145</v>
      </c>
      <c r="K316" s="2" t="n">
        <v>4</v>
      </c>
      <c r="L316" s="28" t="n">
        <v>25</v>
      </c>
      <c r="M316" s="29" t="n">
        <v>0.047</v>
      </c>
      <c r="N316" s="28" t="n">
        <v>1.175</v>
      </c>
      <c r="O316" s="28" t="n">
        <v>17.07</v>
      </c>
      <c r="P316" s="2" t="s">
        <v>146</v>
      </c>
      <c r="Q316" s="29" t="n">
        <v>0.08</v>
      </c>
      <c r="R316" s="30" t="n">
        <v>0.076</v>
      </c>
      <c r="S316" s="31" t="n">
        <v>15.4605263157895</v>
      </c>
      <c r="T316" s="30" t="n">
        <v>-0.0942866833163752</v>
      </c>
      <c r="U316" s="30" t="n">
        <v>-0.0254524712484198</v>
      </c>
      <c r="V316" s="29" t="n">
        <v>0</v>
      </c>
      <c r="W316" s="29" t="n">
        <f aca="false">IF(N(Q316)=0,"",Q316+IF(I316="yes",Q316*Inputs!$B$10*Inputs!$B$9,0)+V316)</f>
        <v>0.076</v>
      </c>
      <c r="X316" s="28" t="n">
        <f aca="false">IF(OR(N(W316)&lt;=0,N(N316)=0,N(L316)=0),"",MIN(L316,N316/W316))</f>
        <v>15.4605263157895</v>
      </c>
      <c r="Y316" s="29" t="n">
        <f aca="false">IF(OR(X316="",N(O316)=0),"",X316/O316-1)</f>
        <v>-0.0942866833163752</v>
      </c>
      <c r="Z316" s="29" t="n">
        <f aca="false">IF(OR(Y316="",N(O316)=0),"",Y316+N316/O316)</f>
        <v>-0.0254524712484198</v>
      </c>
      <c r="AA316" s="32" t="n">
        <f aca="false">IF(OR(Z316="",N(U316)=0),"",Z316-U316)</f>
        <v>0</v>
      </c>
      <c r="AB316" s="29" t="n">
        <f aca="false">IF(N(Q316)=0,"",Q316+IF(I316="yes",Q316*Inputs!$B$10*Inputs!$B$9,0)+IFERROR(INDEX(Inputs!$B$13:$B$15,MATCH(G316,Inputs!$A$13:$A$15,0)),0)+IFERROR(INDEX(Inputs!$B$18:$B$24,MATCH(H316,Inputs!$A$18:$A$24,0)),0))</f>
        <v>0.076</v>
      </c>
      <c r="AC316" s="28" t="n">
        <f aca="false">IF(OR(N(AB316)&lt;=0,N(N316)=0,N(L316)=0),"",MIN(L316,N316/AB316))</f>
        <v>15.4605263157895</v>
      </c>
      <c r="AD316" s="29" t="n">
        <f aca="false">IF(OR(AC316="",N(O316)=0),"",AC316/O316-1)</f>
        <v>-0.0942866833163752</v>
      </c>
      <c r="AE316" s="29" t="n">
        <f aca="false">IF(OR(AD316="",N(O316)=0),"",AD316+N316/O316)</f>
        <v>-0.0254524712484198</v>
      </c>
      <c r="AF316" s="32" t="n">
        <f aca="false">IF(OR(AE316="",N(Z316)=0),"",AE316-Z316)</f>
        <v>0</v>
      </c>
      <c r="AG316" s="28" t="n">
        <f aca="false">IF(AND(N(M316)&gt;0,N(L316)&gt;0),M316*L316,N316)</f>
        <v>1.175</v>
      </c>
      <c r="AH316" s="28" t="n">
        <f aca="false">IF(OR(N(AB316)&lt;=0,N(AG316)=0,N(L316)=0),"",MIN(L316,AG316/AB316))</f>
        <v>15.4605263157895</v>
      </c>
      <c r="AI316" s="29" t="n">
        <f aca="false">IF(OR(AH316="",N(O316)=0),"",AH316/O316-1)</f>
        <v>-0.0942866833163752</v>
      </c>
      <c r="AJ316" s="29" t="n">
        <f aca="false">IF(OR(AI316="",N(O316)=0),"",AI316+AG316/O316)</f>
        <v>-0.0254524712484198</v>
      </c>
      <c r="AK316" s="32" t="n">
        <f aca="false">IF(OR(AJ316="",N(AE316)=0),"",AJ316-AE316)</f>
        <v>0</v>
      </c>
      <c r="AL316" s="33" t="n">
        <f aca="false">IF(N(F316)=0,"",INDEX(Inputs!$B$28:$B$32,IFERROR(MATCH(F316,Inputs!$A$28:$A$32,1),0)+1))</f>
        <v>0.08</v>
      </c>
      <c r="AM316" s="34"/>
      <c r="AN316" s="33" t="n">
        <f aca="false">IF(N(AM316)&gt;0,AM316,AL316)</f>
        <v>0.08</v>
      </c>
      <c r="AO316" s="29" t="n">
        <f aca="false">IF(N(AN316)=0,"",AN316+IF(I316="yes",AN316*Inputs!$B$10*Inputs!$B$9,0)+IFERROR(INDEX(Inputs!$B$13:$B$15,MATCH(G316,Inputs!$A$13:$A$15,0)),0)+IFERROR(INDEX(Inputs!$B$18:$B$24,MATCH(H316,Inputs!$A$18:$A$24,0)),0))</f>
        <v>0.076</v>
      </c>
      <c r="AP316" s="28" t="n">
        <f aca="false">IF(OR(N(AO316)&lt;=0,N(AG316)=0,N(L316)=0),"",MIN(L316,AG316/AO316))</f>
        <v>15.4605263157895</v>
      </c>
      <c r="AQ316" s="29" t="n">
        <f aca="false">IF(OR(AP316="",N(O316)=0),"",AP316/O316-1)</f>
        <v>-0.0942866833163752</v>
      </c>
      <c r="AR316" s="29" t="n">
        <f aca="false">IF(OR(AQ316="",N(O316)=0),"",AQ316+AG316/O316)</f>
        <v>-0.0254524712484198</v>
      </c>
      <c r="AS316" s="32" t="n">
        <f aca="false">IF(OR(AR316="",N(AJ316)=0),"",AR316-AJ316)</f>
        <v>0</v>
      </c>
      <c r="AT316" s="28" t="n">
        <v>25</v>
      </c>
      <c r="AU316" s="28" t="n">
        <v>1.175</v>
      </c>
      <c r="AV316" s="28" t="n">
        <f aca="false">IF(N(AT316)&gt;0,AT316,L316)</f>
        <v>25</v>
      </c>
      <c r="AW316" s="28" t="n">
        <f aca="false">IF(AND(N(M316)&gt;0,N(AV316)&gt;0),M316*AV316,IF(N(AU316)&gt;0,AU316,N316))</f>
        <v>1.175</v>
      </c>
      <c r="AX316" s="29" t="n">
        <f aca="false">IF(N(AN316)=0,"",AN316+IF(I316="yes",AN316*Inputs!$B$10*Inputs!$B$9,0)+IFERROR(INDEX(Inputs!$B$13:$B$15,MATCH(G316,Inputs!$A$13:$A$15,0)),0)+IFERROR(INDEX(Inputs!$B$18:$B$24,MATCH(H316,Inputs!$A$18:$A$24,0)),0))</f>
        <v>0.076</v>
      </c>
      <c r="AY316" s="28" t="n">
        <f aca="false">IF(OR(N(AX316)&lt;=0,N(AW316)=0,N(AV316)=0),"",MIN(AV316,AW316/AX316))</f>
        <v>15.4605263157895</v>
      </c>
      <c r="AZ316" s="29" t="n">
        <f aca="false">IF(OR(AY316="",N(O316)=0),"",AY316/O316-1)</f>
        <v>-0.0942866833163752</v>
      </c>
      <c r="BA316" s="29" t="n">
        <f aca="false">IF(OR(AZ316="",N(O316)=0),"",AZ316+AW316/O316)</f>
        <v>-0.0254524712484198</v>
      </c>
      <c r="BB316" s="32" t="n">
        <f aca="false">IF(OR(BA316="",N(AR316)=0),"",BA316-AR316)</f>
        <v>0</v>
      </c>
      <c r="BC316" s="35" t="n">
        <f aca="false">IF(OR(BA316="",N(U316)=0),"",BA316-U316)</f>
        <v>0</v>
      </c>
      <c r="BD316" s="37"/>
    </row>
    <row r="317" customFormat="false" ht="15" hidden="false" customHeight="false" outlineLevel="0" collapsed="false">
      <c r="A317" s="2" t="s">
        <v>556</v>
      </c>
      <c r="B317" s="2" t="n">
        <v>179</v>
      </c>
      <c r="C317" s="2" t="s">
        <v>707</v>
      </c>
      <c r="D317" s="2" t="s">
        <v>708</v>
      </c>
      <c r="E317" s="2" t="s">
        <v>709</v>
      </c>
      <c r="F317" s="27"/>
      <c r="G317" s="2" t="s">
        <v>51</v>
      </c>
      <c r="H317" s="2" t="s">
        <v>58</v>
      </c>
      <c r="I317" s="2" t="s">
        <v>151</v>
      </c>
      <c r="J317" s="2" t="s">
        <v>145</v>
      </c>
      <c r="K317" s="2" t="n">
        <v>4</v>
      </c>
      <c r="L317" s="28" t="n">
        <v>25</v>
      </c>
      <c r="M317" s="29" t="n">
        <v>0.0675</v>
      </c>
      <c r="N317" s="28" t="n">
        <v>1.6875</v>
      </c>
      <c r="O317" s="28" t="n">
        <v>19.13</v>
      </c>
      <c r="P317" s="2" t="s">
        <v>146</v>
      </c>
      <c r="Q317" s="29" t="n">
        <v>0.1</v>
      </c>
      <c r="R317" s="30" t="n">
        <v>0.095</v>
      </c>
      <c r="S317" s="31" t="n">
        <v>17.7631578947368</v>
      </c>
      <c r="T317" s="30" t="n">
        <v>-0.071450188461221</v>
      </c>
      <c r="U317" s="30" t="n">
        <v>0.016762043634963</v>
      </c>
      <c r="V317" s="29" t="n">
        <v>0</v>
      </c>
      <c r="W317" s="29" t="n">
        <f aca="false">IF(N(Q317)=0,"",Q317+IF(I317="yes",Q317*Inputs!$B$10*Inputs!$B$9,0)+V317)</f>
        <v>0.095</v>
      </c>
      <c r="X317" s="28" t="n">
        <f aca="false">IF(OR(N(W317)&lt;=0,N(N317)=0,N(L317)=0),"",MIN(L317,N317/W317))</f>
        <v>17.7631578947368</v>
      </c>
      <c r="Y317" s="29" t="n">
        <f aca="false">IF(OR(X317="",N(O317)=0),"",X317/O317-1)</f>
        <v>-0.071450188461221</v>
      </c>
      <c r="Z317" s="29" t="n">
        <f aca="false">IF(OR(Y317="",N(O317)=0),"",Y317+N317/O317)</f>
        <v>0.016762043634963</v>
      </c>
      <c r="AA317" s="32" t="n">
        <f aca="false">IF(OR(Z317="",N(U317)=0),"",Z317-U317)</f>
        <v>0</v>
      </c>
      <c r="AB317" s="29" t="n">
        <f aca="false">IF(N(Q317)=0,"",Q317+IF(I317="yes",Q317*Inputs!$B$10*Inputs!$B$9,0)+IFERROR(INDEX(Inputs!$B$13:$B$15,MATCH(G317,Inputs!$A$13:$A$15,0)),0)+IFERROR(INDEX(Inputs!$B$18:$B$24,MATCH(H317,Inputs!$A$18:$A$24,0)),0))</f>
        <v>0.095</v>
      </c>
      <c r="AC317" s="28" t="n">
        <f aca="false">IF(OR(N(AB317)&lt;=0,N(N317)=0,N(L317)=0),"",MIN(L317,N317/AB317))</f>
        <v>17.7631578947368</v>
      </c>
      <c r="AD317" s="29" t="n">
        <f aca="false">IF(OR(AC317="",N(O317)=0),"",AC317/O317-1)</f>
        <v>-0.071450188461221</v>
      </c>
      <c r="AE317" s="29" t="n">
        <f aca="false">IF(OR(AD317="",N(O317)=0),"",AD317+N317/O317)</f>
        <v>0.016762043634963</v>
      </c>
      <c r="AF317" s="32" t="n">
        <f aca="false">IF(OR(AE317="",N(Z317)=0),"",AE317-Z317)</f>
        <v>0</v>
      </c>
      <c r="AG317" s="28" t="n">
        <f aca="false">IF(AND(N(M317)&gt;0,N(L317)&gt;0),M317*L317,N317)</f>
        <v>1.6875</v>
      </c>
      <c r="AH317" s="28" t="n">
        <f aca="false">IF(OR(N(AB317)&lt;=0,N(AG317)=0,N(L317)=0),"",MIN(L317,AG317/AB317))</f>
        <v>17.7631578947368</v>
      </c>
      <c r="AI317" s="29" t="n">
        <f aca="false">IF(OR(AH317="",N(O317)=0),"",AH317/O317-1)</f>
        <v>-0.071450188461221</v>
      </c>
      <c r="AJ317" s="29" t="n">
        <f aca="false">IF(OR(AI317="",N(O317)=0),"",AI317+AG317/O317)</f>
        <v>0.016762043634963</v>
      </c>
      <c r="AK317" s="32" t="n">
        <f aca="false">IF(OR(AJ317="",N(AE317)=0),"",AJ317-AE317)</f>
        <v>0</v>
      </c>
      <c r="AL317" s="33" t="str">
        <f aca="false">IF(N(F317)=0,"",INDEX(Inputs!$B$28:$B$32,IFERROR(MATCH(F317,Inputs!$A$28:$A$32,1),0)+1))</f>
        <v/>
      </c>
      <c r="AM317" s="34"/>
      <c r="AN317" s="33" t="str">
        <f aca="false">IF(N(AM317)&gt;0,AM317,AL317)</f>
        <v/>
      </c>
      <c r="AO317" s="29" t="str">
        <f aca="false">IF(N(AN317)=0,"",AN317+IF(I317="yes",AN317*Inputs!$B$10*Inputs!$B$9,0)+IFERROR(INDEX(Inputs!$B$13:$B$15,MATCH(G317,Inputs!$A$13:$A$15,0)),0)+IFERROR(INDEX(Inputs!$B$18:$B$24,MATCH(H317,Inputs!$A$18:$A$24,0)),0))</f>
        <v/>
      </c>
      <c r="AP317" s="28" t="str">
        <f aca="false">IF(OR(N(AO317)&lt;=0,N(AG317)=0,N(L317)=0),"",MIN(L317,AG317/AO317))</f>
        <v/>
      </c>
      <c r="AQ317" s="29" t="str">
        <f aca="false">IF(OR(AP317="",N(O317)=0),"",AP317/O317-1)</f>
        <v/>
      </c>
      <c r="AR317" s="29" t="str">
        <f aca="false">IF(OR(AQ317="",N(O317)=0),"",AQ317+AG317/O317)</f>
        <v/>
      </c>
      <c r="AS317" s="32" t="str">
        <f aca="false">IF(OR(AR317="",N(AJ317)=0),"",AR317-AJ317)</f>
        <v/>
      </c>
      <c r="AT317" s="28" t="n">
        <v>25</v>
      </c>
      <c r="AU317" s="28" t="n">
        <v>1.6875</v>
      </c>
      <c r="AV317" s="28" t="n">
        <f aca="false">IF(N(AT317)&gt;0,AT317,L317)</f>
        <v>25</v>
      </c>
      <c r="AW317" s="28" t="n">
        <f aca="false">IF(AND(N(M317)&gt;0,N(AV317)&gt;0),M317*AV317,IF(N(AU317)&gt;0,AU317,N317))</f>
        <v>1.6875</v>
      </c>
      <c r="AX317" s="29" t="str">
        <f aca="false">IF(N(AN317)=0,"",AN317+IF(I317="yes",AN317*Inputs!$B$10*Inputs!$B$9,0)+IFERROR(INDEX(Inputs!$B$13:$B$15,MATCH(G317,Inputs!$A$13:$A$15,0)),0)+IFERROR(INDEX(Inputs!$B$18:$B$24,MATCH(H317,Inputs!$A$18:$A$24,0)),0))</f>
        <v/>
      </c>
      <c r="AY317" s="28" t="str">
        <f aca="false">IF(OR(N(AX317)&lt;=0,N(AW317)=0,N(AV317)=0),"",MIN(AV317,AW317/AX317))</f>
        <v/>
      </c>
      <c r="AZ317" s="29" t="str">
        <f aca="false">IF(OR(AY317="",N(O317)=0),"",AY317/O317-1)</f>
        <v/>
      </c>
      <c r="BA317" s="29" t="str">
        <f aca="false">IF(OR(AZ317="",N(O317)=0),"",AZ317+AW317/O317)</f>
        <v/>
      </c>
      <c r="BB317" s="32" t="str">
        <f aca="false">IF(OR(BA317="",N(AR317)=0),"",BA317-AR317)</f>
        <v/>
      </c>
      <c r="BC317" s="35" t="str">
        <f aca="false">IF(OR(BA317="",N(U317)=0),"",BA317-U317)</f>
        <v/>
      </c>
      <c r="BD317" s="37"/>
    </row>
    <row r="318" customFormat="false" ht="15" hidden="false" customHeight="false" outlineLevel="0" collapsed="false">
      <c r="A318" s="2" t="s">
        <v>556</v>
      </c>
      <c r="B318" s="2" t="n">
        <v>183</v>
      </c>
      <c r="C318" s="2" t="s">
        <v>710</v>
      </c>
      <c r="D318" s="2" t="s">
        <v>711</v>
      </c>
      <c r="E318" s="2" t="s">
        <v>143</v>
      </c>
      <c r="F318" s="27"/>
      <c r="G318" s="2" t="s">
        <v>51</v>
      </c>
      <c r="H318" s="2" t="s">
        <v>58</v>
      </c>
      <c r="I318" s="2" t="s">
        <v>151</v>
      </c>
      <c r="J318" s="2" t="s">
        <v>145</v>
      </c>
      <c r="K318" s="2" t="n">
        <v>4</v>
      </c>
      <c r="L318" s="28" t="n">
        <v>25</v>
      </c>
      <c r="M318" s="29" t="n">
        <v>0.08</v>
      </c>
      <c r="N318" s="28" t="n">
        <v>2</v>
      </c>
      <c r="O318" s="28" t="n">
        <v>0</v>
      </c>
      <c r="P318" s="2" t="s">
        <v>146</v>
      </c>
      <c r="Q318" s="29" t="n">
        <v>0</v>
      </c>
      <c r="R318" s="30" t="n">
        <v>0</v>
      </c>
      <c r="S318" s="31"/>
      <c r="T318" s="30"/>
      <c r="U318" s="30"/>
      <c r="V318" s="29" t="n">
        <v>0</v>
      </c>
      <c r="W318" s="29" t="str">
        <f aca="false">IF(N(Q318)=0,"",Q318+IF(I318="yes",Q318*Inputs!$B$10*Inputs!$B$9,0)+V318)</f>
        <v/>
      </c>
      <c r="X318" s="28" t="str">
        <f aca="false">IF(OR(N(W318)&lt;=0,N(N318)=0,N(L318)=0),"",MIN(L318,N318/W318))</f>
        <v/>
      </c>
      <c r="Y318" s="29" t="str">
        <f aca="false">IF(OR(X318="",N(O318)=0),"",X318/O318-1)</f>
        <v/>
      </c>
      <c r="Z318" s="29" t="str">
        <f aca="false">IF(OR(Y318="",N(O318)=0),"",Y318+N318/O318)</f>
        <v/>
      </c>
      <c r="AA318" s="32" t="str">
        <f aca="false">IF(OR(Z318="",N(U318)=0),"",Z318-U318)</f>
        <v/>
      </c>
      <c r="AB318" s="29" t="str">
        <f aca="false">IF(N(Q318)=0,"",Q318+IF(I318="yes",Q318*Inputs!$B$10*Inputs!$B$9,0)+IFERROR(INDEX(Inputs!$B$13:$B$15,MATCH(G318,Inputs!$A$13:$A$15,0)),0)+IFERROR(INDEX(Inputs!$B$18:$B$24,MATCH(H318,Inputs!$A$18:$A$24,0)),0))</f>
        <v/>
      </c>
      <c r="AC318" s="28" t="str">
        <f aca="false">IF(OR(N(AB318)&lt;=0,N(N318)=0,N(L318)=0),"",MIN(L318,N318/AB318))</f>
        <v/>
      </c>
      <c r="AD318" s="29" t="str">
        <f aca="false">IF(OR(AC318="",N(O318)=0),"",AC318/O318-1)</f>
        <v/>
      </c>
      <c r="AE318" s="29" t="str">
        <f aca="false">IF(OR(AD318="",N(O318)=0),"",AD318+N318/O318)</f>
        <v/>
      </c>
      <c r="AF318" s="32" t="str">
        <f aca="false">IF(OR(AE318="",N(Z318)=0),"",AE318-Z318)</f>
        <v/>
      </c>
      <c r="AG318" s="28" t="n">
        <f aca="false">IF(AND(N(M318)&gt;0,N(L318)&gt;0),M318*L318,N318)</f>
        <v>2</v>
      </c>
      <c r="AH318" s="28" t="str">
        <f aca="false">IF(OR(N(AB318)&lt;=0,N(AG318)=0,N(L318)=0),"",MIN(L318,AG318/AB318))</f>
        <v/>
      </c>
      <c r="AI318" s="29" t="str">
        <f aca="false">IF(OR(AH318="",N(O318)=0),"",AH318/O318-1)</f>
        <v/>
      </c>
      <c r="AJ318" s="29" t="str">
        <f aca="false">IF(OR(AI318="",N(O318)=0),"",AI318+AG318/O318)</f>
        <v/>
      </c>
      <c r="AK318" s="32" t="str">
        <f aca="false">IF(OR(AJ318="",N(AE318)=0),"",AJ318-AE318)</f>
        <v/>
      </c>
      <c r="AL318" s="33" t="str">
        <f aca="false">IF(N(F318)=0,"",INDEX(Inputs!$B$28:$B$32,IFERROR(MATCH(F318,Inputs!$A$28:$A$32,1),0)+1))</f>
        <v/>
      </c>
      <c r="AM318" s="34"/>
      <c r="AN318" s="33" t="str">
        <f aca="false">IF(N(AM318)&gt;0,AM318,AL318)</f>
        <v/>
      </c>
      <c r="AO318" s="29" t="str">
        <f aca="false">IF(N(AN318)=0,"",AN318+IF(I318="yes",AN318*Inputs!$B$10*Inputs!$B$9,0)+IFERROR(INDEX(Inputs!$B$13:$B$15,MATCH(G318,Inputs!$A$13:$A$15,0)),0)+IFERROR(INDEX(Inputs!$B$18:$B$24,MATCH(H318,Inputs!$A$18:$A$24,0)),0))</f>
        <v/>
      </c>
      <c r="AP318" s="28" t="str">
        <f aca="false">IF(OR(N(AO318)&lt;=0,N(AG318)=0,N(L318)=0),"",MIN(L318,AG318/AO318))</f>
        <v/>
      </c>
      <c r="AQ318" s="29" t="str">
        <f aca="false">IF(OR(AP318="",N(O318)=0),"",AP318/O318-1)</f>
        <v/>
      </c>
      <c r="AR318" s="29" t="str">
        <f aca="false">IF(OR(AQ318="",N(O318)=0),"",AQ318+AG318/O318)</f>
        <v/>
      </c>
      <c r="AS318" s="32" t="str">
        <f aca="false">IF(OR(AR318="",N(AJ318)=0),"",AR318-AJ318)</f>
        <v/>
      </c>
      <c r="AT318" s="28"/>
      <c r="AU318" s="28"/>
      <c r="AV318" s="28" t="n">
        <f aca="false">IF(N(AT318)&gt;0,AT318,L318)</f>
        <v>25</v>
      </c>
      <c r="AW318" s="28" t="n">
        <f aca="false">IF(AND(N(M318)&gt;0,N(AV318)&gt;0),M318*AV318,IF(N(AU318)&gt;0,AU318,N318))</f>
        <v>2</v>
      </c>
      <c r="AX318" s="29" t="str">
        <f aca="false">IF(N(AN318)=0,"",AN318+IF(I318="yes",AN318*Inputs!$B$10*Inputs!$B$9,0)+IFERROR(INDEX(Inputs!$B$13:$B$15,MATCH(G318,Inputs!$A$13:$A$15,0)),0)+IFERROR(INDEX(Inputs!$B$18:$B$24,MATCH(H318,Inputs!$A$18:$A$24,0)),0))</f>
        <v/>
      </c>
      <c r="AY318" s="28" t="str">
        <f aca="false">IF(OR(N(AX318)&lt;=0,N(AW318)=0,N(AV318)=0),"",MIN(AV318,AW318/AX318))</f>
        <v/>
      </c>
      <c r="AZ318" s="29" t="str">
        <f aca="false">IF(OR(AY318="",N(O318)=0),"",AY318/O318-1)</f>
        <v/>
      </c>
      <c r="BA318" s="29" t="str">
        <f aca="false">IF(OR(AZ318="",N(O318)=0),"",AZ318+AW318/O318)</f>
        <v/>
      </c>
      <c r="BB318" s="32" t="str">
        <f aca="false">IF(OR(BA318="",N(AR318)=0),"",BA318-AR318)</f>
        <v/>
      </c>
      <c r="BC318" s="35" t="str">
        <f aca="false">IF(OR(BA318="",N(U318)=0),"",BA318-U318)</f>
        <v/>
      </c>
      <c r="BD318" s="36" t="s">
        <v>147</v>
      </c>
    </row>
    <row r="319" customFormat="false" ht="15" hidden="false" customHeight="false" outlineLevel="0" collapsed="false">
      <c r="A319" s="2" t="s">
        <v>556</v>
      </c>
      <c r="B319" s="2" t="n">
        <v>187</v>
      </c>
      <c r="C319" s="2" t="s">
        <v>712</v>
      </c>
      <c r="D319" s="2" t="s">
        <v>713</v>
      </c>
      <c r="E319" s="2" t="s">
        <v>714</v>
      </c>
      <c r="F319" s="27" t="n">
        <v>49400</v>
      </c>
      <c r="G319" s="2" t="s">
        <v>51</v>
      </c>
      <c r="H319" s="2" t="s">
        <v>59</v>
      </c>
      <c r="I319" s="2" t="s">
        <v>151</v>
      </c>
      <c r="J319" s="2" t="s">
        <v>145</v>
      </c>
      <c r="K319" s="2" t="n">
        <v>4</v>
      </c>
      <c r="L319" s="28" t="n">
        <v>25</v>
      </c>
      <c r="M319" s="29" t="n">
        <v>0.06625</v>
      </c>
      <c r="N319" s="28" t="n">
        <v>1.65625</v>
      </c>
      <c r="O319" s="28" t="n">
        <v>25.59</v>
      </c>
      <c r="P319" s="2" t="s">
        <v>146</v>
      </c>
      <c r="Q319" s="29" t="n">
        <v>0.08</v>
      </c>
      <c r="R319" s="30" t="n">
        <v>0.076</v>
      </c>
      <c r="S319" s="31" t="n">
        <v>21.7927631578947</v>
      </c>
      <c r="T319" s="30" t="n">
        <v>-0.148387528022871</v>
      </c>
      <c r="U319" s="30" t="n">
        <v>-0.083664980152609</v>
      </c>
      <c r="V319" s="29" t="n">
        <v>0</v>
      </c>
      <c r="W319" s="29" t="n">
        <f aca="false">IF(N(Q319)=0,"",Q319+IF(I319="yes",Q319*Inputs!$B$10*Inputs!$B$9,0)+V319)</f>
        <v>0.076</v>
      </c>
      <c r="X319" s="28" t="n">
        <f aca="false">IF(OR(N(W319)&lt;=0,N(N319)=0,N(L319)=0),"",MIN(L319,N319/W319))</f>
        <v>21.7927631578947</v>
      </c>
      <c r="Y319" s="29" t="n">
        <f aca="false">IF(OR(X319="",N(O319)=0),"",X319/O319-1)</f>
        <v>-0.148387528022871</v>
      </c>
      <c r="Z319" s="29" t="n">
        <f aca="false">IF(OR(Y319="",N(O319)=0),"",Y319+N319/O319)</f>
        <v>-0.083664980152609</v>
      </c>
      <c r="AA319" s="32" t="n">
        <f aca="false">IF(OR(Z319="",N(U319)=0),"",Z319-U319)</f>
        <v>0</v>
      </c>
      <c r="AB319" s="29" t="n">
        <f aca="false">IF(N(Q319)=0,"",Q319+IF(I319="yes",Q319*Inputs!$B$10*Inputs!$B$9,0)+IFERROR(INDEX(Inputs!$B$13:$B$15,MATCH(G319,Inputs!$A$13:$A$15,0)),0)+IFERROR(INDEX(Inputs!$B$18:$B$24,MATCH(H319,Inputs!$A$18:$A$24,0)),0))</f>
        <v>0.076</v>
      </c>
      <c r="AC319" s="28" t="n">
        <f aca="false">IF(OR(N(AB319)&lt;=0,N(N319)=0,N(L319)=0),"",MIN(L319,N319/AB319))</f>
        <v>21.7927631578947</v>
      </c>
      <c r="AD319" s="29" t="n">
        <f aca="false">IF(OR(AC319="",N(O319)=0),"",AC319/O319-1)</f>
        <v>-0.148387528022871</v>
      </c>
      <c r="AE319" s="29" t="n">
        <f aca="false">IF(OR(AD319="",N(O319)=0),"",AD319+N319/O319)</f>
        <v>-0.083664980152609</v>
      </c>
      <c r="AF319" s="32" t="n">
        <f aca="false">IF(OR(AE319="",N(Z319)=0),"",AE319-Z319)</f>
        <v>0</v>
      </c>
      <c r="AG319" s="28" t="n">
        <f aca="false">IF(AND(N(M319)&gt;0,N(L319)&gt;0),M319*L319,N319)</f>
        <v>1.65625</v>
      </c>
      <c r="AH319" s="28" t="n">
        <f aca="false">IF(OR(N(AB319)&lt;=0,N(AG319)=0,N(L319)=0),"",MIN(L319,AG319/AB319))</f>
        <v>21.7927631578947</v>
      </c>
      <c r="AI319" s="29" t="n">
        <f aca="false">IF(OR(AH319="",N(O319)=0),"",AH319/O319-1)</f>
        <v>-0.148387528022871</v>
      </c>
      <c r="AJ319" s="29" t="n">
        <f aca="false">IF(OR(AI319="",N(O319)=0),"",AI319+AG319/O319)</f>
        <v>-0.083664980152609</v>
      </c>
      <c r="AK319" s="32" t="n">
        <f aca="false">IF(OR(AJ319="",N(AE319)=0),"",AJ319-AE319)</f>
        <v>0</v>
      </c>
      <c r="AL319" s="33" t="n">
        <f aca="false">IF(N(F319)=0,"",INDEX(Inputs!$B$28:$B$32,IFERROR(MATCH(F319,Inputs!$A$28:$A$32,1),0)+1))</f>
        <v>0.075</v>
      </c>
      <c r="AM319" s="34"/>
      <c r="AN319" s="33" t="n">
        <f aca="false">IF(N(AM319)&gt;0,AM319,AL319)</f>
        <v>0.075</v>
      </c>
      <c r="AO319" s="29" t="n">
        <f aca="false">IF(N(AN319)=0,"",AN319+IF(I319="yes",AN319*Inputs!$B$10*Inputs!$B$9,0)+IFERROR(INDEX(Inputs!$B$13:$B$15,MATCH(G319,Inputs!$A$13:$A$15,0)),0)+IFERROR(INDEX(Inputs!$B$18:$B$24,MATCH(H319,Inputs!$A$18:$A$24,0)),0))</f>
        <v>0.07125</v>
      </c>
      <c r="AP319" s="28" t="n">
        <f aca="false">IF(OR(N(AO319)&lt;=0,N(AG319)=0,N(L319)=0),"",MIN(L319,AG319/AO319))</f>
        <v>23.2456140350877</v>
      </c>
      <c r="AQ319" s="29" t="n">
        <f aca="false">IF(OR(AP319="",N(O319)=0),"",AP319/O319-1)</f>
        <v>-0.0916133632243954</v>
      </c>
      <c r="AR319" s="29" t="n">
        <f aca="false">IF(OR(AQ319="",N(O319)=0),"",AQ319+AG319/O319)</f>
        <v>-0.0268908153541336</v>
      </c>
      <c r="AS319" s="32" t="n">
        <f aca="false">IF(OR(AR319="",N(AJ319)=0),"",AR319-AJ319)</f>
        <v>0.0567741647984754</v>
      </c>
      <c r="AT319" s="28" t="n">
        <v>25</v>
      </c>
      <c r="AU319" s="28" t="n">
        <v>1.66</v>
      </c>
      <c r="AV319" s="28" t="n">
        <f aca="false">IF(N(AT319)&gt;0,AT319,L319)</f>
        <v>25</v>
      </c>
      <c r="AW319" s="28" t="n">
        <f aca="false">IF(AND(N(M319)&gt;0,N(AV319)&gt;0),M319*AV319,IF(N(AU319)&gt;0,AU319,N319))</f>
        <v>1.65625</v>
      </c>
      <c r="AX319" s="29" t="n">
        <f aca="false">IF(N(AN319)=0,"",AN319+IF(I319="yes",AN319*Inputs!$B$10*Inputs!$B$9,0)+IFERROR(INDEX(Inputs!$B$13:$B$15,MATCH(G319,Inputs!$A$13:$A$15,0)),0)+IFERROR(INDEX(Inputs!$B$18:$B$24,MATCH(H319,Inputs!$A$18:$A$24,0)),0))</f>
        <v>0.07125</v>
      </c>
      <c r="AY319" s="28" t="n">
        <f aca="false">IF(OR(N(AX319)&lt;=0,N(AW319)=0,N(AV319)=0),"",MIN(AV319,AW319/AX319))</f>
        <v>23.2456140350877</v>
      </c>
      <c r="AZ319" s="29" t="n">
        <f aca="false">IF(OR(AY319="",N(O319)=0),"",AY319/O319-1)</f>
        <v>-0.0916133632243954</v>
      </c>
      <c r="BA319" s="29" t="n">
        <f aca="false">IF(OR(AZ319="",N(O319)=0),"",AZ319+AW319/O319)</f>
        <v>-0.0268908153541336</v>
      </c>
      <c r="BB319" s="32" t="n">
        <f aca="false">IF(OR(BA319="",N(AR319)=0),"",BA319-AR319)</f>
        <v>0</v>
      </c>
      <c r="BC319" s="35" t="n">
        <f aca="false">IF(OR(BA319="",N(U319)=0),"",BA319-U319)</f>
        <v>0.0567741647984754</v>
      </c>
      <c r="BD319" s="37"/>
    </row>
    <row r="320" customFormat="false" ht="15" hidden="false" customHeight="false" outlineLevel="0" collapsed="false">
      <c r="A320" s="2" t="s">
        <v>556</v>
      </c>
      <c r="B320" s="2" t="n">
        <v>192</v>
      </c>
      <c r="C320" s="2" t="s">
        <v>715</v>
      </c>
      <c r="D320" s="2" t="s">
        <v>716</v>
      </c>
      <c r="E320" s="2" t="s">
        <v>717</v>
      </c>
      <c r="F320" s="27" t="n">
        <v>3700</v>
      </c>
      <c r="G320" s="2" t="s">
        <v>51</v>
      </c>
      <c r="H320" s="2" t="s">
        <v>58</v>
      </c>
      <c r="I320" s="2" t="s">
        <v>151</v>
      </c>
      <c r="J320" s="2" t="s">
        <v>145</v>
      </c>
      <c r="K320" s="2" t="n">
        <v>4</v>
      </c>
      <c r="L320" s="28" t="n">
        <v>50</v>
      </c>
      <c r="M320" s="29" t="n">
        <v>0.051</v>
      </c>
      <c r="N320" s="28" t="n">
        <v>2.55</v>
      </c>
      <c r="O320" s="28" t="n">
        <v>13.5</v>
      </c>
      <c r="P320" s="2" t="s">
        <v>146</v>
      </c>
      <c r="Q320" s="29" t="n">
        <v>0.1</v>
      </c>
      <c r="R320" s="30" t="n">
        <v>0.095</v>
      </c>
      <c r="S320" s="31" t="n">
        <v>26.8421052631579</v>
      </c>
      <c r="T320" s="30" t="n">
        <v>0.988304093567251</v>
      </c>
      <c r="U320" s="30" t="n">
        <v>1.17719298245614</v>
      </c>
      <c r="V320" s="29" t="n">
        <v>0</v>
      </c>
      <c r="W320" s="29" t="n">
        <f aca="false">IF(N(Q320)=0,"",Q320+IF(I320="yes",Q320*Inputs!$B$10*Inputs!$B$9,0)+V320)</f>
        <v>0.095</v>
      </c>
      <c r="X320" s="28" t="n">
        <f aca="false">IF(OR(N(W320)&lt;=0,N(N320)=0,N(L320)=0),"",MIN(L320,N320/W320))</f>
        <v>26.8421052631579</v>
      </c>
      <c r="Y320" s="29" t="n">
        <f aca="false">IF(OR(X320="",N(O320)=0),"",X320/O320-1)</f>
        <v>0.988304093567251</v>
      </c>
      <c r="Z320" s="29" t="n">
        <f aca="false">IF(OR(Y320="",N(O320)=0),"",Y320+N320/O320)</f>
        <v>1.17719298245614</v>
      </c>
      <c r="AA320" s="32" t="n">
        <f aca="false">IF(OR(Z320="",N(U320)=0),"",Z320-U320)</f>
        <v>0</v>
      </c>
      <c r="AB320" s="29" t="n">
        <f aca="false">IF(N(Q320)=0,"",Q320+IF(I320="yes",Q320*Inputs!$B$10*Inputs!$B$9,0)+IFERROR(INDEX(Inputs!$B$13:$B$15,MATCH(G320,Inputs!$A$13:$A$15,0)),0)+IFERROR(INDEX(Inputs!$B$18:$B$24,MATCH(H320,Inputs!$A$18:$A$24,0)),0))</f>
        <v>0.095</v>
      </c>
      <c r="AC320" s="28" t="n">
        <f aca="false">IF(OR(N(AB320)&lt;=0,N(N320)=0,N(L320)=0),"",MIN(L320,N320/AB320))</f>
        <v>26.8421052631579</v>
      </c>
      <c r="AD320" s="29" t="n">
        <f aca="false">IF(OR(AC320="",N(O320)=0),"",AC320/O320-1)</f>
        <v>0.988304093567251</v>
      </c>
      <c r="AE320" s="29" t="n">
        <f aca="false">IF(OR(AD320="",N(O320)=0),"",AD320+N320/O320)</f>
        <v>1.17719298245614</v>
      </c>
      <c r="AF320" s="32" t="n">
        <f aca="false">IF(OR(AE320="",N(Z320)=0),"",AE320-Z320)</f>
        <v>0</v>
      </c>
      <c r="AG320" s="28" t="n">
        <f aca="false">IF(AND(N(M320)&gt;0,N(L320)&gt;0),M320*L320,N320)</f>
        <v>2.55</v>
      </c>
      <c r="AH320" s="28" t="n">
        <f aca="false">IF(OR(N(AB320)&lt;=0,N(AG320)=0,N(L320)=0),"",MIN(L320,AG320/AB320))</f>
        <v>26.8421052631579</v>
      </c>
      <c r="AI320" s="29" t="n">
        <f aca="false">IF(OR(AH320="",N(O320)=0),"",AH320/O320-1)</f>
        <v>0.988304093567251</v>
      </c>
      <c r="AJ320" s="29" t="n">
        <f aca="false">IF(OR(AI320="",N(O320)=0),"",AI320+AG320/O320)</f>
        <v>1.17719298245614</v>
      </c>
      <c r="AK320" s="32" t="n">
        <f aca="false">IF(OR(AJ320="",N(AE320)=0),"",AJ320-AE320)</f>
        <v>0</v>
      </c>
      <c r="AL320" s="33" t="n">
        <f aca="false">IF(N(F320)=0,"",INDEX(Inputs!$B$28:$B$32,IFERROR(MATCH(F320,Inputs!$A$28:$A$32,1),0)+1))</f>
        <v>0.085</v>
      </c>
      <c r="AM320" s="34"/>
      <c r="AN320" s="33" t="n">
        <f aca="false">IF(N(AM320)&gt;0,AM320,AL320)</f>
        <v>0.085</v>
      </c>
      <c r="AO320" s="29" t="n">
        <f aca="false">IF(N(AN320)=0,"",AN320+IF(I320="yes",AN320*Inputs!$B$10*Inputs!$B$9,0)+IFERROR(INDEX(Inputs!$B$13:$B$15,MATCH(G320,Inputs!$A$13:$A$15,0)),0)+IFERROR(INDEX(Inputs!$B$18:$B$24,MATCH(H320,Inputs!$A$18:$A$24,0)),0))</f>
        <v>0.08075</v>
      </c>
      <c r="AP320" s="28" t="n">
        <f aca="false">IF(OR(N(AO320)&lt;=0,N(AG320)=0,N(L320)=0),"",MIN(L320,AG320/AO320))</f>
        <v>31.578947368421</v>
      </c>
      <c r="AQ320" s="29" t="n">
        <f aca="false">IF(OR(AP320="",N(O320)=0),"",AP320/O320-1)</f>
        <v>1.33918128654971</v>
      </c>
      <c r="AR320" s="29" t="n">
        <f aca="false">IF(OR(AQ320="",N(O320)=0),"",AQ320+AG320/O320)</f>
        <v>1.5280701754386</v>
      </c>
      <c r="AS320" s="32" t="n">
        <f aca="false">IF(OR(AR320="",N(AJ320)=0),"",AR320-AJ320)</f>
        <v>0.350877192982456</v>
      </c>
      <c r="AT320" s="28" t="n">
        <v>50</v>
      </c>
      <c r="AU320" s="28" t="n">
        <v>2.55</v>
      </c>
      <c r="AV320" s="28" t="n">
        <f aca="false">IF(N(AT320)&gt;0,AT320,L320)</f>
        <v>50</v>
      </c>
      <c r="AW320" s="28" t="n">
        <f aca="false">IF(AND(N(M320)&gt;0,N(AV320)&gt;0),M320*AV320,IF(N(AU320)&gt;0,AU320,N320))</f>
        <v>2.55</v>
      </c>
      <c r="AX320" s="29" t="n">
        <f aca="false">IF(N(AN320)=0,"",AN320+IF(I320="yes",AN320*Inputs!$B$10*Inputs!$B$9,0)+IFERROR(INDEX(Inputs!$B$13:$B$15,MATCH(G320,Inputs!$A$13:$A$15,0)),0)+IFERROR(INDEX(Inputs!$B$18:$B$24,MATCH(H320,Inputs!$A$18:$A$24,0)),0))</f>
        <v>0.08075</v>
      </c>
      <c r="AY320" s="28" t="n">
        <f aca="false">IF(OR(N(AX320)&lt;=0,N(AW320)=0,N(AV320)=0),"",MIN(AV320,AW320/AX320))</f>
        <v>31.578947368421</v>
      </c>
      <c r="AZ320" s="29" t="n">
        <f aca="false">IF(OR(AY320="",N(O320)=0),"",AY320/O320-1)</f>
        <v>1.33918128654971</v>
      </c>
      <c r="BA320" s="29" t="n">
        <f aca="false">IF(OR(AZ320="",N(O320)=0),"",AZ320+AW320/O320)</f>
        <v>1.5280701754386</v>
      </c>
      <c r="BB320" s="32" t="n">
        <f aca="false">IF(OR(BA320="",N(AR320)=0),"",BA320-AR320)</f>
        <v>0</v>
      </c>
      <c r="BC320" s="35" t="n">
        <f aca="false">IF(OR(BA320="",N(U320)=0),"",BA320-U320)</f>
        <v>0.350877192982456</v>
      </c>
      <c r="BD320" s="37"/>
    </row>
    <row r="321" customFormat="false" ht="15" hidden="false" customHeight="false" outlineLevel="0" collapsed="false">
      <c r="A321" s="2" t="s">
        <v>556</v>
      </c>
      <c r="B321" s="2" t="n">
        <v>193</v>
      </c>
      <c r="C321" s="2" t="s">
        <v>718</v>
      </c>
      <c r="D321" s="2" t="s">
        <v>716</v>
      </c>
      <c r="E321" s="2" t="s">
        <v>717</v>
      </c>
      <c r="F321" s="27" t="n">
        <v>3700</v>
      </c>
      <c r="G321" s="2" t="s">
        <v>51</v>
      </c>
      <c r="H321" s="2" t="s">
        <v>58</v>
      </c>
      <c r="I321" s="2" t="s">
        <v>151</v>
      </c>
      <c r="J321" s="2" t="s">
        <v>145</v>
      </c>
      <c r="K321" s="2" t="n">
        <v>4</v>
      </c>
      <c r="L321" s="28" t="n">
        <v>50</v>
      </c>
      <c r="M321" s="29" t="n">
        <v>0.0581</v>
      </c>
      <c r="N321" s="28" t="n">
        <v>2.905</v>
      </c>
      <c r="O321" s="28" t="n">
        <v>13.72</v>
      </c>
      <c r="P321" s="2" t="s">
        <v>146</v>
      </c>
      <c r="Q321" s="29" t="n">
        <v>0.1</v>
      </c>
      <c r="R321" s="30" t="n">
        <v>0.095</v>
      </c>
      <c r="S321" s="31" t="n">
        <v>30.5789473684211</v>
      </c>
      <c r="T321" s="30" t="n">
        <v>1.22878625134264</v>
      </c>
      <c r="U321" s="30" t="n">
        <v>1.44052094522019</v>
      </c>
      <c r="V321" s="29" t="n">
        <v>0</v>
      </c>
      <c r="W321" s="29" t="n">
        <f aca="false">IF(N(Q321)=0,"",Q321+IF(I321="yes",Q321*Inputs!$B$10*Inputs!$B$9,0)+V321)</f>
        <v>0.095</v>
      </c>
      <c r="X321" s="28" t="n">
        <f aca="false">IF(OR(N(W321)&lt;=0,N(N321)=0,N(L321)=0),"",MIN(L321,N321/W321))</f>
        <v>30.5789473684211</v>
      </c>
      <c r="Y321" s="29" t="n">
        <f aca="false">IF(OR(X321="",N(O321)=0),"",X321/O321-1)</f>
        <v>1.22878625134264</v>
      </c>
      <c r="Z321" s="29" t="n">
        <f aca="false">IF(OR(Y321="",N(O321)=0),"",Y321+N321/O321)</f>
        <v>1.44052094522019</v>
      </c>
      <c r="AA321" s="32" t="n">
        <f aca="false">IF(OR(Z321="",N(U321)=0),"",Z321-U321)</f>
        <v>0</v>
      </c>
      <c r="AB321" s="29" t="n">
        <f aca="false">IF(N(Q321)=0,"",Q321+IF(I321="yes",Q321*Inputs!$B$10*Inputs!$B$9,0)+IFERROR(INDEX(Inputs!$B$13:$B$15,MATCH(G321,Inputs!$A$13:$A$15,0)),0)+IFERROR(INDEX(Inputs!$B$18:$B$24,MATCH(H321,Inputs!$A$18:$A$24,0)),0))</f>
        <v>0.095</v>
      </c>
      <c r="AC321" s="28" t="n">
        <f aca="false">IF(OR(N(AB321)&lt;=0,N(N321)=0,N(L321)=0),"",MIN(L321,N321/AB321))</f>
        <v>30.5789473684211</v>
      </c>
      <c r="AD321" s="29" t="n">
        <f aca="false">IF(OR(AC321="",N(O321)=0),"",AC321/O321-1)</f>
        <v>1.22878625134264</v>
      </c>
      <c r="AE321" s="29" t="n">
        <f aca="false">IF(OR(AD321="",N(O321)=0),"",AD321+N321/O321)</f>
        <v>1.44052094522019</v>
      </c>
      <c r="AF321" s="32" t="n">
        <f aca="false">IF(OR(AE321="",N(Z321)=0),"",AE321-Z321)</f>
        <v>0</v>
      </c>
      <c r="AG321" s="28" t="n">
        <f aca="false">IF(AND(N(M321)&gt;0,N(L321)&gt;0),M321*L321,N321)</f>
        <v>2.905</v>
      </c>
      <c r="AH321" s="28" t="n">
        <f aca="false">IF(OR(N(AB321)&lt;=0,N(AG321)=0,N(L321)=0),"",MIN(L321,AG321/AB321))</f>
        <v>30.5789473684211</v>
      </c>
      <c r="AI321" s="29" t="n">
        <f aca="false">IF(OR(AH321="",N(O321)=0),"",AH321/O321-1)</f>
        <v>1.22878625134264</v>
      </c>
      <c r="AJ321" s="29" t="n">
        <f aca="false">IF(OR(AI321="",N(O321)=0),"",AI321+AG321/O321)</f>
        <v>1.44052094522019</v>
      </c>
      <c r="AK321" s="32" t="n">
        <f aca="false">IF(OR(AJ321="",N(AE321)=0),"",AJ321-AE321)</f>
        <v>0</v>
      </c>
      <c r="AL321" s="33" t="n">
        <f aca="false">IF(N(F321)=0,"",INDEX(Inputs!$B$28:$B$32,IFERROR(MATCH(F321,Inputs!$A$28:$A$32,1),0)+1))</f>
        <v>0.085</v>
      </c>
      <c r="AM321" s="34"/>
      <c r="AN321" s="33" t="n">
        <f aca="false">IF(N(AM321)&gt;0,AM321,AL321)</f>
        <v>0.085</v>
      </c>
      <c r="AO321" s="29" t="n">
        <f aca="false">IF(N(AN321)=0,"",AN321+IF(I321="yes",AN321*Inputs!$B$10*Inputs!$B$9,0)+IFERROR(INDEX(Inputs!$B$13:$B$15,MATCH(G321,Inputs!$A$13:$A$15,0)),0)+IFERROR(INDEX(Inputs!$B$18:$B$24,MATCH(H321,Inputs!$A$18:$A$24,0)),0))</f>
        <v>0.08075</v>
      </c>
      <c r="AP321" s="28" t="n">
        <f aca="false">IF(OR(N(AO321)&lt;=0,N(AG321)=0,N(L321)=0),"",MIN(L321,AG321/AO321))</f>
        <v>35.9752321981424</v>
      </c>
      <c r="AQ321" s="29" t="n">
        <f aca="false">IF(OR(AP321="",N(O321)=0),"",AP321/O321-1)</f>
        <v>1.62210147216781</v>
      </c>
      <c r="AR321" s="29" t="n">
        <f aca="false">IF(OR(AQ321="",N(O321)=0),"",AQ321+AG321/O321)</f>
        <v>1.83383616604537</v>
      </c>
      <c r="AS321" s="32" t="n">
        <f aca="false">IF(OR(AR321="",N(AJ321)=0),"",AR321-AJ321)</f>
        <v>0.393315220825172</v>
      </c>
      <c r="AT321" s="28" t="n">
        <v>50</v>
      </c>
      <c r="AU321" s="28" t="n">
        <v>2.91</v>
      </c>
      <c r="AV321" s="28" t="n">
        <f aca="false">IF(N(AT321)&gt;0,AT321,L321)</f>
        <v>50</v>
      </c>
      <c r="AW321" s="28" t="n">
        <f aca="false">IF(AND(N(M321)&gt;0,N(AV321)&gt;0),M321*AV321,IF(N(AU321)&gt;0,AU321,N321))</f>
        <v>2.905</v>
      </c>
      <c r="AX321" s="29" t="n">
        <f aca="false">IF(N(AN321)=0,"",AN321+IF(I321="yes",AN321*Inputs!$B$10*Inputs!$B$9,0)+IFERROR(INDEX(Inputs!$B$13:$B$15,MATCH(G321,Inputs!$A$13:$A$15,0)),0)+IFERROR(INDEX(Inputs!$B$18:$B$24,MATCH(H321,Inputs!$A$18:$A$24,0)),0))</f>
        <v>0.08075</v>
      </c>
      <c r="AY321" s="28" t="n">
        <f aca="false">IF(OR(N(AX321)&lt;=0,N(AW321)=0,N(AV321)=0),"",MIN(AV321,AW321/AX321))</f>
        <v>35.9752321981424</v>
      </c>
      <c r="AZ321" s="29" t="n">
        <f aca="false">IF(OR(AY321="",N(O321)=0),"",AY321/O321-1)</f>
        <v>1.62210147216781</v>
      </c>
      <c r="BA321" s="29" t="n">
        <f aca="false">IF(OR(AZ321="",N(O321)=0),"",AZ321+AW321/O321)</f>
        <v>1.83383616604537</v>
      </c>
      <c r="BB321" s="32" t="n">
        <f aca="false">IF(OR(BA321="",N(AR321)=0),"",BA321-AR321)</f>
        <v>0</v>
      </c>
      <c r="BC321" s="35" t="n">
        <f aca="false">IF(OR(BA321="",N(U321)=0),"",BA321-U321)</f>
        <v>0.393315220825172</v>
      </c>
      <c r="BD321" s="37"/>
    </row>
    <row r="322" customFormat="false" ht="15" hidden="false" customHeight="false" outlineLevel="0" collapsed="false">
      <c r="A322" s="2" t="s">
        <v>556</v>
      </c>
      <c r="B322" s="2" t="n">
        <v>194</v>
      </c>
      <c r="C322" s="2" t="s">
        <v>719</v>
      </c>
      <c r="D322" s="2" t="s">
        <v>716</v>
      </c>
      <c r="E322" s="2" t="s">
        <v>717</v>
      </c>
      <c r="F322" s="27" t="n">
        <v>3700</v>
      </c>
      <c r="G322" s="2" t="s">
        <v>51</v>
      </c>
      <c r="H322" s="2" t="s">
        <v>58</v>
      </c>
      <c r="I322" s="2" t="s">
        <v>151</v>
      </c>
      <c r="J322" s="2" t="s">
        <v>145</v>
      </c>
      <c r="K322" s="2" t="n">
        <v>4</v>
      </c>
      <c r="L322" s="28" t="n">
        <v>50</v>
      </c>
      <c r="M322" s="29" t="n">
        <v>0.0115264</v>
      </c>
      <c r="N322" s="28" t="n">
        <v>0.57632</v>
      </c>
      <c r="O322" s="28" t="n">
        <v>12.306</v>
      </c>
      <c r="P322" s="2" t="s">
        <v>146</v>
      </c>
      <c r="Q322" s="29" t="n">
        <v>0.1</v>
      </c>
      <c r="R322" s="30" t="n">
        <v>0.095</v>
      </c>
      <c r="S322" s="31" t="n">
        <v>6.06652631578947</v>
      </c>
      <c r="T322" s="30" t="n">
        <v>-0.507026953048149</v>
      </c>
      <c r="U322" s="30" t="n">
        <v>-0.460194513587724</v>
      </c>
      <c r="V322" s="29" t="n">
        <v>0</v>
      </c>
      <c r="W322" s="29" t="n">
        <f aca="false">IF(N(Q322)=0,"",Q322+IF(I322="yes",Q322*Inputs!$B$10*Inputs!$B$9,0)+V322)</f>
        <v>0.095</v>
      </c>
      <c r="X322" s="28" t="n">
        <f aca="false">IF(OR(N(W322)&lt;=0,N(N322)=0,N(L322)=0),"",MIN(L322,N322/W322))</f>
        <v>6.06652631578947</v>
      </c>
      <c r="Y322" s="29" t="n">
        <f aca="false">IF(OR(X322="",N(O322)=0),"",X322/O322-1)</f>
        <v>-0.507026953048149</v>
      </c>
      <c r="Z322" s="29" t="n">
        <f aca="false">IF(OR(Y322="",N(O322)=0),"",Y322+N322/O322)</f>
        <v>-0.460194513587723</v>
      </c>
      <c r="AA322" s="32" t="n">
        <f aca="false">IF(OR(Z322="",N(U322)=0),"",Z322-U322)</f>
        <v>0</v>
      </c>
      <c r="AB322" s="29" t="n">
        <f aca="false">IF(N(Q322)=0,"",Q322+IF(I322="yes",Q322*Inputs!$B$10*Inputs!$B$9,0)+IFERROR(INDEX(Inputs!$B$13:$B$15,MATCH(G322,Inputs!$A$13:$A$15,0)),0)+IFERROR(INDEX(Inputs!$B$18:$B$24,MATCH(H322,Inputs!$A$18:$A$24,0)),0))</f>
        <v>0.095</v>
      </c>
      <c r="AC322" s="28" t="n">
        <f aca="false">IF(OR(N(AB322)&lt;=0,N(N322)=0,N(L322)=0),"",MIN(L322,N322/AB322))</f>
        <v>6.06652631578947</v>
      </c>
      <c r="AD322" s="29" t="n">
        <f aca="false">IF(OR(AC322="",N(O322)=0),"",AC322/O322-1)</f>
        <v>-0.507026953048149</v>
      </c>
      <c r="AE322" s="29" t="n">
        <f aca="false">IF(OR(AD322="",N(O322)=0),"",AD322+N322/O322)</f>
        <v>-0.460194513587723</v>
      </c>
      <c r="AF322" s="32" t="n">
        <f aca="false">IF(OR(AE322="",N(Z322)=0),"",AE322-Z322)</f>
        <v>0</v>
      </c>
      <c r="AG322" s="28" t="n">
        <f aca="false">IF(AND(N(M322)&gt;0,N(L322)&gt;0),M322*L322,N322)</f>
        <v>0.57632</v>
      </c>
      <c r="AH322" s="28" t="n">
        <f aca="false">IF(OR(N(AB322)&lt;=0,N(AG322)=0,N(L322)=0),"",MIN(L322,AG322/AB322))</f>
        <v>6.06652631578947</v>
      </c>
      <c r="AI322" s="29" t="n">
        <f aca="false">IF(OR(AH322="",N(O322)=0),"",AH322/O322-1)</f>
        <v>-0.507026953048149</v>
      </c>
      <c r="AJ322" s="29" t="n">
        <f aca="false">IF(OR(AI322="",N(O322)=0),"",AI322+AG322/O322)</f>
        <v>-0.460194513587724</v>
      </c>
      <c r="AK322" s="32" t="n">
        <f aca="false">IF(OR(AJ322="",N(AE322)=0),"",AJ322-AE322)</f>
        <v>0</v>
      </c>
      <c r="AL322" s="33" t="n">
        <f aca="false">IF(N(F322)=0,"",INDEX(Inputs!$B$28:$B$32,IFERROR(MATCH(F322,Inputs!$A$28:$A$32,1),0)+1))</f>
        <v>0.085</v>
      </c>
      <c r="AM322" s="34"/>
      <c r="AN322" s="33" t="n">
        <f aca="false">IF(N(AM322)&gt;0,AM322,AL322)</f>
        <v>0.085</v>
      </c>
      <c r="AO322" s="29" t="n">
        <f aca="false">IF(N(AN322)=0,"",AN322+IF(I322="yes",AN322*Inputs!$B$10*Inputs!$B$9,0)+IFERROR(INDEX(Inputs!$B$13:$B$15,MATCH(G322,Inputs!$A$13:$A$15,0)),0)+IFERROR(INDEX(Inputs!$B$18:$B$24,MATCH(H322,Inputs!$A$18:$A$24,0)),0))</f>
        <v>0.08075</v>
      </c>
      <c r="AP322" s="28" t="n">
        <f aca="false">IF(OR(N(AO322)&lt;=0,N(AG322)=0,N(L322)=0),"",MIN(L322,AG322/AO322))</f>
        <v>7.13708978328173</v>
      </c>
      <c r="AQ322" s="29" t="n">
        <f aca="false">IF(OR(AP322="",N(O322)=0),"",AP322/O322-1)</f>
        <v>-0.420031709468411</v>
      </c>
      <c r="AR322" s="29" t="n">
        <f aca="false">IF(OR(AQ322="",N(O322)=0),"",AQ322+AG322/O322)</f>
        <v>-0.373199270007985</v>
      </c>
      <c r="AS322" s="32" t="n">
        <f aca="false">IF(OR(AR322="",N(AJ322)=0),"",AR322-AJ322)</f>
        <v>0.0869952435797383</v>
      </c>
      <c r="AT322" s="28" t="n">
        <v>50</v>
      </c>
      <c r="AU322" s="28" t="n">
        <v>0.58</v>
      </c>
      <c r="AV322" s="28" t="n">
        <f aca="false">IF(N(AT322)&gt;0,AT322,L322)</f>
        <v>50</v>
      </c>
      <c r="AW322" s="28" t="n">
        <f aca="false">IF(AND(N(M322)&gt;0,N(AV322)&gt;0),M322*AV322,IF(N(AU322)&gt;0,AU322,N322))</f>
        <v>0.57632</v>
      </c>
      <c r="AX322" s="29" t="n">
        <f aca="false">IF(N(AN322)=0,"",AN322+IF(I322="yes",AN322*Inputs!$B$10*Inputs!$B$9,0)+IFERROR(INDEX(Inputs!$B$13:$B$15,MATCH(G322,Inputs!$A$13:$A$15,0)),0)+IFERROR(INDEX(Inputs!$B$18:$B$24,MATCH(H322,Inputs!$A$18:$A$24,0)),0))</f>
        <v>0.08075</v>
      </c>
      <c r="AY322" s="28" t="n">
        <f aca="false">IF(OR(N(AX322)&lt;=0,N(AW322)=0,N(AV322)=0),"",MIN(AV322,AW322/AX322))</f>
        <v>7.13708978328173</v>
      </c>
      <c r="AZ322" s="29" t="n">
        <f aca="false">IF(OR(AY322="",N(O322)=0),"",AY322/O322-1)</f>
        <v>-0.420031709468411</v>
      </c>
      <c r="BA322" s="29" t="n">
        <f aca="false">IF(OR(AZ322="",N(O322)=0),"",AZ322+AW322/O322)</f>
        <v>-0.373199270007985</v>
      </c>
      <c r="BB322" s="32" t="n">
        <f aca="false">IF(OR(BA322="",N(AR322)=0),"",BA322-AR322)</f>
        <v>0</v>
      </c>
      <c r="BC322" s="35" t="n">
        <f aca="false">IF(OR(BA322="",N(U322)=0),"",BA322-U322)</f>
        <v>0.0869952435797384</v>
      </c>
      <c r="BD322" s="37"/>
    </row>
    <row r="323" customFormat="false" ht="15" hidden="false" customHeight="false" outlineLevel="0" collapsed="false">
      <c r="A323" s="2" t="s">
        <v>556</v>
      </c>
      <c r="B323" s="2" t="n">
        <v>195</v>
      </c>
      <c r="C323" s="2" t="s">
        <v>720</v>
      </c>
      <c r="D323" s="2" t="s">
        <v>716</v>
      </c>
      <c r="E323" s="2" t="s">
        <v>717</v>
      </c>
      <c r="F323" s="27" t="n">
        <v>3700</v>
      </c>
      <c r="G323" s="2" t="s">
        <v>51</v>
      </c>
      <c r="H323" s="2" t="s">
        <v>58</v>
      </c>
      <c r="I323" s="2" t="s">
        <v>151</v>
      </c>
      <c r="J323" s="2" t="s">
        <v>145</v>
      </c>
      <c r="K323" s="2" t="n">
        <v>4</v>
      </c>
      <c r="L323" s="28" t="n">
        <v>50</v>
      </c>
      <c r="M323" s="29" t="n">
        <v>0.0579</v>
      </c>
      <c r="N323" s="28" t="n">
        <v>2.895</v>
      </c>
      <c r="O323" s="28" t="n">
        <v>13.27</v>
      </c>
      <c r="P323" s="2" t="s">
        <v>146</v>
      </c>
      <c r="Q323" s="29" t="n">
        <v>0.1</v>
      </c>
      <c r="R323" s="30" t="n">
        <v>0.095</v>
      </c>
      <c r="S323" s="31" t="n">
        <v>30.4736842105263</v>
      </c>
      <c r="T323" s="30" t="n">
        <v>1.29643437909015</v>
      </c>
      <c r="U323" s="30" t="n">
        <v>1.51459564510372</v>
      </c>
      <c r="V323" s="29" t="n">
        <v>0</v>
      </c>
      <c r="W323" s="29" t="n">
        <f aca="false">IF(N(Q323)=0,"",Q323+IF(I323="yes",Q323*Inputs!$B$10*Inputs!$B$9,0)+V323)</f>
        <v>0.095</v>
      </c>
      <c r="X323" s="28" t="n">
        <f aca="false">IF(OR(N(W323)&lt;=0,N(N323)=0,N(L323)=0),"",MIN(L323,N323/W323))</f>
        <v>30.4736842105263</v>
      </c>
      <c r="Y323" s="29" t="n">
        <f aca="false">IF(OR(X323="",N(O323)=0),"",X323/O323-1)</f>
        <v>1.29643437909015</v>
      </c>
      <c r="Z323" s="29" t="n">
        <f aca="false">IF(OR(Y323="",N(O323)=0),"",Y323+N323/O323)</f>
        <v>1.51459564510372</v>
      </c>
      <c r="AA323" s="32" t="n">
        <f aca="false">IF(OR(Z323="",N(U323)=0),"",Z323-U323)</f>
        <v>0</v>
      </c>
      <c r="AB323" s="29" t="n">
        <f aca="false">IF(N(Q323)=0,"",Q323+IF(I323="yes",Q323*Inputs!$B$10*Inputs!$B$9,0)+IFERROR(INDEX(Inputs!$B$13:$B$15,MATCH(G323,Inputs!$A$13:$A$15,0)),0)+IFERROR(INDEX(Inputs!$B$18:$B$24,MATCH(H323,Inputs!$A$18:$A$24,0)),0))</f>
        <v>0.095</v>
      </c>
      <c r="AC323" s="28" t="n">
        <f aca="false">IF(OR(N(AB323)&lt;=0,N(N323)=0,N(L323)=0),"",MIN(L323,N323/AB323))</f>
        <v>30.4736842105263</v>
      </c>
      <c r="AD323" s="29" t="n">
        <f aca="false">IF(OR(AC323="",N(O323)=0),"",AC323/O323-1)</f>
        <v>1.29643437909015</v>
      </c>
      <c r="AE323" s="29" t="n">
        <f aca="false">IF(OR(AD323="",N(O323)=0),"",AD323+N323/O323)</f>
        <v>1.51459564510372</v>
      </c>
      <c r="AF323" s="32" t="n">
        <f aca="false">IF(OR(AE323="",N(Z323)=0),"",AE323-Z323)</f>
        <v>0</v>
      </c>
      <c r="AG323" s="28" t="n">
        <f aca="false">IF(AND(N(M323)&gt;0,N(L323)&gt;0),M323*L323,N323)</f>
        <v>2.895</v>
      </c>
      <c r="AH323" s="28" t="n">
        <f aca="false">IF(OR(N(AB323)&lt;=0,N(AG323)=0,N(L323)=0),"",MIN(L323,AG323/AB323))</f>
        <v>30.4736842105263</v>
      </c>
      <c r="AI323" s="29" t="n">
        <f aca="false">IF(OR(AH323="",N(O323)=0),"",AH323/O323-1)</f>
        <v>1.29643437909015</v>
      </c>
      <c r="AJ323" s="29" t="n">
        <f aca="false">IF(OR(AI323="",N(O323)=0),"",AI323+AG323/O323)</f>
        <v>1.51459564510372</v>
      </c>
      <c r="AK323" s="32" t="n">
        <f aca="false">IF(OR(AJ323="",N(AE323)=0),"",AJ323-AE323)</f>
        <v>0</v>
      </c>
      <c r="AL323" s="33" t="n">
        <f aca="false">IF(N(F323)=0,"",INDEX(Inputs!$B$28:$B$32,IFERROR(MATCH(F323,Inputs!$A$28:$A$32,1),0)+1))</f>
        <v>0.085</v>
      </c>
      <c r="AM323" s="34"/>
      <c r="AN323" s="33" t="n">
        <f aca="false">IF(N(AM323)&gt;0,AM323,AL323)</f>
        <v>0.085</v>
      </c>
      <c r="AO323" s="29" t="n">
        <f aca="false">IF(N(AN323)=0,"",AN323+IF(I323="yes",AN323*Inputs!$B$10*Inputs!$B$9,0)+IFERROR(INDEX(Inputs!$B$13:$B$15,MATCH(G323,Inputs!$A$13:$A$15,0)),0)+IFERROR(INDEX(Inputs!$B$18:$B$24,MATCH(H323,Inputs!$A$18:$A$24,0)),0))</f>
        <v>0.08075</v>
      </c>
      <c r="AP323" s="28" t="n">
        <f aca="false">IF(OR(N(AO323)&lt;=0,N(AG323)=0,N(L323)=0),"",MIN(L323,AG323/AO323))</f>
        <v>35.8513931888545</v>
      </c>
      <c r="AQ323" s="29" t="n">
        <f aca="false">IF(OR(AP323="",N(O323)=0),"",AP323/O323-1)</f>
        <v>1.70168750481194</v>
      </c>
      <c r="AR323" s="29" t="n">
        <f aca="false">IF(OR(AQ323="",N(O323)=0),"",AQ323+AG323/O323)</f>
        <v>1.91984877082551</v>
      </c>
      <c r="AS323" s="32" t="n">
        <f aca="false">IF(OR(AR323="",N(AJ323)=0),"",AR323-AJ323)</f>
        <v>0.405253125721792</v>
      </c>
      <c r="AT323" s="28" t="n">
        <v>50</v>
      </c>
      <c r="AU323" s="28" t="n">
        <v>2.9</v>
      </c>
      <c r="AV323" s="28" t="n">
        <f aca="false">IF(N(AT323)&gt;0,AT323,L323)</f>
        <v>50</v>
      </c>
      <c r="AW323" s="28" t="n">
        <f aca="false">IF(AND(N(M323)&gt;0,N(AV323)&gt;0),M323*AV323,IF(N(AU323)&gt;0,AU323,N323))</f>
        <v>2.895</v>
      </c>
      <c r="AX323" s="29" t="n">
        <f aca="false">IF(N(AN323)=0,"",AN323+IF(I323="yes",AN323*Inputs!$B$10*Inputs!$B$9,0)+IFERROR(INDEX(Inputs!$B$13:$B$15,MATCH(G323,Inputs!$A$13:$A$15,0)),0)+IFERROR(INDEX(Inputs!$B$18:$B$24,MATCH(H323,Inputs!$A$18:$A$24,0)),0))</f>
        <v>0.08075</v>
      </c>
      <c r="AY323" s="28" t="n">
        <f aca="false">IF(OR(N(AX323)&lt;=0,N(AW323)=0,N(AV323)=0),"",MIN(AV323,AW323/AX323))</f>
        <v>35.8513931888545</v>
      </c>
      <c r="AZ323" s="29" t="n">
        <f aca="false">IF(OR(AY323="",N(O323)=0),"",AY323/O323-1)</f>
        <v>1.70168750481194</v>
      </c>
      <c r="BA323" s="29" t="n">
        <f aca="false">IF(OR(AZ323="",N(O323)=0),"",AZ323+AW323/O323)</f>
        <v>1.91984877082551</v>
      </c>
      <c r="BB323" s="32" t="n">
        <f aca="false">IF(OR(BA323="",N(AR323)=0),"",BA323-AR323)</f>
        <v>0</v>
      </c>
      <c r="BC323" s="35" t="n">
        <f aca="false">IF(OR(BA323="",N(U323)=0),"",BA323-U323)</f>
        <v>0.405253125721792</v>
      </c>
      <c r="BD323" s="37"/>
    </row>
    <row r="324" customFormat="false" ht="15" hidden="false" customHeight="false" outlineLevel="0" collapsed="false">
      <c r="A324" s="2" t="s">
        <v>556</v>
      </c>
      <c r="B324" s="2" t="n">
        <v>196</v>
      </c>
      <c r="C324" s="2" t="s">
        <v>721</v>
      </c>
      <c r="D324" s="2" t="s">
        <v>716</v>
      </c>
      <c r="E324" s="2" t="s">
        <v>717</v>
      </c>
      <c r="F324" s="27" t="n">
        <v>3700</v>
      </c>
      <c r="G324" s="2" t="s">
        <v>51</v>
      </c>
      <c r="H324" s="2" t="s">
        <v>58</v>
      </c>
      <c r="I324" s="2" t="s">
        <v>144</v>
      </c>
      <c r="J324" s="2" t="s">
        <v>145</v>
      </c>
      <c r="K324" s="2" t="n">
        <v>4</v>
      </c>
      <c r="L324" s="28" t="n">
        <v>50</v>
      </c>
      <c r="M324" s="29" t="n">
        <v>0.0581</v>
      </c>
      <c r="N324" s="28" t="n">
        <v>2.905</v>
      </c>
      <c r="O324" s="28" t="n">
        <v>13.7</v>
      </c>
      <c r="P324" s="2" t="s">
        <v>223</v>
      </c>
      <c r="Q324" s="29" t="n">
        <v>0.1</v>
      </c>
      <c r="R324" s="30" t="n">
        <v>0.1</v>
      </c>
      <c r="S324" s="31" t="n">
        <v>29.05</v>
      </c>
      <c r="T324" s="30" t="n">
        <v>1.12043795620438</v>
      </c>
      <c r="U324" s="30" t="n">
        <v>1.33248175182482</v>
      </c>
      <c r="V324" s="29" t="n">
        <v>0</v>
      </c>
      <c r="W324" s="29" t="n">
        <f aca="false">IF(N(Q324)=0,"",Q324+IF(I324="yes",Q324*Inputs!$B$10*Inputs!$B$9,0)+V324)</f>
        <v>0.1</v>
      </c>
      <c r="X324" s="28" t="n">
        <f aca="false">IF(OR(N(W324)&lt;=0,N(N324)=0,N(L324)=0),"",MIN(L324,N324/W324))</f>
        <v>29.05</v>
      </c>
      <c r="Y324" s="29" t="n">
        <f aca="false">IF(OR(X324="",N(O324)=0),"",X324/O324-1)</f>
        <v>1.12043795620438</v>
      </c>
      <c r="Z324" s="29" t="n">
        <f aca="false">IF(OR(Y324="",N(O324)=0),"",Y324+N324/O324)</f>
        <v>1.33248175182482</v>
      </c>
      <c r="AA324" s="32" t="n">
        <f aca="false">IF(OR(Z324="",N(U324)=0),"",Z324-U324)</f>
        <v>0</v>
      </c>
      <c r="AB324" s="29" t="n">
        <f aca="false">IF(N(Q324)=0,"",Q324+IF(I324="yes",Q324*Inputs!$B$10*Inputs!$B$9,0)+IFERROR(INDEX(Inputs!$B$13:$B$15,MATCH(G324,Inputs!$A$13:$A$15,0)),0)+IFERROR(INDEX(Inputs!$B$18:$B$24,MATCH(H324,Inputs!$A$18:$A$24,0)),0))</f>
        <v>0.1</v>
      </c>
      <c r="AC324" s="28" t="n">
        <f aca="false">IF(OR(N(AB324)&lt;=0,N(N324)=0,N(L324)=0),"",MIN(L324,N324/AB324))</f>
        <v>29.05</v>
      </c>
      <c r="AD324" s="29" t="n">
        <f aca="false">IF(OR(AC324="",N(O324)=0),"",AC324/O324-1)</f>
        <v>1.12043795620438</v>
      </c>
      <c r="AE324" s="29" t="n">
        <f aca="false">IF(OR(AD324="",N(O324)=0),"",AD324+N324/O324)</f>
        <v>1.33248175182482</v>
      </c>
      <c r="AF324" s="32" t="n">
        <f aca="false">IF(OR(AE324="",N(Z324)=0),"",AE324-Z324)</f>
        <v>0</v>
      </c>
      <c r="AG324" s="28" t="n">
        <f aca="false">IF(AND(N(M324)&gt;0,N(L324)&gt;0),M324*L324,N324)</f>
        <v>2.905</v>
      </c>
      <c r="AH324" s="28" t="n">
        <f aca="false">IF(OR(N(AB324)&lt;=0,N(AG324)=0,N(L324)=0),"",MIN(L324,AG324/AB324))</f>
        <v>29.05</v>
      </c>
      <c r="AI324" s="29" t="n">
        <f aca="false">IF(OR(AH324="",N(O324)=0),"",AH324/O324-1)</f>
        <v>1.12043795620438</v>
      </c>
      <c r="AJ324" s="29" t="n">
        <f aca="false">IF(OR(AI324="",N(O324)=0),"",AI324+AG324/O324)</f>
        <v>1.33248175182482</v>
      </c>
      <c r="AK324" s="32" t="n">
        <f aca="false">IF(OR(AJ324="",N(AE324)=0),"",AJ324-AE324)</f>
        <v>0</v>
      </c>
      <c r="AL324" s="33" t="n">
        <f aca="false">IF(N(F324)=0,"",INDEX(Inputs!$B$28:$B$32,IFERROR(MATCH(F324,Inputs!$A$28:$A$32,1),0)+1))</f>
        <v>0.085</v>
      </c>
      <c r="AM324" s="34"/>
      <c r="AN324" s="33" t="n">
        <f aca="false">IF(N(AM324)&gt;0,AM324,AL324)</f>
        <v>0.085</v>
      </c>
      <c r="AO324" s="29" t="n">
        <f aca="false">IF(N(AN324)=0,"",AN324+IF(I324="yes",AN324*Inputs!$B$10*Inputs!$B$9,0)+IFERROR(INDEX(Inputs!$B$13:$B$15,MATCH(G324,Inputs!$A$13:$A$15,0)),0)+IFERROR(INDEX(Inputs!$B$18:$B$24,MATCH(H324,Inputs!$A$18:$A$24,0)),0))</f>
        <v>0.085</v>
      </c>
      <c r="AP324" s="28" t="n">
        <f aca="false">IF(OR(N(AO324)&lt;=0,N(AG324)=0,N(L324)=0),"",MIN(L324,AG324/AO324))</f>
        <v>34.1764705882353</v>
      </c>
      <c r="AQ324" s="29" t="n">
        <f aca="false">IF(OR(AP324="",N(O324)=0),"",AP324/O324-1)</f>
        <v>1.49463288965221</v>
      </c>
      <c r="AR324" s="29" t="n">
        <f aca="false">IF(OR(AQ324="",N(O324)=0),"",AQ324+AG324/O324)</f>
        <v>1.70667668527265</v>
      </c>
      <c r="AS324" s="32" t="n">
        <f aca="false">IF(OR(AR324="",N(AJ324)=0),"",AR324-AJ324)</f>
        <v>0.374194933447832</v>
      </c>
      <c r="AT324" s="28" t="n">
        <v>50</v>
      </c>
      <c r="AU324" s="28" t="n">
        <v>2.905</v>
      </c>
      <c r="AV324" s="28" t="n">
        <f aca="false">IF(N(AT324)&gt;0,AT324,L324)</f>
        <v>50</v>
      </c>
      <c r="AW324" s="28" t="n">
        <f aca="false">IF(AND(N(M324)&gt;0,N(AV324)&gt;0),M324*AV324,IF(N(AU324)&gt;0,AU324,N324))</f>
        <v>2.905</v>
      </c>
      <c r="AX324" s="29" t="n">
        <f aca="false">IF(N(AN324)=0,"",AN324+IF(I324="yes",AN324*Inputs!$B$10*Inputs!$B$9,0)+IFERROR(INDEX(Inputs!$B$13:$B$15,MATCH(G324,Inputs!$A$13:$A$15,0)),0)+IFERROR(INDEX(Inputs!$B$18:$B$24,MATCH(H324,Inputs!$A$18:$A$24,0)),0))</f>
        <v>0.085</v>
      </c>
      <c r="AY324" s="28" t="n">
        <f aca="false">IF(OR(N(AX324)&lt;=0,N(AW324)=0,N(AV324)=0),"",MIN(AV324,AW324/AX324))</f>
        <v>34.1764705882353</v>
      </c>
      <c r="AZ324" s="29" t="n">
        <f aca="false">IF(OR(AY324="",N(O324)=0),"",AY324/O324-1)</f>
        <v>1.49463288965221</v>
      </c>
      <c r="BA324" s="29" t="n">
        <f aca="false">IF(OR(AZ324="",N(O324)=0),"",AZ324+AW324/O324)</f>
        <v>1.70667668527265</v>
      </c>
      <c r="BB324" s="32" t="n">
        <f aca="false">IF(OR(BA324="",N(AR324)=0),"",BA324-AR324)</f>
        <v>0</v>
      </c>
      <c r="BC324" s="35" t="n">
        <f aca="false">IF(OR(BA324="",N(U324)=0),"",BA324-U324)</f>
        <v>0.374194933447832</v>
      </c>
      <c r="BD324" s="36" t="s">
        <v>224</v>
      </c>
    </row>
    <row r="325" customFormat="false" ht="15" hidden="false" customHeight="false" outlineLevel="0" collapsed="false">
      <c r="A325" s="2" t="s">
        <v>556</v>
      </c>
      <c r="B325" s="2" t="n">
        <v>197</v>
      </c>
      <c r="C325" s="2" t="s">
        <v>722</v>
      </c>
      <c r="D325" s="2" t="s">
        <v>716</v>
      </c>
      <c r="E325" s="2" t="s">
        <v>717</v>
      </c>
      <c r="F325" s="27" t="n">
        <v>3700</v>
      </c>
      <c r="G325" s="2" t="s">
        <v>51</v>
      </c>
      <c r="H325" s="2" t="s">
        <v>58</v>
      </c>
      <c r="I325" s="2" t="s">
        <v>151</v>
      </c>
      <c r="J325" s="2" t="s">
        <v>145</v>
      </c>
      <c r="K325" s="2" t="n">
        <v>4</v>
      </c>
      <c r="L325" s="28" t="n">
        <v>50</v>
      </c>
      <c r="M325" s="29" t="n">
        <v>0.053</v>
      </c>
      <c r="N325" s="28" t="n">
        <v>2.65</v>
      </c>
      <c r="O325" s="28" t="n">
        <v>12.93</v>
      </c>
      <c r="P325" s="2" t="s">
        <v>146</v>
      </c>
      <c r="Q325" s="29" t="n">
        <v>0.1</v>
      </c>
      <c r="R325" s="30" t="n">
        <v>0.095</v>
      </c>
      <c r="S325" s="31" t="n">
        <v>27.8947368421053</v>
      </c>
      <c r="T325" s="30" t="n">
        <v>1.15736557170188</v>
      </c>
      <c r="U325" s="30" t="n">
        <v>1.36231530101355</v>
      </c>
      <c r="V325" s="29" t="n">
        <v>0</v>
      </c>
      <c r="W325" s="29" t="n">
        <f aca="false">IF(N(Q325)=0,"",Q325+IF(I325="yes",Q325*Inputs!$B$10*Inputs!$B$9,0)+V325)</f>
        <v>0.095</v>
      </c>
      <c r="X325" s="28" t="n">
        <f aca="false">IF(OR(N(W325)&lt;=0,N(N325)=0,N(L325)=0),"",MIN(L325,N325/W325))</f>
        <v>27.8947368421053</v>
      </c>
      <c r="Y325" s="29" t="n">
        <f aca="false">IF(OR(X325="",N(O325)=0),"",X325/O325-1)</f>
        <v>1.15736557170188</v>
      </c>
      <c r="Z325" s="29" t="n">
        <f aca="false">IF(OR(Y325="",N(O325)=0),"",Y325+N325/O325)</f>
        <v>1.36231530101355</v>
      </c>
      <c r="AA325" s="32" t="n">
        <f aca="false">IF(OR(Z325="",N(U325)=0),"",Z325-U325)</f>
        <v>0</v>
      </c>
      <c r="AB325" s="29" t="n">
        <f aca="false">IF(N(Q325)=0,"",Q325+IF(I325="yes",Q325*Inputs!$B$10*Inputs!$B$9,0)+IFERROR(INDEX(Inputs!$B$13:$B$15,MATCH(G325,Inputs!$A$13:$A$15,0)),0)+IFERROR(INDEX(Inputs!$B$18:$B$24,MATCH(H325,Inputs!$A$18:$A$24,0)),0))</f>
        <v>0.095</v>
      </c>
      <c r="AC325" s="28" t="n">
        <f aca="false">IF(OR(N(AB325)&lt;=0,N(N325)=0,N(L325)=0),"",MIN(L325,N325/AB325))</f>
        <v>27.8947368421053</v>
      </c>
      <c r="AD325" s="29" t="n">
        <f aca="false">IF(OR(AC325="",N(O325)=0),"",AC325/O325-1)</f>
        <v>1.15736557170188</v>
      </c>
      <c r="AE325" s="29" t="n">
        <f aca="false">IF(OR(AD325="",N(O325)=0),"",AD325+N325/O325)</f>
        <v>1.36231530101355</v>
      </c>
      <c r="AF325" s="32" t="n">
        <f aca="false">IF(OR(AE325="",N(Z325)=0),"",AE325-Z325)</f>
        <v>0</v>
      </c>
      <c r="AG325" s="28" t="n">
        <f aca="false">IF(AND(N(M325)&gt;0,N(L325)&gt;0),M325*L325,N325)</f>
        <v>2.65</v>
      </c>
      <c r="AH325" s="28" t="n">
        <f aca="false">IF(OR(N(AB325)&lt;=0,N(AG325)=0,N(L325)=0),"",MIN(L325,AG325/AB325))</f>
        <v>27.8947368421053</v>
      </c>
      <c r="AI325" s="29" t="n">
        <f aca="false">IF(OR(AH325="",N(O325)=0),"",AH325/O325-1)</f>
        <v>1.15736557170188</v>
      </c>
      <c r="AJ325" s="29" t="n">
        <f aca="false">IF(OR(AI325="",N(O325)=0),"",AI325+AG325/O325)</f>
        <v>1.36231530101355</v>
      </c>
      <c r="AK325" s="32" t="n">
        <f aca="false">IF(OR(AJ325="",N(AE325)=0),"",AJ325-AE325)</f>
        <v>0</v>
      </c>
      <c r="AL325" s="33" t="n">
        <f aca="false">IF(N(F325)=0,"",INDEX(Inputs!$B$28:$B$32,IFERROR(MATCH(F325,Inputs!$A$28:$A$32,1),0)+1))</f>
        <v>0.085</v>
      </c>
      <c r="AM325" s="34"/>
      <c r="AN325" s="33" t="n">
        <f aca="false">IF(N(AM325)&gt;0,AM325,AL325)</f>
        <v>0.085</v>
      </c>
      <c r="AO325" s="29" t="n">
        <f aca="false">IF(N(AN325)=0,"",AN325+IF(I325="yes",AN325*Inputs!$B$10*Inputs!$B$9,0)+IFERROR(INDEX(Inputs!$B$13:$B$15,MATCH(G325,Inputs!$A$13:$A$15,0)),0)+IFERROR(INDEX(Inputs!$B$18:$B$24,MATCH(H325,Inputs!$A$18:$A$24,0)),0))</f>
        <v>0.08075</v>
      </c>
      <c r="AP325" s="28" t="n">
        <f aca="false">IF(OR(N(AO325)&lt;=0,N(AG325)=0,N(L325)=0),"",MIN(L325,AG325/AO325))</f>
        <v>32.8173374613003</v>
      </c>
      <c r="AQ325" s="29" t="n">
        <f aca="false">IF(OR(AP325="",N(O325)=0),"",AP325/O325-1)</f>
        <v>1.53807714317868</v>
      </c>
      <c r="AR325" s="29" t="n">
        <f aca="false">IF(OR(AQ325="",N(O325)=0),"",AQ325+AG325/O325)</f>
        <v>1.74302687249036</v>
      </c>
      <c r="AS325" s="32" t="n">
        <f aca="false">IF(OR(AR325="",N(AJ325)=0),"",AR325-AJ325)</f>
        <v>0.380711571476801</v>
      </c>
      <c r="AT325" s="28" t="n">
        <v>50</v>
      </c>
      <c r="AU325" s="28" t="n">
        <v>2.65</v>
      </c>
      <c r="AV325" s="28" t="n">
        <f aca="false">IF(N(AT325)&gt;0,AT325,L325)</f>
        <v>50</v>
      </c>
      <c r="AW325" s="28" t="n">
        <f aca="false">IF(AND(N(M325)&gt;0,N(AV325)&gt;0),M325*AV325,IF(N(AU325)&gt;0,AU325,N325))</f>
        <v>2.65</v>
      </c>
      <c r="AX325" s="29" t="n">
        <f aca="false">IF(N(AN325)=0,"",AN325+IF(I325="yes",AN325*Inputs!$B$10*Inputs!$B$9,0)+IFERROR(INDEX(Inputs!$B$13:$B$15,MATCH(G325,Inputs!$A$13:$A$15,0)),0)+IFERROR(INDEX(Inputs!$B$18:$B$24,MATCH(H325,Inputs!$A$18:$A$24,0)),0))</f>
        <v>0.08075</v>
      </c>
      <c r="AY325" s="28" t="n">
        <f aca="false">IF(OR(N(AX325)&lt;=0,N(AW325)=0,N(AV325)=0),"",MIN(AV325,AW325/AX325))</f>
        <v>32.8173374613003</v>
      </c>
      <c r="AZ325" s="29" t="n">
        <f aca="false">IF(OR(AY325="",N(O325)=0),"",AY325/O325-1)</f>
        <v>1.53807714317868</v>
      </c>
      <c r="BA325" s="29" t="n">
        <f aca="false">IF(OR(AZ325="",N(O325)=0),"",AZ325+AW325/O325)</f>
        <v>1.74302687249036</v>
      </c>
      <c r="BB325" s="32" t="n">
        <f aca="false">IF(OR(BA325="",N(AR325)=0),"",BA325-AR325)</f>
        <v>0</v>
      </c>
      <c r="BC325" s="35" t="n">
        <f aca="false">IF(OR(BA325="",N(U325)=0),"",BA325-U325)</f>
        <v>0.380711571476802</v>
      </c>
      <c r="BD325" s="37"/>
    </row>
    <row r="326" customFormat="false" ht="15" hidden="false" customHeight="false" outlineLevel="0" collapsed="false">
      <c r="A326" s="2" t="s">
        <v>556</v>
      </c>
      <c r="B326" s="2" t="n">
        <v>198</v>
      </c>
      <c r="C326" s="2" t="s">
        <v>723</v>
      </c>
      <c r="D326" s="2" t="s">
        <v>716</v>
      </c>
      <c r="E326" s="2" t="s">
        <v>717</v>
      </c>
      <c r="F326" s="27" t="n">
        <v>3700</v>
      </c>
      <c r="G326" s="2" t="s">
        <v>51</v>
      </c>
      <c r="H326" s="2" t="s">
        <v>58</v>
      </c>
      <c r="I326" s="2" t="s">
        <v>151</v>
      </c>
      <c r="J326" s="2" t="s">
        <v>145</v>
      </c>
      <c r="K326" s="2" t="n">
        <v>4</v>
      </c>
      <c r="L326" s="28" t="n">
        <v>50</v>
      </c>
      <c r="M326" s="29" t="n">
        <v>0.057</v>
      </c>
      <c r="N326" s="28" t="n">
        <v>2.85</v>
      </c>
      <c r="O326" s="28" t="n">
        <v>15</v>
      </c>
      <c r="P326" s="2" t="s">
        <v>146</v>
      </c>
      <c r="Q326" s="29" t="n">
        <v>0.1</v>
      </c>
      <c r="R326" s="30" t="n">
        <v>0.095</v>
      </c>
      <c r="S326" s="31" t="n">
        <v>30</v>
      </c>
      <c r="T326" s="30" t="n">
        <v>1</v>
      </c>
      <c r="U326" s="30" t="n">
        <v>1.19</v>
      </c>
      <c r="V326" s="29" t="n">
        <v>0</v>
      </c>
      <c r="W326" s="29" t="n">
        <f aca="false">IF(N(Q326)=0,"",Q326+IF(I326="yes",Q326*Inputs!$B$10*Inputs!$B$9,0)+V326)</f>
        <v>0.095</v>
      </c>
      <c r="X326" s="28" t="n">
        <f aca="false">IF(OR(N(W326)&lt;=0,N(N326)=0,N(L326)=0),"",MIN(L326,N326/W326))</f>
        <v>30</v>
      </c>
      <c r="Y326" s="29" t="n">
        <f aca="false">IF(OR(X326="",N(O326)=0),"",X326/O326-1)</f>
        <v>1</v>
      </c>
      <c r="Z326" s="29" t="n">
        <f aca="false">IF(OR(Y326="",N(O326)=0),"",Y326+N326/O326)</f>
        <v>1.19</v>
      </c>
      <c r="AA326" s="32" t="n">
        <f aca="false">IF(OR(Z326="",N(U326)=0),"",Z326-U326)</f>
        <v>0</v>
      </c>
      <c r="AB326" s="29" t="n">
        <f aca="false">IF(N(Q326)=0,"",Q326+IF(I326="yes",Q326*Inputs!$B$10*Inputs!$B$9,0)+IFERROR(INDEX(Inputs!$B$13:$B$15,MATCH(G326,Inputs!$A$13:$A$15,0)),0)+IFERROR(INDEX(Inputs!$B$18:$B$24,MATCH(H326,Inputs!$A$18:$A$24,0)),0))</f>
        <v>0.095</v>
      </c>
      <c r="AC326" s="28" t="n">
        <f aca="false">IF(OR(N(AB326)&lt;=0,N(N326)=0,N(L326)=0),"",MIN(L326,N326/AB326))</f>
        <v>30</v>
      </c>
      <c r="AD326" s="29" t="n">
        <f aca="false">IF(OR(AC326="",N(O326)=0),"",AC326/O326-1)</f>
        <v>1</v>
      </c>
      <c r="AE326" s="29" t="n">
        <f aca="false">IF(OR(AD326="",N(O326)=0),"",AD326+N326/O326)</f>
        <v>1.19</v>
      </c>
      <c r="AF326" s="32" t="n">
        <f aca="false">IF(OR(AE326="",N(Z326)=0),"",AE326-Z326)</f>
        <v>0</v>
      </c>
      <c r="AG326" s="28" t="n">
        <f aca="false">IF(AND(N(M326)&gt;0,N(L326)&gt;0),M326*L326,N326)</f>
        <v>2.85</v>
      </c>
      <c r="AH326" s="28" t="n">
        <f aca="false">IF(OR(N(AB326)&lt;=0,N(AG326)=0,N(L326)=0),"",MIN(L326,AG326/AB326))</f>
        <v>30</v>
      </c>
      <c r="AI326" s="29" t="n">
        <f aca="false">IF(OR(AH326="",N(O326)=0),"",AH326/O326-1)</f>
        <v>1</v>
      </c>
      <c r="AJ326" s="29" t="n">
        <f aca="false">IF(OR(AI326="",N(O326)=0),"",AI326+AG326/O326)</f>
        <v>1.19</v>
      </c>
      <c r="AK326" s="32" t="n">
        <f aca="false">IF(OR(AJ326="",N(AE326)=0),"",AJ326-AE326)</f>
        <v>0</v>
      </c>
      <c r="AL326" s="33" t="n">
        <f aca="false">IF(N(F326)=0,"",INDEX(Inputs!$B$28:$B$32,IFERROR(MATCH(F326,Inputs!$A$28:$A$32,1),0)+1))</f>
        <v>0.085</v>
      </c>
      <c r="AM326" s="34"/>
      <c r="AN326" s="33" t="n">
        <f aca="false">IF(N(AM326)&gt;0,AM326,AL326)</f>
        <v>0.085</v>
      </c>
      <c r="AO326" s="29" t="n">
        <f aca="false">IF(N(AN326)=0,"",AN326+IF(I326="yes",AN326*Inputs!$B$10*Inputs!$B$9,0)+IFERROR(INDEX(Inputs!$B$13:$B$15,MATCH(G326,Inputs!$A$13:$A$15,0)),0)+IFERROR(INDEX(Inputs!$B$18:$B$24,MATCH(H326,Inputs!$A$18:$A$24,0)),0))</f>
        <v>0.08075</v>
      </c>
      <c r="AP326" s="28" t="n">
        <f aca="false">IF(OR(N(AO326)&lt;=0,N(AG326)=0,N(L326)=0),"",MIN(L326,AG326/AO326))</f>
        <v>35.2941176470588</v>
      </c>
      <c r="AQ326" s="29" t="n">
        <f aca="false">IF(OR(AP326="",N(O326)=0),"",AP326/O326-1)</f>
        <v>1.35294117647059</v>
      </c>
      <c r="AR326" s="29" t="n">
        <f aca="false">IF(OR(AQ326="",N(O326)=0),"",AQ326+AG326/O326)</f>
        <v>1.54294117647059</v>
      </c>
      <c r="AS326" s="32" t="n">
        <f aca="false">IF(OR(AR326="",N(AJ326)=0),"",AR326-AJ326)</f>
        <v>0.352941176470588</v>
      </c>
      <c r="AT326" s="28" t="n">
        <v>50</v>
      </c>
      <c r="AU326" s="28" t="n">
        <v>2.85</v>
      </c>
      <c r="AV326" s="28" t="n">
        <f aca="false">IF(N(AT326)&gt;0,AT326,L326)</f>
        <v>50</v>
      </c>
      <c r="AW326" s="28" t="n">
        <f aca="false">IF(AND(N(M326)&gt;0,N(AV326)&gt;0),M326*AV326,IF(N(AU326)&gt;0,AU326,N326))</f>
        <v>2.85</v>
      </c>
      <c r="AX326" s="29" t="n">
        <f aca="false">IF(N(AN326)=0,"",AN326+IF(I326="yes",AN326*Inputs!$B$10*Inputs!$B$9,0)+IFERROR(INDEX(Inputs!$B$13:$B$15,MATCH(G326,Inputs!$A$13:$A$15,0)),0)+IFERROR(INDEX(Inputs!$B$18:$B$24,MATCH(H326,Inputs!$A$18:$A$24,0)),0))</f>
        <v>0.08075</v>
      </c>
      <c r="AY326" s="28" t="n">
        <f aca="false">IF(OR(N(AX326)&lt;=0,N(AW326)=0,N(AV326)=0),"",MIN(AV326,AW326/AX326))</f>
        <v>35.2941176470588</v>
      </c>
      <c r="AZ326" s="29" t="n">
        <f aca="false">IF(OR(AY326="",N(O326)=0),"",AY326/O326-1)</f>
        <v>1.35294117647059</v>
      </c>
      <c r="BA326" s="29" t="n">
        <f aca="false">IF(OR(AZ326="",N(O326)=0),"",AZ326+AW326/O326)</f>
        <v>1.54294117647059</v>
      </c>
      <c r="BB326" s="32" t="n">
        <f aca="false">IF(OR(BA326="",N(AR326)=0),"",BA326-AR326)</f>
        <v>0</v>
      </c>
      <c r="BC326" s="35" t="n">
        <f aca="false">IF(OR(BA326="",N(U326)=0),"",BA326-U326)</f>
        <v>0.352941176470588</v>
      </c>
      <c r="BD326" s="37"/>
    </row>
    <row r="327" customFormat="false" ht="15" hidden="false" customHeight="false" outlineLevel="0" collapsed="false">
      <c r="A327" s="2" t="s">
        <v>556</v>
      </c>
      <c r="B327" s="2" t="n">
        <v>199</v>
      </c>
      <c r="C327" s="2" t="s">
        <v>724</v>
      </c>
      <c r="D327" s="2" t="s">
        <v>716</v>
      </c>
      <c r="E327" s="2" t="s">
        <v>717</v>
      </c>
      <c r="F327" s="27" t="n">
        <v>3700</v>
      </c>
      <c r="G327" s="2" t="s">
        <v>51</v>
      </c>
      <c r="H327" s="2" t="s">
        <v>58</v>
      </c>
      <c r="I327" s="2" t="s">
        <v>151</v>
      </c>
      <c r="J327" s="2" t="s">
        <v>145</v>
      </c>
      <c r="K327" s="2" t="n">
        <v>4</v>
      </c>
      <c r="L327" s="28" t="n">
        <v>50</v>
      </c>
      <c r="M327" s="29" t="n">
        <v>0.05</v>
      </c>
      <c r="N327" s="28" t="n">
        <v>2.5</v>
      </c>
      <c r="O327" s="28" t="n">
        <v>13.12</v>
      </c>
      <c r="P327" s="2" t="s">
        <v>146</v>
      </c>
      <c r="Q327" s="29" t="n">
        <v>0.1</v>
      </c>
      <c r="R327" s="30" t="n">
        <v>0.095</v>
      </c>
      <c r="S327" s="31" t="n">
        <v>26.3157894736842</v>
      </c>
      <c r="T327" s="30" t="n">
        <v>1.00577663671374</v>
      </c>
      <c r="U327" s="30" t="n">
        <v>1.19632541720154</v>
      </c>
      <c r="V327" s="29" t="n">
        <v>0</v>
      </c>
      <c r="W327" s="29" t="n">
        <f aca="false">IF(N(Q327)=0,"",Q327+IF(I327="yes",Q327*Inputs!$B$10*Inputs!$B$9,0)+V327)</f>
        <v>0.095</v>
      </c>
      <c r="X327" s="28" t="n">
        <f aca="false">IF(OR(N(W327)&lt;=0,N(N327)=0,N(L327)=0),"",MIN(L327,N327/W327))</f>
        <v>26.3157894736842</v>
      </c>
      <c r="Y327" s="29" t="n">
        <f aca="false">IF(OR(X327="",N(O327)=0),"",X327/O327-1)</f>
        <v>1.00577663671374</v>
      </c>
      <c r="Z327" s="29" t="n">
        <f aca="false">IF(OR(Y327="",N(O327)=0),"",Y327+N327/O327)</f>
        <v>1.19632541720154</v>
      </c>
      <c r="AA327" s="32" t="n">
        <f aca="false">IF(OR(Z327="",N(U327)=0),"",Z327-U327)</f>
        <v>0</v>
      </c>
      <c r="AB327" s="29" t="n">
        <f aca="false">IF(N(Q327)=0,"",Q327+IF(I327="yes",Q327*Inputs!$B$10*Inputs!$B$9,0)+IFERROR(INDEX(Inputs!$B$13:$B$15,MATCH(G327,Inputs!$A$13:$A$15,0)),0)+IFERROR(INDEX(Inputs!$B$18:$B$24,MATCH(H327,Inputs!$A$18:$A$24,0)),0))</f>
        <v>0.095</v>
      </c>
      <c r="AC327" s="28" t="n">
        <f aca="false">IF(OR(N(AB327)&lt;=0,N(N327)=0,N(L327)=0),"",MIN(L327,N327/AB327))</f>
        <v>26.3157894736842</v>
      </c>
      <c r="AD327" s="29" t="n">
        <f aca="false">IF(OR(AC327="",N(O327)=0),"",AC327/O327-1)</f>
        <v>1.00577663671374</v>
      </c>
      <c r="AE327" s="29" t="n">
        <f aca="false">IF(OR(AD327="",N(O327)=0),"",AD327+N327/O327)</f>
        <v>1.19632541720154</v>
      </c>
      <c r="AF327" s="32" t="n">
        <f aca="false">IF(OR(AE327="",N(Z327)=0),"",AE327-Z327)</f>
        <v>0</v>
      </c>
      <c r="AG327" s="28" t="n">
        <f aca="false">IF(AND(N(M327)&gt;0,N(L327)&gt;0),M327*L327,N327)</f>
        <v>2.5</v>
      </c>
      <c r="AH327" s="28" t="n">
        <f aca="false">IF(OR(N(AB327)&lt;=0,N(AG327)=0,N(L327)=0),"",MIN(L327,AG327/AB327))</f>
        <v>26.3157894736842</v>
      </c>
      <c r="AI327" s="29" t="n">
        <f aca="false">IF(OR(AH327="",N(O327)=0),"",AH327/O327-1)</f>
        <v>1.00577663671374</v>
      </c>
      <c r="AJ327" s="29" t="n">
        <f aca="false">IF(OR(AI327="",N(O327)=0),"",AI327+AG327/O327)</f>
        <v>1.19632541720154</v>
      </c>
      <c r="AK327" s="32" t="n">
        <f aca="false">IF(OR(AJ327="",N(AE327)=0),"",AJ327-AE327)</f>
        <v>0</v>
      </c>
      <c r="AL327" s="33" t="n">
        <f aca="false">IF(N(F327)=0,"",INDEX(Inputs!$B$28:$B$32,IFERROR(MATCH(F327,Inputs!$A$28:$A$32,1),0)+1))</f>
        <v>0.085</v>
      </c>
      <c r="AM327" s="34"/>
      <c r="AN327" s="33" t="n">
        <f aca="false">IF(N(AM327)&gt;0,AM327,AL327)</f>
        <v>0.085</v>
      </c>
      <c r="AO327" s="29" t="n">
        <f aca="false">IF(N(AN327)=0,"",AN327+IF(I327="yes",AN327*Inputs!$B$10*Inputs!$B$9,0)+IFERROR(INDEX(Inputs!$B$13:$B$15,MATCH(G327,Inputs!$A$13:$A$15,0)),0)+IFERROR(INDEX(Inputs!$B$18:$B$24,MATCH(H327,Inputs!$A$18:$A$24,0)),0))</f>
        <v>0.08075</v>
      </c>
      <c r="AP327" s="28" t="n">
        <f aca="false">IF(OR(N(AO327)&lt;=0,N(AG327)=0,N(L327)=0),"",MIN(L327,AG327/AO327))</f>
        <v>30.9597523219814</v>
      </c>
      <c r="AQ327" s="29" t="n">
        <f aca="false">IF(OR(AP327="",N(O327)=0),"",AP327/O327-1)</f>
        <v>1.35973721966322</v>
      </c>
      <c r="AR327" s="29" t="n">
        <f aca="false">IF(OR(AQ327="",N(O327)=0),"",AQ327+AG327/O327)</f>
        <v>1.55028600015102</v>
      </c>
      <c r="AS327" s="32" t="n">
        <f aca="false">IF(OR(AR327="",N(AJ327)=0),"",AR327-AJ327)</f>
        <v>0.353960582949483</v>
      </c>
      <c r="AT327" s="28" t="n">
        <v>50</v>
      </c>
      <c r="AU327" s="28" t="n">
        <v>2.5</v>
      </c>
      <c r="AV327" s="28" t="n">
        <f aca="false">IF(N(AT327)&gt;0,AT327,L327)</f>
        <v>50</v>
      </c>
      <c r="AW327" s="28" t="n">
        <f aca="false">IF(AND(N(M327)&gt;0,N(AV327)&gt;0),M327*AV327,IF(N(AU327)&gt;0,AU327,N327))</f>
        <v>2.5</v>
      </c>
      <c r="AX327" s="29" t="n">
        <f aca="false">IF(N(AN327)=0,"",AN327+IF(I327="yes",AN327*Inputs!$B$10*Inputs!$B$9,0)+IFERROR(INDEX(Inputs!$B$13:$B$15,MATCH(G327,Inputs!$A$13:$A$15,0)),0)+IFERROR(INDEX(Inputs!$B$18:$B$24,MATCH(H327,Inputs!$A$18:$A$24,0)),0))</f>
        <v>0.08075</v>
      </c>
      <c r="AY327" s="28" t="n">
        <f aca="false">IF(OR(N(AX327)&lt;=0,N(AW327)=0,N(AV327)=0),"",MIN(AV327,AW327/AX327))</f>
        <v>30.9597523219814</v>
      </c>
      <c r="AZ327" s="29" t="n">
        <f aca="false">IF(OR(AY327="",N(O327)=0),"",AY327/O327-1)</f>
        <v>1.35973721966322</v>
      </c>
      <c r="BA327" s="29" t="n">
        <f aca="false">IF(OR(AZ327="",N(O327)=0),"",AZ327+AW327/O327)</f>
        <v>1.55028600015102</v>
      </c>
      <c r="BB327" s="32" t="n">
        <f aca="false">IF(OR(BA327="",N(AR327)=0),"",BA327-AR327)</f>
        <v>0</v>
      </c>
      <c r="BC327" s="35" t="n">
        <f aca="false">IF(OR(BA327="",N(U327)=0),"",BA327-U327)</f>
        <v>0.353960582949483</v>
      </c>
      <c r="BD327" s="37"/>
    </row>
    <row r="328" customFormat="false" ht="15" hidden="false" customHeight="false" outlineLevel="0" collapsed="false">
      <c r="A328" s="2" t="s">
        <v>556</v>
      </c>
      <c r="B328" s="2" t="n">
        <v>200</v>
      </c>
      <c r="C328" s="2" t="s">
        <v>725</v>
      </c>
      <c r="D328" s="2" t="s">
        <v>716</v>
      </c>
      <c r="E328" s="2" t="s">
        <v>717</v>
      </c>
      <c r="F328" s="27" t="n">
        <v>3700</v>
      </c>
      <c r="G328" s="2" t="s">
        <v>51</v>
      </c>
      <c r="H328" s="2" t="s">
        <v>58</v>
      </c>
      <c r="I328" s="2" t="s">
        <v>151</v>
      </c>
      <c r="J328" s="2" t="s">
        <v>145</v>
      </c>
      <c r="K328" s="2" t="n">
        <v>4</v>
      </c>
      <c r="L328" s="28" t="n">
        <v>50</v>
      </c>
      <c r="M328" s="29" t="n">
        <v>0.06</v>
      </c>
      <c r="N328" s="28" t="n">
        <v>3</v>
      </c>
      <c r="O328" s="28" t="n">
        <v>15.13</v>
      </c>
      <c r="P328" s="2" t="s">
        <v>146</v>
      </c>
      <c r="Q328" s="29" t="n">
        <v>0.1</v>
      </c>
      <c r="R328" s="30" t="n">
        <v>0.095</v>
      </c>
      <c r="S328" s="31" t="n">
        <v>31.5789473684211</v>
      </c>
      <c r="T328" s="30" t="n">
        <v>1.08717431384144</v>
      </c>
      <c r="U328" s="30" t="n">
        <v>1.28545587365638</v>
      </c>
      <c r="V328" s="29" t="n">
        <v>0</v>
      </c>
      <c r="W328" s="29" t="n">
        <f aca="false">IF(N(Q328)=0,"",Q328+IF(I328="yes",Q328*Inputs!$B$10*Inputs!$B$9,0)+V328)</f>
        <v>0.095</v>
      </c>
      <c r="X328" s="28" t="n">
        <f aca="false">IF(OR(N(W328)&lt;=0,N(N328)=0,N(L328)=0),"",MIN(L328,N328/W328))</f>
        <v>31.5789473684211</v>
      </c>
      <c r="Y328" s="29" t="n">
        <f aca="false">IF(OR(X328="",N(O328)=0),"",X328/O328-1)</f>
        <v>1.08717431384144</v>
      </c>
      <c r="Z328" s="29" t="n">
        <f aca="false">IF(OR(Y328="",N(O328)=0),"",Y328+N328/O328)</f>
        <v>1.28545587365638</v>
      </c>
      <c r="AA328" s="32" t="n">
        <f aca="false">IF(OR(Z328="",N(U328)=0),"",Z328-U328)</f>
        <v>0</v>
      </c>
      <c r="AB328" s="29" t="n">
        <f aca="false">IF(N(Q328)=0,"",Q328+IF(I328="yes",Q328*Inputs!$B$10*Inputs!$B$9,0)+IFERROR(INDEX(Inputs!$B$13:$B$15,MATCH(G328,Inputs!$A$13:$A$15,0)),0)+IFERROR(INDEX(Inputs!$B$18:$B$24,MATCH(H328,Inputs!$A$18:$A$24,0)),0))</f>
        <v>0.095</v>
      </c>
      <c r="AC328" s="28" t="n">
        <f aca="false">IF(OR(N(AB328)&lt;=0,N(N328)=0,N(L328)=0),"",MIN(L328,N328/AB328))</f>
        <v>31.5789473684211</v>
      </c>
      <c r="AD328" s="29" t="n">
        <f aca="false">IF(OR(AC328="",N(O328)=0),"",AC328/O328-1)</f>
        <v>1.08717431384144</v>
      </c>
      <c r="AE328" s="29" t="n">
        <f aca="false">IF(OR(AD328="",N(O328)=0),"",AD328+N328/O328)</f>
        <v>1.28545587365638</v>
      </c>
      <c r="AF328" s="32" t="n">
        <f aca="false">IF(OR(AE328="",N(Z328)=0),"",AE328-Z328)</f>
        <v>0</v>
      </c>
      <c r="AG328" s="28" t="n">
        <f aca="false">IF(AND(N(M328)&gt;0,N(L328)&gt;0),M328*L328,N328)</f>
        <v>3</v>
      </c>
      <c r="AH328" s="28" t="n">
        <f aca="false">IF(OR(N(AB328)&lt;=0,N(AG328)=0,N(L328)=0),"",MIN(L328,AG328/AB328))</f>
        <v>31.5789473684211</v>
      </c>
      <c r="AI328" s="29" t="n">
        <f aca="false">IF(OR(AH328="",N(O328)=0),"",AH328/O328-1)</f>
        <v>1.08717431384144</v>
      </c>
      <c r="AJ328" s="29" t="n">
        <f aca="false">IF(OR(AI328="",N(O328)=0),"",AI328+AG328/O328)</f>
        <v>1.28545587365638</v>
      </c>
      <c r="AK328" s="32" t="n">
        <f aca="false">IF(OR(AJ328="",N(AE328)=0),"",AJ328-AE328)</f>
        <v>0</v>
      </c>
      <c r="AL328" s="33" t="n">
        <f aca="false">IF(N(F328)=0,"",INDEX(Inputs!$B$28:$B$32,IFERROR(MATCH(F328,Inputs!$A$28:$A$32,1),0)+1))</f>
        <v>0.085</v>
      </c>
      <c r="AM328" s="34"/>
      <c r="AN328" s="33" t="n">
        <f aca="false">IF(N(AM328)&gt;0,AM328,AL328)</f>
        <v>0.085</v>
      </c>
      <c r="AO328" s="29" t="n">
        <f aca="false">IF(N(AN328)=0,"",AN328+IF(I328="yes",AN328*Inputs!$B$10*Inputs!$B$9,0)+IFERROR(INDEX(Inputs!$B$13:$B$15,MATCH(G328,Inputs!$A$13:$A$15,0)),0)+IFERROR(INDEX(Inputs!$B$18:$B$24,MATCH(H328,Inputs!$A$18:$A$24,0)),0))</f>
        <v>0.08075</v>
      </c>
      <c r="AP328" s="28" t="n">
        <f aca="false">IF(OR(N(AO328)&lt;=0,N(AG328)=0,N(L328)=0),"",MIN(L328,AG328/AO328))</f>
        <v>37.1517027863777</v>
      </c>
      <c r="AQ328" s="29" t="n">
        <f aca="false">IF(OR(AP328="",N(O328)=0),"",AP328/O328-1)</f>
        <v>1.45549919275464</v>
      </c>
      <c r="AR328" s="29" t="n">
        <f aca="false">IF(OR(AQ328="",N(O328)=0),"",AQ328+AG328/O328)</f>
        <v>1.65378075256958</v>
      </c>
      <c r="AS328" s="32" t="n">
        <f aca="false">IF(OR(AR328="",N(AJ328)=0),"",AR328-AJ328)</f>
        <v>0.368324878913196</v>
      </c>
      <c r="AT328" s="28" t="n">
        <v>50</v>
      </c>
      <c r="AU328" s="28" t="n">
        <v>3</v>
      </c>
      <c r="AV328" s="28" t="n">
        <f aca="false">IF(N(AT328)&gt;0,AT328,L328)</f>
        <v>50</v>
      </c>
      <c r="AW328" s="28" t="n">
        <f aca="false">IF(AND(N(M328)&gt;0,N(AV328)&gt;0),M328*AV328,IF(N(AU328)&gt;0,AU328,N328))</f>
        <v>3</v>
      </c>
      <c r="AX328" s="29" t="n">
        <f aca="false">IF(N(AN328)=0,"",AN328+IF(I328="yes",AN328*Inputs!$B$10*Inputs!$B$9,0)+IFERROR(INDEX(Inputs!$B$13:$B$15,MATCH(G328,Inputs!$A$13:$A$15,0)),0)+IFERROR(INDEX(Inputs!$B$18:$B$24,MATCH(H328,Inputs!$A$18:$A$24,0)),0))</f>
        <v>0.08075</v>
      </c>
      <c r="AY328" s="28" t="n">
        <f aca="false">IF(OR(N(AX328)&lt;=0,N(AW328)=0,N(AV328)=0),"",MIN(AV328,AW328/AX328))</f>
        <v>37.1517027863777</v>
      </c>
      <c r="AZ328" s="29" t="n">
        <f aca="false">IF(OR(AY328="",N(O328)=0),"",AY328/O328-1)</f>
        <v>1.45549919275464</v>
      </c>
      <c r="BA328" s="29" t="n">
        <f aca="false">IF(OR(AZ328="",N(O328)=0),"",AZ328+AW328/O328)</f>
        <v>1.65378075256958</v>
      </c>
      <c r="BB328" s="32" t="n">
        <f aca="false">IF(OR(BA328="",N(AR328)=0),"",BA328-AR328)</f>
        <v>0</v>
      </c>
      <c r="BC328" s="35" t="n">
        <f aca="false">IF(OR(BA328="",N(U328)=0),"",BA328-U328)</f>
        <v>0.368324878913196</v>
      </c>
      <c r="BD328" s="37"/>
    </row>
    <row r="329" customFormat="false" ht="15" hidden="false" customHeight="false" outlineLevel="0" collapsed="false">
      <c r="A329" s="2" t="s">
        <v>556</v>
      </c>
      <c r="B329" s="2" t="n">
        <v>201</v>
      </c>
      <c r="C329" s="2" t="s">
        <v>726</v>
      </c>
      <c r="D329" s="2" t="s">
        <v>716</v>
      </c>
      <c r="E329" s="2" t="s">
        <v>717</v>
      </c>
      <c r="F329" s="27" t="n">
        <v>3700</v>
      </c>
      <c r="G329" s="2" t="s">
        <v>51</v>
      </c>
      <c r="H329" s="2" t="s">
        <v>58</v>
      </c>
      <c r="I329" s="2" t="s">
        <v>151</v>
      </c>
      <c r="J329" s="2" t="s">
        <v>145</v>
      </c>
      <c r="K329" s="2" t="n">
        <v>4</v>
      </c>
      <c r="L329" s="28" t="n">
        <v>50</v>
      </c>
      <c r="M329" s="29" t="n">
        <v>0.0642</v>
      </c>
      <c r="N329" s="28" t="n">
        <v>3.21</v>
      </c>
      <c r="O329" s="28" t="n">
        <v>15</v>
      </c>
      <c r="P329" s="2" t="s">
        <v>146</v>
      </c>
      <c r="Q329" s="29" t="n">
        <v>0.1</v>
      </c>
      <c r="R329" s="30" t="n">
        <v>0.095</v>
      </c>
      <c r="S329" s="31" t="n">
        <v>33.7894736842105</v>
      </c>
      <c r="T329" s="30" t="n">
        <v>1.25263157894737</v>
      </c>
      <c r="U329" s="30" t="n">
        <v>1.46663157894737</v>
      </c>
      <c r="V329" s="29" t="n">
        <v>0</v>
      </c>
      <c r="W329" s="29" t="n">
        <f aca="false">IF(N(Q329)=0,"",Q329+IF(I329="yes",Q329*Inputs!$B$10*Inputs!$B$9,0)+V329)</f>
        <v>0.095</v>
      </c>
      <c r="X329" s="28" t="n">
        <f aca="false">IF(OR(N(W329)&lt;=0,N(N329)=0,N(L329)=0),"",MIN(L329,N329/W329))</f>
        <v>33.7894736842105</v>
      </c>
      <c r="Y329" s="29" t="n">
        <f aca="false">IF(OR(X329="",N(O329)=0),"",X329/O329-1)</f>
        <v>1.25263157894737</v>
      </c>
      <c r="Z329" s="29" t="n">
        <f aca="false">IF(OR(Y329="",N(O329)=0),"",Y329+N329/O329)</f>
        <v>1.46663157894737</v>
      </c>
      <c r="AA329" s="32" t="n">
        <f aca="false">IF(OR(Z329="",N(U329)=0),"",Z329-U329)</f>
        <v>0</v>
      </c>
      <c r="AB329" s="29" t="n">
        <f aca="false">IF(N(Q329)=0,"",Q329+IF(I329="yes",Q329*Inputs!$B$10*Inputs!$B$9,0)+IFERROR(INDEX(Inputs!$B$13:$B$15,MATCH(G329,Inputs!$A$13:$A$15,0)),0)+IFERROR(INDEX(Inputs!$B$18:$B$24,MATCH(H329,Inputs!$A$18:$A$24,0)),0))</f>
        <v>0.095</v>
      </c>
      <c r="AC329" s="28" t="n">
        <f aca="false">IF(OR(N(AB329)&lt;=0,N(N329)=0,N(L329)=0),"",MIN(L329,N329/AB329))</f>
        <v>33.7894736842105</v>
      </c>
      <c r="AD329" s="29" t="n">
        <f aca="false">IF(OR(AC329="",N(O329)=0),"",AC329/O329-1)</f>
        <v>1.25263157894737</v>
      </c>
      <c r="AE329" s="29" t="n">
        <f aca="false">IF(OR(AD329="",N(O329)=0),"",AD329+N329/O329)</f>
        <v>1.46663157894737</v>
      </c>
      <c r="AF329" s="32" t="n">
        <f aca="false">IF(OR(AE329="",N(Z329)=0),"",AE329-Z329)</f>
        <v>0</v>
      </c>
      <c r="AG329" s="28" t="n">
        <f aca="false">IF(AND(N(M329)&gt;0,N(L329)&gt;0),M329*L329,N329)</f>
        <v>3.21</v>
      </c>
      <c r="AH329" s="28" t="n">
        <f aca="false">IF(OR(N(AB329)&lt;=0,N(AG329)=0,N(L329)=0),"",MIN(L329,AG329/AB329))</f>
        <v>33.7894736842105</v>
      </c>
      <c r="AI329" s="29" t="n">
        <f aca="false">IF(OR(AH329="",N(O329)=0),"",AH329/O329-1)</f>
        <v>1.25263157894737</v>
      </c>
      <c r="AJ329" s="29" t="n">
        <f aca="false">IF(OR(AI329="",N(O329)=0),"",AI329+AG329/O329)</f>
        <v>1.46663157894737</v>
      </c>
      <c r="AK329" s="32" t="n">
        <f aca="false">IF(OR(AJ329="",N(AE329)=0),"",AJ329-AE329)</f>
        <v>0</v>
      </c>
      <c r="AL329" s="33" t="n">
        <f aca="false">IF(N(F329)=0,"",INDEX(Inputs!$B$28:$B$32,IFERROR(MATCH(F329,Inputs!$A$28:$A$32,1),0)+1))</f>
        <v>0.085</v>
      </c>
      <c r="AM329" s="34"/>
      <c r="AN329" s="33" t="n">
        <f aca="false">IF(N(AM329)&gt;0,AM329,AL329)</f>
        <v>0.085</v>
      </c>
      <c r="AO329" s="29" t="n">
        <f aca="false">IF(N(AN329)=0,"",AN329+IF(I329="yes",AN329*Inputs!$B$10*Inputs!$B$9,0)+IFERROR(INDEX(Inputs!$B$13:$B$15,MATCH(G329,Inputs!$A$13:$A$15,0)),0)+IFERROR(INDEX(Inputs!$B$18:$B$24,MATCH(H329,Inputs!$A$18:$A$24,0)),0))</f>
        <v>0.08075</v>
      </c>
      <c r="AP329" s="28" t="n">
        <f aca="false">IF(OR(N(AO329)&lt;=0,N(AG329)=0,N(L329)=0),"",MIN(L329,AG329/AO329))</f>
        <v>39.7523219814241</v>
      </c>
      <c r="AQ329" s="29" t="n">
        <f aca="false">IF(OR(AP329="",N(O329)=0),"",AP329/O329-1)</f>
        <v>1.65015479876161</v>
      </c>
      <c r="AR329" s="29" t="n">
        <f aca="false">IF(OR(AQ329="",N(O329)=0),"",AQ329+AG329/O329)</f>
        <v>1.86415479876161</v>
      </c>
      <c r="AS329" s="32" t="n">
        <f aca="false">IF(OR(AR329="",N(AJ329)=0),"",AR329-AJ329)</f>
        <v>0.397523219814242</v>
      </c>
      <c r="AT329" s="28" t="n">
        <v>50</v>
      </c>
      <c r="AU329" s="28" t="n">
        <v>3.21</v>
      </c>
      <c r="AV329" s="28" t="n">
        <f aca="false">IF(N(AT329)&gt;0,AT329,L329)</f>
        <v>50</v>
      </c>
      <c r="AW329" s="28" t="n">
        <f aca="false">IF(AND(N(M329)&gt;0,N(AV329)&gt;0),M329*AV329,IF(N(AU329)&gt;0,AU329,N329))</f>
        <v>3.21</v>
      </c>
      <c r="AX329" s="29" t="n">
        <f aca="false">IF(N(AN329)=0,"",AN329+IF(I329="yes",AN329*Inputs!$B$10*Inputs!$B$9,0)+IFERROR(INDEX(Inputs!$B$13:$B$15,MATCH(G329,Inputs!$A$13:$A$15,0)),0)+IFERROR(INDEX(Inputs!$B$18:$B$24,MATCH(H329,Inputs!$A$18:$A$24,0)),0))</f>
        <v>0.08075</v>
      </c>
      <c r="AY329" s="28" t="n">
        <f aca="false">IF(OR(N(AX329)&lt;=0,N(AW329)=0,N(AV329)=0),"",MIN(AV329,AW329/AX329))</f>
        <v>39.7523219814241</v>
      </c>
      <c r="AZ329" s="29" t="n">
        <f aca="false">IF(OR(AY329="",N(O329)=0),"",AY329/O329-1)</f>
        <v>1.65015479876161</v>
      </c>
      <c r="BA329" s="29" t="n">
        <f aca="false">IF(OR(AZ329="",N(O329)=0),"",AZ329+AW329/O329)</f>
        <v>1.86415479876161</v>
      </c>
      <c r="BB329" s="32" t="n">
        <f aca="false">IF(OR(BA329="",N(AR329)=0),"",BA329-AR329)</f>
        <v>0</v>
      </c>
      <c r="BC329" s="35" t="n">
        <f aca="false">IF(OR(BA329="",N(U329)=0),"",BA329-U329)</f>
        <v>0.397523219814241</v>
      </c>
      <c r="BD329" s="37"/>
    </row>
    <row r="330" customFormat="false" ht="15" hidden="false" customHeight="false" outlineLevel="0" collapsed="false">
      <c r="A330" s="2" t="s">
        <v>556</v>
      </c>
      <c r="B330" s="2" t="n">
        <v>202</v>
      </c>
      <c r="C330" s="2" t="s">
        <v>727</v>
      </c>
      <c r="D330" s="2" t="s">
        <v>716</v>
      </c>
      <c r="E330" s="2" t="s">
        <v>717</v>
      </c>
      <c r="F330" s="27" t="n">
        <v>3700</v>
      </c>
      <c r="G330" s="2" t="s">
        <v>51</v>
      </c>
      <c r="H330" s="2" t="s">
        <v>58</v>
      </c>
      <c r="I330" s="2" t="s">
        <v>151</v>
      </c>
      <c r="J330" s="2" t="s">
        <v>145</v>
      </c>
      <c r="K330" s="2" t="n">
        <v>4</v>
      </c>
      <c r="L330" s="28" t="n">
        <v>50</v>
      </c>
      <c r="M330" s="29" t="n">
        <v>0.04817</v>
      </c>
      <c r="N330" s="28" t="n">
        <v>2.4085</v>
      </c>
      <c r="O330" s="28" t="n">
        <v>12.6364</v>
      </c>
      <c r="P330" s="2" t="s">
        <v>146</v>
      </c>
      <c r="Q330" s="29" t="n">
        <v>0.1</v>
      </c>
      <c r="R330" s="30" t="n">
        <v>0.095</v>
      </c>
      <c r="S330" s="31" t="n">
        <v>25.3526315789474</v>
      </c>
      <c r="T330" s="30" t="n">
        <v>1.00631758878695</v>
      </c>
      <c r="U330" s="30" t="n">
        <v>1.19691775972171</v>
      </c>
      <c r="V330" s="29" t="n">
        <v>0</v>
      </c>
      <c r="W330" s="29" t="n">
        <f aca="false">IF(N(Q330)=0,"",Q330+IF(I330="yes",Q330*Inputs!$B$10*Inputs!$B$9,0)+V330)</f>
        <v>0.095</v>
      </c>
      <c r="X330" s="28" t="n">
        <f aca="false">IF(OR(N(W330)&lt;=0,N(N330)=0,N(L330)=0),"",MIN(L330,N330/W330))</f>
        <v>25.3526315789474</v>
      </c>
      <c r="Y330" s="29" t="n">
        <f aca="false">IF(OR(X330="",N(O330)=0),"",X330/O330-1)</f>
        <v>1.00631758878695</v>
      </c>
      <c r="Z330" s="29" t="n">
        <f aca="false">IF(OR(Y330="",N(O330)=0),"",Y330+N330/O330)</f>
        <v>1.19691775972171</v>
      </c>
      <c r="AA330" s="32" t="n">
        <f aca="false">IF(OR(Z330="",N(U330)=0),"",Z330-U330)</f>
        <v>0</v>
      </c>
      <c r="AB330" s="29" t="n">
        <f aca="false">IF(N(Q330)=0,"",Q330+IF(I330="yes",Q330*Inputs!$B$10*Inputs!$B$9,0)+IFERROR(INDEX(Inputs!$B$13:$B$15,MATCH(G330,Inputs!$A$13:$A$15,0)),0)+IFERROR(INDEX(Inputs!$B$18:$B$24,MATCH(H330,Inputs!$A$18:$A$24,0)),0))</f>
        <v>0.095</v>
      </c>
      <c r="AC330" s="28" t="n">
        <f aca="false">IF(OR(N(AB330)&lt;=0,N(N330)=0,N(L330)=0),"",MIN(L330,N330/AB330))</f>
        <v>25.3526315789474</v>
      </c>
      <c r="AD330" s="29" t="n">
        <f aca="false">IF(OR(AC330="",N(O330)=0),"",AC330/O330-1)</f>
        <v>1.00631758878695</v>
      </c>
      <c r="AE330" s="29" t="n">
        <f aca="false">IF(OR(AD330="",N(O330)=0),"",AD330+N330/O330)</f>
        <v>1.19691775972171</v>
      </c>
      <c r="AF330" s="32" t="n">
        <f aca="false">IF(OR(AE330="",N(Z330)=0),"",AE330-Z330)</f>
        <v>0</v>
      </c>
      <c r="AG330" s="28" t="n">
        <f aca="false">IF(AND(N(M330)&gt;0,N(L330)&gt;0),M330*L330,N330)</f>
        <v>2.4085</v>
      </c>
      <c r="AH330" s="28" t="n">
        <f aca="false">IF(OR(N(AB330)&lt;=0,N(AG330)=0,N(L330)=0),"",MIN(L330,AG330/AB330))</f>
        <v>25.3526315789474</v>
      </c>
      <c r="AI330" s="29" t="n">
        <f aca="false">IF(OR(AH330="",N(O330)=0),"",AH330/O330-1)</f>
        <v>1.00631758878695</v>
      </c>
      <c r="AJ330" s="29" t="n">
        <f aca="false">IF(OR(AI330="",N(O330)=0),"",AI330+AG330/O330)</f>
        <v>1.19691775972171</v>
      </c>
      <c r="AK330" s="32" t="n">
        <f aca="false">IF(OR(AJ330="",N(AE330)=0),"",AJ330-AE330)</f>
        <v>0</v>
      </c>
      <c r="AL330" s="33" t="n">
        <f aca="false">IF(N(F330)=0,"",INDEX(Inputs!$B$28:$B$32,IFERROR(MATCH(F330,Inputs!$A$28:$A$32,1),0)+1))</f>
        <v>0.085</v>
      </c>
      <c r="AM330" s="34"/>
      <c r="AN330" s="33" t="n">
        <f aca="false">IF(N(AM330)&gt;0,AM330,AL330)</f>
        <v>0.085</v>
      </c>
      <c r="AO330" s="29" t="n">
        <f aca="false">IF(N(AN330)=0,"",AN330+IF(I330="yes",AN330*Inputs!$B$10*Inputs!$B$9,0)+IFERROR(INDEX(Inputs!$B$13:$B$15,MATCH(G330,Inputs!$A$13:$A$15,0)),0)+IFERROR(INDEX(Inputs!$B$18:$B$24,MATCH(H330,Inputs!$A$18:$A$24,0)),0))</f>
        <v>0.08075</v>
      </c>
      <c r="AP330" s="28" t="n">
        <f aca="false">IF(OR(N(AO330)&lt;=0,N(AG330)=0,N(L330)=0),"",MIN(L330,AG330/AO330))</f>
        <v>29.8266253869969</v>
      </c>
      <c r="AQ330" s="29" t="n">
        <f aca="false">IF(OR(AP330="",N(O330)=0),"",AP330/O330-1)</f>
        <v>1.360373633867</v>
      </c>
      <c r="AR330" s="29" t="n">
        <f aca="false">IF(OR(AQ330="",N(O330)=0),"",AQ330+AG330/O330)</f>
        <v>1.55097380480176</v>
      </c>
      <c r="AS330" s="32" t="n">
        <f aca="false">IF(OR(AR330="",N(AJ330)=0),"",AR330-AJ330)</f>
        <v>0.354056045080049</v>
      </c>
      <c r="AT330" s="28" t="n">
        <v>50</v>
      </c>
      <c r="AU330" s="28" t="n">
        <v>2.41</v>
      </c>
      <c r="AV330" s="28" t="n">
        <f aca="false">IF(N(AT330)&gt;0,AT330,L330)</f>
        <v>50</v>
      </c>
      <c r="AW330" s="28" t="n">
        <f aca="false">IF(AND(N(M330)&gt;0,N(AV330)&gt;0),M330*AV330,IF(N(AU330)&gt;0,AU330,N330))</f>
        <v>2.4085</v>
      </c>
      <c r="AX330" s="29" t="n">
        <f aca="false">IF(N(AN330)=0,"",AN330+IF(I330="yes",AN330*Inputs!$B$10*Inputs!$B$9,0)+IFERROR(INDEX(Inputs!$B$13:$B$15,MATCH(G330,Inputs!$A$13:$A$15,0)),0)+IFERROR(INDEX(Inputs!$B$18:$B$24,MATCH(H330,Inputs!$A$18:$A$24,0)),0))</f>
        <v>0.08075</v>
      </c>
      <c r="AY330" s="28" t="n">
        <f aca="false">IF(OR(N(AX330)&lt;=0,N(AW330)=0,N(AV330)=0),"",MIN(AV330,AW330/AX330))</f>
        <v>29.8266253869969</v>
      </c>
      <c r="AZ330" s="29" t="n">
        <f aca="false">IF(OR(AY330="",N(O330)=0),"",AY330/O330-1)</f>
        <v>1.360373633867</v>
      </c>
      <c r="BA330" s="29" t="n">
        <f aca="false">IF(OR(AZ330="",N(O330)=0),"",AZ330+AW330/O330)</f>
        <v>1.55097380480176</v>
      </c>
      <c r="BB330" s="32" t="n">
        <f aca="false">IF(OR(BA330="",N(AR330)=0),"",BA330-AR330)</f>
        <v>0</v>
      </c>
      <c r="BC330" s="35" t="n">
        <f aca="false">IF(OR(BA330="",N(U330)=0),"",BA330-U330)</f>
        <v>0.35405604508005</v>
      </c>
      <c r="BD330" s="37"/>
    </row>
    <row r="331" customFormat="false" ht="15" hidden="false" customHeight="false" outlineLevel="0" collapsed="false">
      <c r="A331" s="2" t="s">
        <v>556</v>
      </c>
      <c r="B331" s="2" t="n">
        <v>203</v>
      </c>
      <c r="C331" s="2" t="s">
        <v>728</v>
      </c>
      <c r="D331" s="2" t="s">
        <v>716</v>
      </c>
      <c r="E331" s="2" t="s">
        <v>717</v>
      </c>
      <c r="F331" s="27" t="n">
        <v>3700</v>
      </c>
      <c r="G331" s="2" t="s">
        <v>51</v>
      </c>
      <c r="H331" s="2" t="s">
        <v>58</v>
      </c>
      <c r="I331" s="2" t="s">
        <v>151</v>
      </c>
      <c r="J331" s="2" t="s">
        <v>145</v>
      </c>
      <c r="K331" s="2" t="n">
        <v>4</v>
      </c>
      <c r="L331" s="28" t="n">
        <v>25</v>
      </c>
      <c r="M331" s="29" t="n">
        <v>0.0655</v>
      </c>
      <c r="N331" s="28" t="n">
        <v>1.6375</v>
      </c>
      <c r="O331" s="28" t="n">
        <v>7.6</v>
      </c>
      <c r="P331" s="2" t="s">
        <v>146</v>
      </c>
      <c r="Q331" s="29" t="n">
        <v>0.1</v>
      </c>
      <c r="R331" s="30" t="n">
        <v>0.095</v>
      </c>
      <c r="S331" s="31" t="n">
        <v>17.2368421052632</v>
      </c>
      <c r="T331" s="30" t="n">
        <v>1.26800554016621</v>
      </c>
      <c r="U331" s="30" t="n">
        <v>1.48346606648199</v>
      </c>
      <c r="V331" s="29" t="n">
        <v>0</v>
      </c>
      <c r="W331" s="29" t="n">
        <f aca="false">IF(N(Q331)=0,"",Q331+IF(I331="yes",Q331*Inputs!$B$10*Inputs!$B$9,0)+V331)</f>
        <v>0.095</v>
      </c>
      <c r="X331" s="28" t="n">
        <f aca="false">IF(OR(N(W331)&lt;=0,N(N331)=0,N(L331)=0),"",MIN(L331,N331/W331))</f>
        <v>17.2368421052632</v>
      </c>
      <c r="Y331" s="29" t="n">
        <f aca="false">IF(OR(X331="",N(O331)=0),"",X331/O331-1)</f>
        <v>1.2680055401662</v>
      </c>
      <c r="Z331" s="29" t="n">
        <f aca="false">IF(OR(Y331="",N(O331)=0),"",Y331+N331/O331)</f>
        <v>1.48346606648199</v>
      </c>
      <c r="AA331" s="32" t="n">
        <f aca="false">IF(OR(Z331="",N(U331)=0),"",Z331-U331)</f>
        <v>0</v>
      </c>
      <c r="AB331" s="29" t="n">
        <f aca="false">IF(N(Q331)=0,"",Q331+IF(I331="yes",Q331*Inputs!$B$10*Inputs!$B$9,0)+IFERROR(INDEX(Inputs!$B$13:$B$15,MATCH(G331,Inputs!$A$13:$A$15,0)),0)+IFERROR(INDEX(Inputs!$B$18:$B$24,MATCH(H331,Inputs!$A$18:$A$24,0)),0))</f>
        <v>0.095</v>
      </c>
      <c r="AC331" s="28" t="n">
        <f aca="false">IF(OR(N(AB331)&lt;=0,N(N331)=0,N(L331)=0),"",MIN(L331,N331/AB331))</f>
        <v>17.2368421052632</v>
      </c>
      <c r="AD331" s="29" t="n">
        <f aca="false">IF(OR(AC331="",N(O331)=0),"",AC331/O331-1)</f>
        <v>1.2680055401662</v>
      </c>
      <c r="AE331" s="29" t="n">
        <f aca="false">IF(OR(AD331="",N(O331)=0),"",AD331+N331/O331)</f>
        <v>1.48346606648199</v>
      </c>
      <c r="AF331" s="32" t="n">
        <f aca="false">IF(OR(AE331="",N(Z331)=0),"",AE331-Z331)</f>
        <v>0</v>
      </c>
      <c r="AG331" s="28" t="n">
        <f aca="false">IF(AND(N(M331)&gt;0,N(L331)&gt;0),M331*L331,N331)</f>
        <v>1.6375</v>
      </c>
      <c r="AH331" s="28" t="n">
        <f aca="false">IF(OR(N(AB331)&lt;=0,N(AG331)=0,N(L331)=0),"",MIN(L331,AG331/AB331))</f>
        <v>17.2368421052632</v>
      </c>
      <c r="AI331" s="29" t="n">
        <f aca="false">IF(OR(AH331="",N(O331)=0),"",AH331/O331-1)</f>
        <v>1.26800554016621</v>
      </c>
      <c r="AJ331" s="29" t="n">
        <f aca="false">IF(OR(AI331="",N(O331)=0),"",AI331+AG331/O331)</f>
        <v>1.48346606648199</v>
      </c>
      <c r="AK331" s="32" t="n">
        <f aca="false">IF(OR(AJ331="",N(AE331)=0),"",AJ331-AE331)</f>
        <v>0</v>
      </c>
      <c r="AL331" s="33" t="n">
        <f aca="false">IF(N(F331)=0,"",INDEX(Inputs!$B$28:$B$32,IFERROR(MATCH(F331,Inputs!$A$28:$A$32,1),0)+1))</f>
        <v>0.085</v>
      </c>
      <c r="AM331" s="34"/>
      <c r="AN331" s="33" t="n">
        <f aca="false">IF(N(AM331)&gt;0,AM331,AL331)</f>
        <v>0.085</v>
      </c>
      <c r="AO331" s="29" t="n">
        <f aca="false">IF(N(AN331)=0,"",AN331+IF(I331="yes",AN331*Inputs!$B$10*Inputs!$B$9,0)+IFERROR(INDEX(Inputs!$B$13:$B$15,MATCH(G331,Inputs!$A$13:$A$15,0)),0)+IFERROR(INDEX(Inputs!$B$18:$B$24,MATCH(H331,Inputs!$A$18:$A$24,0)),0))</f>
        <v>0.08075</v>
      </c>
      <c r="AP331" s="28" t="n">
        <f aca="false">IF(OR(N(AO331)&lt;=0,N(AG331)=0,N(L331)=0),"",MIN(L331,AG331/AO331))</f>
        <v>20.2786377708978</v>
      </c>
      <c r="AQ331" s="29" t="n">
        <f aca="false">IF(OR(AP331="",N(O331)=0),"",AP331/O331-1)</f>
        <v>1.66824181196024</v>
      </c>
      <c r="AR331" s="29" t="n">
        <f aca="false">IF(OR(AQ331="",N(O331)=0),"",AQ331+AG331/O331)</f>
        <v>1.88370233827603</v>
      </c>
      <c r="AS331" s="32" t="n">
        <f aca="false">IF(OR(AR331="",N(AJ331)=0),"",AR331-AJ331)</f>
        <v>0.400236271794036</v>
      </c>
      <c r="AT331" s="28" t="n">
        <v>25</v>
      </c>
      <c r="AU331" s="28" t="n">
        <v>1.64</v>
      </c>
      <c r="AV331" s="28" t="n">
        <f aca="false">IF(N(AT331)&gt;0,AT331,L331)</f>
        <v>25</v>
      </c>
      <c r="AW331" s="28" t="n">
        <f aca="false">IF(AND(N(M331)&gt;0,N(AV331)&gt;0),M331*AV331,IF(N(AU331)&gt;0,AU331,N331))</f>
        <v>1.6375</v>
      </c>
      <c r="AX331" s="29" t="n">
        <f aca="false">IF(N(AN331)=0,"",AN331+IF(I331="yes",AN331*Inputs!$B$10*Inputs!$B$9,0)+IFERROR(INDEX(Inputs!$B$13:$B$15,MATCH(G331,Inputs!$A$13:$A$15,0)),0)+IFERROR(INDEX(Inputs!$B$18:$B$24,MATCH(H331,Inputs!$A$18:$A$24,0)),0))</f>
        <v>0.08075</v>
      </c>
      <c r="AY331" s="28" t="n">
        <f aca="false">IF(OR(N(AX331)&lt;=0,N(AW331)=0,N(AV331)=0),"",MIN(AV331,AW331/AX331))</f>
        <v>20.2786377708978</v>
      </c>
      <c r="AZ331" s="29" t="n">
        <f aca="false">IF(OR(AY331="",N(O331)=0),"",AY331/O331-1)</f>
        <v>1.66824181196024</v>
      </c>
      <c r="BA331" s="29" t="n">
        <f aca="false">IF(OR(AZ331="",N(O331)=0),"",AZ331+AW331/O331)</f>
        <v>1.88370233827603</v>
      </c>
      <c r="BB331" s="32" t="n">
        <f aca="false">IF(OR(BA331="",N(AR331)=0),"",BA331-AR331)</f>
        <v>0</v>
      </c>
      <c r="BC331" s="35" t="n">
        <f aca="false">IF(OR(BA331="",N(U331)=0),"",BA331-U331)</f>
        <v>0.400236271794036</v>
      </c>
      <c r="BD331" s="37"/>
    </row>
    <row r="332" customFormat="false" ht="15" hidden="false" customHeight="false" outlineLevel="0" collapsed="false">
      <c r="A332" s="2" t="s">
        <v>556</v>
      </c>
      <c r="B332" s="2" t="n">
        <v>204</v>
      </c>
      <c r="C332" s="2" t="s">
        <v>729</v>
      </c>
      <c r="D332" s="2" t="s">
        <v>716</v>
      </c>
      <c r="E332" s="2" t="s">
        <v>717</v>
      </c>
      <c r="F332" s="27" t="n">
        <v>3700</v>
      </c>
      <c r="G332" s="2" t="s">
        <v>51</v>
      </c>
      <c r="H332" s="2" t="s">
        <v>58</v>
      </c>
      <c r="I332" s="2" t="s">
        <v>151</v>
      </c>
      <c r="J332" s="2" t="s">
        <v>145</v>
      </c>
      <c r="K332" s="2" t="n">
        <v>4</v>
      </c>
      <c r="L332" s="28" t="n">
        <v>25</v>
      </c>
      <c r="M332" s="29" t="n">
        <v>0.08375</v>
      </c>
      <c r="N332" s="28" t="n">
        <v>2.09375</v>
      </c>
      <c r="O332" s="28" t="n">
        <v>9.6</v>
      </c>
      <c r="P332" s="2" t="s">
        <v>146</v>
      </c>
      <c r="Q332" s="29" t="n">
        <v>0.1</v>
      </c>
      <c r="R332" s="30" t="n">
        <v>0.095</v>
      </c>
      <c r="S332" s="31" t="n">
        <v>22.0394736842105</v>
      </c>
      <c r="T332" s="30" t="n">
        <v>1.29577850877193</v>
      </c>
      <c r="U332" s="30" t="n">
        <v>1.51387746710526</v>
      </c>
      <c r="V332" s="29" t="n">
        <v>0</v>
      </c>
      <c r="W332" s="29" t="n">
        <f aca="false">IF(N(Q332)=0,"",Q332+IF(I332="yes",Q332*Inputs!$B$10*Inputs!$B$9,0)+V332)</f>
        <v>0.095</v>
      </c>
      <c r="X332" s="28" t="n">
        <f aca="false">IF(OR(N(W332)&lt;=0,N(N332)=0,N(L332)=0),"",MIN(L332,N332/W332))</f>
        <v>22.0394736842105</v>
      </c>
      <c r="Y332" s="29" t="n">
        <f aca="false">IF(OR(X332="",N(O332)=0),"",X332/O332-1)</f>
        <v>1.29577850877193</v>
      </c>
      <c r="Z332" s="29" t="n">
        <f aca="false">IF(OR(Y332="",N(O332)=0),"",Y332+N332/O332)</f>
        <v>1.51387746710526</v>
      </c>
      <c r="AA332" s="32" t="n">
        <f aca="false">IF(OR(Z332="",N(U332)=0),"",Z332-U332)</f>
        <v>0</v>
      </c>
      <c r="AB332" s="29" t="n">
        <f aca="false">IF(N(Q332)=0,"",Q332+IF(I332="yes",Q332*Inputs!$B$10*Inputs!$B$9,0)+IFERROR(INDEX(Inputs!$B$13:$B$15,MATCH(G332,Inputs!$A$13:$A$15,0)),0)+IFERROR(INDEX(Inputs!$B$18:$B$24,MATCH(H332,Inputs!$A$18:$A$24,0)),0))</f>
        <v>0.095</v>
      </c>
      <c r="AC332" s="28" t="n">
        <f aca="false">IF(OR(N(AB332)&lt;=0,N(N332)=0,N(L332)=0),"",MIN(L332,N332/AB332))</f>
        <v>22.0394736842105</v>
      </c>
      <c r="AD332" s="29" t="n">
        <f aca="false">IF(OR(AC332="",N(O332)=0),"",AC332/O332-1)</f>
        <v>1.29577850877193</v>
      </c>
      <c r="AE332" s="29" t="n">
        <f aca="false">IF(OR(AD332="",N(O332)=0),"",AD332+N332/O332)</f>
        <v>1.51387746710526</v>
      </c>
      <c r="AF332" s="32" t="n">
        <f aca="false">IF(OR(AE332="",N(Z332)=0),"",AE332-Z332)</f>
        <v>0</v>
      </c>
      <c r="AG332" s="28" t="n">
        <f aca="false">IF(AND(N(M332)&gt;0,N(L332)&gt;0),M332*L332,N332)</f>
        <v>2.09375</v>
      </c>
      <c r="AH332" s="28" t="n">
        <f aca="false">IF(OR(N(AB332)&lt;=0,N(AG332)=0,N(L332)=0),"",MIN(L332,AG332/AB332))</f>
        <v>22.0394736842105</v>
      </c>
      <c r="AI332" s="29" t="n">
        <f aca="false">IF(OR(AH332="",N(O332)=0),"",AH332/O332-1)</f>
        <v>1.29577850877193</v>
      </c>
      <c r="AJ332" s="29" t="n">
        <f aca="false">IF(OR(AI332="",N(O332)=0),"",AI332+AG332/O332)</f>
        <v>1.51387746710526</v>
      </c>
      <c r="AK332" s="32" t="n">
        <f aca="false">IF(OR(AJ332="",N(AE332)=0),"",AJ332-AE332)</f>
        <v>0</v>
      </c>
      <c r="AL332" s="33" t="n">
        <f aca="false">IF(N(F332)=0,"",INDEX(Inputs!$B$28:$B$32,IFERROR(MATCH(F332,Inputs!$A$28:$A$32,1),0)+1))</f>
        <v>0.085</v>
      </c>
      <c r="AM332" s="34"/>
      <c r="AN332" s="33" t="n">
        <f aca="false">IF(N(AM332)&gt;0,AM332,AL332)</f>
        <v>0.085</v>
      </c>
      <c r="AO332" s="29" t="n">
        <f aca="false">IF(N(AN332)=0,"",AN332+IF(I332="yes",AN332*Inputs!$B$10*Inputs!$B$9,0)+IFERROR(INDEX(Inputs!$B$13:$B$15,MATCH(G332,Inputs!$A$13:$A$15,0)),0)+IFERROR(INDEX(Inputs!$B$18:$B$24,MATCH(H332,Inputs!$A$18:$A$24,0)),0))</f>
        <v>0.08075</v>
      </c>
      <c r="AP332" s="28" t="n">
        <f aca="false">IF(OR(N(AO332)&lt;=0,N(AG332)=0,N(L332)=0),"",MIN(L332,AG332/AO332))</f>
        <v>25</v>
      </c>
      <c r="AQ332" s="29" t="n">
        <f aca="false">IF(OR(AP332="",N(O332)=0),"",AP332/O332-1)</f>
        <v>1.60416666666667</v>
      </c>
      <c r="AR332" s="29" t="n">
        <f aca="false">IF(OR(AQ332="",N(O332)=0),"",AQ332+AG332/O332)</f>
        <v>1.822265625</v>
      </c>
      <c r="AS332" s="32" t="n">
        <f aca="false">IF(OR(AR332="",N(AJ332)=0),"",AR332-AJ332)</f>
        <v>0.308388157894737</v>
      </c>
      <c r="AT332" s="28" t="n">
        <v>25</v>
      </c>
      <c r="AU332" s="28" t="n">
        <v>2.09</v>
      </c>
      <c r="AV332" s="28" t="n">
        <f aca="false">IF(N(AT332)&gt;0,AT332,L332)</f>
        <v>25</v>
      </c>
      <c r="AW332" s="28" t="n">
        <f aca="false">IF(AND(N(M332)&gt;0,N(AV332)&gt;0),M332*AV332,IF(N(AU332)&gt;0,AU332,N332))</f>
        <v>2.09375</v>
      </c>
      <c r="AX332" s="29" t="n">
        <f aca="false">IF(N(AN332)=0,"",AN332+IF(I332="yes",AN332*Inputs!$B$10*Inputs!$B$9,0)+IFERROR(INDEX(Inputs!$B$13:$B$15,MATCH(G332,Inputs!$A$13:$A$15,0)),0)+IFERROR(INDEX(Inputs!$B$18:$B$24,MATCH(H332,Inputs!$A$18:$A$24,0)),0))</f>
        <v>0.08075</v>
      </c>
      <c r="AY332" s="28" t="n">
        <f aca="false">IF(OR(N(AX332)&lt;=0,N(AW332)=0,N(AV332)=0),"",MIN(AV332,AW332/AX332))</f>
        <v>25</v>
      </c>
      <c r="AZ332" s="29" t="n">
        <f aca="false">IF(OR(AY332="",N(O332)=0),"",AY332/O332-1)</f>
        <v>1.60416666666667</v>
      </c>
      <c r="BA332" s="29" t="n">
        <f aca="false">IF(OR(AZ332="",N(O332)=0),"",AZ332+AW332/O332)</f>
        <v>1.822265625</v>
      </c>
      <c r="BB332" s="32" t="n">
        <f aca="false">IF(OR(BA332="",N(AR332)=0),"",BA332-AR332)</f>
        <v>0</v>
      </c>
      <c r="BC332" s="35" t="n">
        <f aca="false">IF(OR(BA332="",N(U332)=0),"",BA332-U332)</f>
        <v>0.308388157894737</v>
      </c>
      <c r="BD332" s="37"/>
    </row>
    <row r="333" customFormat="false" ht="15" hidden="false" customHeight="false" outlineLevel="0" collapsed="false">
      <c r="A333" s="2" t="s">
        <v>556</v>
      </c>
      <c r="B333" s="2" t="n">
        <v>205</v>
      </c>
      <c r="C333" s="2" t="s">
        <v>730</v>
      </c>
      <c r="D333" s="2" t="s">
        <v>716</v>
      </c>
      <c r="E333" s="2" t="s">
        <v>717</v>
      </c>
      <c r="F333" s="27" t="n">
        <v>3700</v>
      </c>
      <c r="G333" s="2" t="s">
        <v>51</v>
      </c>
      <c r="H333" s="2" t="s">
        <v>58</v>
      </c>
      <c r="I333" s="2" t="s">
        <v>151</v>
      </c>
      <c r="J333" s="2" t="s">
        <v>145</v>
      </c>
      <c r="K333" s="2" t="n">
        <v>4</v>
      </c>
      <c r="L333" s="28" t="n">
        <v>25</v>
      </c>
      <c r="M333" s="29" t="n">
        <v>0.0602</v>
      </c>
      <c r="N333" s="28" t="n">
        <v>1.505</v>
      </c>
      <c r="O333" s="28" t="n">
        <v>7.48</v>
      </c>
      <c r="P333" s="2" t="s">
        <v>146</v>
      </c>
      <c r="Q333" s="29" t="n">
        <v>0.1</v>
      </c>
      <c r="R333" s="30" t="n">
        <v>0.095</v>
      </c>
      <c r="S333" s="31" t="n">
        <v>15.8421052631579</v>
      </c>
      <c r="T333" s="30" t="n">
        <v>1.11792851111737</v>
      </c>
      <c r="U333" s="30" t="n">
        <v>1.31913171967352</v>
      </c>
      <c r="V333" s="29" t="n">
        <v>0</v>
      </c>
      <c r="W333" s="29" t="n">
        <f aca="false">IF(N(Q333)=0,"",Q333+IF(I333="yes",Q333*Inputs!$B$10*Inputs!$B$9,0)+V333)</f>
        <v>0.095</v>
      </c>
      <c r="X333" s="28" t="n">
        <f aca="false">IF(OR(N(W333)&lt;=0,N(N333)=0,N(L333)=0),"",MIN(L333,N333/W333))</f>
        <v>15.8421052631579</v>
      </c>
      <c r="Y333" s="29" t="n">
        <f aca="false">IF(OR(X333="",N(O333)=0),"",X333/O333-1)</f>
        <v>1.11792851111737</v>
      </c>
      <c r="Z333" s="29" t="n">
        <f aca="false">IF(OR(Y333="",N(O333)=0),"",Y333+N333/O333)</f>
        <v>1.31913171967352</v>
      </c>
      <c r="AA333" s="32" t="n">
        <f aca="false">IF(OR(Z333="",N(U333)=0),"",Z333-U333)</f>
        <v>0</v>
      </c>
      <c r="AB333" s="29" t="n">
        <f aca="false">IF(N(Q333)=0,"",Q333+IF(I333="yes",Q333*Inputs!$B$10*Inputs!$B$9,0)+IFERROR(INDEX(Inputs!$B$13:$B$15,MATCH(G333,Inputs!$A$13:$A$15,0)),0)+IFERROR(INDEX(Inputs!$B$18:$B$24,MATCH(H333,Inputs!$A$18:$A$24,0)),0))</f>
        <v>0.095</v>
      </c>
      <c r="AC333" s="28" t="n">
        <f aca="false">IF(OR(N(AB333)&lt;=0,N(N333)=0,N(L333)=0),"",MIN(L333,N333/AB333))</f>
        <v>15.8421052631579</v>
      </c>
      <c r="AD333" s="29" t="n">
        <f aca="false">IF(OR(AC333="",N(O333)=0),"",AC333/O333-1)</f>
        <v>1.11792851111737</v>
      </c>
      <c r="AE333" s="29" t="n">
        <f aca="false">IF(OR(AD333="",N(O333)=0),"",AD333+N333/O333)</f>
        <v>1.31913171967352</v>
      </c>
      <c r="AF333" s="32" t="n">
        <f aca="false">IF(OR(AE333="",N(Z333)=0),"",AE333-Z333)</f>
        <v>0</v>
      </c>
      <c r="AG333" s="28" t="n">
        <f aca="false">IF(AND(N(M333)&gt;0,N(L333)&gt;0),M333*L333,N333)</f>
        <v>1.505</v>
      </c>
      <c r="AH333" s="28" t="n">
        <f aca="false">IF(OR(N(AB333)&lt;=0,N(AG333)=0,N(L333)=0),"",MIN(L333,AG333/AB333))</f>
        <v>15.8421052631579</v>
      </c>
      <c r="AI333" s="29" t="n">
        <f aca="false">IF(OR(AH333="",N(O333)=0),"",AH333/O333-1)</f>
        <v>1.11792851111737</v>
      </c>
      <c r="AJ333" s="29" t="n">
        <f aca="false">IF(OR(AI333="",N(O333)=0),"",AI333+AG333/O333)</f>
        <v>1.31913171967352</v>
      </c>
      <c r="AK333" s="32" t="n">
        <f aca="false">IF(OR(AJ333="",N(AE333)=0),"",AJ333-AE333)</f>
        <v>0</v>
      </c>
      <c r="AL333" s="33" t="n">
        <f aca="false">IF(N(F333)=0,"",INDEX(Inputs!$B$28:$B$32,IFERROR(MATCH(F333,Inputs!$A$28:$A$32,1),0)+1))</f>
        <v>0.085</v>
      </c>
      <c r="AM333" s="34"/>
      <c r="AN333" s="33" t="n">
        <f aca="false">IF(N(AM333)&gt;0,AM333,AL333)</f>
        <v>0.085</v>
      </c>
      <c r="AO333" s="29" t="n">
        <f aca="false">IF(N(AN333)=0,"",AN333+IF(I333="yes",AN333*Inputs!$B$10*Inputs!$B$9,0)+IFERROR(INDEX(Inputs!$B$13:$B$15,MATCH(G333,Inputs!$A$13:$A$15,0)),0)+IFERROR(INDEX(Inputs!$B$18:$B$24,MATCH(H333,Inputs!$A$18:$A$24,0)),0))</f>
        <v>0.08075</v>
      </c>
      <c r="AP333" s="28" t="n">
        <f aca="false">IF(OR(N(AO333)&lt;=0,N(AG333)=0,N(L333)=0),"",MIN(L333,AG333/AO333))</f>
        <v>18.6377708978328</v>
      </c>
      <c r="AQ333" s="29" t="n">
        <f aca="false">IF(OR(AP333="",N(O333)=0),"",AP333/O333-1)</f>
        <v>1.49168060131455</v>
      </c>
      <c r="AR333" s="29" t="n">
        <f aca="false">IF(OR(AQ333="",N(O333)=0),"",AQ333+AG333/O333)</f>
        <v>1.6928838098707</v>
      </c>
      <c r="AS333" s="32" t="n">
        <f aca="false">IF(OR(AR333="",N(AJ333)=0),"",AR333-AJ333)</f>
        <v>0.373752090197182</v>
      </c>
      <c r="AT333" s="28" t="n">
        <v>25</v>
      </c>
      <c r="AU333" s="28" t="n">
        <v>1.51</v>
      </c>
      <c r="AV333" s="28" t="n">
        <f aca="false">IF(N(AT333)&gt;0,AT333,L333)</f>
        <v>25</v>
      </c>
      <c r="AW333" s="28" t="n">
        <f aca="false">IF(AND(N(M333)&gt;0,N(AV333)&gt;0),M333*AV333,IF(N(AU333)&gt;0,AU333,N333))</f>
        <v>1.505</v>
      </c>
      <c r="AX333" s="29" t="n">
        <f aca="false">IF(N(AN333)=0,"",AN333+IF(I333="yes",AN333*Inputs!$B$10*Inputs!$B$9,0)+IFERROR(INDEX(Inputs!$B$13:$B$15,MATCH(G333,Inputs!$A$13:$A$15,0)),0)+IFERROR(INDEX(Inputs!$B$18:$B$24,MATCH(H333,Inputs!$A$18:$A$24,0)),0))</f>
        <v>0.08075</v>
      </c>
      <c r="AY333" s="28" t="n">
        <f aca="false">IF(OR(N(AX333)&lt;=0,N(AW333)=0,N(AV333)=0),"",MIN(AV333,AW333/AX333))</f>
        <v>18.6377708978328</v>
      </c>
      <c r="AZ333" s="29" t="n">
        <f aca="false">IF(OR(AY333="",N(O333)=0),"",AY333/O333-1)</f>
        <v>1.49168060131455</v>
      </c>
      <c r="BA333" s="29" t="n">
        <f aca="false">IF(OR(AZ333="",N(O333)=0),"",AZ333+AW333/O333)</f>
        <v>1.6928838098707</v>
      </c>
      <c r="BB333" s="32" t="n">
        <f aca="false">IF(OR(BA333="",N(AR333)=0),"",BA333-AR333)</f>
        <v>0</v>
      </c>
      <c r="BC333" s="35" t="n">
        <f aca="false">IF(OR(BA333="",N(U333)=0),"",BA333-U333)</f>
        <v>0.373752090197182</v>
      </c>
      <c r="BD333" s="37"/>
    </row>
    <row r="334" customFormat="false" ht="15" hidden="false" customHeight="false" outlineLevel="0" collapsed="false">
      <c r="A334" s="2" t="s">
        <v>556</v>
      </c>
      <c r="B334" s="2" t="n">
        <v>206</v>
      </c>
      <c r="C334" s="2" t="s">
        <v>731</v>
      </c>
      <c r="D334" s="2" t="s">
        <v>716</v>
      </c>
      <c r="E334" s="2" t="s">
        <v>717</v>
      </c>
      <c r="F334" s="27" t="n">
        <v>3700</v>
      </c>
      <c r="G334" s="2" t="s">
        <v>51</v>
      </c>
      <c r="H334" s="2" t="s">
        <v>58</v>
      </c>
      <c r="I334" s="2" t="s">
        <v>151</v>
      </c>
      <c r="J334" s="2" t="s">
        <v>145</v>
      </c>
      <c r="K334" s="2" t="n">
        <v>4</v>
      </c>
      <c r="L334" s="28" t="n">
        <v>25</v>
      </c>
      <c r="M334" s="29" t="n">
        <v>0.0557</v>
      </c>
      <c r="N334" s="28" t="n">
        <v>1.3925</v>
      </c>
      <c r="O334" s="28" t="n">
        <v>7.81</v>
      </c>
      <c r="P334" s="2" t="s">
        <v>146</v>
      </c>
      <c r="Q334" s="29" t="n">
        <v>0.1</v>
      </c>
      <c r="R334" s="30" t="n">
        <v>0.095</v>
      </c>
      <c r="S334" s="31" t="n">
        <v>14.6578947368421</v>
      </c>
      <c r="T334" s="30" t="n">
        <v>0.876811105869668</v>
      </c>
      <c r="U334" s="30" t="n">
        <v>1.05510816092729</v>
      </c>
      <c r="V334" s="29" t="n">
        <v>0</v>
      </c>
      <c r="W334" s="29" t="n">
        <f aca="false">IF(N(Q334)=0,"",Q334+IF(I334="yes",Q334*Inputs!$B$10*Inputs!$B$9,0)+V334)</f>
        <v>0.095</v>
      </c>
      <c r="X334" s="28" t="n">
        <f aca="false">IF(OR(N(W334)&lt;=0,N(N334)=0,N(L334)=0),"",MIN(L334,N334/W334))</f>
        <v>14.6578947368421</v>
      </c>
      <c r="Y334" s="29" t="n">
        <f aca="false">IF(OR(X334="",N(O334)=0),"",X334/O334-1)</f>
        <v>0.876811105869668</v>
      </c>
      <c r="Z334" s="29" t="n">
        <f aca="false">IF(OR(Y334="",N(O334)=0),"",Y334+N334/O334)</f>
        <v>1.05510816092729</v>
      </c>
      <c r="AA334" s="32" t="n">
        <f aca="false">IF(OR(Z334="",N(U334)=0),"",Z334-U334)</f>
        <v>0</v>
      </c>
      <c r="AB334" s="29" t="n">
        <f aca="false">IF(N(Q334)=0,"",Q334+IF(I334="yes",Q334*Inputs!$B$10*Inputs!$B$9,0)+IFERROR(INDEX(Inputs!$B$13:$B$15,MATCH(G334,Inputs!$A$13:$A$15,0)),0)+IFERROR(INDEX(Inputs!$B$18:$B$24,MATCH(H334,Inputs!$A$18:$A$24,0)),0))</f>
        <v>0.095</v>
      </c>
      <c r="AC334" s="28" t="n">
        <f aca="false">IF(OR(N(AB334)&lt;=0,N(N334)=0,N(L334)=0),"",MIN(L334,N334/AB334))</f>
        <v>14.6578947368421</v>
      </c>
      <c r="AD334" s="29" t="n">
        <f aca="false">IF(OR(AC334="",N(O334)=0),"",AC334/O334-1)</f>
        <v>0.876811105869668</v>
      </c>
      <c r="AE334" s="29" t="n">
        <f aca="false">IF(OR(AD334="",N(O334)=0),"",AD334+N334/O334)</f>
        <v>1.05510816092729</v>
      </c>
      <c r="AF334" s="32" t="n">
        <f aca="false">IF(OR(AE334="",N(Z334)=0),"",AE334-Z334)</f>
        <v>0</v>
      </c>
      <c r="AG334" s="28" t="n">
        <f aca="false">IF(AND(N(M334)&gt;0,N(L334)&gt;0),M334*L334,N334)</f>
        <v>1.3925</v>
      </c>
      <c r="AH334" s="28" t="n">
        <f aca="false">IF(OR(N(AB334)&lt;=0,N(AG334)=0,N(L334)=0),"",MIN(L334,AG334/AB334))</f>
        <v>14.6578947368421</v>
      </c>
      <c r="AI334" s="29" t="n">
        <f aca="false">IF(OR(AH334="",N(O334)=0),"",AH334/O334-1)</f>
        <v>0.876811105869668</v>
      </c>
      <c r="AJ334" s="29" t="n">
        <f aca="false">IF(OR(AI334="",N(O334)=0),"",AI334+AG334/O334)</f>
        <v>1.05510816092729</v>
      </c>
      <c r="AK334" s="32" t="n">
        <f aca="false">IF(OR(AJ334="",N(AE334)=0),"",AJ334-AE334)</f>
        <v>0</v>
      </c>
      <c r="AL334" s="33" t="n">
        <f aca="false">IF(N(F334)=0,"",INDEX(Inputs!$B$28:$B$32,IFERROR(MATCH(F334,Inputs!$A$28:$A$32,1),0)+1))</f>
        <v>0.085</v>
      </c>
      <c r="AM334" s="34"/>
      <c r="AN334" s="33" t="n">
        <f aca="false">IF(N(AM334)&gt;0,AM334,AL334)</f>
        <v>0.085</v>
      </c>
      <c r="AO334" s="29" t="n">
        <f aca="false">IF(N(AN334)=0,"",AN334+IF(I334="yes",AN334*Inputs!$B$10*Inputs!$B$9,0)+IFERROR(INDEX(Inputs!$B$13:$B$15,MATCH(G334,Inputs!$A$13:$A$15,0)),0)+IFERROR(INDEX(Inputs!$B$18:$B$24,MATCH(H334,Inputs!$A$18:$A$24,0)),0))</f>
        <v>0.08075</v>
      </c>
      <c r="AP334" s="28" t="n">
        <f aca="false">IF(OR(N(AO334)&lt;=0,N(AG334)=0,N(L334)=0),"",MIN(L334,AG334/AO334))</f>
        <v>17.2445820433437</v>
      </c>
      <c r="AQ334" s="29" t="n">
        <f aca="false">IF(OR(AP334="",N(O334)=0),"",AP334/O334-1)</f>
        <v>1.20801306572902</v>
      </c>
      <c r="AR334" s="29" t="n">
        <f aca="false">IF(OR(AQ334="",N(O334)=0),"",AQ334+AG334/O334)</f>
        <v>1.38631012078664</v>
      </c>
      <c r="AS334" s="32" t="n">
        <f aca="false">IF(OR(AR334="",N(AJ334)=0),"",AR334-AJ334)</f>
        <v>0.331201959859353</v>
      </c>
      <c r="AT334" s="28" t="n">
        <v>25</v>
      </c>
      <c r="AU334" s="28" t="n">
        <v>1.39</v>
      </c>
      <c r="AV334" s="28" t="n">
        <f aca="false">IF(N(AT334)&gt;0,AT334,L334)</f>
        <v>25</v>
      </c>
      <c r="AW334" s="28" t="n">
        <f aca="false">IF(AND(N(M334)&gt;0,N(AV334)&gt;0),M334*AV334,IF(N(AU334)&gt;0,AU334,N334))</f>
        <v>1.3925</v>
      </c>
      <c r="AX334" s="29" t="n">
        <f aca="false">IF(N(AN334)=0,"",AN334+IF(I334="yes",AN334*Inputs!$B$10*Inputs!$B$9,0)+IFERROR(INDEX(Inputs!$B$13:$B$15,MATCH(G334,Inputs!$A$13:$A$15,0)),0)+IFERROR(INDEX(Inputs!$B$18:$B$24,MATCH(H334,Inputs!$A$18:$A$24,0)),0))</f>
        <v>0.08075</v>
      </c>
      <c r="AY334" s="28" t="n">
        <f aca="false">IF(OR(N(AX334)&lt;=0,N(AW334)=0,N(AV334)=0),"",MIN(AV334,AW334/AX334))</f>
        <v>17.2445820433437</v>
      </c>
      <c r="AZ334" s="29" t="n">
        <f aca="false">IF(OR(AY334="",N(O334)=0),"",AY334/O334-1)</f>
        <v>1.20801306572902</v>
      </c>
      <c r="BA334" s="29" t="n">
        <f aca="false">IF(OR(AZ334="",N(O334)=0),"",AZ334+AW334/O334)</f>
        <v>1.38631012078664</v>
      </c>
      <c r="BB334" s="32" t="n">
        <f aca="false">IF(OR(BA334="",N(AR334)=0),"",BA334-AR334)</f>
        <v>0</v>
      </c>
      <c r="BC334" s="35" t="n">
        <f aca="false">IF(OR(BA334="",N(U334)=0),"",BA334-U334)</f>
        <v>0.331201959859353</v>
      </c>
      <c r="BD334" s="37"/>
    </row>
    <row r="335" customFormat="false" ht="15" hidden="false" customHeight="false" outlineLevel="0" collapsed="false">
      <c r="A335" s="2" t="s">
        <v>556</v>
      </c>
      <c r="B335" s="2" t="n">
        <v>207</v>
      </c>
      <c r="C335" s="2" t="s">
        <v>732</v>
      </c>
      <c r="D335" s="2" t="s">
        <v>716</v>
      </c>
      <c r="E335" s="2" t="s">
        <v>717</v>
      </c>
      <c r="F335" s="27" t="n">
        <v>3700</v>
      </c>
      <c r="G335" s="2" t="s">
        <v>51</v>
      </c>
      <c r="H335" s="2" t="s">
        <v>58</v>
      </c>
      <c r="I335" s="2" t="s">
        <v>151</v>
      </c>
      <c r="J335" s="2" t="s">
        <v>145</v>
      </c>
      <c r="K335" s="2" t="n">
        <v>4</v>
      </c>
      <c r="L335" s="28" t="n">
        <v>25</v>
      </c>
      <c r="M335" s="29" t="n">
        <v>0.0566</v>
      </c>
      <c r="N335" s="28" t="n">
        <v>1.415</v>
      </c>
      <c r="O335" s="28" t="n">
        <v>7.95</v>
      </c>
      <c r="P335" s="2" t="s">
        <v>146</v>
      </c>
      <c r="Q335" s="29" t="n">
        <v>0.1</v>
      </c>
      <c r="R335" s="30" t="n">
        <v>0.095</v>
      </c>
      <c r="S335" s="31" t="n">
        <v>14.8947368421053</v>
      </c>
      <c r="T335" s="30" t="n">
        <v>0.873551804038398</v>
      </c>
      <c r="U335" s="30" t="n">
        <v>1.05153922542205</v>
      </c>
      <c r="V335" s="29" t="n">
        <v>0</v>
      </c>
      <c r="W335" s="29" t="n">
        <f aca="false">IF(N(Q335)=0,"",Q335+IF(I335="yes",Q335*Inputs!$B$10*Inputs!$B$9,0)+V335)</f>
        <v>0.095</v>
      </c>
      <c r="X335" s="28" t="n">
        <f aca="false">IF(OR(N(W335)&lt;=0,N(N335)=0,N(L335)=0),"",MIN(L335,N335/W335))</f>
        <v>14.8947368421053</v>
      </c>
      <c r="Y335" s="29" t="n">
        <f aca="false">IF(OR(X335="",N(O335)=0),"",X335/O335-1)</f>
        <v>0.873551804038398</v>
      </c>
      <c r="Z335" s="29" t="n">
        <f aca="false">IF(OR(Y335="",N(O335)=0),"",Y335+N335/O335)</f>
        <v>1.05153922542205</v>
      </c>
      <c r="AA335" s="32" t="n">
        <f aca="false">IF(OR(Z335="",N(U335)=0),"",Z335-U335)</f>
        <v>0</v>
      </c>
      <c r="AB335" s="29" t="n">
        <f aca="false">IF(N(Q335)=0,"",Q335+IF(I335="yes",Q335*Inputs!$B$10*Inputs!$B$9,0)+IFERROR(INDEX(Inputs!$B$13:$B$15,MATCH(G335,Inputs!$A$13:$A$15,0)),0)+IFERROR(INDEX(Inputs!$B$18:$B$24,MATCH(H335,Inputs!$A$18:$A$24,0)),0))</f>
        <v>0.095</v>
      </c>
      <c r="AC335" s="28" t="n">
        <f aca="false">IF(OR(N(AB335)&lt;=0,N(N335)=0,N(L335)=0),"",MIN(L335,N335/AB335))</f>
        <v>14.8947368421053</v>
      </c>
      <c r="AD335" s="29" t="n">
        <f aca="false">IF(OR(AC335="",N(O335)=0),"",AC335/O335-1)</f>
        <v>0.873551804038398</v>
      </c>
      <c r="AE335" s="29" t="n">
        <f aca="false">IF(OR(AD335="",N(O335)=0),"",AD335+N335/O335)</f>
        <v>1.05153922542205</v>
      </c>
      <c r="AF335" s="32" t="n">
        <f aca="false">IF(OR(AE335="",N(Z335)=0),"",AE335-Z335)</f>
        <v>0</v>
      </c>
      <c r="AG335" s="28" t="n">
        <f aca="false">IF(AND(N(M335)&gt;0,N(L335)&gt;0),M335*L335,N335)</f>
        <v>1.415</v>
      </c>
      <c r="AH335" s="28" t="n">
        <f aca="false">IF(OR(N(AB335)&lt;=0,N(AG335)=0,N(L335)=0),"",MIN(L335,AG335/AB335))</f>
        <v>14.8947368421053</v>
      </c>
      <c r="AI335" s="29" t="n">
        <f aca="false">IF(OR(AH335="",N(O335)=0),"",AH335/O335-1)</f>
        <v>0.873551804038398</v>
      </c>
      <c r="AJ335" s="29" t="n">
        <f aca="false">IF(OR(AI335="",N(O335)=0),"",AI335+AG335/O335)</f>
        <v>1.05153922542205</v>
      </c>
      <c r="AK335" s="32" t="n">
        <f aca="false">IF(OR(AJ335="",N(AE335)=0),"",AJ335-AE335)</f>
        <v>0</v>
      </c>
      <c r="AL335" s="33" t="n">
        <f aca="false">IF(N(F335)=0,"",INDEX(Inputs!$B$28:$B$32,IFERROR(MATCH(F335,Inputs!$A$28:$A$32,1),0)+1))</f>
        <v>0.085</v>
      </c>
      <c r="AM335" s="34"/>
      <c r="AN335" s="33" t="n">
        <f aca="false">IF(N(AM335)&gt;0,AM335,AL335)</f>
        <v>0.085</v>
      </c>
      <c r="AO335" s="29" t="n">
        <f aca="false">IF(N(AN335)=0,"",AN335+IF(I335="yes",AN335*Inputs!$B$10*Inputs!$B$9,0)+IFERROR(INDEX(Inputs!$B$13:$B$15,MATCH(G335,Inputs!$A$13:$A$15,0)),0)+IFERROR(INDEX(Inputs!$B$18:$B$24,MATCH(H335,Inputs!$A$18:$A$24,0)),0))</f>
        <v>0.08075</v>
      </c>
      <c r="AP335" s="28" t="n">
        <f aca="false">IF(OR(N(AO335)&lt;=0,N(AG335)=0,N(L335)=0),"",MIN(L335,AG335/AO335))</f>
        <v>17.5232198142415</v>
      </c>
      <c r="AQ335" s="29" t="n">
        <f aca="false">IF(OR(AP335="",N(O335)=0),"",AP335/O335-1)</f>
        <v>1.20417859298635</v>
      </c>
      <c r="AR335" s="29" t="n">
        <f aca="false">IF(OR(AQ335="",N(O335)=0),"",AQ335+AG335/O335)</f>
        <v>1.38216601437</v>
      </c>
      <c r="AS335" s="32" t="n">
        <f aca="false">IF(OR(AR335="",N(AJ335)=0),"",AR335-AJ335)</f>
        <v>0.330626788947953</v>
      </c>
      <c r="AT335" s="28" t="n">
        <v>25</v>
      </c>
      <c r="AU335" s="28" t="n">
        <v>1.42</v>
      </c>
      <c r="AV335" s="28" t="n">
        <f aca="false">IF(N(AT335)&gt;0,AT335,L335)</f>
        <v>25</v>
      </c>
      <c r="AW335" s="28" t="n">
        <f aca="false">IF(AND(N(M335)&gt;0,N(AV335)&gt;0),M335*AV335,IF(N(AU335)&gt;0,AU335,N335))</f>
        <v>1.415</v>
      </c>
      <c r="AX335" s="29" t="n">
        <f aca="false">IF(N(AN335)=0,"",AN335+IF(I335="yes",AN335*Inputs!$B$10*Inputs!$B$9,0)+IFERROR(INDEX(Inputs!$B$13:$B$15,MATCH(G335,Inputs!$A$13:$A$15,0)),0)+IFERROR(INDEX(Inputs!$B$18:$B$24,MATCH(H335,Inputs!$A$18:$A$24,0)),0))</f>
        <v>0.08075</v>
      </c>
      <c r="AY335" s="28" t="n">
        <f aca="false">IF(OR(N(AX335)&lt;=0,N(AW335)=0,N(AV335)=0),"",MIN(AV335,AW335/AX335))</f>
        <v>17.5232198142415</v>
      </c>
      <c r="AZ335" s="29" t="n">
        <f aca="false">IF(OR(AY335="",N(O335)=0),"",AY335/O335-1)</f>
        <v>1.20417859298635</v>
      </c>
      <c r="BA335" s="29" t="n">
        <f aca="false">IF(OR(AZ335="",N(O335)=0),"",AZ335+AW335/O335)</f>
        <v>1.38216601437</v>
      </c>
      <c r="BB335" s="32" t="n">
        <f aca="false">IF(OR(BA335="",N(AR335)=0),"",BA335-AR335)</f>
        <v>0</v>
      </c>
      <c r="BC335" s="35" t="n">
        <f aca="false">IF(OR(BA335="",N(U335)=0),"",BA335-U335)</f>
        <v>0.330626788947952</v>
      </c>
      <c r="BD335" s="37"/>
    </row>
    <row r="336" customFormat="false" ht="15" hidden="false" customHeight="false" outlineLevel="0" collapsed="false">
      <c r="A336" s="2" t="s">
        <v>556</v>
      </c>
      <c r="B336" s="2" t="n">
        <v>208</v>
      </c>
      <c r="C336" s="2" t="s">
        <v>733</v>
      </c>
      <c r="D336" s="2" t="s">
        <v>716</v>
      </c>
      <c r="E336" s="2" t="s">
        <v>717</v>
      </c>
      <c r="F336" s="27" t="n">
        <v>3700</v>
      </c>
      <c r="G336" s="2" t="s">
        <v>51</v>
      </c>
      <c r="H336" s="2" t="s">
        <v>58</v>
      </c>
      <c r="I336" s="2" t="s">
        <v>151</v>
      </c>
      <c r="J336" s="2" t="s">
        <v>145</v>
      </c>
      <c r="K336" s="2" t="n">
        <v>4</v>
      </c>
      <c r="L336" s="28" t="n">
        <v>25</v>
      </c>
      <c r="M336" s="29" t="n">
        <v>0.059</v>
      </c>
      <c r="N336" s="28" t="n">
        <v>1.475</v>
      </c>
      <c r="O336" s="28" t="n">
        <v>7.95</v>
      </c>
      <c r="P336" s="2" t="s">
        <v>146</v>
      </c>
      <c r="Q336" s="29" t="n">
        <v>0.1</v>
      </c>
      <c r="R336" s="30" t="n">
        <v>0.095</v>
      </c>
      <c r="S336" s="31" t="n">
        <v>15.5263157894737</v>
      </c>
      <c r="T336" s="30" t="n">
        <v>0.952995696789143</v>
      </c>
      <c r="U336" s="30" t="n">
        <v>1.13853028798411</v>
      </c>
      <c r="V336" s="29" t="n">
        <v>0</v>
      </c>
      <c r="W336" s="29" t="n">
        <f aca="false">IF(N(Q336)=0,"",Q336+IF(I336="yes",Q336*Inputs!$B$10*Inputs!$B$9,0)+V336)</f>
        <v>0.095</v>
      </c>
      <c r="X336" s="28" t="n">
        <f aca="false">IF(OR(N(W336)&lt;=0,N(N336)=0,N(L336)=0),"",MIN(L336,N336/W336))</f>
        <v>15.5263157894737</v>
      </c>
      <c r="Y336" s="29" t="n">
        <f aca="false">IF(OR(X336="",N(O336)=0),"",X336/O336-1)</f>
        <v>0.952995696789143</v>
      </c>
      <c r="Z336" s="29" t="n">
        <f aca="false">IF(OR(Y336="",N(O336)=0),"",Y336+N336/O336)</f>
        <v>1.13853028798411</v>
      </c>
      <c r="AA336" s="32" t="n">
        <f aca="false">IF(OR(Z336="",N(U336)=0),"",Z336-U336)</f>
        <v>0</v>
      </c>
      <c r="AB336" s="29" t="n">
        <f aca="false">IF(N(Q336)=0,"",Q336+IF(I336="yes",Q336*Inputs!$B$10*Inputs!$B$9,0)+IFERROR(INDEX(Inputs!$B$13:$B$15,MATCH(G336,Inputs!$A$13:$A$15,0)),0)+IFERROR(INDEX(Inputs!$B$18:$B$24,MATCH(H336,Inputs!$A$18:$A$24,0)),0))</f>
        <v>0.095</v>
      </c>
      <c r="AC336" s="28" t="n">
        <f aca="false">IF(OR(N(AB336)&lt;=0,N(N336)=0,N(L336)=0),"",MIN(L336,N336/AB336))</f>
        <v>15.5263157894737</v>
      </c>
      <c r="AD336" s="29" t="n">
        <f aca="false">IF(OR(AC336="",N(O336)=0),"",AC336/O336-1)</f>
        <v>0.952995696789143</v>
      </c>
      <c r="AE336" s="29" t="n">
        <f aca="false">IF(OR(AD336="",N(O336)=0),"",AD336+N336/O336)</f>
        <v>1.13853028798411</v>
      </c>
      <c r="AF336" s="32" t="n">
        <f aca="false">IF(OR(AE336="",N(Z336)=0),"",AE336-Z336)</f>
        <v>0</v>
      </c>
      <c r="AG336" s="28" t="n">
        <f aca="false">IF(AND(N(M336)&gt;0,N(L336)&gt;0),M336*L336,N336)</f>
        <v>1.475</v>
      </c>
      <c r="AH336" s="28" t="n">
        <f aca="false">IF(OR(N(AB336)&lt;=0,N(AG336)=0,N(L336)=0),"",MIN(L336,AG336/AB336))</f>
        <v>15.5263157894737</v>
      </c>
      <c r="AI336" s="29" t="n">
        <f aca="false">IF(OR(AH336="",N(O336)=0),"",AH336/O336-1)</f>
        <v>0.952995696789142</v>
      </c>
      <c r="AJ336" s="29" t="n">
        <f aca="false">IF(OR(AI336="",N(O336)=0),"",AI336+AG336/O336)</f>
        <v>1.13853028798411</v>
      </c>
      <c r="AK336" s="32" t="n">
        <f aca="false">IF(OR(AJ336="",N(AE336)=0),"",AJ336-AE336)</f>
        <v>0</v>
      </c>
      <c r="AL336" s="33" t="n">
        <f aca="false">IF(N(F336)=0,"",INDEX(Inputs!$B$28:$B$32,IFERROR(MATCH(F336,Inputs!$A$28:$A$32,1),0)+1))</f>
        <v>0.085</v>
      </c>
      <c r="AM336" s="34"/>
      <c r="AN336" s="33" t="n">
        <f aca="false">IF(N(AM336)&gt;0,AM336,AL336)</f>
        <v>0.085</v>
      </c>
      <c r="AO336" s="29" t="n">
        <f aca="false">IF(N(AN336)=0,"",AN336+IF(I336="yes",AN336*Inputs!$B$10*Inputs!$B$9,0)+IFERROR(INDEX(Inputs!$B$13:$B$15,MATCH(G336,Inputs!$A$13:$A$15,0)),0)+IFERROR(INDEX(Inputs!$B$18:$B$24,MATCH(H336,Inputs!$A$18:$A$24,0)),0))</f>
        <v>0.08075</v>
      </c>
      <c r="AP336" s="28" t="n">
        <f aca="false">IF(OR(N(AO336)&lt;=0,N(AG336)=0,N(L336)=0),"",MIN(L336,AG336/AO336))</f>
        <v>18.266253869969</v>
      </c>
      <c r="AQ336" s="29" t="n">
        <f aca="false">IF(OR(AP336="",N(O336)=0),"",AP336/O336-1)</f>
        <v>1.29764199622252</v>
      </c>
      <c r="AR336" s="29" t="n">
        <f aca="false">IF(OR(AQ336="",N(O336)=0),"",AQ336+AG336/O336)</f>
        <v>1.48317658741749</v>
      </c>
      <c r="AS336" s="32" t="n">
        <f aca="false">IF(OR(AR336="",N(AJ336)=0),"",AR336-AJ336)</f>
        <v>0.344646299433378</v>
      </c>
      <c r="AT336" s="28" t="n">
        <v>25</v>
      </c>
      <c r="AU336" s="28" t="n">
        <v>1.48</v>
      </c>
      <c r="AV336" s="28" t="n">
        <f aca="false">IF(N(AT336)&gt;0,AT336,L336)</f>
        <v>25</v>
      </c>
      <c r="AW336" s="28" t="n">
        <f aca="false">IF(AND(N(M336)&gt;0,N(AV336)&gt;0),M336*AV336,IF(N(AU336)&gt;0,AU336,N336))</f>
        <v>1.475</v>
      </c>
      <c r="AX336" s="29" t="n">
        <f aca="false">IF(N(AN336)=0,"",AN336+IF(I336="yes",AN336*Inputs!$B$10*Inputs!$B$9,0)+IFERROR(INDEX(Inputs!$B$13:$B$15,MATCH(G336,Inputs!$A$13:$A$15,0)),0)+IFERROR(INDEX(Inputs!$B$18:$B$24,MATCH(H336,Inputs!$A$18:$A$24,0)),0))</f>
        <v>0.08075</v>
      </c>
      <c r="AY336" s="28" t="n">
        <f aca="false">IF(OR(N(AX336)&lt;=0,N(AW336)=0,N(AV336)=0),"",MIN(AV336,AW336/AX336))</f>
        <v>18.266253869969</v>
      </c>
      <c r="AZ336" s="29" t="n">
        <f aca="false">IF(OR(AY336="",N(O336)=0),"",AY336/O336-1)</f>
        <v>1.29764199622252</v>
      </c>
      <c r="BA336" s="29" t="n">
        <f aca="false">IF(OR(AZ336="",N(O336)=0),"",AZ336+AW336/O336)</f>
        <v>1.48317658741749</v>
      </c>
      <c r="BB336" s="32" t="n">
        <f aca="false">IF(OR(BA336="",N(AR336)=0),"",BA336-AR336)</f>
        <v>0</v>
      </c>
      <c r="BC336" s="35" t="n">
        <f aca="false">IF(OR(BA336="",N(U336)=0),"",BA336-U336)</f>
        <v>0.344646299433378</v>
      </c>
      <c r="BD336" s="37"/>
    </row>
    <row r="337" customFormat="false" ht="15" hidden="false" customHeight="false" outlineLevel="0" collapsed="false">
      <c r="A337" s="2" t="s">
        <v>556</v>
      </c>
      <c r="B337" s="2" t="n">
        <v>211</v>
      </c>
      <c r="C337" s="2" t="s">
        <v>734</v>
      </c>
      <c r="D337" s="2" t="s">
        <v>735</v>
      </c>
      <c r="E337" s="2" t="s">
        <v>736</v>
      </c>
      <c r="F337" s="27" t="n">
        <v>6500</v>
      </c>
      <c r="G337" s="2" t="s">
        <v>51</v>
      </c>
      <c r="H337" s="2" t="s">
        <v>58</v>
      </c>
      <c r="I337" s="2" t="s">
        <v>151</v>
      </c>
      <c r="J337" s="2" t="s">
        <v>145</v>
      </c>
      <c r="K337" s="2" t="n">
        <v>4</v>
      </c>
      <c r="L337" s="28" t="n">
        <v>25</v>
      </c>
      <c r="M337" s="29" t="n">
        <v>0.0725</v>
      </c>
      <c r="N337" s="28" t="n">
        <v>1.8125</v>
      </c>
      <c r="O337" s="28" t="n">
        <v>0</v>
      </c>
      <c r="P337" s="2" t="s">
        <v>146</v>
      </c>
      <c r="Q337" s="29" t="n">
        <v>0.085</v>
      </c>
      <c r="R337" s="30" t="n">
        <v>0.08075</v>
      </c>
      <c r="S337" s="31" t="n">
        <v>22.4458204334365</v>
      </c>
      <c r="T337" s="30"/>
      <c r="U337" s="30"/>
      <c r="V337" s="29" t="n">
        <v>0</v>
      </c>
      <c r="W337" s="29" t="n">
        <f aca="false">IF(N(Q337)=0,"",Q337+IF(I337="yes",Q337*Inputs!$B$10*Inputs!$B$9,0)+V337)</f>
        <v>0.08075</v>
      </c>
      <c r="X337" s="28" t="n">
        <f aca="false">IF(OR(N(W337)&lt;=0,N(N337)=0,N(L337)=0),"",MIN(L337,N337/W337))</f>
        <v>22.4458204334365</v>
      </c>
      <c r="Y337" s="29" t="str">
        <f aca="false">IF(OR(X337="",N(O337)=0),"",X337/O337-1)</f>
        <v/>
      </c>
      <c r="Z337" s="29" t="str">
        <f aca="false">IF(OR(Y337="",N(O337)=0),"",Y337+N337/O337)</f>
        <v/>
      </c>
      <c r="AA337" s="32" t="str">
        <f aca="false">IF(OR(Z337="",N(U337)=0),"",Z337-U337)</f>
        <v/>
      </c>
      <c r="AB337" s="29" t="n">
        <f aca="false">IF(N(Q337)=0,"",Q337+IF(I337="yes",Q337*Inputs!$B$10*Inputs!$B$9,0)+IFERROR(INDEX(Inputs!$B$13:$B$15,MATCH(G337,Inputs!$A$13:$A$15,0)),0)+IFERROR(INDEX(Inputs!$B$18:$B$24,MATCH(H337,Inputs!$A$18:$A$24,0)),0))</f>
        <v>0.08075</v>
      </c>
      <c r="AC337" s="28" t="n">
        <f aca="false">IF(OR(N(AB337)&lt;=0,N(N337)=0,N(L337)=0),"",MIN(L337,N337/AB337))</f>
        <v>22.4458204334365</v>
      </c>
      <c r="AD337" s="29" t="str">
        <f aca="false">IF(OR(AC337="",N(O337)=0),"",AC337/O337-1)</f>
        <v/>
      </c>
      <c r="AE337" s="29" t="str">
        <f aca="false">IF(OR(AD337="",N(O337)=0),"",AD337+N337/O337)</f>
        <v/>
      </c>
      <c r="AF337" s="32" t="str">
        <f aca="false">IF(OR(AE337="",N(Z337)=0),"",AE337-Z337)</f>
        <v/>
      </c>
      <c r="AG337" s="28" t="n">
        <f aca="false">IF(AND(N(M337)&gt;0,N(L337)&gt;0),M337*L337,N337)</f>
        <v>1.8125</v>
      </c>
      <c r="AH337" s="28" t="n">
        <f aca="false">IF(OR(N(AB337)&lt;=0,N(AG337)=0,N(L337)=0),"",MIN(L337,AG337/AB337))</f>
        <v>22.4458204334365</v>
      </c>
      <c r="AI337" s="29" t="str">
        <f aca="false">IF(OR(AH337="",N(O337)=0),"",AH337/O337-1)</f>
        <v/>
      </c>
      <c r="AJ337" s="29" t="str">
        <f aca="false">IF(OR(AI337="",N(O337)=0),"",AI337+AG337/O337)</f>
        <v/>
      </c>
      <c r="AK337" s="32" t="str">
        <f aca="false">IF(OR(AJ337="",N(AE337)=0),"",AJ337-AE337)</f>
        <v/>
      </c>
      <c r="AL337" s="33" t="n">
        <f aca="false">IF(N(F337)=0,"",INDEX(Inputs!$B$28:$B$32,IFERROR(MATCH(F337,Inputs!$A$28:$A$32,1),0)+1))</f>
        <v>0.08</v>
      </c>
      <c r="AM337" s="34"/>
      <c r="AN337" s="33" t="n">
        <f aca="false">IF(N(AM337)&gt;0,AM337,AL337)</f>
        <v>0.08</v>
      </c>
      <c r="AO337" s="29" t="n">
        <f aca="false">IF(N(AN337)=0,"",AN337+IF(I337="yes",AN337*Inputs!$B$10*Inputs!$B$9,0)+IFERROR(INDEX(Inputs!$B$13:$B$15,MATCH(G337,Inputs!$A$13:$A$15,0)),0)+IFERROR(INDEX(Inputs!$B$18:$B$24,MATCH(H337,Inputs!$A$18:$A$24,0)),0))</f>
        <v>0.076</v>
      </c>
      <c r="AP337" s="28" t="n">
        <f aca="false">IF(OR(N(AO337)&lt;=0,N(AG337)=0,N(L337)=0),"",MIN(L337,AG337/AO337))</f>
        <v>23.8486842105263</v>
      </c>
      <c r="AQ337" s="29" t="str">
        <f aca="false">IF(OR(AP337="",N(O337)=0),"",AP337/O337-1)</f>
        <v/>
      </c>
      <c r="AR337" s="29" t="str">
        <f aca="false">IF(OR(AQ337="",N(O337)=0),"",AQ337+AG337/O337)</f>
        <v/>
      </c>
      <c r="AS337" s="32" t="str">
        <f aca="false">IF(OR(AR337="",N(AJ337)=0),"",AR337-AJ337)</f>
        <v/>
      </c>
      <c r="AT337" s="28"/>
      <c r="AU337" s="28"/>
      <c r="AV337" s="28" t="n">
        <f aca="false">IF(N(AT337)&gt;0,AT337,L337)</f>
        <v>25</v>
      </c>
      <c r="AW337" s="28" t="n">
        <f aca="false">IF(AND(N(M337)&gt;0,N(AV337)&gt;0),M337*AV337,IF(N(AU337)&gt;0,AU337,N337))</f>
        <v>1.8125</v>
      </c>
      <c r="AX337" s="29" t="n">
        <f aca="false">IF(N(AN337)=0,"",AN337+IF(I337="yes",AN337*Inputs!$B$10*Inputs!$B$9,0)+IFERROR(INDEX(Inputs!$B$13:$B$15,MATCH(G337,Inputs!$A$13:$A$15,0)),0)+IFERROR(INDEX(Inputs!$B$18:$B$24,MATCH(H337,Inputs!$A$18:$A$24,0)),0))</f>
        <v>0.076</v>
      </c>
      <c r="AY337" s="28" t="n">
        <f aca="false">IF(OR(N(AX337)&lt;=0,N(AW337)=0,N(AV337)=0),"",MIN(AV337,AW337/AX337))</f>
        <v>23.8486842105263</v>
      </c>
      <c r="AZ337" s="29" t="str">
        <f aca="false">IF(OR(AY337="",N(O337)=0),"",AY337/O337-1)</f>
        <v/>
      </c>
      <c r="BA337" s="29" t="str">
        <f aca="false">IF(OR(AZ337="",N(O337)=0),"",AZ337+AW337/O337)</f>
        <v/>
      </c>
      <c r="BB337" s="32" t="str">
        <f aca="false">IF(OR(BA337="",N(AR337)=0),"",BA337-AR337)</f>
        <v/>
      </c>
      <c r="BC337" s="35" t="str">
        <f aca="false">IF(OR(BA337="",N(U337)=0),"",BA337-U337)</f>
        <v/>
      </c>
      <c r="BD337" s="36" t="s">
        <v>198</v>
      </c>
    </row>
    <row r="338" customFormat="false" ht="15" hidden="false" customHeight="false" outlineLevel="0" collapsed="false">
      <c r="A338" s="2" t="s">
        <v>556</v>
      </c>
      <c r="B338" s="2" t="n">
        <v>215</v>
      </c>
      <c r="C338" s="2" t="s">
        <v>737</v>
      </c>
      <c r="D338" s="2" t="s">
        <v>738</v>
      </c>
      <c r="E338" s="2" t="s">
        <v>739</v>
      </c>
      <c r="F338" s="27" t="n">
        <v>7200</v>
      </c>
      <c r="G338" s="2" t="s">
        <v>51</v>
      </c>
      <c r="H338" s="2" t="s">
        <v>58</v>
      </c>
      <c r="I338" s="2" t="s">
        <v>151</v>
      </c>
      <c r="J338" s="2" t="s">
        <v>145</v>
      </c>
      <c r="K338" s="2" t="n">
        <v>4</v>
      </c>
      <c r="L338" s="28" t="n">
        <v>50</v>
      </c>
      <c r="M338" s="29" t="n">
        <v>0.0475</v>
      </c>
      <c r="N338" s="28" t="n">
        <v>2.375</v>
      </c>
      <c r="O338" s="28" t="n">
        <v>13.4</v>
      </c>
      <c r="P338" s="2" t="s">
        <v>146</v>
      </c>
      <c r="Q338" s="29" t="n">
        <v>0.1</v>
      </c>
      <c r="R338" s="30" t="n">
        <v>0.095</v>
      </c>
      <c r="S338" s="31" t="n">
        <v>25</v>
      </c>
      <c r="T338" s="30" t="n">
        <v>0.865671641791045</v>
      </c>
      <c r="U338" s="30" t="n">
        <v>1.04291044776119</v>
      </c>
      <c r="V338" s="29" t="n">
        <v>0</v>
      </c>
      <c r="W338" s="29" t="n">
        <f aca="false">IF(N(Q338)=0,"",Q338+IF(I338="yes",Q338*Inputs!$B$10*Inputs!$B$9,0)+V338)</f>
        <v>0.095</v>
      </c>
      <c r="X338" s="28" t="n">
        <f aca="false">IF(OR(N(W338)&lt;=0,N(N338)=0,N(L338)=0),"",MIN(L338,N338/W338))</f>
        <v>25</v>
      </c>
      <c r="Y338" s="29" t="n">
        <f aca="false">IF(OR(X338="",N(O338)=0),"",X338/O338-1)</f>
        <v>0.865671641791045</v>
      </c>
      <c r="Z338" s="29" t="n">
        <f aca="false">IF(OR(Y338="",N(O338)=0),"",Y338+N338/O338)</f>
        <v>1.04291044776119</v>
      </c>
      <c r="AA338" s="32" t="n">
        <f aca="false">IF(OR(Z338="",N(U338)=0),"",Z338-U338)</f>
        <v>0</v>
      </c>
      <c r="AB338" s="29" t="n">
        <f aca="false">IF(N(Q338)=0,"",Q338+IF(I338="yes",Q338*Inputs!$B$10*Inputs!$B$9,0)+IFERROR(INDEX(Inputs!$B$13:$B$15,MATCH(G338,Inputs!$A$13:$A$15,0)),0)+IFERROR(INDEX(Inputs!$B$18:$B$24,MATCH(H338,Inputs!$A$18:$A$24,0)),0))</f>
        <v>0.095</v>
      </c>
      <c r="AC338" s="28" t="n">
        <f aca="false">IF(OR(N(AB338)&lt;=0,N(N338)=0,N(L338)=0),"",MIN(L338,N338/AB338))</f>
        <v>25</v>
      </c>
      <c r="AD338" s="29" t="n">
        <f aca="false">IF(OR(AC338="",N(O338)=0),"",AC338/O338-1)</f>
        <v>0.865671641791045</v>
      </c>
      <c r="AE338" s="29" t="n">
        <f aca="false">IF(OR(AD338="",N(O338)=0),"",AD338+N338/O338)</f>
        <v>1.04291044776119</v>
      </c>
      <c r="AF338" s="32" t="n">
        <f aca="false">IF(OR(AE338="",N(Z338)=0),"",AE338-Z338)</f>
        <v>0</v>
      </c>
      <c r="AG338" s="28" t="n">
        <f aca="false">IF(AND(N(M338)&gt;0,N(L338)&gt;0),M338*L338,N338)</f>
        <v>2.375</v>
      </c>
      <c r="AH338" s="28" t="n">
        <f aca="false">IF(OR(N(AB338)&lt;=0,N(AG338)=0,N(L338)=0),"",MIN(L338,AG338/AB338))</f>
        <v>25</v>
      </c>
      <c r="AI338" s="29" t="n">
        <f aca="false">IF(OR(AH338="",N(O338)=0),"",AH338/O338-1)</f>
        <v>0.865671641791045</v>
      </c>
      <c r="AJ338" s="29" t="n">
        <f aca="false">IF(OR(AI338="",N(O338)=0),"",AI338+AG338/O338)</f>
        <v>1.04291044776119</v>
      </c>
      <c r="AK338" s="32" t="n">
        <f aca="false">IF(OR(AJ338="",N(AE338)=0),"",AJ338-AE338)</f>
        <v>0</v>
      </c>
      <c r="AL338" s="33" t="n">
        <f aca="false">IF(N(F338)=0,"",INDEX(Inputs!$B$28:$B$32,IFERROR(MATCH(F338,Inputs!$A$28:$A$32,1),0)+1))</f>
        <v>0.08</v>
      </c>
      <c r="AM338" s="34"/>
      <c r="AN338" s="33" t="n">
        <f aca="false">IF(N(AM338)&gt;0,AM338,AL338)</f>
        <v>0.08</v>
      </c>
      <c r="AO338" s="29" t="n">
        <f aca="false">IF(N(AN338)=0,"",AN338+IF(I338="yes",AN338*Inputs!$B$10*Inputs!$B$9,0)+IFERROR(INDEX(Inputs!$B$13:$B$15,MATCH(G338,Inputs!$A$13:$A$15,0)),0)+IFERROR(INDEX(Inputs!$B$18:$B$24,MATCH(H338,Inputs!$A$18:$A$24,0)),0))</f>
        <v>0.076</v>
      </c>
      <c r="AP338" s="28" t="n">
        <f aca="false">IF(OR(N(AO338)&lt;=0,N(AG338)=0,N(L338)=0),"",MIN(L338,AG338/AO338))</f>
        <v>31.25</v>
      </c>
      <c r="AQ338" s="29" t="n">
        <f aca="false">IF(OR(AP338="",N(O338)=0),"",AP338/O338-1)</f>
        <v>1.33208955223881</v>
      </c>
      <c r="AR338" s="29" t="n">
        <f aca="false">IF(OR(AQ338="",N(O338)=0),"",AQ338+AG338/O338)</f>
        <v>1.50932835820896</v>
      </c>
      <c r="AS338" s="32" t="n">
        <f aca="false">IF(OR(AR338="",N(AJ338)=0),"",AR338-AJ338)</f>
        <v>0.466417910447761</v>
      </c>
      <c r="AT338" s="28" t="n">
        <v>50</v>
      </c>
      <c r="AU338" s="28" t="n">
        <v>2.38</v>
      </c>
      <c r="AV338" s="28" t="n">
        <f aca="false">IF(N(AT338)&gt;0,AT338,L338)</f>
        <v>50</v>
      </c>
      <c r="AW338" s="28" t="n">
        <f aca="false">IF(AND(N(M338)&gt;0,N(AV338)&gt;0),M338*AV338,IF(N(AU338)&gt;0,AU338,N338))</f>
        <v>2.375</v>
      </c>
      <c r="AX338" s="29" t="n">
        <f aca="false">IF(N(AN338)=0,"",AN338+IF(I338="yes",AN338*Inputs!$B$10*Inputs!$B$9,0)+IFERROR(INDEX(Inputs!$B$13:$B$15,MATCH(G338,Inputs!$A$13:$A$15,0)),0)+IFERROR(INDEX(Inputs!$B$18:$B$24,MATCH(H338,Inputs!$A$18:$A$24,0)),0))</f>
        <v>0.076</v>
      </c>
      <c r="AY338" s="28" t="n">
        <f aca="false">IF(OR(N(AX338)&lt;=0,N(AW338)=0,N(AV338)=0),"",MIN(AV338,AW338/AX338))</f>
        <v>31.25</v>
      </c>
      <c r="AZ338" s="29" t="n">
        <f aca="false">IF(OR(AY338="",N(O338)=0),"",AY338/O338-1)</f>
        <v>1.33208955223881</v>
      </c>
      <c r="BA338" s="29" t="n">
        <f aca="false">IF(OR(AZ338="",N(O338)=0),"",AZ338+AW338/O338)</f>
        <v>1.50932835820896</v>
      </c>
      <c r="BB338" s="32" t="n">
        <f aca="false">IF(OR(BA338="",N(AR338)=0),"",BA338-AR338)</f>
        <v>0</v>
      </c>
      <c r="BC338" s="35" t="n">
        <f aca="false">IF(OR(BA338="",N(U338)=0),"",BA338-U338)</f>
        <v>0.466417910447762</v>
      </c>
      <c r="BD338" s="37"/>
    </row>
    <row r="339" customFormat="false" ht="15" hidden="false" customHeight="false" outlineLevel="0" collapsed="false">
      <c r="A339" s="2" t="s">
        <v>556</v>
      </c>
      <c r="B339" s="2" t="n">
        <v>216</v>
      </c>
      <c r="C339" s="2" t="s">
        <v>740</v>
      </c>
      <c r="D339" s="2" t="s">
        <v>738</v>
      </c>
      <c r="E339" s="2" t="s">
        <v>739</v>
      </c>
      <c r="F339" s="27" t="n">
        <v>7200</v>
      </c>
      <c r="G339" s="2" t="s">
        <v>51</v>
      </c>
      <c r="H339" s="2" t="s">
        <v>58</v>
      </c>
      <c r="I339" s="2" t="s">
        <v>151</v>
      </c>
      <c r="J339" s="2" t="s">
        <v>145</v>
      </c>
      <c r="K339" s="2" t="n">
        <v>4</v>
      </c>
      <c r="L339" s="28" t="n">
        <v>50</v>
      </c>
      <c r="M339" s="29" t="n">
        <v>0.051</v>
      </c>
      <c r="N339" s="28" t="n">
        <v>2.55</v>
      </c>
      <c r="O339" s="28" t="n">
        <v>13.11</v>
      </c>
      <c r="P339" s="2" t="s">
        <v>146</v>
      </c>
      <c r="Q339" s="29" t="n">
        <v>0.1</v>
      </c>
      <c r="R339" s="30" t="n">
        <v>0.095</v>
      </c>
      <c r="S339" s="31" t="n">
        <v>26.8421052631579</v>
      </c>
      <c r="T339" s="30" t="n">
        <v>1.04745272792966</v>
      </c>
      <c r="U339" s="30" t="n">
        <v>1.24196073708298</v>
      </c>
      <c r="V339" s="29" t="n">
        <v>0</v>
      </c>
      <c r="W339" s="29" t="n">
        <f aca="false">IF(N(Q339)=0,"",Q339+IF(I339="yes",Q339*Inputs!$B$10*Inputs!$B$9,0)+V339)</f>
        <v>0.095</v>
      </c>
      <c r="X339" s="28" t="n">
        <f aca="false">IF(OR(N(W339)&lt;=0,N(N339)=0,N(L339)=0),"",MIN(L339,N339/W339))</f>
        <v>26.8421052631579</v>
      </c>
      <c r="Y339" s="29" t="n">
        <f aca="false">IF(OR(X339="",N(O339)=0),"",X339/O339-1)</f>
        <v>1.04745272792966</v>
      </c>
      <c r="Z339" s="29" t="n">
        <f aca="false">IF(OR(Y339="",N(O339)=0),"",Y339+N339/O339)</f>
        <v>1.24196073708298</v>
      </c>
      <c r="AA339" s="32" t="n">
        <f aca="false">IF(OR(Z339="",N(U339)=0),"",Z339-U339)</f>
        <v>0</v>
      </c>
      <c r="AB339" s="29" t="n">
        <f aca="false">IF(N(Q339)=0,"",Q339+IF(I339="yes",Q339*Inputs!$B$10*Inputs!$B$9,0)+IFERROR(INDEX(Inputs!$B$13:$B$15,MATCH(G339,Inputs!$A$13:$A$15,0)),0)+IFERROR(INDEX(Inputs!$B$18:$B$24,MATCH(H339,Inputs!$A$18:$A$24,0)),0))</f>
        <v>0.095</v>
      </c>
      <c r="AC339" s="28" t="n">
        <f aca="false">IF(OR(N(AB339)&lt;=0,N(N339)=0,N(L339)=0),"",MIN(L339,N339/AB339))</f>
        <v>26.8421052631579</v>
      </c>
      <c r="AD339" s="29" t="n">
        <f aca="false">IF(OR(AC339="",N(O339)=0),"",AC339/O339-1)</f>
        <v>1.04745272792966</v>
      </c>
      <c r="AE339" s="29" t="n">
        <f aca="false">IF(OR(AD339="",N(O339)=0),"",AD339+N339/O339)</f>
        <v>1.24196073708298</v>
      </c>
      <c r="AF339" s="32" t="n">
        <f aca="false">IF(OR(AE339="",N(Z339)=0),"",AE339-Z339)</f>
        <v>0</v>
      </c>
      <c r="AG339" s="28" t="n">
        <f aca="false">IF(AND(N(M339)&gt;0,N(L339)&gt;0),M339*L339,N339)</f>
        <v>2.55</v>
      </c>
      <c r="AH339" s="28" t="n">
        <f aca="false">IF(OR(N(AB339)&lt;=0,N(AG339)=0,N(L339)=0),"",MIN(L339,AG339/AB339))</f>
        <v>26.8421052631579</v>
      </c>
      <c r="AI339" s="29" t="n">
        <f aca="false">IF(OR(AH339="",N(O339)=0),"",AH339/O339-1)</f>
        <v>1.04745272792966</v>
      </c>
      <c r="AJ339" s="29" t="n">
        <f aca="false">IF(OR(AI339="",N(O339)=0),"",AI339+AG339/O339)</f>
        <v>1.24196073708298</v>
      </c>
      <c r="AK339" s="32" t="n">
        <f aca="false">IF(OR(AJ339="",N(AE339)=0),"",AJ339-AE339)</f>
        <v>0</v>
      </c>
      <c r="AL339" s="33" t="n">
        <f aca="false">IF(N(F339)=0,"",INDEX(Inputs!$B$28:$B$32,IFERROR(MATCH(F339,Inputs!$A$28:$A$32,1),0)+1))</f>
        <v>0.08</v>
      </c>
      <c r="AM339" s="34"/>
      <c r="AN339" s="33" t="n">
        <f aca="false">IF(N(AM339)&gt;0,AM339,AL339)</f>
        <v>0.08</v>
      </c>
      <c r="AO339" s="29" t="n">
        <f aca="false">IF(N(AN339)=0,"",AN339+IF(I339="yes",AN339*Inputs!$B$10*Inputs!$B$9,0)+IFERROR(INDEX(Inputs!$B$13:$B$15,MATCH(G339,Inputs!$A$13:$A$15,0)),0)+IFERROR(INDEX(Inputs!$B$18:$B$24,MATCH(H339,Inputs!$A$18:$A$24,0)),0))</f>
        <v>0.076</v>
      </c>
      <c r="AP339" s="28" t="n">
        <f aca="false">IF(OR(N(AO339)&lt;=0,N(AG339)=0,N(L339)=0),"",MIN(L339,AG339/AO339))</f>
        <v>33.5526315789474</v>
      </c>
      <c r="AQ339" s="29" t="n">
        <f aca="false">IF(OR(AP339="",N(O339)=0),"",AP339/O339-1)</f>
        <v>1.55931590991208</v>
      </c>
      <c r="AR339" s="29" t="n">
        <f aca="false">IF(OR(AQ339="",N(O339)=0),"",AQ339+AG339/O339)</f>
        <v>1.7538239190654</v>
      </c>
      <c r="AS339" s="32" t="n">
        <f aca="false">IF(OR(AR339="",N(AJ339)=0),"",AR339-AJ339)</f>
        <v>0.511863181982416</v>
      </c>
      <c r="AT339" s="28" t="n">
        <v>50</v>
      </c>
      <c r="AU339" s="28" t="n">
        <v>2.55</v>
      </c>
      <c r="AV339" s="28" t="n">
        <f aca="false">IF(N(AT339)&gt;0,AT339,L339)</f>
        <v>50</v>
      </c>
      <c r="AW339" s="28" t="n">
        <f aca="false">IF(AND(N(M339)&gt;0,N(AV339)&gt;0),M339*AV339,IF(N(AU339)&gt;0,AU339,N339))</f>
        <v>2.55</v>
      </c>
      <c r="AX339" s="29" t="n">
        <f aca="false">IF(N(AN339)=0,"",AN339+IF(I339="yes",AN339*Inputs!$B$10*Inputs!$B$9,0)+IFERROR(INDEX(Inputs!$B$13:$B$15,MATCH(G339,Inputs!$A$13:$A$15,0)),0)+IFERROR(INDEX(Inputs!$B$18:$B$24,MATCH(H339,Inputs!$A$18:$A$24,0)),0))</f>
        <v>0.076</v>
      </c>
      <c r="AY339" s="28" t="n">
        <f aca="false">IF(OR(N(AX339)&lt;=0,N(AW339)=0,N(AV339)=0),"",MIN(AV339,AW339/AX339))</f>
        <v>33.5526315789474</v>
      </c>
      <c r="AZ339" s="29" t="n">
        <f aca="false">IF(OR(AY339="",N(O339)=0),"",AY339/O339-1)</f>
        <v>1.55931590991208</v>
      </c>
      <c r="BA339" s="29" t="n">
        <f aca="false">IF(OR(AZ339="",N(O339)=0),"",AZ339+AW339/O339)</f>
        <v>1.7538239190654</v>
      </c>
      <c r="BB339" s="32" t="n">
        <f aca="false">IF(OR(BA339="",N(AR339)=0),"",BA339-AR339)</f>
        <v>0</v>
      </c>
      <c r="BC339" s="35" t="n">
        <f aca="false">IF(OR(BA339="",N(U339)=0),"",BA339-U339)</f>
        <v>0.511863181982416</v>
      </c>
      <c r="BD339" s="37"/>
    </row>
    <row r="340" customFormat="false" ht="15" hidden="false" customHeight="false" outlineLevel="0" collapsed="false">
      <c r="A340" s="2" t="s">
        <v>556</v>
      </c>
      <c r="B340" s="2" t="n">
        <v>217</v>
      </c>
      <c r="C340" s="2" t="s">
        <v>741</v>
      </c>
      <c r="D340" s="2" t="s">
        <v>738</v>
      </c>
      <c r="E340" s="2" t="s">
        <v>739</v>
      </c>
      <c r="F340" s="27" t="n">
        <v>7200</v>
      </c>
      <c r="G340" s="2" t="s">
        <v>51</v>
      </c>
      <c r="H340" s="2" t="s">
        <v>58</v>
      </c>
      <c r="I340" s="2" t="s">
        <v>151</v>
      </c>
      <c r="J340" s="2" t="s">
        <v>145</v>
      </c>
      <c r="K340" s="2" t="n">
        <v>4</v>
      </c>
      <c r="L340" s="28" t="n">
        <v>50</v>
      </c>
      <c r="M340" s="29" t="n">
        <v>0.05125</v>
      </c>
      <c r="N340" s="28" t="n">
        <v>2.5625</v>
      </c>
      <c r="O340" s="28" t="n">
        <v>14.625</v>
      </c>
      <c r="P340" s="2" t="s">
        <v>146</v>
      </c>
      <c r="Q340" s="29" t="n">
        <v>0.1</v>
      </c>
      <c r="R340" s="30" t="n">
        <v>0.095</v>
      </c>
      <c r="S340" s="31" t="n">
        <v>26.9736842105263</v>
      </c>
      <c r="T340" s="30" t="n">
        <v>0.844354475933423</v>
      </c>
      <c r="U340" s="30" t="n">
        <v>1.0195681511471</v>
      </c>
      <c r="V340" s="29" t="n">
        <v>0</v>
      </c>
      <c r="W340" s="29" t="n">
        <f aca="false">IF(N(Q340)=0,"",Q340+IF(I340="yes",Q340*Inputs!$B$10*Inputs!$B$9,0)+V340)</f>
        <v>0.095</v>
      </c>
      <c r="X340" s="28" t="n">
        <f aca="false">IF(OR(N(W340)&lt;=0,N(N340)=0,N(L340)=0),"",MIN(L340,N340/W340))</f>
        <v>26.9736842105263</v>
      </c>
      <c r="Y340" s="29" t="n">
        <f aca="false">IF(OR(X340="",N(O340)=0),"",X340/O340-1)</f>
        <v>0.844354475933423</v>
      </c>
      <c r="Z340" s="29" t="n">
        <f aca="false">IF(OR(Y340="",N(O340)=0),"",Y340+N340/O340)</f>
        <v>1.0195681511471</v>
      </c>
      <c r="AA340" s="32" t="n">
        <f aca="false">IF(OR(Z340="",N(U340)=0),"",Z340-U340)</f>
        <v>0</v>
      </c>
      <c r="AB340" s="29" t="n">
        <f aca="false">IF(N(Q340)=0,"",Q340+IF(I340="yes",Q340*Inputs!$B$10*Inputs!$B$9,0)+IFERROR(INDEX(Inputs!$B$13:$B$15,MATCH(G340,Inputs!$A$13:$A$15,0)),0)+IFERROR(INDEX(Inputs!$B$18:$B$24,MATCH(H340,Inputs!$A$18:$A$24,0)),0))</f>
        <v>0.095</v>
      </c>
      <c r="AC340" s="28" t="n">
        <f aca="false">IF(OR(N(AB340)&lt;=0,N(N340)=0,N(L340)=0),"",MIN(L340,N340/AB340))</f>
        <v>26.9736842105263</v>
      </c>
      <c r="AD340" s="29" t="n">
        <f aca="false">IF(OR(AC340="",N(O340)=0),"",AC340/O340-1)</f>
        <v>0.844354475933423</v>
      </c>
      <c r="AE340" s="29" t="n">
        <f aca="false">IF(OR(AD340="",N(O340)=0),"",AD340+N340/O340)</f>
        <v>1.0195681511471</v>
      </c>
      <c r="AF340" s="32" t="n">
        <f aca="false">IF(OR(AE340="",N(Z340)=0),"",AE340-Z340)</f>
        <v>0</v>
      </c>
      <c r="AG340" s="28" t="n">
        <f aca="false">IF(AND(N(M340)&gt;0,N(L340)&gt;0),M340*L340,N340)</f>
        <v>2.5625</v>
      </c>
      <c r="AH340" s="28" t="n">
        <f aca="false">IF(OR(N(AB340)&lt;=0,N(AG340)=0,N(L340)=0),"",MIN(L340,AG340/AB340))</f>
        <v>26.9736842105263</v>
      </c>
      <c r="AI340" s="29" t="n">
        <f aca="false">IF(OR(AH340="",N(O340)=0),"",AH340/O340-1)</f>
        <v>0.844354475933423</v>
      </c>
      <c r="AJ340" s="29" t="n">
        <f aca="false">IF(OR(AI340="",N(O340)=0),"",AI340+AG340/O340)</f>
        <v>1.0195681511471</v>
      </c>
      <c r="AK340" s="32" t="n">
        <f aca="false">IF(OR(AJ340="",N(AE340)=0),"",AJ340-AE340)</f>
        <v>0</v>
      </c>
      <c r="AL340" s="33" t="n">
        <f aca="false">IF(N(F340)=0,"",INDEX(Inputs!$B$28:$B$32,IFERROR(MATCH(F340,Inputs!$A$28:$A$32,1),0)+1))</f>
        <v>0.08</v>
      </c>
      <c r="AM340" s="34"/>
      <c r="AN340" s="33" t="n">
        <f aca="false">IF(N(AM340)&gt;0,AM340,AL340)</f>
        <v>0.08</v>
      </c>
      <c r="AO340" s="29" t="n">
        <f aca="false">IF(N(AN340)=0,"",AN340+IF(I340="yes",AN340*Inputs!$B$10*Inputs!$B$9,0)+IFERROR(INDEX(Inputs!$B$13:$B$15,MATCH(G340,Inputs!$A$13:$A$15,0)),0)+IFERROR(INDEX(Inputs!$B$18:$B$24,MATCH(H340,Inputs!$A$18:$A$24,0)),0))</f>
        <v>0.076</v>
      </c>
      <c r="AP340" s="28" t="n">
        <f aca="false">IF(OR(N(AO340)&lt;=0,N(AG340)=0,N(L340)=0),"",MIN(L340,AG340/AO340))</f>
        <v>33.7171052631579</v>
      </c>
      <c r="AQ340" s="29" t="n">
        <f aca="false">IF(OR(AP340="",N(O340)=0),"",AP340/O340-1)</f>
        <v>1.30544309491678</v>
      </c>
      <c r="AR340" s="29" t="n">
        <f aca="false">IF(OR(AQ340="",N(O340)=0),"",AQ340+AG340/O340)</f>
        <v>1.48065677013045</v>
      </c>
      <c r="AS340" s="32" t="n">
        <f aca="false">IF(OR(AR340="",N(AJ340)=0),"",AR340-AJ340)</f>
        <v>0.461088618983356</v>
      </c>
      <c r="AT340" s="28" t="n">
        <v>50</v>
      </c>
      <c r="AU340" s="28" t="n">
        <v>2.56</v>
      </c>
      <c r="AV340" s="28" t="n">
        <f aca="false">IF(N(AT340)&gt;0,AT340,L340)</f>
        <v>50</v>
      </c>
      <c r="AW340" s="28" t="n">
        <f aca="false">IF(AND(N(M340)&gt;0,N(AV340)&gt;0),M340*AV340,IF(N(AU340)&gt;0,AU340,N340))</f>
        <v>2.5625</v>
      </c>
      <c r="AX340" s="29" t="n">
        <f aca="false">IF(N(AN340)=0,"",AN340+IF(I340="yes",AN340*Inputs!$B$10*Inputs!$B$9,0)+IFERROR(INDEX(Inputs!$B$13:$B$15,MATCH(G340,Inputs!$A$13:$A$15,0)),0)+IFERROR(INDEX(Inputs!$B$18:$B$24,MATCH(H340,Inputs!$A$18:$A$24,0)),0))</f>
        <v>0.076</v>
      </c>
      <c r="AY340" s="28" t="n">
        <f aca="false">IF(OR(N(AX340)&lt;=0,N(AW340)=0,N(AV340)=0),"",MIN(AV340,AW340/AX340))</f>
        <v>33.7171052631579</v>
      </c>
      <c r="AZ340" s="29" t="n">
        <f aca="false">IF(OR(AY340="",N(O340)=0),"",AY340/O340-1)</f>
        <v>1.30544309491678</v>
      </c>
      <c r="BA340" s="29" t="n">
        <f aca="false">IF(OR(AZ340="",N(O340)=0),"",AZ340+AW340/O340)</f>
        <v>1.48065677013045</v>
      </c>
      <c r="BB340" s="32" t="n">
        <f aca="false">IF(OR(BA340="",N(AR340)=0),"",BA340-AR340)</f>
        <v>0</v>
      </c>
      <c r="BC340" s="35" t="n">
        <f aca="false">IF(OR(BA340="",N(U340)=0),"",BA340-U340)</f>
        <v>0.461088618983357</v>
      </c>
      <c r="BD340" s="37"/>
    </row>
    <row r="341" customFormat="false" ht="15" hidden="false" customHeight="false" outlineLevel="0" collapsed="false">
      <c r="A341" s="2" t="s">
        <v>556</v>
      </c>
      <c r="B341" s="2" t="n">
        <v>218</v>
      </c>
      <c r="C341" s="2" t="s">
        <v>742</v>
      </c>
      <c r="D341" s="2" t="s">
        <v>738</v>
      </c>
      <c r="E341" s="2" t="s">
        <v>739</v>
      </c>
      <c r="F341" s="27" t="n">
        <v>7200</v>
      </c>
      <c r="G341" s="2" t="s">
        <v>51</v>
      </c>
      <c r="H341" s="2" t="s">
        <v>58</v>
      </c>
      <c r="I341" s="2" t="s">
        <v>151</v>
      </c>
      <c r="J341" s="2" t="s">
        <v>145</v>
      </c>
      <c r="K341" s="2" t="n">
        <v>4</v>
      </c>
      <c r="L341" s="28" t="n">
        <v>50</v>
      </c>
      <c r="M341" s="29" t="n">
        <v>0.05375</v>
      </c>
      <c r="N341" s="28" t="n">
        <v>2.6875</v>
      </c>
      <c r="O341" s="28" t="n">
        <v>14.25</v>
      </c>
      <c r="P341" s="2" t="s">
        <v>146</v>
      </c>
      <c r="Q341" s="29" t="n">
        <v>0.1</v>
      </c>
      <c r="R341" s="30" t="n">
        <v>0.095</v>
      </c>
      <c r="S341" s="31" t="n">
        <v>28.2894736842105</v>
      </c>
      <c r="T341" s="30" t="n">
        <v>0.98522622345337</v>
      </c>
      <c r="U341" s="30" t="n">
        <v>1.17382271468144</v>
      </c>
      <c r="V341" s="29" t="n">
        <v>0</v>
      </c>
      <c r="W341" s="29" t="n">
        <f aca="false">IF(N(Q341)=0,"",Q341+IF(I341="yes",Q341*Inputs!$B$10*Inputs!$B$9,0)+V341)</f>
        <v>0.095</v>
      </c>
      <c r="X341" s="28" t="n">
        <f aca="false">IF(OR(N(W341)&lt;=0,N(N341)=0,N(L341)=0),"",MIN(L341,N341/W341))</f>
        <v>28.2894736842105</v>
      </c>
      <c r="Y341" s="29" t="n">
        <f aca="false">IF(OR(X341="",N(O341)=0),"",X341/O341-1)</f>
        <v>0.98522622345337</v>
      </c>
      <c r="Z341" s="29" t="n">
        <f aca="false">IF(OR(Y341="",N(O341)=0),"",Y341+N341/O341)</f>
        <v>1.17382271468144</v>
      </c>
      <c r="AA341" s="32" t="n">
        <f aca="false">IF(OR(Z341="",N(U341)=0),"",Z341-U341)</f>
        <v>0</v>
      </c>
      <c r="AB341" s="29" t="n">
        <f aca="false">IF(N(Q341)=0,"",Q341+IF(I341="yes",Q341*Inputs!$B$10*Inputs!$B$9,0)+IFERROR(INDEX(Inputs!$B$13:$B$15,MATCH(G341,Inputs!$A$13:$A$15,0)),0)+IFERROR(INDEX(Inputs!$B$18:$B$24,MATCH(H341,Inputs!$A$18:$A$24,0)),0))</f>
        <v>0.095</v>
      </c>
      <c r="AC341" s="28" t="n">
        <f aca="false">IF(OR(N(AB341)&lt;=0,N(N341)=0,N(L341)=0),"",MIN(L341,N341/AB341))</f>
        <v>28.2894736842105</v>
      </c>
      <c r="AD341" s="29" t="n">
        <f aca="false">IF(OR(AC341="",N(O341)=0),"",AC341/O341-1)</f>
        <v>0.98522622345337</v>
      </c>
      <c r="AE341" s="29" t="n">
        <f aca="false">IF(OR(AD341="",N(O341)=0),"",AD341+N341/O341)</f>
        <v>1.17382271468144</v>
      </c>
      <c r="AF341" s="32" t="n">
        <f aca="false">IF(OR(AE341="",N(Z341)=0),"",AE341-Z341)</f>
        <v>0</v>
      </c>
      <c r="AG341" s="28" t="n">
        <f aca="false">IF(AND(N(M341)&gt;0,N(L341)&gt;0),M341*L341,N341)</f>
        <v>2.6875</v>
      </c>
      <c r="AH341" s="28" t="n">
        <f aca="false">IF(OR(N(AB341)&lt;=0,N(AG341)=0,N(L341)=0),"",MIN(L341,AG341/AB341))</f>
        <v>28.2894736842105</v>
      </c>
      <c r="AI341" s="29" t="n">
        <f aca="false">IF(OR(AH341="",N(O341)=0),"",AH341/O341-1)</f>
        <v>0.98522622345337</v>
      </c>
      <c r="AJ341" s="29" t="n">
        <f aca="false">IF(OR(AI341="",N(O341)=0),"",AI341+AG341/O341)</f>
        <v>1.17382271468144</v>
      </c>
      <c r="AK341" s="32" t="n">
        <f aca="false">IF(OR(AJ341="",N(AE341)=0),"",AJ341-AE341)</f>
        <v>0</v>
      </c>
      <c r="AL341" s="33" t="n">
        <f aca="false">IF(N(F341)=0,"",INDEX(Inputs!$B$28:$B$32,IFERROR(MATCH(F341,Inputs!$A$28:$A$32,1),0)+1))</f>
        <v>0.08</v>
      </c>
      <c r="AM341" s="34"/>
      <c r="AN341" s="33" t="n">
        <f aca="false">IF(N(AM341)&gt;0,AM341,AL341)</f>
        <v>0.08</v>
      </c>
      <c r="AO341" s="29" t="n">
        <f aca="false">IF(N(AN341)=0,"",AN341+IF(I341="yes",AN341*Inputs!$B$10*Inputs!$B$9,0)+IFERROR(INDEX(Inputs!$B$13:$B$15,MATCH(G341,Inputs!$A$13:$A$15,0)),0)+IFERROR(INDEX(Inputs!$B$18:$B$24,MATCH(H341,Inputs!$A$18:$A$24,0)),0))</f>
        <v>0.076</v>
      </c>
      <c r="AP341" s="28" t="n">
        <f aca="false">IF(OR(N(AO341)&lt;=0,N(AG341)=0,N(L341)=0),"",MIN(L341,AG341/AO341))</f>
        <v>35.3618421052632</v>
      </c>
      <c r="AQ341" s="29" t="n">
        <f aca="false">IF(OR(AP341="",N(O341)=0),"",AP341/O341-1)</f>
        <v>1.48153277931671</v>
      </c>
      <c r="AR341" s="29" t="n">
        <f aca="false">IF(OR(AQ341="",N(O341)=0),"",AQ341+AG341/O341)</f>
        <v>1.67012927054478</v>
      </c>
      <c r="AS341" s="32" t="n">
        <f aca="false">IF(OR(AR341="",N(AJ341)=0),"",AR341-AJ341)</f>
        <v>0.496306555863343</v>
      </c>
      <c r="AT341" s="28" t="n">
        <v>50</v>
      </c>
      <c r="AU341" s="28" t="n">
        <v>2.69</v>
      </c>
      <c r="AV341" s="28" t="n">
        <f aca="false">IF(N(AT341)&gt;0,AT341,L341)</f>
        <v>50</v>
      </c>
      <c r="AW341" s="28" t="n">
        <f aca="false">IF(AND(N(M341)&gt;0,N(AV341)&gt;0),M341*AV341,IF(N(AU341)&gt;0,AU341,N341))</f>
        <v>2.6875</v>
      </c>
      <c r="AX341" s="29" t="n">
        <f aca="false">IF(N(AN341)=0,"",AN341+IF(I341="yes",AN341*Inputs!$B$10*Inputs!$B$9,0)+IFERROR(INDEX(Inputs!$B$13:$B$15,MATCH(G341,Inputs!$A$13:$A$15,0)),0)+IFERROR(INDEX(Inputs!$B$18:$B$24,MATCH(H341,Inputs!$A$18:$A$24,0)),0))</f>
        <v>0.076</v>
      </c>
      <c r="AY341" s="28" t="n">
        <f aca="false">IF(OR(N(AX341)&lt;=0,N(AW341)=0,N(AV341)=0),"",MIN(AV341,AW341/AX341))</f>
        <v>35.3618421052632</v>
      </c>
      <c r="AZ341" s="29" t="n">
        <f aca="false">IF(OR(AY341="",N(O341)=0),"",AY341/O341-1)</f>
        <v>1.48153277931671</v>
      </c>
      <c r="BA341" s="29" t="n">
        <f aca="false">IF(OR(AZ341="",N(O341)=0),"",AZ341+AW341/O341)</f>
        <v>1.67012927054478</v>
      </c>
      <c r="BB341" s="32" t="n">
        <f aca="false">IF(OR(BA341="",N(AR341)=0),"",BA341-AR341)</f>
        <v>0</v>
      </c>
      <c r="BC341" s="35" t="n">
        <f aca="false">IF(OR(BA341="",N(U341)=0),"",BA341-U341)</f>
        <v>0.496306555863342</v>
      </c>
      <c r="BD341" s="37"/>
    </row>
    <row r="342" customFormat="false" ht="15" hidden="false" customHeight="false" outlineLevel="0" collapsed="false">
      <c r="A342" s="2" t="s">
        <v>556</v>
      </c>
      <c r="B342" s="2" t="n">
        <v>219</v>
      </c>
      <c r="C342" s="2" t="s">
        <v>743</v>
      </c>
      <c r="D342" s="2" t="s">
        <v>738</v>
      </c>
      <c r="E342" s="2" t="s">
        <v>739</v>
      </c>
      <c r="F342" s="27" t="n">
        <v>7200</v>
      </c>
      <c r="G342" s="2" t="s">
        <v>51</v>
      </c>
      <c r="H342" s="2" t="s">
        <v>58</v>
      </c>
      <c r="I342" s="2" t="s">
        <v>151</v>
      </c>
      <c r="J342" s="2" t="s">
        <v>145</v>
      </c>
      <c r="K342" s="2" t="n">
        <v>4</v>
      </c>
      <c r="L342" s="28" t="n">
        <v>50</v>
      </c>
      <c r="M342" s="29" t="n">
        <v>0.055</v>
      </c>
      <c r="N342" s="28" t="n">
        <v>2.75</v>
      </c>
      <c r="O342" s="28" t="n">
        <v>14.75</v>
      </c>
      <c r="P342" s="2" t="s">
        <v>146</v>
      </c>
      <c r="Q342" s="29" t="n">
        <v>0.1</v>
      </c>
      <c r="R342" s="30" t="n">
        <v>0.095</v>
      </c>
      <c r="S342" s="31" t="n">
        <v>28.9473684210526</v>
      </c>
      <c r="T342" s="30" t="n">
        <v>0.962533452274755</v>
      </c>
      <c r="U342" s="30" t="n">
        <v>1.14897413024086</v>
      </c>
      <c r="V342" s="29" t="n">
        <v>0</v>
      </c>
      <c r="W342" s="29" t="n">
        <f aca="false">IF(N(Q342)=0,"",Q342+IF(I342="yes",Q342*Inputs!$B$10*Inputs!$B$9,0)+V342)</f>
        <v>0.095</v>
      </c>
      <c r="X342" s="28" t="n">
        <f aca="false">IF(OR(N(W342)&lt;=0,N(N342)=0,N(L342)=0),"",MIN(L342,N342/W342))</f>
        <v>28.9473684210526</v>
      </c>
      <c r="Y342" s="29" t="n">
        <f aca="false">IF(OR(X342="",N(O342)=0),"",X342/O342-1)</f>
        <v>0.962533452274755</v>
      </c>
      <c r="Z342" s="29" t="n">
        <f aca="false">IF(OR(Y342="",N(O342)=0),"",Y342+N342/O342)</f>
        <v>1.14897413024086</v>
      </c>
      <c r="AA342" s="32" t="n">
        <f aca="false">IF(OR(Z342="",N(U342)=0),"",Z342-U342)</f>
        <v>0</v>
      </c>
      <c r="AB342" s="29" t="n">
        <f aca="false">IF(N(Q342)=0,"",Q342+IF(I342="yes",Q342*Inputs!$B$10*Inputs!$B$9,0)+IFERROR(INDEX(Inputs!$B$13:$B$15,MATCH(G342,Inputs!$A$13:$A$15,0)),0)+IFERROR(INDEX(Inputs!$B$18:$B$24,MATCH(H342,Inputs!$A$18:$A$24,0)),0))</f>
        <v>0.095</v>
      </c>
      <c r="AC342" s="28" t="n">
        <f aca="false">IF(OR(N(AB342)&lt;=0,N(N342)=0,N(L342)=0),"",MIN(L342,N342/AB342))</f>
        <v>28.9473684210526</v>
      </c>
      <c r="AD342" s="29" t="n">
        <f aca="false">IF(OR(AC342="",N(O342)=0),"",AC342/O342-1)</f>
        <v>0.962533452274755</v>
      </c>
      <c r="AE342" s="29" t="n">
        <f aca="false">IF(OR(AD342="",N(O342)=0),"",AD342+N342/O342)</f>
        <v>1.14897413024086</v>
      </c>
      <c r="AF342" s="32" t="n">
        <f aca="false">IF(OR(AE342="",N(Z342)=0),"",AE342-Z342)</f>
        <v>0</v>
      </c>
      <c r="AG342" s="28" t="n">
        <f aca="false">IF(AND(N(M342)&gt;0,N(L342)&gt;0),M342*L342,N342)</f>
        <v>2.75</v>
      </c>
      <c r="AH342" s="28" t="n">
        <f aca="false">IF(OR(N(AB342)&lt;=0,N(AG342)=0,N(L342)=0),"",MIN(L342,AG342/AB342))</f>
        <v>28.9473684210526</v>
      </c>
      <c r="AI342" s="29" t="n">
        <f aca="false">IF(OR(AH342="",N(O342)=0),"",AH342/O342-1)</f>
        <v>0.962533452274755</v>
      </c>
      <c r="AJ342" s="29" t="n">
        <f aca="false">IF(OR(AI342="",N(O342)=0),"",AI342+AG342/O342)</f>
        <v>1.14897413024086</v>
      </c>
      <c r="AK342" s="32" t="n">
        <f aca="false">IF(OR(AJ342="",N(AE342)=0),"",AJ342-AE342)</f>
        <v>0</v>
      </c>
      <c r="AL342" s="33" t="n">
        <f aca="false">IF(N(F342)=0,"",INDEX(Inputs!$B$28:$B$32,IFERROR(MATCH(F342,Inputs!$A$28:$A$32,1),0)+1))</f>
        <v>0.08</v>
      </c>
      <c r="AM342" s="34"/>
      <c r="AN342" s="33" t="n">
        <f aca="false">IF(N(AM342)&gt;0,AM342,AL342)</f>
        <v>0.08</v>
      </c>
      <c r="AO342" s="29" t="n">
        <f aca="false">IF(N(AN342)=0,"",AN342+IF(I342="yes",AN342*Inputs!$B$10*Inputs!$B$9,0)+IFERROR(INDEX(Inputs!$B$13:$B$15,MATCH(G342,Inputs!$A$13:$A$15,0)),0)+IFERROR(INDEX(Inputs!$B$18:$B$24,MATCH(H342,Inputs!$A$18:$A$24,0)),0))</f>
        <v>0.076</v>
      </c>
      <c r="AP342" s="28" t="n">
        <f aca="false">IF(OR(N(AO342)&lt;=0,N(AG342)=0,N(L342)=0),"",MIN(L342,AG342/AO342))</f>
        <v>36.1842105263158</v>
      </c>
      <c r="AQ342" s="29" t="n">
        <f aca="false">IF(OR(AP342="",N(O342)=0),"",AP342/O342-1)</f>
        <v>1.45316681534344</v>
      </c>
      <c r="AR342" s="29" t="n">
        <f aca="false">IF(OR(AQ342="",N(O342)=0),"",AQ342+AG342/O342)</f>
        <v>1.63960749330955</v>
      </c>
      <c r="AS342" s="32" t="n">
        <f aca="false">IF(OR(AR342="",N(AJ342)=0),"",AR342-AJ342)</f>
        <v>0.490633363068689</v>
      </c>
      <c r="AT342" s="28" t="n">
        <v>50</v>
      </c>
      <c r="AU342" s="28" t="n">
        <v>2.75</v>
      </c>
      <c r="AV342" s="28" t="n">
        <f aca="false">IF(N(AT342)&gt;0,AT342,L342)</f>
        <v>50</v>
      </c>
      <c r="AW342" s="28" t="n">
        <f aca="false">IF(AND(N(M342)&gt;0,N(AV342)&gt;0),M342*AV342,IF(N(AU342)&gt;0,AU342,N342))</f>
        <v>2.75</v>
      </c>
      <c r="AX342" s="29" t="n">
        <f aca="false">IF(N(AN342)=0,"",AN342+IF(I342="yes",AN342*Inputs!$B$10*Inputs!$B$9,0)+IFERROR(INDEX(Inputs!$B$13:$B$15,MATCH(G342,Inputs!$A$13:$A$15,0)),0)+IFERROR(INDEX(Inputs!$B$18:$B$24,MATCH(H342,Inputs!$A$18:$A$24,0)),0))</f>
        <v>0.076</v>
      </c>
      <c r="AY342" s="28" t="n">
        <f aca="false">IF(OR(N(AX342)&lt;=0,N(AW342)=0,N(AV342)=0),"",MIN(AV342,AW342/AX342))</f>
        <v>36.1842105263158</v>
      </c>
      <c r="AZ342" s="29" t="n">
        <f aca="false">IF(OR(AY342="",N(O342)=0),"",AY342/O342-1)</f>
        <v>1.45316681534344</v>
      </c>
      <c r="BA342" s="29" t="n">
        <f aca="false">IF(OR(AZ342="",N(O342)=0),"",AZ342+AW342/O342)</f>
        <v>1.63960749330955</v>
      </c>
      <c r="BB342" s="32" t="n">
        <f aca="false">IF(OR(BA342="",N(AR342)=0),"",BA342-AR342)</f>
        <v>0</v>
      </c>
      <c r="BC342" s="35" t="n">
        <f aca="false">IF(OR(BA342="",N(U342)=0),"",BA342-U342)</f>
        <v>0.490633363068689</v>
      </c>
      <c r="BD342" s="37"/>
    </row>
    <row r="343" customFormat="false" ht="15" hidden="false" customHeight="false" outlineLevel="0" collapsed="false">
      <c r="A343" s="2" t="s">
        <v>556</v>
      </c>
      <c r="B343" s="2" t="n">
        <v>220</v>
      </c>
      <c r="C343" s="2" t="s">
        <v>744</v>
      </c>
      <c r="D343" s="2" t="s">
        <v>738</v>
      </c>
      <c r="E343" s="2" t="s">
        <v>739</v>
      </c>
      <c r="F343" s="27" t="n">
        <v>7200</v>
      </c>
      <c r="G343" s="2" t="s">
        <v>51</v>
      </c>
      <c r="H343" s="2" t="s">
        <v>58</v>
      </c>
      <c r="I343" s="2" t="s">
        <v>151</v>
      </c>
      <c r="J343" s="2" t="s">
        <v>145</v>
      </c>
      <c r="K343" s="2" t="n">
        <v>4</v>
      </c>
      <c r="L343" s="28" t="n">
        <v>50</v>
      </c>
      <c r="M343" s="29" t="n">
        <v>0.0581</v>
      </c>
      <c r="N343" s="28" t="n">
        <v>2.905</v>
      </c>
      <c r="O343" s="28" t="n">
        <v>14.6</v>
      </c>
      <c r="P343" s="2" t="s">
        <v>146</v>
      </c>
      <c r="Q343" s="29" t="n">
        <v>0.1</v>
      </c>
      <c r="R343" s="30" t="n">
        <v>0.095</v>
      </c>
      <c r="S343" s="31" t="n">
        <v>30.5789473684211</v>
      </c>
      <c r="T343" s="30" t="n">
        <v>1.09444844989185</v>
      </c>
      <c r="U343" s="30" t="n">
        <v>1.29342105263158</v>
      </c>
      <c r="V343" s="29" t="n">
        <v>0</v>
      </c>
      <c r="W343" s="29" t="n">
        <f aca="false">IF(N(Q343)=0,"",Q343+IF(I343="yes",Q343*Inputs!$B$10*Inputs!$B$9,0)+V343)</f>
        <v>0.095</v>
      </c>
      <c r="X343" s="28" t="n">
        <f aca="false">IF(OR(N(W343)&lt;=0,N(N343)=0,N(L343)=0),"",MIN(L343,N343/W343))</f>
        <v>30.5789473684211</v>
      </c>
      <c r="Y343" s="29" t="n">
        <f aca="false">IF(OR(X343="",N(O343)=0),"",X343/O343-1)</f>
        <v>1.09444844989185</v>
      </c>
      <c r="Z343" s="29" t="n">
        <f aca="false">IF(OR(Y343="",N(O343)=0),"",Y343+N343/O343)</f>
        <v>1.29342105263158</v>
      </c>
      <c r="AA343" s="32" t="n">
        <f aca="false">IF(OR(Z343="",N(U343)=0),"",Z343-U343)</f>
        <v>0</v>
      </c>
      <c r="AB343" s="29" t="n">
        <f aca="false">IF(N(Q343)=0,"",Q343+IF(I343="yes",Q343*Inputs!$B$10*Inputs!$B$9,0)+IFERROR(INDEX(Inputs!$B$13:$B$15,MATCH(G343,Inputs!$A$13:$A$15,0)),0)+IFERROR(INDEX(Inputs!$B$18:$B$24,MATCH(H343,Inputs!$A$18:$A$24,0)),0))</f>
        <v>0.095</v>
      </c>
      <c r="AC343" s="28" t="n">
        <f aca="false">IF(OR(N(AB343)&lt;=0,N(N343)=0,N(L343)=0),"",MIN(L343,N343/AB343))</f>
        <v>30.5789473684211</v>
      </c>
      <c r="AD343" s="29" t="n">
        <f aca="false">IF(OR(AC343="",N(O343)=0),"",AC343/O343-1)</f>
        <v>1.09444844989185</v>
      </c>
      <c r="AE343" s="29" t="n">
        <f aca="false">IF(OR(AD343="",N(O343)=0),"",AD343+N343/O343)</f>
        <v>1.29342105263158</v>
      </c>
      <c r="AF343" s="32" t="n">
        <f aca="false">IF(OR(AE343="",N(Z343)=0),"",AE343-Z343)</f>
        <v>0</v>
      </c>
      <c r="AG343" s="28" t="n">
        <f aca="false">IF(AND(N(M343)&gt;0,N(L343)&gt;0),M343*L343,N343)</f>
        <v>2.905</v>
      </c>
      <c r="AH343" s="28" t="n">
        <f aca="false">IF(OR(N(AB343)&lt;=0,N(AG343)=0,N(L343)=0),"",MIN(L343,AG343/AB343))</f>
        <v>30.5789473684211</v>
      </c>
      <c r="AI343" s="29" t="n">
        <f aca="false">IF(OR(AH343="",N(O343)=0),"",AH343/O343-1)</f>
        <v>1.09444844989185</v>
      </c>
      <c r="AJ343" s="29" t="n">
        <f aca="false">IF(OR(AI343="",N(O343)=0),"",AI343+AG343/O343)</f>
        <v>1.29342105263158</v>
      </c>
      <c r="AK343" s="32" t="n">
        <f aca="false">IF(OR(AJ343="",N(AE343)=0),"",AJ343-AE343)</f>
        <v>0</v>
      </c>
      <c r="AL343" s="33" t="n">
        <f aca="false">IF(N(F343)=0,"",INDEX(Inputs!$B$28:$B$32,IFERROR(MATCH(F343,Inputs!$A$28:$A$32,1),0)+1))</f>
        <v>0.08</v>
      </c>
      <c r="AM343" s="34"/>
      <c r="AN343" s="33" t="n">
        <f aca="false">IF(N(AM343)&gt;0,AM343,AL343)</f>
        <v>0.08</v>
      </c>
      <c r="AO343" s="29" t="n">
        <f aca="false">IF(N(AN343)=0,"",AN343+IF(I343="yes",AN343*Inputs!$B$10*Inputs!$B$9,0)+IFERROR(INDEX(Inputs!$B$13:$B$15,MATCH(G343,Inputs!$A$13:$A$15,0)),0)+IFERROR(INDEX(Inputs!$B$18:$B$24,MATCH(H343,Inputs!$A$18:$A$24,0)),0))</f>
        <v>0.076</v>
      </c>
      <c r="AP343" s="28" t="n">
        <f aca="false">IF(OR(N(AO343)&lt;=0,N(AG343)=0,N(L343)=0),"",MIN(L343,AG343/AO343))</f>
        <v>38.2236842105263</v>
      </c>
      <c r="AQ343" s="29" t="n">
        <f aca="false">IF(OR(AP343="",N(O343)=0),"",AP343/O343-1)</f>
        <v>1.61806056236482</v>
      </c>
      <c r="AR343" s="29" t="n">
        <f aca="false">IF(OR(AQ343="",N(O343)=0),"",AQ343+AG343/O343)</f>
        <v>1.81703316510454</v>
      </c>
      <c r="AS343" s="32" t="n">
        <f aca="false">IF(OR(AR343="",N(AJ343)=0),"",AR343-AJ343)</f>
        <v>0.523612112472963</v>
      </c>
      <c r="AT343" s="28" t="n">
        <v>50</v>
      </c>
      <c r="AU343" s="28" t="n">
        <v>2.91</v>
      </c>
      <c r="AV343" s="28" t="n">
        <f aca="false">IF(N(AT343)&gt;0,AT343,L343)</f>
        <v>50</v>
      </c>
      <c r="AW343" s="28" t="n">
        <f aca="false">IF(AND(N(M343)&gt;0,N(AV343)&gt;0),M343*AV343,IF(N(AU343)&gt;0,AU343,N343))</f>
        <v>2.905</v>
      </c>
      <c r="AX343" s="29" t="n">
        <f aca="false">IF(N(AN343)=0,"",AN343+IF(I343="yes",AN343*Inputs!$B$10*Inputs!$B$9,0)+IFERROR(INDEX(Inputs!$B$13:$B$15,MATCH(G343,Inputs!$A$13:$A$15,0)),0)+IFERROR(INDEX(Inputs!$B$18:$B$24,MATCH(H343,Inputs!$A$18:$A$24,0)),0))</f>
        <v>0.076</v>
      </c>
      <c r="AY343" s="28" t="n">
        <f aca="false">IF(OR(N(AX343)&lt;=0,N(AW343)=0,N(AV343)=0),"",MIN(AV343,AW343/AX343))</f>
        <v>38.2236842105263</v>
      </c>
      <c r="AZ343" s="29" t="n">
        <f aca="false">IF(OR(AY343="",N(O343)=0),"",AY343/O343-1)</f>
        <v>1.61806056236482</v>
      </c>
      <c r="BA343" s="29" t="n">
        <f aca="false">IF(OR(AZ343="",N(O343)=0),"",AZ343+AW343/O343)</f>
        <v>1.81703316510454</v>
      </c>
      <c r="BB343" s="32" t="n">
        <f aca="false">IF(OR(BA343="",N(AR343)=0),"",BA343-AR343)</f>
        <v>0</v>
      </c>
      <c r="BC343" s="35" t="n">
        <f aca="false">IF(OR(BA343="",N(U343)=0),"",BA343-U343)</f>
        <v>0.523612112472963</v>
      </c>
      <c r="BD343" s="37"/>
    </row>
    <row r="344" customFormat="false" ht="15" hidden="false" customHeight="false" outlineLevel="0" collapsed="false">
      <c r="A344" s="2" t="s">
        <v>556</v>
      </c>
      <c r="B344" s="2" t="n">
        <v>221</v>
      </c>
      <c r="C344" s="2" t="s">
        <v>745</v>
      </c>
      <c r="D344" s="2" t="s">
        <v>738</v>
      </c>
      <c r="E344" s="2" t="s">
        <v>739</v>
      </c>
      <c r="F344" s="27" t="n">
        <v>7200</v>
      </c>
      <c r="G344" s="2" t="s">
        <v>51</v>
      </c>
      <c r="H344" s="2" t="s">
        <v>58</v>
      </c>
      <c r="I344" s="2" t="s">
        <v>151</v>
      </c>
      <c r="J344" s="2" t="s">
        <v>145</v>
      </c>
      <c r="K344" s="2" t="n">
        <v>4</v>
      </c>
      <c r="L344" s="28" t="n">
        <v>100000</v>
      </c>
      <c r="M344" s="29" t="n">
        <v>0.05375</v>
      </c>
      <c r="N344" s="28" t="n">
        <v>5375</v>
      </c>
      <c r="O344" s="28" t="n">
        <v>31500</v>
      </c>
      <c r="P344" s="2" t="s">
        <v>146</v>
      </c>
      <c r="Q344" s="29" t="n">
        <v>0.1</v>
      </c>
      <c r="R344" s="30" t="n">
        <v>0.095</v>
      </c>
      <c r="S344" s="31" t="n">
        <v>56578.9473684211</v>
      </c>
      <c r="T344" s="30" t="n">
        <v>0.796157059314954</v>
      </c>
      <c r="U344" s="30" t="n">
        <v>0.966791979949875</v>
      </c>
      <c r="V344" s="29" t="n">
        <v>0</v>
      </c>
      <c r="W344" s="29" t="n">
        <f aca="false">IF(N(Q344)=0,"",Q344+IF(I344="yes",Q344*Inputs!$B$10*Inputs!$B$9,0)+V344)</f>
        <v>0.095</v>
      </c>
      <c r="X344" s="28" t="n">
        <f aca="false">IF(OR(N(W344)&lt;=0,N(N344)=0,N(L344)=0),"",MIN(L344,N344/W344))</f>
        <v>56578.9473684211</v>
      </c>
      <c r="Y344" s="29" t="n">
        <f aca="false">IF(OR(X344="",N(O344)=0),"",X344/O344-1)</f>
        <v>0.796157059314954</v>
      </c>
      <c r="Z344" s="29" t="n">
        <f aca="false">IF(OR(Y344="",N(O344)=0),"",Y344+N344/O344)</f>
        <v>0.966791979949875</v>
      </c>
      <c r="AA344" s="32" t="n">
        <f aca="false">IF(OR(Z344="",N(U344)=0),"",Z344-U344)</f>
        <v>0</v>
      </c>
      <c r="AB344" s="29" t="n">
        <f aca="false">IF(N(Q344)=0,"",Q344+IF(I344="yes",Q344*Inputs!$B$10*Inputs!$B$9,0)+IFERROR(INDEX(Inputs!$B$13:$B$15,MATCH(G344,Inputs!$A$13:$A$15,0)),0)+IFERROR(INDEX(Inputs!$B$18:$B$24,MATCH(H344,Inputs!$A$18:$A$24,0)),0))</f>
        <v>0.095</v>
      </c>
      <c r="AC344" s="28" t="n">
        <f aca="false">IF(OR(N(AB344)&lt;=0,N(N344)=0,N(L344)=0),"",MIN(L344,N344/AB344))</f>
        <v>56578.9473684211</v>
      </c>
      <c r="AD344" s="29" t="n">
        <f aca="false">IF(OR(AC344="",N(O344)=0),"",AC344/O344-1)</f>
        <v>0.796157059314954</v>
      </c>
      <c r="AE344" s="29" t="n">
        <f aca="false">IF(OR(AD344="",N(O344)=0),"",AD344+N344/O344)</f>
        <v>0.966791979949875</v>
      </c>
      <c r="AF344" s="32" t="n">
        <f aca="false">IF(OR(AE344="",N(Z344)=0),"",AE344-Z344)</f>
        <v>0</v>
      </c>
      <c r="AG344" s="28" t="n">
        <f aca="false">IF(AND(N(M344)&gt;0,N(L344)&gt;0),M344*L344,N344)</f>
        <v>5375</v>
      </c>
      <c r="AH344" s="28" t="n">
        <f aca="false">IF(OR(N(AB344)&lt;=0,N(AG344)=0,N(L344)=0),"",MIN(L344,AG344/AB344))</f>
        <v>56578.9473684211</v>
      </c>
      <c r="AI344" s="29" t="n">
        <f aca="false">IF(OR(AH344="",N(O344)=0),"",AH344/O344-1)</f>
        <v>0.796157059314954</v>
      </c>
      <c r="AJ344" s="29" t="n">
        <f aca="false">IF(OR(AI344="",N(O344)=0),"",AI344+AG344/O344)</f>
        <v>0.966791979949875</v>
      </c>
      <c r="AK344" s="32" t="n">
        <f aca="false">IF(OR(AJ344="",N(AE344)=0),"",AJ344-AE344)</f>
        <v>0</v>
      </c>
      <c r="AL344" s="33" t="n">
        <f aca="false">IF(N(F344)=0,"",INDEX(Inputs!$B$28:$B$32,IFERROR(MATCH(F344,Inputs!$A$28:$A$32,1),0)+1))</f>
        <v>0.08</v>
      </c>
      <c r="AM344" s="34"/>
      <c r="AN344" s="33" t="n">
        <f aca="false">IF(N(AM344)&gt;0,AM344,AL344)</f>
        <v>0.08</v>
      </c>
      <c r="AO344" s="29" t="n">
        <f aca="false">IF(N(AN344)=0,"",AN344+IF(I344="yes",AN344*Inputs!$B$10*Inputs!$B$9,0)+IFERROR(INDEX(Inputs!$B$13:$B$15,MATCH(G344,Inputs!$A$13:$A$15,0)),0)+IFERROR(INDEX(Inputs!$B$18:$B$24,MATCH(H344,Inputs!$A$18:$A$24,0)),0))</f>
        <v>0.076</v>
      </c>
      <c r="AP344" s="28" t="n">
        <f aca="false">IF(OR(N(AO344)&lt;=0,N(AG344)=0,N(L344)=0),"",MIN(L344,AG344/AO344))</f>
        <v>70723.6842105263</v>
      </c>
      <c r="AQ344" s="29" t="n">
        <f aca="false">IF(OR(AP344="",N(O344)=0),"",AP344/O344-1)</f>
        <v>1.24519632414369</v>
      </c>
      <c r="AR344" s="29" t="n">
        <f aca="false">IF(OR(AQ344="",N(O344)=0),"",AQ344+AG344/O344)</f>
        <v>1.41583124477861</v>
      </c>
      <c r="AS344" s="32" t="n">
        <f aca="false">IF(OR(AR344="",N(AJ344)=0),"",AR344-AJ344)</f>
        <v>0.449039264828739</v>
      </c>
      <c r="AT344" s="28" t="n">
        <v>100000</v>
      </c>
      <c r="AU344" s="28" t="n">
        <v>5375</v>
      </c>
      <c r="AV344" s="28" t="n">
        <f aca="false">IF(N(AT344)&gt;0,AT344,L344)</f>
        <v>100000</v>
      </c>
      <c r="AW344" s="28" t="n">
        <f aca="false">IF(AND(N(M344)&gt;0,N(AV344)&gt;0),M344*AV344,IF(N(AU344)&gt;0,AU344,N344))</f>
        <v>5375</v>
      </c>
      <c r="AX344" s="29" t="n">
        <f aca="false">IF(N(AN344)=0,"",AN344+IF(I344="yes",AN344*Inputs!$B$10*Inputs!$B$9,0)+IFERROR(INDEX(Inputs!$B$13:$B$15,MATCH(G344,Inputs!$A$13:$A$15,0)),0)+IFERROR(INDEX(Inputs!$B$18:$B$24,MATCH(H344,Inputs!$A$18:$A$24,0)),0))</f>
        <v>0.076</v>
      </c>
      <c r="AY344" s="28" t="n">
        <f aca="false">IF(OR(N(AX344)&lt;=0,N(AW344)=0,N(AV344)=0),"",MIN(AV344,AW344/AX344))</f>
        <v>70723.6842105263</v>
      </c>
      <c r="AZ344" s="29" t="n">
        <f aca="false">IF(OR(AY344="",N(O344)=0),"",AY344/O344-1)</f>
        <v>1.24519632414369</v>
      </c>
      <c r="BA344" s="29" t="n">
        <f aca="false">IF(OR(AZ344="",N(O344)=0),"",AZ344+AW344/O344)</f>
        <v>1.41583124477861</v>
      </c>
      <c r="BB344" s="32" t="n">
        <f aca="false">IF(OR(BA344="",N(AR344)=0),"",BA344-AR344)</f>
        <v>0</v>
      </c>
      <c r="BC344" s="35" t="n">
        <f aca="false">IF(OR(BA344="",N(U344)=0),"",BA344-U344)</f>
        <v>0.449039264828739</v>
      </c>
      <c r="BD344" s="37"/>
    </row>
    <row r="345" customFormat="false" ht="15" hidden="false" customHeight="false" outlineLevel="0" collapsed="false">
      <c r="A345" s="2" t="s">
        <v>556</v>
      </c>
      <c r="B345" s="2" t="n">
        <v>222</v>
      </c>
      <c r="C345" s="2" t="s">
        <v>746</v>
      </c>
      <c r="D345" s="2" t="s">
        <v>738</v>
      </c>
      <c r="E345" s="2" t="s">
        <v>739</v>
      </c>
      <c r="F345" s="27" t="n">
        <v>7200</v>
      </c>
      <c r="G345" s="2" t="s">
        <v>51</v>
      </c>
      <c r="H345" s="2" t="s">
        <v>58</v>
      </c>
      <c r="I345" s="2" t="s">
        <v>151</v>
      </c>
      <c r="J345" s="2" t="s">
        <v>145</v>
      </c>
      <c r="K345" s="2" t="n">
        <v>4</v>
      </c>
      <c r="L345" s="28" t="n">
        <v>25</v>
      </c>
      <c r="M345" s="29" t="n">
        <v>0.0675</v>
      </c>
      <c r="N345" s="28" t="n">
        <v>1.6875</v>
      </c>
      <c r="O345" s="28" t="n">
        <v>7.75</v>
      </c>
      <c r="P345" s="2" t="s">
        <v>146</v>
      </c>
      <c r="Q345" s="29" t="n">
        <v>0.1</v>
      </c>
      <c r="R345" s="30" t="n">
        <v>0.095</v>
      </c>
      <c r="S345" s="31" t="n">
        <v>17.7631578947368</v>
      </c>
      <c r="T345" s="30" t="n">
        <v>1.29202037351443</v>
      </c>
      <c r="U345" s="30" t="n">
        <v>1.5097623089983</v>
      </c>
      <c r="V345" s="29" t="n">
        <v>0</v>
      </c>
      <c r="W345" s="29" t="n">
        <f aca="false">IF(N(Q345)=0,"",Q345+IF(I345="yes",Q345*Inputs!$B$10*Inputs!$B$9,0)+V345)</f>
        <v>0.095</v>
      </c>
      <c r="X345" s="28" t="n">
        <f aca="false">IF(OR(N(W345)&lt;=0,N(N345)=0,N(L345)=0),"",MIN(L345,N345/W345))</f>
        <v>17.7631578947368</v>
      </c>
      <c r="Y345" s="29" t="n">
        <f aca="false">IF(OR(X345="",N(O345)=0),"",X345/O345-1)</f>
        <v>1.29202037351443</v>
      </c>
      <c r="Z345" s="29" t="n">
        <f aca="false">IF(OR(Y345="",N(O345)=0),"",Y345+N345/O345)</f>
        <v>1.5097623089983</v>
      </c>
      <c r="AA345" s="32" t="n">
        <f aca="false">IF(OR(Z345="",N(U345)=0),"",Z345-U345)</f>
        <v>0</v>
      </c>
      <c r="AB345" s="29" t="n">
        <f aca="false">IF(N(Q345)=0,"",Q345+IF(I345="yes",Q345*Inputs!$B$10*Inputs!$B$9,0)+IFERROR(INDEX(Inputs!$B$13:$B$15,MATCH(G345,Inputs!$A$13:$A$15,0)),0)+IFERROR(INDEX(Inputs!$B$18:$B$24,MATCH(H345,Inputs!$A$18:$A$24,0)),0))</f>
        <v>0.095</v>
      </c>
      <c r="AC345" s="28" t="n">
        <f aca="false">IF(OR(N(AB345)&lt;=0,N(N345)=0,N(L345)=0),"",MIN(L345,N345/AB345))</f>
        <v>17.7631578947368</v>
      </c>
      <c r="AD345" s="29" t="n">
        <f aca="false">IF(OR(AC345="",N(O345)=0),"",AC345/O345-1)</f>
        <v>1.29202037351443</v>
      </c>
      <c r="AE345" s="29" t="n">
        <f aca="false">IF(OR(AD345="",N(O345)=0),"",AD345+N345/O345)</f>
        <v>1.5097623089983</v>
      </c>
      <c r="AF345" s="32" t="n">
        <f aca="false">IF(OR(AE345="",N(Z345)=0),"",AE345-Z345)</f>
        <v>0</v>
      </c>
      <c r="AG345" s="28" t="n">
        <f aca="false">IF(AND(N(M345)&gt;0,N(L345)&gt;0),M345*L345,N345)</f>
        <v>1.6875</v>
      </c>
      <c r="AH345" s="28" t="n">
        <f aca="false">IF(OR(N(AB345)&lt;=0,N(AG345)=0,N(L345)=0),"",MIN(L345,AG345/AB345))</f>
        <v>17.7631578947368</v>
      </c>
      <c r="AI345" s="29" t="n">
        <f aca="false">IF(OR(AH345="",N(O345)=0),"",AH345/O345-1)</f>
        <v>1.29202037351443</v>
      </c>
      <c r="AJ345" s="29" t="n">
        <f aca="false">IF(OR(AI345="",N(O345)=0),"",AI345+AG345/O345)</f>
        <v>1.5097623089983</v>
      </c>
      <c r="AK345" s="32" t="n">
        <f aca="false">IF(OR(AJ345="",N(AE345)=0),"",AJ345-AE345)</f>
        <v>0</v>
      </c>
      <c r="AL345" s="33" t="n">
        <f aca="false">IF(N(F345)=0,"",INDEX(Inputs!$B$28:$B$32,IFERROR(MATCH(F345,Inputs!$A$28:$A$32,1),0)+1))</f>
        <v>0.08</v>
      </c>
      <c r="AM345" s="34"/>
      <c r="AN345" s="33" t="n">
        <f aca="false">IF(N(AM345)&gt;0,AM345,AL345)</f>
        <v>0.08</v>
      </c>
      <c r="AO345" s="29" t="n">
        <f aca="false">IF(N(AN345)=0,"",AN345+IF(I345="yes",AN345*Inputs!$B$10*Inputs!$B$9,0)+IFERROR(INDEX(Inputs!$B$13:$B$15,MATCH(G345,Inputs!$A$13:$A$15,0)),0)+IFERROR(INDEX(Inputs!$B$18:$B$24,MATCH(H345,Inputs!$A$18:$A$24,0)),0))</f>
        <v>0.076</v>
      </c>
      <c r="AP345" s="28" t="n">
        <f aca="false">IF(OR(N(AO345)&lt;=0,N(AG345)=0,N(L345)=0),"",MIN(L345,AG345/AO345))</f>
        <v>22.2039473684211</v>
      </c>
      <c r="AQ345" s="29" t="n">
        <f aca="false">IF(OR(AP345="",N(O345)=0),"",AP345/O345-1)</f>
        <v>1.86502546689304</v>
      </c>
      <c r="AR345" s="29" t="n">
        <f aca="false">IF(OR(AQ345="",N(O345)=0),"",AQ345+AG345/O345)</f>
        <v>2.08276740237691</v>
      </c>
      <c r="AS345" s="32" t="n">
        <f aca="false">IF(OR(AR345="",N(AJ345)=0),"",AR345-AJ345)</f>
        <v>0.573005093378608</v>
      </c>
      <c r="AT345" s="28" t="n">
        <v>25</v>
      </c>
      <c r="AU345" s="28" t="n">
        <v>1.69</v>
      </c>
      <c r="AV345" s="28" t="n">
        <f aca="false">IF(N(AT345)&gt;0,AT345,L345)</f>
        <v>25</v>
      </c>
      <c r="AW345" s="28" t="n">
        <f aca="false">IF(AND(N(M345)&gt;0,N(AV345)&gt;0),M345*AV345,IF(N(AU345)&gt;0,AU345,N345))</f>
        <v>1.6875</v>
      </c>
      <c r="AX345" s="29" t="n">
        <f aca="false">IF(N(AN345)=0,"",AN345+IF(I345="yes",AN345*Inputs!$B$10*Inputs!$B$9,0)+IFERROR(INDEX(Inputs!$B$13:$B$15,MATCH(G345,Inputs!$A$13:$A$15,0)),0)+IFERROR(INDEX(Inputs!$B$18:$B$24,MATCH(H345,Inputs!$A$18:$A$24,0)),0))</f>
        <v>0.076</v>
      </c>
      <c r="AY345" s="28" t="n">
        <f aca="false">IF(OR(N(AX345)&lt;=0,N(AW345)=0,N(AV345)=0),"",MIN(AV345,AW345/AX345))</f>
        <v>22.2039473684211</v>
      </c>
      <c r="AZ345" s="29" t="n">
        <f aca="false">IF(OR(AY345="",N(O345)=0),"",AY345/O345-1)</f>
        <v>1.86502546689304</v>
      </c>
      <c r="BA345" s="29" t="n">
        <f aca="false">IF(OR(AZ345="",N(O345)=0),"",AZ345+AW345/O345)</f>
        <v>2.08276740237691</v>
      </c>
      <c r="BB345" s="32" t="n">
        <f aca="false">IF(OR(BA345="",N(AR345)=0),"",BA345-AR345)</f>
        <v>0</v>
      </c>
      <c r="BC345" s="35" t="n">
        <f aca="false">IF(OR(BA345="",N(U345)=0),"",BA345-U345)</f>
        <v>0.573005093378608</v>
      </c>
      <c r="BD345" s="37"/>
    </row>
    <row r="346" customFormat="false" ht="15" hidden="false" customHeight="false" outlineLevel="0" collapsed="false">
      <c r="A346" s="2" t="s">
        <v>556</v>
      </c>
      <c r="B346" s="2" t="n">
        <v>223</v>
      </c>
      <c r="C346" s="2" t="s">
        <v>747</v>
      </c>
      <c r="D346" s="2" t="s">
        <v>738</v>
      </c>
      <c r="E346" s="2" t="s">
        <v>739</v>
      </c>
      <c r="F346" s="27" t="n">
        <v>7200</v>
      </c>
      <c r="G346" s="2" t="s">
        <v>51</v>
      </c>
      <c r="H346" s="2" t="s">
        <v>58</v>
      </c>
      <c r="I346" s="2" t="s">
        <v>151</v>
      </c>
      <c r="J346" s="2" t="s">
        <v>145</v>
      </c>
      <c r="K346" s="2" t="n">
        <v>4</v>
      </c>
      <c r="L346" s="28" t="n">
        <v>25</v>
      </c>
      <c r="M346" s="29" t="n">
        <v>0.07625</v>
      </c>
      <c r="N346" s="28" t="n">
        <v>1.90625</v>
      </c>
      <c r="O346" s="28" t="n">
        <v>8.29</v>
      </c>
      <c r="P346" s="2" t="s">
        <v>146</v>
      </c>
      <c r="Q346" s="29" t="n">
        <v>0.1</v>
      </c>
      <c r="R346" s="30" t="n">
        <v>0.095</v>
      </c>
      <c r="S346" s="31" t="n">
        <v>20.0657894736842</v>
      </c>
      <c r="T346" s="30" t="n">
        <v>1.42048123928639</v>
      </c>
      <c r="U346" s="30" t="n">
        <v>1.6504269570186</v>
      </c>
      <c r="V346" s="29" t="n">
        <v>0</v>
      </c>
      <c r="W346" s="29" t="n">
        <f aca="false">IF(N(Q346)=0,"",Q346+IF(I346="yes",Q346*Inputs!$B$10*Inputs!$B$9,0)+V346)</f>
        <v>0.095</v>
      </c>
      <c r="X346" s="28" t="n">
        <f aca="false">IF(OR(N(W346)&lt;=0,N(N346)=0,N(L346)=0),"",MIN(L346,N346/W346))</f>
        <v>20.0657894736842</v>
      </c>
      <c r="Y346" s="29" t="n">
        <f aca="false">IF(OR(X346="",N(O346)=0),"",X346/O346-1)</f>
        <v>1.42048123928639</v>
      </c>
      <c r="Z346" s="29" t="n">
        <f aca="false">IF(OR(Y346="",N(O346)=0),"",Y346+N346/O346)</f>
        <v>1.6504269570186</v>
      </c>
      <c r="AA346" s="32" t="n">
        <f aca="false">IF(OR(Z346="",N(U346)=0),"",Z346-U346)</f>
        <v>0</v>
      </c>
      <c r="AB346" s="29" t="n">
        <f aca="false">IF(N(Q346)=0,"",Q346+IF(I346="yes",Q346*Inputs!$B$10*Inputs!$B$9,0)+IFERROR(INDEX(Inputs!$B$13:$B$15,MATCH(G346,Inputs!$A$13:$A$15,0)),0)+IFERROR(INDEX(Inputs!$B$18:$B$24,MATCH(H346,Inputs!$A$18:$A$24,0)),0))</f>
        <v>0.095</v>
      </c>
      <c r="AC346" s="28" t="n">
        <f aca="false">IF(OR(N(AB346)&lt;=0,N(N346)=0,N(L346)=0),"",MIN(L346,N346/AB346))</f>
        <v>20.0657894736842</v>
      </c>
      <c r="AD346" s="29" t="n">
        <f aca="false">IF(OR(AC346="",N(O346)=0),"",AC346/O346-1)</f>
        <v>1.42048123928639</v>
      </c>
      <c r="AE346" s="29" t="n">
        <f aca="false">IF(OR(AD346="",N(O346)=0),"",AD346+N346/O346)</f>
        <v>1.6504269570186</v>
      </c>
      <c r="AF346" s="32" t="n">
        <f aca="false">IF(OR(AE346="",N(Z346)=0),"",AE346-Z346)</f>
        <v>0</v>
      </c>
      <c r="AG346" s="28" t="n">
        <f aca="false">IF(AND(N(M346)&gt;0,N(L346)&gt;0),M346*L346,N346)</f>
        <v>1.90625</v>
      </c>
      <c r="AH346" s="28" t="n">
        <f aca="false">IF(OR(N(AB346)&lt;=0,N(AG346)=0,N(L346)=0),"",MIN(L346,AG346/AB346))</f>
        <v>20.0657894736842</v>
      </c>
      <c r="AI346" s="29" t="n">
        <f aca="false">IF(OR(AH346="",N(O346)=0),"",AH346/O346-1)</f>
        <v>1.42048123928639</v>
      </c>
      <c r="AJ346" s="29" t="n">
        <f aca="false">IF(OR(AI346="",N(O346)=0),"",AI346+AG346/O346)</f>
        <v>1.6504269570186</v>
      </c>
      <c r="AK346" s="32" t="n">
        <f aca="false">IF(OR(AJ346="",N(AE346)=0),"",AJ346-AE346)</f>
        <v>0</v>
      </c>
      <c r="AL346" s="33" t="n">
        <f aca="false">IF(N(F346)=0,"",INDEX(Inputs!$B$28:$B$32,IFERROR(MATCH(F346,Inputs!$A$28:$A$32,1),0)+1))</f>
        <v>0.08</v>
      </c>
      <c r="AM346" s="34"/>
      <c r="AN346" s="33" t="n">
        <f aca="false">IF(N(AM346)&gt;0,AM346,AL346)</f>
        <v>0.08</v>
      </c>
      <c r="AO346" s="29" t="n">
        <f aca="false">IF(N(AN346)=0,"",AN346+IF(I346="yes",AN346*Inputs!$B$10*Inputs!$B$9,0)+IFERROR(INDEX(Inputs!$B$13:$B$15,MATCH(G346,Inputs!$A$13:$A$15,0)),0)+IFERROR(INDEX(Inputs!$B$18:$B$24,MATCH(H346,Inputs!$A$18:$A$24,0)),0))</f>
        <v>0.076</v>
      </c>
      <c r="AP346" s="28" t="n">
        <f aca="false">IF(OR(N(AO346)&lt;=0,N(AG346)=0,N(L346)=0),"",MIN(L346,AG346/AO346))</f>
        <v>25</v>
      </c>
      <c r="AQ346" s="29" t="n">
        <f aca="false">IF(OR(AP346="",N(O346)=0),"",AP346/O346-1)</f>
        <v>2.01568154402895</v>
      </c>
      <c r="AR346" s="29" t="n">
        <f aca="false">IF(OR(AQ346="",N(O346)=0),"",AQ346+AG346/O346)</f>
        <v>2.24562726176116</v>
      </c>
      <c r="AS346" s="32" t="n">
        <f aca="false">IF(OR(AR346="",N(AJ346)=0),"",AR346-AJ346)</f>
        <v>0.595200304742556</v>
      </c>
      <c r="AT346" s="28" t="n">
        <v>25</v>
      </c>
      <c r="AU346" s="28" t="n">
        <v>1.91</v>
      </c>
      <c r="AV346" s="28" t="n">
        <f aca="false">IF(N(AT346)&gt;0,AT346,L346)</f>
        <v>25</v>
      </c>
      <c r="AW346" s="28" t="n">
        <f aca="false">IF(AND(N(M346)&gt;0,N(AV346)&gt;0),M346*AV346,IF(N(AU346)&gt;0,AU346,N346))</f>
        <v>1.90625</v>
      </c>
      <c r="AX346" s="29" t="n">
        <f aca="false">IF(N(AN346)=0,"",AN346+IF(I346="yes",AN346*Inputs!$B$10*Inputs!$B$9,0)+IFERROR(INDEX(Inputs!$B$13:$B$15,MATCH(G346,Inputs!$A$13:$A$15,0)),0)+IFERROR(INDEX(Inputs!$B$18:$B$24,MATCH(H346,Inputs!$A$18:$A$24,0)),0))</f>
        <v>0.076</v>
      </c>
      <c r="AY346" s="28" t="n">
        <f aca="false">IF(OR(N(AX346)&lt;=0,N(AW346)=0,N(AV346)=0),"",MIN(AV346,AW346/AX346))</f>
        <v>25</v>
      </c>
      <c r="AZ346" s="29" t="n">
        <f aca="false">IF(OR(AY346="",N(O346)=0),"",AY346/O346-1)</f>
        <v>2.01568154402895</v>
      </c>
      <c r="BA346" s="29" t="n">
        <f aca="false">IF(OR(AZ346="",N(O346)=0),"",AZ346+AW346/O346)</f>
        <v>2.24562726176116</v>
      </c>
      <c r="BB346" s="32" t="n">
        <f aca="false">IF(OR(BA346="",N(AR346)=0),"",BA346-AR346)</f>
        <v>0</v>
      </c>
      <c r="BC346" s="35" t="n">
        <f aca="false">IF(OR(BA346="",N(U346)=0),"",BA346-U346)</f>
        <v>0.595200304742557</v>
      </c>
      <c r="BD346" s="37"/>
    </row>
    <row r="347" customFormat="false" ht="15" hidden="false" customHeight="false" outlineLevel="0" collapsed="false">
      <c r="A347" s="2" t="s">
        <v>556</v>
      </c>
      <c r="B347" s="2" t="n">
        <v>224</v>
      </c>
      <c r="C347" s="2" t="s">
        <v>748</v>
      </c>
      <c r="D347" s="2" t="s">
        <v>738</v>
      </c>
      <c r="E347" s="2" t="s">
        <v>739</v>
      </c>
      <c r="F347" s="27" t="n">
        <v>7200</v>
      </c>
      <c r="G347" s="2" t="s">
        <v>51</v>
      </c>
      <c r="H347" s="2" t="s">
        <v>58</v>
      </c>
      <c r="I347" s="2" t="s">
        <v>151</v>
      </c>
      <c r="J347" s="2" t="s">
        <v>145</v>
      </c>
      <c r="K347" s="2" t="n">
        <v>4</v>
      </c>
      <c r="L347" s="28" t="n">
        <v>25</v>
      </c>
      <c r="M347" s="29" t="n">
        <v>0.0825</v>
      </c>
      <c r="N347" s="28" t="n">
        <v>2.0625</v>
      </c>
      <c r="O347" s="28" t="n">
        <v>10.15</v>
      </c>
      <c r="P347" s="2" t="s">
        <v>146</v>
      </c>
      <c r="Q347" s="29" t="n">
        <v>0.1</v>
      </c>
      <c r="R347" s="30" t="n">
        <v>0.095</v>
      </c>
      <c r="S347" s="31" t="n">
        <v>21.7105263157895</v>
      </c>
      <c r="T347" s="30" t="n">
        <v>1.13896810993</v>
      </c>
      <c r="U347" s="30" t="n">
        <v>1.34217008037335</v>
      </c>
      <c r="V347" s="29" t="n">
        <v>0</v>
      </c>
      <c r="W347" s="29" t="n">
        <f aca="false">IF(N(Q347)=0,"",Q347+IF(I347="yes",Q347*Inputs!$B$10*Inputs!$B$9,0)+V347)</f>
        <v>0.095</v>
      </c>
      <c r="X347" s="28" t="n">
        <f aca="false">IF(OR(N(W347)&lt;=0,N(N347)=0,N(L347)=0),"",MIN(L347,N347/W347))</f>
        <v>21.7105263157895</v>
      </c>
      <c r="Y347" s="29" t="n">
        <f aca="false">IF(OR(X347="",N(O347)=0),"",X347/O347-1)</f>
        <v>1.13896810993</v>
      </c>
      <c r="Z347" s="29" t="n">
        <f aca="false">IF(OR(Y347="",N(O347)=0),"",Y347+N347/O347)</f>
        <v>1.34217008037335</v>
      </c>
      <c r="AA347" s="32" t="n">
        <f aca="false">IF(OR(Z347="",N(U347)=0),"",Z347-U347)</f>
        <v>0</v>
      </c>
      <c r="AB347" s="29" t="n">
        <f aca="false">IF(N(Q347)=0,"",Q347+IF(I347="yes",Q347*Inputs!$B$10*Inputs!$B$9,0)+IFERROR(INDEX(Inputs!$B$13:$B$15,MATCH(G347,Inputs!$A$13:$A$15,0)),0)+IFERROR(INDEX(Inputs!$B$18:$B$24,MATCH(H347,Inputs!$A$18:$A$24,0)),0))</f>
        <v>0.095</v>
      </c>
      <c r="AC347" s="28" t="n">
        <f aca="false">IF(OR(N(AB347)&lt;=0,N(N347)=0,N(L347)=0),"",MIN(L347,N347/AB347))</f>
        <v>21.7105263157895</v>
      </c>
      <c r="AD347" s="29" t="n">
        <f aca="false">IF(OR(AC347="",N(O347)=0),"",AC347/O347-1)</f>
        <v>1.13896810993</v>
      </c>
      <c r="AE347" s="29" t="n">
        <f aca="false">IF(OR(AD347="",N(O347)=0),"",AD347+N347/O347)</f>
        <v>1.34217008037335</v>
      </c>
      <c r="AF347" s="32" t="n">
        <f aca="false">IF(OR(AE347="",N(Z347)=0),"",AE347-Z347)</f>
        <v>0</v>
      </c>
      <c r="AG347" s="28" t="n">
        <f aca="false">IF(AND(N(M347)&gt;0,N(L347)&gt;0),M347*L347,N347)</f>
        <v>2.0625</v>
      </c>
      <c r="AH347" s="28" t="n">
        <f aca="false">IF(OR(N(AB347)&lt;=0,N(AG347)=0,N(L347)=0),"",MIN(L347,AG347/AB347))</f>
        <v>21.7105263157895</v>
      </c>
      <c r="AI347" s="29" t="n">
        <f aca="false">IF(OR(AH347="",N(O347)=0),"",AH347/O347-1)</f>
        <v>1.13896810993</v>
      </c>
      <c r="AJ347" s="29" t="n">
        <f aca="false">IF(OR(AI347="",N(O347)=0),"",AI347+AG347/O347)</f>
        <v>1.34217008037335</v>
      </c>
      <c r="AK347" s="32" t="n">
        <f aca="false">IF(OR(AJ347="",N(AE347)=0),"",AJ347-AE347)</f>
        <v>0</v>
      </c>
      <c r="AL347" s="33" t="n">
        <f aca="false">IF(N(F347)=0,"",INDEX(Inputs!$B$28:$B$32,IFERROR(MATCH(F347,Inputs!$A$28:$A$32,1),0)+1))</f>
        <v>0.08</v>
      </c>
      <c r="AM347" s="34"/>
      <c r="AN347" s="33" t="n">
        <f aca="false">IF(N(AM347)&gt;0,AM347,AL347)</f>
        <v>0.08</v>
      </c>
      <c r="AO347" s="29" t="n">
        <f aca="false">IF(N(AN347)=0,"",AN347+IF(I347="yes",AN347*Inputs!$B$10*Inputs!$B$9,0)+IFERROR(INDEX(Inputs!$B$13:$B$15,MATCH(G347,Inputs!$A$13:$A$15,0)),0)+IFERROR(INDEX(Inputs!$B$18:$B$24,MATCH(H347,Inputs!$A$18:$A$24,0)),0))</f>
        <v>0.076</v>
      </c>
      <c r="AP347" s="28" t="n">
        <f aca="false">IF(OR(N(AO347)&lt;=0,N(AG347)=0,N(L347)=0),"",MIN(L347,AG347/AO347))</f>
        <v>25</v>
      </c>
      <c r="AQ347" s="29" t="n">
        <f aca="false">IF(OR(AP347="",N(O347)=0),"",AP347/O347-1)</f>
        <v>1.46305418719212</v>
      </c>
      <c r="AR347" s="29" t="n">
        <f aca="false">IF(OR(AQ347="",N(O347)=0),"",AQ347+AG347/O347)</f>
        <v>1.66625615763547</v>
      </c>
      <c r="AS347" s="32" t="n">
        <f aca="false">IF(OR(AR347="",N(AJ347)=0),"",AR347-AJ347)</f>
        <v>0.324086077262121</v>
      </c>
      <c r="AT347" s="28" t="n">
        <v>25</v>
      </c>
      <c r="AU347" s="28" t="n">
        <v>2.06</v>
      </c>
      <c r="AV347" s="28" t="n">
        <f aca="false">IF(N(AT347)&gt;0,AT347,L347)</f>
        <v>25</v>
      </c>
      <c r="AW347" s="28" t="n">
        <f aca="false">IF(AND(N(M347)&gt;0,N(AV347)&gt;0),M347*AV347,IF(N(AU347)&gt;0,AU347,N347))</f>
        <v>2.0625</v>
      </c>
      <c r="AX347" s="29" t="n">
        <f aca="false">IF(N(AN347)=0,"",AN347+IF(I347="yes",AN347*Inputs!$B$10*Inputs!$B$9,0)+IFERROR(INDEX(Inputs!$B$13:$B$15,MATCH(G347,Inputs!$A$13:$A$15,0)),0)+IFERROR(INDEX(Inputs!$B$18:$B$24,MATCH(H347,Inputs!$A$18:$A$24,0)),0))</f>
        <v>0.076</v>
      </c>
      <c r="AY347" s="28" t="n">
        <f aca="false">IF(OR(N(AX347)&lt;=0,N(AW347)=0,N(AV347)=0),"",MIN(AV347,AW347/AX347))</f>
        <v>25</v>
      </c>
      <c r="AZ347" s="29" t="n">
        <f aca="false">IF(OR(AY347="",N(O347)=0),"",AY347/O347-1)</f>
        <v>1.46305418719212</v>
      </c>
      <c r="BA347" s="29" t="n">
        <f aca="false">IF(OR(AZ347="",N(O347)=0),"",AZ347+AW347/O347)</f>
        <v>1.66625615763547</v>
      </c>
      <c r="BB347" s="32" t="n">
        <f aca="false">IF(OR(BA347="",N(AR347)=0),"",BA347-AR347)</f>
        <v>0</v>
      </c>
      <c r="BC347" s="35" t="n">
        <f aca="false">IF(OR(BA347="",N(U347)=0),"",BA347-U347)</f>
        <v>0.324086077262121</v>
      </c>
      <c r="BD347" s="37"/>
    </row>
    <row r="348" customFormat="false" ht="15" hidden="false" customHeight="false" outlineLevel="0" collapsed="false">
      <c r="A348" s="2" t="s">
        <v>556</v>
      </c>
      <c r="B348" s="2" t="n">
        <v>225</v>
      </c>
      <c r="C348" s="2" t="s">
        <v>749</v>
      </c>
      <c r="D348" s="2" t="s">
        <v>738</v>
      </c>
      <c r="E348" s="2" t="s">
        <v>739</v>
      </c>
      <c r="F348" s="27" t="n">
        <v>7200</v>
      </c>
      <c r="G348" s="2" t="s">
        <v>51</v>
      </c>
      <c r="H348" s="2" t="s">
        <v>58</v>
      </c>
      <c r="I348" s="2" t="s">
        <v>151</v>
      </c>
      <c r="J348" s="2" t="s">
        <v>145</v>
      </c>
      <c r="K348" s="2" t="n">
        <v>4</v>
      </c>
      <c r="L348" s="28" t="n">
        <v>25</v>
      </c>
      <c r="M348" s="29" t="n">
        <v>0.0825</v>
      </c>
      <c r="N348" s="28" t="n">
        <v>2.0625</v>
      </c>
      <c r="O348" s="28" t="n">
        <v>8.59</v>
      </c>
      <c r="P348" s="2" t="s">
        <v>146</v>
      </c>
      <c r="Q348" s="29" t="n">
        <v>0.1</v>
      </c>
      <c r="R348" s="30" t="n">
        <v>0.095</v>
      </c>
      <c r="S348" s="31" t="n">
        <v>21.7105263157895</v>
      </c>
      <c r="T348" s="30" t="n">
        <v>1.52741866307212</v>
      </c>
      <c r="U348" s="30" t="n">
        <v>1.76752343606397</v>
      </c>
      <c r="V348" s="29" t="n">
        <v>0</v>
      </c>
      <c r="W348" s="29" t="n">
        <f aca="false">IF(N(Q348)=0,"",Q348+IF(I348="yes",Q348*Inputs!$B$10*Inputs!$B$9,0)+V348)</f>
        <v>0.095</v>
      </c>
      <c r="X348" s="28" t="n">
        <f aca="false">IF(OR(N(W348)&lt;=0,N(N348)=0,N(L348)=0),"",MIN(L348,N348/W348))</f>
        <v>21.7105263157895</v>
      </c>
      <c r="Y348" s="29" t="n">
        <f aca="false">IF(OR(X348="",N(O348)=0),"",X348/O348-1)</f>
        <v>1.52741866307212</v>
      </c>
      <c r="Z348" s="29" t="n">
        <f aca="false">IF(OR(Y348="",N(O348)=0),"",Y348+N348/O348)</f>
        <v>1.76752343606397</v>
      </c>
      <c r="AA348" s="32" t="n">
        <f aca="false">IF(OR(Z348="",N(U348)=0),"",Z348-U348)</f>
        <v>0</v>
      </c>
      <c r="AB348" s="29" t="n">
        <f aca="false">IF(N(Q348)=0,"",Q348+IF(I348="yes",Q348*Inputs!$B$10*Inputs!$B$9,0)+IFERROR(INDEX(Inputs!$B$13:$B$15,MATCH(G348,Inputs!$A$13:$A$15,0)),0)+IFERROR(INDEX(Inputs!$B$18:$B$24,MATCH(H348,Inputs!$A$18:$A$24,0)),0))</f>
        <v>0.095</v>
      </c>
      <c r="AC348" s="28" t="n">
        <f aca="false">IF(OR(N(AB348)&lt;=0,N(N348)=0,N(L348)=0),"",MIN(L348,N348/AB348))</f>
        <v>21.7105263157895</v>
      </c>
      <c r="AD348" s="29" t="n">
        <f aca="false">IF(OR(AC348="",N(O348)=0),"",AC348/O348-1)</f>
        <v>1.52741866307212</v>
      </c>
      <c r="AE348" s="29" t="n">
        <f aca="false">IF(OR(AD348="",N(O348)=0),"",AD348+N348/O348)</f>
        <v>1.76752343606397</v>
      </c>
      <c r="AF348" s="32" t="n">
        <f aca="false">IF(OR(AE348="",N(Z348)=0),"",AE348-Z348)</f>
        <v>0</v>
      </c>
      <c r="AG348" s="28" t="n">
        <f aca="false">IF(AND(N(M348)&gt;0,N(L348)&gt;0),M348*L348,N348)</f>
        <v>2.0625</v>
      </c>
      <c r="AH348" s="28" t="n">
        <f aca="false">IF(OR(N(AB348)&lt;=0,N(AG348)=0,N(L348)=0),"",MIN(L348,AG348/AB348))</f>
        <v>21.7105263157895</v>
      </c>
      <c r="AI348" s="29" t="n">
        <f aca="false">IF(OR(AH348="",N(O348)=0),"",AH348/O348-1)</f>
        <v>1.52741866307212</v>
      </c>
      <c r="AJ348" s="29" t="n">
        <f aca="false">IF(OR(AI348="",N(O348)=0),"",AI348+AG348/O348)</f>
        <v>1.76752343606397</v>
      </c>
      <c r="AK348" s="32" t="n">
        <f aca="false">IF(OR(AJ348="",N(AE348)=0),"",AJ348-AE348)</f>
        <v>0</v>
      </c>
      <c r="AL348" s="33" t="n">
        <f aca="false">IF(N(F348)=0,"",INDEX(Inputs!$B$28:$B$32,IFERROR(MATCH(F348,Inputs!$A$28:$A$32,1),0)+1))</f>
        <v>0.08</v>
      </c>
      <c r="AM348" s="34"/>
      <c r="AN348" s="33" t="n">
        <f aca="false">IF(N(AM348)&gt;0,AM348,AL348)</f>
        <v>0.08</v>
      </c>
      <c r="AO348" s="29" t="n">
        <f aca="false">IF(N(AN348)=0,"",AN348+IF(I348="yes",AN348*Inputs!$B$10*Inputs!$B$9,0)+IFERROR(INDEX(Inputs!$B$13:$B$15,MATCH(G348,Inputs!$A$13:$A$15,0)),0)+IFERROR(INDEX(Inputs!$B$18:$B$24,MATCH(H348,Inputs!$A$18:$A$24,0)),0))</f>
        <v>0.076</v>
      </c>
      <c r="AP348" s="28" t="n">
        <f aca="false">IF(OR(N(AO348)&lt;=0,N(AG348)=0,N(L348)=0),"",MIN(L348,AG348/AO348))</f>
        <v>25</v>
      </c>
      <c r="AQ348" s="29" t="n">
        <f aca="false">IF(OR(AP348="",N(O348)=0),"",AP348/O348-1)</f>
        <v>1.91036088474971</v>
      </c>
      <c r="AR348" s="29" t="n">
        <f aca="false">IF(OR(AQ348="",N(O348)=0),"",AQ348+AG348/O348)</f>
        <v>2.15046565774156</v>
      </c>
      <c r="AS348" s="32" t="n">
        <f aca="false">IF(OR(AR348="",N(AJ348)=0),"",AR348-AJ348)</f>
        <v>0.382942221677594</v>
      </c>
      <c r="AT348" s="28" t="n">
        <v>25</v>
      </c>
      <c r="AU348" s="28" t="n">
        <v>2.06</v>
      </c>
      <c r="AV348" s="28" t="n">
        <f aca="false">IF(N(AT348)&gt;0,AT348,L348)</f>
        <v>25</v>
      </c>
      <c r="AW348" s="28" t="n">
        <f aca="false">IF(AND(N(M348)&gt;0,N(AV348)&gt;0),M348*AV348,IF(N(AU348)&gt;0,AU348,N348))</f>
        <v>2.0625</v>
      </c>
      <c r="AX348" s="29" t="n">
        <f aca="false">IF(N(AN348)=0,"",AN348+IF(I348="yes",AN348*Inputs!$B$10*Inputs!$B$9,0)+IFERROR(INDEX(Inputs!$B$13:$B$15,MATCH(G348,Inputs!$A$13:$A$15,0)),0)+IFERROR(INDEX(Inputs!$B$18:$B$24,MATCH(H348,Inputs!$A$18:$A$24,0)),0))</f>
        <v>0.076</v>
      </c>
      <c r="AY348" s="28" t="n">
        <f aca="false">IF(OR(N(AX348)&lt;=0,N(AW348)=0,N(AV348)=0),"",MIN(AV348,AW348/AX348))</f>
        <v>25</v>
      </c>
      <c r="AZ348" s="29" t="n">
        <f aca="false">IF(OR(AY348="",N(O348)=0),"",AY348/O348-1)</f>
        <v>1.91036088474971</v>
      </c>
      <c r="BA348" s="29" t="n">
        <f aca="false">IF(OR(AZ348="",N(O348)=0),"",AZ348+AW348/O348)</f>
        <v>2.15046565774156</v>
      </c>
      <c r="BB348" s="32" t="n">
        <f aca="false">IF(OR(BA348="",N(AR348)=0),"",BA348-AR348)</f>
        <v>0</v>
      </c>
      <c r="BC348" s="35" t="n">
        <f aca="false">IF(OR(BA348="",N(U348)=0),"",BA348-U348)</f>
        <v>0.382942221677594</v>
      </c>
      <c r="BD348" s="37"/>
    </row>
    <row r="349" customFormat="false" ht="15" hidden="false" customHeight="false" outlineLevel="0" collapsed="false">
      <c r="A349" s="2" t="s">
        <v>556</v>
      </c>
      <c r="B349" s="2" t="n">
        <v>228</v>
      </c>
      <c r="C349" s="2" t="s">
        <v>750</v>
      </c>
      <c r="D349" s="2" t="s">
        <v>751</v>
      </c>
      <c r="E349" s="2" t="s">
        <v>752</v>
      </c>
      <c r="F349" s="27" t="n">
        <v>329</v>
      </c>
      <c r="G349" s="2" t="s">
        <v>52</v>
      </c>
      <c r="H349" s="2" t="s">
        <v>58</v>
      </c>
      <c r="I349" s="2" t="s">
        <v>144</v>
      </c>
      <c r="J349" s="2" t="s">
        <v>145</v>
      </c>
      <c r="K349" s="2" t="n">
        <v>4</v>
      </c>
      <c r="L349" s="28" t="n">
        <v>25</v>
      </c>
      <c r="M349" s="29" t="n">
        <v>0.07</v>
      </c>
      <c r="N349" s="28" t="n">
        <v>1.75</v>
      </c>
      <c r="O349" s="28" t="n">
        <v>0</v>
      </c>
      <c r="P349" s="2" t="s">
        <v>146</v>
      </c>
      <c r="Q349" s="29" t="n">
        <v>0.1</v>
      </c>
      <c r="R349" s="30" t="n">
        <v>0.095</v>
      </c>
      <c r="S349" s="31" t="n">
        <v>18.421052631579</v>
      </c>
      <c r="T349" s="30"/>
      <c r="U349" s="30"/>
      <c r="V349" s="29" t="n">
        <v>-0.005</v>
      </c>
      <c r="W349" s="29" t="n">
        <f aca="false">IF(N(Q349)=0,"",Q349+IF(I349="yes",Q349*Inputs!$B$10*Inputs!$B$9,0)+V349)</f>
        <v>0.095</v>
      </c>
      <c r="X349" s="28" t="n">
        <f aca="false">IF(OR(N(W349)&lt;=0,N(N349)=0,N(L349)=0),"",MIN(L349,N349/W349))</f>
        <v>18.421052631579</v>
      </c>
      <c r="Y349" s="29" t="str">
        <f aca="false">IF(OR(X349="",N(O349)=0),"",X349/O349-1)</f>
        <v/>
      </c>
      <c r="Z349" s="29" t="str">
        <f aca="false">IF(OR(Y349="",N(O349)=0),"",Y349+N349/O349)</f>
        <v/>
      </c>
      <c r="AA349" s="32" t="str">
        <f aca="false">IF(OR(Z349="",N(U349)=0),"",Z349-U349)</f>
        <v/>
      </c>
      <c r="AB349" s="29" t="n">
        <f aca="false">IF(N(Q349)=0,"",Q349+IF(I349="yes",Q349*Inputs!$B$10*Inputs!$B$9,0)+IFERROR(INDEX(Inputs!$B$13:$B$15,MATCH(G349,Inputs!$A$13:$A$15,0)),0)+IFERROR(INDEX(Inputs!$B$18:$B$24,MATCH(H349,Inputs!$A$18:$A$24,0)),0))</f>
        <v>0.095</v>
      </c>
      <c r="AC349" s="28" t="n">
        <f aca="false">IF(OR(N(AB349)&lt;=0,N(N349)=0,N(L349)=0),"",MIN(L349,N349/AB349))</f>
        <v>18.421052631579</v>
      </c>
      <c r="AD349" s="29" t="str">
        <f aca="false">IF(OR(AC349="",N(O349)=0),"",AC349/O349-1)</f>
        <v/>
      </c>
      <c r="AE349" s="29" t="str">
        <f aca="false">IF(OR(AD349="",N(O349)=0),"",AD349+N349/O349)</f>
        <v/>
      </c>
      <c r="AF349" s="32" t="str">
        <f aca="false">IF(OR(AE349="",N(Z349)=0),"",AE349-Z349)</f>
        <v/>
      </c>
      <c r="AG349" s="28" t="n">
        <f aca="false">IF(AND(N(M349)&gt;0,N(L349)&gt;0),M349*L349,N349)</f>
        <v>1.75</v>
      </c>
      <c r="AH349" s="28" t="n">
        <f aca="false">IF(OR(N(AB349)&lt;=0,N(AG349)=0,N(L349)=0),"",MIN(L349,AG349/AB349))</f>
        <v>18.421052631579</v>
      </c>
      <c r="AI349" s="29" t="str">
        <f aca="false">IF(OR(AH349="",N(O349)=0),"",AH349/O349-1)</f>
        <v/>
      </c>
      <c r="AJ349" s="29" t="str">
        <f aca="false">IF(OR(AI349="",N(O349)=0),"",AI349+AG349/O349)</f>
        <v/>
      </c>
      <c r="AK349" s="32" t="str">
        <f aca="false">IF(OR(AJ349="",N(AE349)=0),"",AJ349-AE349)</f>
        <v/>
      </c>
      <c r="AL349" s="33" t="n">
        <f aca="false">IF(N(F349)=0,"",INDEX(Inputs!$B$28:$B$32,IFERROR(MATCH(F349,Inputs!$A$28:$A$32,1),0)+1))</f>
        <v>0.09</v>
      </c>
      <c r="AM349" s="34"/>
      <c r="AN349" s="33" t="n">
        <f aca="false">IF(N(AM349)&gt;0,AM349,AL349)</f>
        <v>0.09</v>
      </c>
      <c r="AO349" s="29" t="n">
        <f aca="false">IF(N(AN349)=0,"",AN349+IF(I349="yes",AN349*Inputs!$B$10*Inputs!$B$9,0)+IFERROR(INDEX(Inputs!$B$13:$B$15,MATCH(G349,Inputs!$A$13:$A$15,0)),0)+IFERROR(INDEX(Inputs!$B$18:$B$24,MATCH(H349,Inputs!$A$18:$A$24,0)),0))</f>
        <v>0.085</v>
      </c>
      <c r="AP349" s="28" t="n">
        <f aca="false">IF(OR(N(AO349)&lt;=0,N(AG349)=0,N(L349)=0),"",MIN(L349,AG349/AO349))</f>
        <v>20.5882352941177</v>
      </c>
      <c r="AQ349" s="29" t="str">
        <f aca="false">IF(OR(AP349="",N(O349)=0),"",AP349/O349-1)</f>
        <v/>
      </c>
      <c r="AR349" s="29" t="str">
        <f aca="false">IF(OR(AQ349="",N(O349)=0),"",AQ349+AG349/O349)</f>
        <v/>
      </c>
      <c r="AS349" s="32" t="str">
        <f aca="false">IF(OR(AR349="",N(AJ349)=0),"",AR349-AJ349)</f>
        <v/>
      </c>
      <c r="AT349" s="28" t="n">
        <v>25</v>
      </c>
      <c r="AU349" s="28" t="n">
        <v>1.75</v>
      </c>
      <c r="AV349" s="28" t="n">
        <f aca="false">IF(N(AT349)&gt;0,AT349,L349)</f>
        <v>25</v>
      </c>
      <c r="AW349" s="28" t="n">
        <f aca="false">IF(AND(N(M349)&gt;0,N(AV349)&gt;0),M349*AV349,IF(N(AU349)&gt;0,AU349,N349))</f>
        <v>1.75</v>
      </c>
      <c r="AX349" s="29" t="n">
        <f aca="false">IF(N(AN349)=0,"",AN349+IF(I349="yes",AN349*Inputs!$B$10*Inputs!$B$9,0)+IFERROR(INDEX(Inputs!$B$13:$B$15,MATCH(G349,Inputs!$A$13:$A$15,0)),0)+IFERROR(INDEX(Inputs!$B$18:$B$24,MATCH(H349,Inputs!$A$18:$A$24,0)),0))</f>
        <v>0.085</v>
      </c>
      <c r="AY349" s="28" t="n">
        <f aca="false">IF(OR(N(AX349)&lt;=0,N(AW349)=0,N(AV349)=0),"",MIN(AV349,AW349/AX349))</f>
        <v>20.5882352941177</v>
      </c>
      <c r="AZ349" s="29" t="str">
        <f aca="false">IF(OR(AY349="",N(O349)=0),"",AY349/O349-1)</f>
        <v/>
      </c>
      <c r="BA349" s="29" t="str">
        <f aca="false">IF(OR(AZ349="",N(O349)=0),"",AZ349+AW349/O349)</f>
        <v/>
      </c>
      <c r="BB349" s="32" t="str">
        <f aca="false">IF(OR(BA349="",N(AR349)=0),"",BA349-AR349)</f>
        <v/>
      </c>
      <c r="BC349" s="35" t="str">
        <f aca="false">IF(OR(BA349="",N(U349)=0),"",BA349-U349)</f>
        <v/>
      </c>
      <c r="BD349" s="36" t="s">
        <v>299</v>
      </c>
    </row>
    <row r="350" customFormat="false" ht="15" hidden="false" customHeight="false" outlineLevel="0" collapsed="false">
      <c r="A350" s="2" t="s">
        <v>556</v>
      </c>
      <c r="B350" s="2" t="n">
        <v>232</v>
      </c>
      <c r="C350" s="2" t="s">
        <v>753</v>
      </c>
      <c r="D350" s="2" t="s">
        <v>754</v>
      </c>
      <c r="E350" s="2" t="s">
        <v>755</v>
      </c>
      <c r="F350" s="27" t="n">
        <v>2600</v>
      </c>
      <c r="G350" s="2" t="s">
        <v>51</v>
      </c>
      <c r="H350" s="2" t="s">
        <v>58</v>
      </c>
      <c r="I350" s="2" t="s">
        <v>151</v>
      </c>
      <c r="J350" s="2" t="s">
        <v>145</v>
      </c>
      <c r="K350" s="2" t="n">
        <v>4</v>
      </c>
      <c r="L350" s="28" t="n">
        <v>25</v>
      </c>
      <c r="M350" s="29" t="n">
        <v>0.075</v>
      </c>
      <c r="N350" s="28" t="n">
        <v>1.875</v>
      </c>
      <c r="O350" s="28" t="n">
        <v>25.25</v>
      </c>
      <c r="P350" s="2" t="s">
        <v>146</v>
      </c>
      <c r="Q350" s="29" t="n">
        <v>0.08</v>
      </c>
      <c r="R350" s="30" t="n">
        <v>0.076</v>
      </c>
      <c r="S350" s="31" t="n">
        <v>24.671052631579</v>
      </c>
      <c r="T350" s="30" t="n">
        <v>-0.0229286086503386</v>
      </c>
      <c r="U350" s="30" t="n">
        <v>0.0513288170922356</v>
      </c>
      <c r="V350" s="29" t="n">
        <v>0</v>
      </c>
      <c r="W350" s="29" t="n">
        <f aca="false">IF(N(Q350)=0,"",Q350+IF(I350="yes",Q350*Inputs!$B$10*Inputs!$B$9,0)+V350)</f>
        <v>0.076</v>
      </c>
      <c r="X350" s="28" t="n">
        <f aca="false">IF(OR(N(W350)&lt;=0,N(N350)=0,N(L350)=0),"",MIN(L350,N350/W350))</f>
        <v>24.671052631579</v>
      </c>
      <c r="Y350" s="29" t="n">
        <f aca="false">IF(OR(X350="",N(O350)=0),"",X350/O350-1)</f>
        <v>-0.0229286086503386</v>
      </c>
      <c r="Z350" s="29" t="n">
        <f aca="false">IF(OR(Y350="",N(O350)=0),"",Y350+N350/O350)</f>
        <v>0.0513288170922356</v>
      </c>
      <c r="AA350" s="32" t="n">
        <f aca="false">IF(OR(Z350="",N(U350)=0),"",Z350-U350)</f>
        <v>0</v>
      </c>
      <c r="AB350" s="29" t="n">
        <f aca="false">IF(N(Q350)=0,"",Q350+IF(I350="yes",Q350*Inputs!$B$10*Inputs!$B$9,0)+IFERROR(INDEX(Inputs!$B$13:$B$15,MATCH(G350,Inputs!$A$13:$A$15,0)),0)+IFERROR(INDEX(Inputs!$B$18:$B$24,MATCH(H350,Inputs!$A$18:$A$24,0)),0))</f>
        <v>0.076</v>
      </c>
      <c r="AC350" s="28" t="n">
        <f aca="false">IF(OR(N(AB350)&lt;=0,N(N350)=0,N(L350)=0),"",MIN(L350,N350/AB350))</f>
        <v>24.671052631579</v>
      </c>
      <c r="AD350" s="29" t="n">
        <f aca="false">IF(OR(AC350="",N(O350)=0),"",AC350/O350-1)</f>
        <v>-0.0229286086503386</v>
      </c>
      <c r="AE350" s="29" t="n">
        <f aca="false">IF(OR(AD350="",N(O350)=0),"",AD350+N350/O350)</f>
        <v>0.0513288170922356</v>
      </c>
      <c r="AF350" s="32" t="n">
        <f aca="false">IF(OR(AE350="",N(Z350)=0),"",AE350-Z350)</f>
        <v>0</v>
      </c>
      <c r="AG350" s="28" t="n">
        <f aca="false">IF(AND(N(M350)&gt;0,N(L350)&gt;0),M350*L350,N350)</f>
        <v>1.875</v>
      </c>
      <c r="AH350" s="28" t="n">
        <f aca="false">IF(OR(N(AB350)&lt;=0,N(AG350)=0,N(L350)=0),"",MIN(L350,AG350/AB350))</f>
        <v>24.671052631579</v>
      </c>
      <c r="AI350" s="29" t="n">
        <f aca="false">IF(OR(AH350="",N(O350)=0),"",AH350/O350-1)</f>
        <v>-0.0229286086503386</v>
      </c>
      <c r="AJ350" s="29" t="n">
        <f aca="false">IF(OR(AI350="",N(O350)=0),"",AI350+AG350/O350)</f>
        <v>0.0513288170922356</v>
      </c>
      <c r="AK350" s="32" t="n">
        <f aca="false">IF(OR(AJ350="",N(AE350)=0),"",AJ350-AE350)</f>
        <v>0</v>
      </c>
      <c r="AL350" s="33" t="n">
        <f aca="false">IF(N(F350)=0,"",INDEX(Inputs!$B$28:$B$32,IFERROR(MATCH(F350,Inputs!$A$28:$A$32,1),0)+1))</f>
        <v>0.085</v>
      </c>
      <c r="AM350" s="34"/>
      <c r="AN350" s="33" t="n">
        <f aca="false">IF(N(AM350)&gt;0,AM350,AL350)</f>
        <v>0.085</v>
      </c>
      <c r="AO350" s="29" t="n">
        <f aca="false">IF(N(AN350)=0,"",AN350+IF(I350="yes",AN350*Inputs!$B$10*Inputs!$B$9,0)+IFERROR(INDEX(Inputs!$B$13:$B$15,MATCH(G350,Inputs!$A$13:$A$15,0)),0)+IFERROR(INDEX(Inputs!$B$18:$B$24,MATCH(H350,Inputs!$A$18:$A$24,0)),0))</f>
        <v>0.08075</v>
      </c>
      <c r="AP350" s="28" t="n">
        <f aca="false">IF(OR(N(AO350)&lt;=0,N(AG350)=0,N(L350)=0),"",MIN(L350,AG350/AO350))</f>
        <v>23.2198142414861</v>
      </c>
      <c r="AQ350" s="29" t="n">
        <f aca="false">IF(OR(AP350="",N(O350)=0),"",AP350/O350-1)</f>
        <v>-0.0804033963767895</v>
      </c>
      <c r="AR350" s="29" t="n">
        <f aca="false">IF(OR(AQ350="",N(O350)=0),"",AQ350+AG350/O350)</f>
        <v>-0.00614597063421525</v>
      </c>
      <c r="AS350" s="32" t="n">
        <f aca="false">IF(OR(AR350="",N(AJ350)=0),"",AR350-AJ350)</f>
        <v>-0.0574747877264509</v>
      </c>
      <c r="AT350" s="28" t="n">
        <v>25</v>
      </c>
      <c r="AU350" s="28" t="n">
        <v>1.875</v>
      </c>
      <c r="AV350" s="28" t="n">
        <f aca="false">IF(N(AT350)&gt;0,AT350,L350)</f>
        <v>25</v>
      </c>
      <c r="AW350" s="28" t="n">
        <f aca="false">IF(AND(N(M350)&gt;0,N(AV350)&gt;0),M350*AV350,IF(N(AU350)&gt;0,AU350,N350))</f>
        <v>1.875</v>
      </c>
      <c r="AX350" s="29" t="n">
        <f aca="false">IF(N(AN350)=0,"",AN350+IF(I350="yes",AN350*Inputs!$B$10*Inputs!$B$9,0)+IFERROR(INDEX(Inputs!$B$13:$B$15,MATCH(G350,Inputs!$A$13:$A$15,0)),0)+IFERROR(INDEX(Inputs!$B$18:$B$24,MATCH(H350,Inputs!$A$18:$A$24,0)),0))</f>
        <v>0.08075</v>
      </c>
      <c r="AY350" s="28" t="n">
        <f aca="false">IF(OR(N(AX350)&lt;=0,N(AW350)=0,N(AV350)=0),"",MIN(AV350,AW350/AX350))</f>
        <v>23.2198142414861</v>
      </c>
      <c r="AZ350" s="29" t="n">
        <f aca="false">IF(OR(AY350="",N(O350)=0),"",AY350/O350-1)</f>
        <v>-0.0804033963767895</v>
      </c>
      <c r="BA350" s="29" t="n">
        <f aca="false">IF(OR(AZ350="",N(O350)=0),"",AZ350+AW350/O350)</f>
        <v>-0.00614597063421525</v>
      </c>
      <c r="BB350" s="32" t="n">
        <f aca="false">IF(OR(BA350="",N(AR350)=0),"",BA350-AR350)</f>
        <v>0</v>
      </c>
      <c r="BC350" s="35" t="n">
        <f aca="false">IF(OR(BA350="",N(U350)=0),"",BA350-U350)</f>
        <v>-0.0574747877264509</v>
      </c>
      <c r="BD350" s="37"/>
    </row>
    <row r="351" customFormat="false" ht="15" hidden="false" customHeight="false" outlineLevel="0" collapsed="false">
      <c r="A351" s="2" t="s">
        <v>556</v>
      </c>
      <c r="B351" s="2" t="n">
        <v>236</v>
      </c>
      <c r="C351" s="2" t="s">
        <v>756</v>
      </c>
      <c r="D351" s="2" t="s">
        <v>757</v>
      </c>
      <c r="E351" s="2" t="s">
        <v>758</v>
      </c>
      <c r="F351" s="27" t="n">
        <v>10200</v>
      </c>
      <c r="G351" s="2" t="s">
        <v>51</v>
      </c>
      <c r="H351" s="2" t="s">
        <v>58</v>
      </c>
      <c r="I351" s="2" t="s">
        <v>144</v>
      </c>
      <c r="J351" s="2" t="s">
        <v>145</v>
      </c>
      <c r="K351" s="2" t="n">
        <v>4</v>
      </c>
      <c r="L351" s="28" t="n">
        <v>25</v>
      </c>
      <c r="M351" s="29" t="n">
        <v>0.05</v>
      </c>
      <c r="N351" s="28" t="n">
        <v>1.25</v>
      </c>
      <c r="O351" s="28" t="n">
        <v>19.15</v>
      </c>
      <c r="P351" s="2" t="s">
        <v>146</v>
      </c>
      <c r="Q351" s="29" t="n">
        <v>0.08</v>
      </c>
      <c r="R351" s="30" t="n">
        <v>0.08</v>
      </c>
      <c r="S351" s="31" t="n">
        <v>15.625</v>
      </c>
      <c r="T351" s="30" t="n">
        <v>-0.184073107049608</v>
      </c>
      <c r="U351" s="30" t="n">
        <v>-0.118798955613577</v>
      </c>
      <c r="V351" s="29" t="n">
        <v>0</v>
      </c>
      <c r="W351" s="29" t="n">
        <f aca="false">IF(N(Q351)=0,"",Q351+IF(I351="yes",Q351*Inputs!$B$10*Inputs!$B$9,0)+V351)</f>
        <v>0.08</v>
      </c>
      <c r="X351" s="28" t="n">
        <f aca="false">IF(OR(N(W351)&lt;=0,N(N351)=0,N(L351)=0),"",MIN(L351,N351/W351))</f>
        <v>15.625</v>
      </c>
      <c r="Y351" s="29" t="n">
        <f aca="false">IF(OR(X351="",N(O351)=0),"",X351/O351-1)</f>
        <v>-0.184073107049608</v>
      </c>
      <c r="Z351" s="29" t="n">
        <f aca="false">IF(OR(Y351="",N(O351)=0),"",Y351+N351/O351)</f>
        <v>-0.118798955613577</v>
      </c>
      <c r="AA351" s="32" t="n">
        <f aca="false">IF(OR(Z351="",N(U351)=0),"",Z351-U351)</f>
        <v>0</v>
      </c>
      <c r="AB351" s="29" t="n">
        <f aca="false">IF(N(Q351)=0,"",Q351+IF(I351="yes",Q351*Inputs!$B$10*Inputs!$B$9,0)+IFERROR(INDEX(Inputs!$B$13:$B$15,MATCH(G351,Inputs!$A$13:$A$15,0)),0)+IFERROR(INDEX(Inputs!$B$18:$B$24,MATCH(H351,Inputs!$A$18:$A$24,0)),0))</f>
        <v>0.08</v>
      </c>
      <c r="AC351" s="28" t="n">
        <f aca="false">IF(OR(N(AB351)&lt;=0,N(N351)=0,N(L351)=0),"",MIN(L351,N351/AB351))</f>
        <v>15.625</v>
      </c>
      <c r="AD351" s="29" t="n">
        <f aca="false">IF(OR(AC351="",N(O351)=0),"",AC351/O351-1)</f>
        <v>-0.184073107049608</v>
      </c>
      <c r="AE351" s="29" t="n">
        <f aca="false">IF(OR(AD351="",N(O351)=0),"",AD351+N351/O351)</f>
        <v>-0.118798955613577</v>
      </c>
      <c r="AF351" s="32" t="n">
        <f aca="false">IF(OR(AE351="",N(Z351)=0),"",AE351-Z351)</f>
        <v>0</v>
      </c>
      <c r="AG351" s="28" t="n">
        <f aca="false">IF(AND(N(M351)&gt;0,N(L351)&gt;0),M351*L351,N351)</f>
        <v>1.25</v>
      </c>
      <c r="AH351" s="28" t="n">
        <f aca="false">IF(OR(N(AB351)&lt;=0,N(AG351)=0,N(L351)=0),"",MIN(L351,AG351/AB351))</f>
        <v>15.625</v>
      </c>
      <c r="AI351" s="29" t="n">
        <f aca="false">IF(OR(AH351="",N(O351)=0),"",AH351/O351-1)</f>
        <v>-0.184073107049608</v>
      </c>
      <c r="AJ351" s="29" t="n">
        <f aca="false">IF(OR(AI351="",N(O351)=0),"",AI351+AG351/O351)</f>
        <v>-0.118798955613577</v>
      </c>
      <c r="AK351" s="32" t="n">
        <f aca="false">IF(OR(AJ351="",N(AE351)=0),"",AJ351-AE351)</f>
        <v>0</v>
      </c>
      <c r="AL351" s="33" t="n">
        <f aca="false">IF(N(F351)=0,"",INDEX(Inputs!$B$28:$B$32,IFERROR(MATCH(F351,Inputs!$A$28:$A$32,1),0)+1))</f>
        <v>0.08</v>
      </c>
      <c r="AM351" s="34"/>
      <c r="AN351" s="33" t="n">
        <f aca="false">IF(N(AM351)&gt;0,AM351,AL351)</f>
        <v>0.08</v>
      </c>
      <c r="AO351" s="29" t="n">
        <f aca="false">IF(N(AN351)=0,"",AN351+IF(I351="yes",AN351*Inputs!$B$10*Inputs!$B$9,0)+IFERROR(INDEX(Inputs!$B$13:$B$15,MATCH(G351,Inputs!$A$13:$A$15,0)),0)+IFERROR(INDEX(Inputs!$B$18:$B$24,MATCH(H351,Inputs!$A$18:$A$24,0)),0))</f>
        <v>0.08</v>
      </c>
      <c r="AP351" s="28" t="n">
        <f aca="false">IF(OR(N(AO351)&lt;=0,N(AG351)=0,N(L351)=0),"",MIN(L351,AG351/AO351))</f>
        <v>15.625</v>
      </c>
      <c r="AQ351" s="29" t="n">
        <f aca="false">IF(OR(AP351="",N(O351)=0),"",AP351/O351-1)</f>
        <v>-0.184073107049608</v>
      </c>
      <c r="AR351" s="29" t="n">
        <f aca="false">IF(OR(AQ351="",N(O351)=0),"",AQ351+AG351/O351)</f>
        <v>-0.118798955613577</v>
      </c>
      <c r="AS351" s="32" t="n">
        <f aca="false">IF(OR(AR351="",N(AJ351)=0),"",AR351-AJ351)</f>
        <v>0</v>
      </c>
      <c r="AT351" s="28" t="n">
        <v>25</v>
      </c>
      <c r="AU351" s="28" t="n">
        <v>1.25</v>
      </c>
      <c r="AV351" s="28" t="n">
        <f aca="false">IF(N(AT351)&gt;0,AT351,L351)</f>
        <v>25</v>
      </c>
      <c r="AW351" s="28" t="n">
        <f aca="false">IF(AND(N(M351)&gt;0,N(AV351)&gt;0),M351*AV351,IF(N(AU351)&gt;0,AU351,N351))</f>
        <v>1.25</v>
      </c>
      <c r="AX351" s="29" t="n">
        <f aca="false">IF(N(AN351)=0,"",AN351+IF(I351="yes",AN351*Inputs!$B$10*Inputs!$B$9,0)+IFERROR(INDEX(Inputs!$B$13:$B$15,MATCH(G351,Inputs!$A$13:$A$15,0)),0)+IFERROR(INDEX(Inputs!$B$18:$B$24,MATCH(H351,Inputs!$A$18:$A$24,0)),0))</f>
        <v>0.08</v>
      </c>
      <c r="AY351" s="28" t="n">
        <f aca="false">IF(OR(N(AX351)&lt;=0,N(AW351)=0,N(AV351)=0),"",MIN(AV351,AW351/AX351))</f>
        <v>15.625</v>
      </c>
      <c r="AZ351" s="29" t="n">
        <f aca="false">IF(OR(AY351="",N(O351)=0),"",AY351/O351-1)</f>
        <v>-0.184073107049608</v>
      </c>
      <c r="BA351" s="29" t="n">
        <f aca="false">IF(OR(AZ351="",N(O351)=0),"",AZ351+AW351/O351)</f>
        <v>-0.118798955613577</v>
      </c>
      <c r="BB351" s="32" t="n">
        <f aca="false">IF(OR(BA351="",N(AR351)=0),"",BA351-AR351)</f>
        <v>0</v>
      </c>
      <c r="BC351" s="35" t="n">
        <f aca="false">IF(OR(BA351="",N(U351)=0),"",BA351-U351)</f>
        <v>0</v>
      </c>
      <c r="BD351" s="37"/>
    </row>
    <row r="352" customFormat="false" ht="15" hidden="false" customHeight="false" outlineLevel="0" collapsed="false">
      <c r="A352" s="2" t="s">
        <v>556</v>
      </c>
      <c r="B352" s="2" t="n">
        <v>240</v>
      </c>
      <c r="C352" s="2" t="s">
        <v>759</v>
      </c>
      <c r="D352" s="2" t="s">
        <v>760</v>
      </c>
      <c r="E352" s="2" t="s">
        <v>761</v>
      </c>
      <c r="F352" s="27" t="n">
        <v>20300</v>
      </c>
      <c r="G352" s="2" t="s">
        <v>51</v>
      </c>
      <c r="H352" s="2" t="s">
        <v>59</v>
      </c>
      <c r="I352" s="2" t="s">
        <v>144</v>
      </c>
      <c r="J352" s="2" t="s">
        <v>145</v>
      </c>
      <c r="K352" s="2" t="n">
        <v>4</v>
      </c>
      <c r="L352" s="28" t="n">
        <v>25</v>
      </c>
      <c r="M352" s="29" t="n">
        <v>0.0825</v>
      </c>
      <c r="N352" s="28" t="n">
        <v>2.0625</v>
      </c>
      <c r="O352" s="28" t="n">
        <v>0</v>
      </c>
      <c r="P352" s="2" t="s">
        <v>146</v>
      </c>
      <c r="Q352" s="29" t="n">
        <v>0.08</v>
      </c>
      <c r="R352" s="30" t="n">
        <v>0.08</v>
      </c>
      <c r="S352" s="31" t="n">
        <v>25</v>
      </c>
      <c r="T352" s="30"/>
      <c r="U352" s="30"/>
      <c r="V352" s="29" t="n">
        <v>0</v>
      </c>
      <c r="W352" s="29" t="n">
        <f aca="false">IF(N(Q352)=0,"",Q352+IF(I352="yes",Q352*Inputs!$B$10*Inputs!$B$9,0)+V352)</f>
        <v>0.08</v>
      </c>
      <c r="X352" s="28" t="n">
        <f aca="false">IF(OR(N(W352)&lt;=0,N(N352)=0,N(L352)=0),"",MIN(L352,N352/W352))</f>
        <v>25</v>
      </c>
      <c r="Y352" s="29" t="str">
        <f aca="false">IF(OR(X352="",N(O352)=0),"",X352/O352-1)</f>
        <v/>
      </c>
      <c r="Z352" s="29" t="str">
        <f aca="false">IF(OR(Y352="",N(O352)=0),"",Y352+N352/O352)</f>
        <v/>
      </c>
      <c r="AA352" s="32" t="str">
        <f aca="false">IF(OR(Z352="",N(U352)=0),"",Z352-U352)</f>
        <v/>
      </c>
      <c r="AB352" s="29" t="n">
        <f aca="false">IF(N(Q352)=0,"",Q352+IF(I352="yes",Q352*Inputs!$B$10*Inputs!$B$9,0)+IFERROR(INDEX(Inputs!$B$13:$B$15,MATCH(G352,Inputs!$A$13:$A$15,0)),0)+IFERROR(INDEX(Inputs!$B$18:$B$24,MATCH(H352,Inputs!$A$18:$A$24,0)),0))</f>
        <v>0.08</v>
      </c>
      <c r="AC352" s="28" t="n">
        <f aca="false">IF(OR(N(AB352)&lt;=0,N(N352)=0,N(L352)=0),"",MIN(L352,N352/AB352))</f>
        <v>25</v>
      </c>
      <c r="AD352" s="29" t="str">
        <f aca="false">IF(OR(AC352="",N(O352)=0),"",AC352/O352-1)</f>
        <v/>
      </c>
      <c r="AE352" s="29" t="str">
        <f aca="false">IF(OR(AD352="",N(O352)=0),"",AD352+N352/O352)</f>
        <v/>
      </c>
      <c r="AF352" s="32" t="str">
        <f aca="false">IF(OR(AE352="",N(Z352)=0),"",AE352-Z352)</f>
        <v/>
      </c>
      <c r="AG352" s="28" t="n">
        <f aca="false">IF(AND(N(M352)&gt;0,N(L352)&gt;0),M352*L352,N352)</f>
        <v>2.0625</v>
      </c>
      <c r="AH352" s="28" t="n">
        <f aca="false">IF(OR(N(AB352)&lt;=0,N(AG352)=0,N(L352)=0),"",MIN(L352,AG352/AB352))</f>
        <v>25</v>
      </c>
      <c r="AI352" s="29" t="str">
        <f aca="false">IF(OR(AH352="",N(O352)=0),"",AH352/O352-1)</f>
        <v/>
      </c>
      <c r="AJ352" s="29" t="str">
        <f aca="false">IF(OR(AI352="",N(O352)=0),"",AI352+AG352/O352)</f>
        <v/>
      </c>
      <c r="AK352" s="32" t="str">
        <f aca="false">IF(OR(AJ352="",N(AE352)=0),"",AJ352-AE352)</f>
        <v/>
      </c>
      <c r="AL352" s="33" t="n">
        <f aca="false">IF(N(F352)=0,"",INDEX(Inputs!$B$28:$B$32,IFERROR(MATCH(F352,Inputs!$A$28:$A$32,1),0)+1))</f>
        <v>0.075</v>
      </c>
      <c r="AM352" s="34"/>
      <c r="AN352" s="33" t="n">
        <f aca="false">IF(N(AM352)&gt;0,AM352,AL352)</f>
        <v>0.075</v>
      </c>
      <c r="AO352" s="29" t="n">
        <f aca="false">IF(N(AN352)=0,"",AN352+IF(I352="yes",AN352*Inputs!$B$10*Inputs!$B$9,0)+IFERROR(INDEX(Inputs!$B$13:$B$15,MATCH(G352,Inputs!$A$13:$A$15,0)),0)+IFERROR(INDEX(Inputs!$B$18:$B$24,MATCH(H352,Inputs!$A$18:$A$24,0)),0))</f>
        <v>0.075</v>
      </c>
      <c r="AP352" s="28" t="n">
        <f aca="false">IF(OR(N(AO352)&lt;=0,N(AG352)=0,N(L352)=0),"",MIN(L352,AG352/AO352))</f>
        <v>25</v>
      </c>
      <c r="AQ352" s="29" t="str">
        <f aca="false">IF(OR(AP352="",N(O352)=0),"",AP352/O352-1)</f>
        <v/>
      </c>
      <c r="AR352" s="29" t="str">
        <f aca="false">IF(OR(AQ352="",N(O352)=0),"",AQ352+AG352/O352)</f>
        <v/>
      </c>
      <c r="AS352" s="32" t="str">
        <f aca="false">IF(OR(AR352="",N(AJ352)=0),"",AR352-AJ352)</f>
        <v/>
      </c>
      <c r="AT352" s="28"/>
      <c r="AU352" s="28"/>
      <c r="AV352" s="28" t="n">
        <f aca="false">IF(N(AT352)&gt;0,AT352,L352)</f>
        <v>25</v>
      </c>
      <c r="AW352" s="28" t="n">
        <f aca="false">IF(AND(N(M352)&gt;0,N(AV352)&gt;0),M352*AV352,IF(N(AU352)&gt;0,AU352,N352))</f>
        <v>2.0625</v>
      </c>
      <c r="AX352" s="29" t="n">
        <f aca="false">IF(N(AN352)=0,"",AN352+IF(I352="yes",AN352*Inputs!$B$10*Inputs!$B$9,0)+IFERROR(INDEX(Inputs!$B$13:$B$15,MATCH(G352,Inputs!$A$13:$A$15,0)),0)+IFERROR(INDEX(Inputs!$B$18:$B$24,MATCH(H352,Inputs!$A$18:$A$24,0)),0))</f>
        <v>0.075</v>
      </c>
      <c r="AY352" s="28" t="n">
        <f aca="false">IF(OR(N(AX352)&lt;=0,N(AW352)=0,N(AV352)=0),"",MIN(AV352,AW352/AX352))</f>
        <v>25</v>
      </c>
      <c r="AZ352" s="29" t="str">
        <f aca="false">IF(OR(AY352="",N(O352)=0),"",AY352/O352-1)</f>
        <v/>
      </c>
      <c r="BA352" s="29" t="str">
        <f aca="false">IF(OR(AZ352="",N(O352)=0),"",AZ352+AW352/O352)</f>
        <v/>
      </c>
      <c r="BB352" s="32" t="str">
        <f aca="false">IF(OR(BA352="",N(AR352)=0),"",BA352-AR352)</f>
        <v/>
      </c>
      <c r="BC352" s="35" t="str">
        <f aca="false">IF(OR(BA352="",N(U352)=0),"",BA352-U352)</f>
        <v/>
      </c>
      <c r="BD352" s="36" t="s">
        <v>198</v>
      </c>
    </row>
    <row r="353" customFormat="false" ht="15" hidden="false" customHeight="false" outlineLevel="0" collapsed="false">
      <c r="A353" s="2" t="s">
        <v>556</v>
      </c>
      <c r="B353" s="2" t="n">
        <v>241</v>
      </c>
      <c r="C353" s="2" t="s">
        <v>762</v>
      </c>
      <c r="D353" s="2" t="s">
        <v>760</v>
      </c>
      <c r="E353" s="2" t="s">
        <v>761</v>
      </c>
      <c r="F353" s="27" t="n">
        <v>20300</v>
      </c>
      <c r="G353" s="2" t="s">
        <v>51</v>
      </c>
      <c r="H353" s="2" t="s">
        <v>59</v>
      </c>
      <c r="I353" s="2" t="s">
        <v>144</v>
      </c>
      <c r="J353" s="2" t="s">
        <v>145</v>
      </c>
      <c r="K353" s="2" t="n">
        <v>4</v>
      </c>
      <c r="L353" s="28" t="n">
        <v>25</v>
      </c>
      <c r="M353" s="29" t="n">
        <v>0.08</v>
      </c>
      <c r="N353" s="28" t="n">
        <v>2</v>
      </c>
      <c r="O353" s="28" t="n">
        <v>0</v>
      </c>
      <c r="P353" s="2" t="s">
        <v>146</v>
      </c>
      <c r="Q353" s="29" t="n">
        <v>0.08</v>
      </c>
      <c r="R353" s="30" t="n">
        <v>0.08</v>
      </c>
      <c r="S353" s="31" t="n">
        <v>25</v>
      </c>
      <c r="T353" s="30"/>
      <c r="U353" s="30"/>
      <c r="V353" s="29" t="n">
        <v>0</v>
      </c>
      <c r="W353" s="29" t="n">
        <f aca="false">IF(N(Q353)=0,"",Q353+IF(I353="yes",Q353*Inputs!$B$10*Inputs!$B$9,0)+V353)</f>
        <v>0.08</v>
      </c>
      <c r="X353" s="28" t="n">
        <f aca="false">IF(OR(N(W353)&lt;=0,N(N353)=0,N(L353)=0),"",MIN(L353,N353/W353))</f>
        <v>25</v>
      </c>
      <c r="Y353" s="29" t="str">
        <f aca="false">IF(OR(X353="",N(O353)=0),"",X353/O353-1)</f>
        <v/>
      </c>
      <c r="Z353" s="29" t="str">
        <f aca="false">IF(OR(Y353="",N(O353)=0),"",Y353+N353/O353)</f>
        <v/>
      </c>
      <c r="AA353" s="32" t="str">
        <f aca="false">IF(OR(Z353="",N(U353)=0),"",Z353-U353)</f>
        <v/>
      </c>
      <c r="AB353" s="29" t="n">
        <f aca="false">IF(N(Q353)=0,"",Q353+IF(I353="yes",Q353*Inputs!$B$10*Inputs!$B$9,0)+IFERROR(INDEX(Inputs!$B$13:$B$15,MATCH(G353,Inputs!$A$13:$A$15,0)),0)+IFERROR(INDEX(Inputs!$B$18:$B$24,MATCH(H353,Inputs!$A$18:$A$24,0)),0))</f>
        <v>0.08</v>
      </c>
      <c r="AC353" s="28" t="n">
        <f aca="false">IF(OR(N(AB353)&lt;=0,N(N353)=0,N(L353)=0),"",MIN(L353,N353/AB353))</f>
        <v>25</v>
      </c>
      <c r="AD353" s="29" t="str">
        <f aca="false">IF(OR(AC353="",N(O353)=0),"",AC353/O353-1)</f>
        <v/>
      </c>
      <c r="AE353" s="29" t="str">
        <f aca="false">IF(OR(AD353="",N(O353)=0),"",AD353+N353/O353)</f>
        <v/>
      </c>
      <c r="AF353" s="32" t="str">
        <f aca="false">IF(OR(AE353="",N(Z353)=0),"",AE353-Z353)</f>
        <v/>
      </c>
      <c r="AG353" s="28" t="n">
        <f aca="false">IF(AND(N(M353)&gt;0,N(L353)&gt;0),M353*L353,N353)</f>
        <v>2</v>
      </c>
      <c r="AH353" s="28" t="n">
        <f aca="false">IF(OR(N(AB353)&lt;=0,N(AG353)=0,N(L353)=0),"",MIN(L353,AG353/AB353))</f>
        <v>25</v>
      </c>
      <c r="AI353" s="29" t="str">
        <f aca="false">IF(OR(AH353="",N(O353)=0),"",AH353/O353-1)</f>
        <v/>
      </c>
      <c r="AJ353" s="29" t="str">
        <f aca="false">IF(OR(AI353="",N(O353)=0),"",AI353+AG353/O353)</f>
        <v/>
      </c>
      <c r="AK353" s="32" t="str">
        <f aca="false">IF(OR(AJ353="",N(AE353)=0),"",AJ353-AE353)</f>
        <v/>
      </c>
      <c r="AL353" s="33" t="n">
        <f aca="false">IF(N(F353)=0,"",INDEX(Inputs!$B$28:$B$32,IFERROR(MATCH(F353,Inputs!$A$28:$A$32,1),0)+1))</f>
        <v>0.075</v>
      </c>
      <c r="AM353" s="34"/>
      <c r="AN353" s="33" t="n">
        <f aca="false">IF(N(AM353)&gt;0,AM353,AL353)</f>
        <v>0.075</v>
      </c>
      <c r="AO353" s="29" t="n">
        <f aca="false">IF(N(AN353)=0,"",AN353+IF(I353="yes",AN353*Inputs!$B$10*Inputs!$B$9,0)+IFERROR(INDEX(Inputs!$B$13:$B$15,MATCH(G353,Inputs!$A$13:$A$15,0)),0)+IFERROR(INDEX(Inputs!$B$18:$B$24,MATCH(H353,Inputs!$A$18:$A$24,0)),0))</f>
        <v>0.075</v>
      </c>
      <c r="AP353" s="28" t="n">
        <f aca="false">IF(OR(N(AO353)&lt;=0,N(AG353)=0,N(L353)=0),"",MIN(L353,AG353/AO353))</f>
        <v>25</v>
      </c>
      <c r="AQ353" s="29" t="str">
        <f aca="false">IF(OR(AP353="",N(O353)=0),"",AP353/O353-1)</f>
        <v/>
      </c>
      <c r="AR353" s="29" t="str">
        <f aca="false">IF(OR(AQ353="",N(O353)=0),"",AQ353+AG353/O353)</f>
        <v/>
      </c>
      <c r="AS353" s="32" t="str">
        <f aca="false">IF(OR(AR353="",N(AJ353)=0),"",AR353-AJ353)</f>
        <v/>
      </c>
      <c r="AT353" s="28"/>
      <c r="AU353" s="28"/>
      <c r="AV353" s="28" t="n">
        <f aca="false">IF(N(AT353)&gt;0,AT353,L353)</f>
        <v>25</v>
      </c>
      <c r="AW353" s="28" t="n">
        <f aca="false">IF(AND(N(M353)&gt;0,N(AV353)&gt;0),M353*AV353,IF(N(AU353)&gt;0,AU353,N353))</f>
        <v>2</v>
      </c>
      <c r="AX353" s="29" t="n">
        <f aca="false">IF(N(AN353)=0,"",AN353+IF(I353="yes",AN353*Inputs!$B$10*Inputs!$B$9,0)+IFERROR(INDEX(Inputs!$B$13:$B$15,MATCH(G353,Inputs!$A$13:$A$15,0)),0)+IFERROR(INDEX(Inputs!$B$18:$B$24,MATCH(H353,Inputs!$A$18:$A$24,0)),0))</f>
        <v>0.075</v>
      </c>
      <c r="AY353" s="28" t="n">
        <f aca="false">IF(OR(N(AX353)&lt;=0,N(AW353)=0,N(AV353)=0),"",MIN(AV353,AW353/AX353))</f>
        <v>25</v>
      </c>
      <c r="AZ353" s="29" t="str">
        <f aca="false">IF(OR(AY353="",N(O353)=0),"",AY353/O353-1)</f>
        <v/>
      </c>
      <c r="BA353" s="29" t="str">
        <f aca="false">IF(OR(AZ353="",N(O353)=0),"",AZ353+AW353/O353)</f>
        <v/>
      </c>
      <c r="BB353" s="32" t="str">
        <f aca="false">IF(OR(BA353="",N(AR353)=0),"",BA353-AR353)</f>
        <v/>
      </c>
      <c r="BC353" s="35" t="str">
        <f aca="false">IF(OR(BA353="",N(U353)=0),"",BA353-U353)</f>
        <v/>
      </c>
      <c r="BD353" s="36" t="s">
        <v>198</v>
      </c>
    </row>
    <row r="354" customFormat="false" ht="15" hidden="false" customHeight="false" outlineLevel="0" collapsed="false">
      <c r="A354" s="2" t="s">
        <v>556</v>
      </c>
      <c r="B354" s="2" t="n">
        <v>242</v>
      </c>
      <c r="C354" s="2" t="s">
        <v>763</v>
      </c>
      <c r="D354" s="2" t="s">
        <v>760</v>
      </c>
      <c r="E354" s="2" t="s">
        <v>761</v>
      </c>
      <c r="F354" s="27" t="n">
        <v>20300</v>
      </c>
      <c r="G354" s="2" t="s">
        <v>51</v>
      </c>
      <c r="H354" s="2" t="s">
        <v>59</v>
      </c>
      <c r="I354" s="2" t="s">
        <v>144</v>
      </c>
      <c r="J354" s="2" t="s">
        <v>145</v>
      </c>
      <c r="K354" s="2" t="n">
        <v>4</v>
      </c>
      <c r="L354" s="28" t="n">
        <v>25</v>
      </c>
      <c r="M354" s="29" t="n">
        <v>0.095</v>
      </c>
      <c r="N354" s="28" t="n">
        <v>2.375</v>
      </c>
      <c r="O354" s="28" t="n">
        <v>27.45</v>
      </c>
      <c r="P354" s="2" t="s">
        <v>223</v>
      </c>
      <c r="Q354" s="29" t="n">
        <v>0.08</v>
      </c>
      <c r="R354" s="30" t="n">
        <v>0.08</v>
      </c>
      <c r="S354" s="31" t="n">
        <v>25</v>
      </c>
      <c r="T354" s="30" t="n">
        <v>-0.0892531876138434</v>
      </c>
      <c r="U354" s="30" t="n">
        <v>-0.00273224043715849</v>
      </c>
      <c r="V354" s="29" t="n">
        <v>0</v>
      </c>
      <c r="W354" s="29" t="n">
        <f aca="false">IF(N(Q354)=0,"",Q354+IF(I354="yes",Q354*Inputs!$B$10*Inputs!$B$9,0)+V354)</f>
        <v>0.08</v>
      </c>
      <c r="X354" s="28" t="n">
        <f aca="false">IF(OR(N(W354)&lt;=0,N(N354)=0,N(L354)=0),"",MIN(L354,N354/W354))</f>
        <v>25</v>
      </c>
      <c r="Y354" s="29" t="n">
        <f aca="false">IF(OR(X354="",N(O354)=0),"",X354/O354-1)</f>
        <v>-0.0892531876138434</v>
      </c>
      <c r="Z354" s="29" t="n">
        <f aca="false">IF(OR(Y354="",N(O354)=0),"",Y354+N354/O354)</f>
        <v>-0.00273224043715849</v>
      </c>
      <c r="AA354" s="32" t="n">
        <f aca="false">IF(OR(Z354="",N(U354)=0),"",Z354-U354)</f>
        <v>0</v>
      </c>
      <c r="AB354" s="29" t="n">
        <f aca="false">IF(N(Q354)=0,"",Q354+IF(I354="yes",Q354*Inputs!$B$10*Inputs!$B$9,0)+IFERROR(INDEX(Inputs!$B$13:$B$15,MATCH(G354,Inputs!$A$13:$A$15,0)),0)+IFERROR(INDEX(Inputs!$B$18:$B$24,MATCH(H354,Inputs!$A$18:$A$24,0)),0))</f>
        <v>0.08</v>
      </c>
      <c r="AC354" s="28" t="n">
        <f aca="false">IF(OR(N(AB354)&lt;=0,N(N354)=0,N(L354)=0),"",MIN(L354,N354/AB354))</f>
        <v>25</v>
      </c>
      <c r="AD354" s="29" t="n">
        <f aca="false">IF(OR(AC354="",N(O354)=0),"",AC354/O354-1)</f>
        <v>-0.0892531876138434</v>
      </c>
      <c r="AE354" s="29" t="n">
        <f aca="false">IF(OR(AD354="",N(O354)=0),"",AD354+N354/O354)</f>
        <v>-0.00273224043715849</v>
      </c>
      <c r="AF354" s="32" t="n">
        <f aca="false">IF(OR(AE354="",N(Z354)=0),"",AE354-Z354)</f>
        <v>0</v>
      </c>
      <c r="AG354" s="28" t="n">
        <f aca="false">IF(AND(N(M354)&gt;0,N(L354)&gt;0),M354*L354,N354)</f>
        <v>2.375</v>
      </c>
      <c r="AH354" s="28" t="n">
        <f aca="false">IF(OR(N(AB354)&lt;=0,N(AG354)=0,N(L354)=0),"",MIN(L354,AG354/AB354))</f>
        <v>25</v>
      </c>
      <c r="AI354" s="29" t="n">
        <f aca="false">IF(OR(AH354="",N(O354)=0),"",AH354/O354-1)</f>
        <v>-0.0892531876138434</v>
      </c>
      <c r="AJ354" s="29" t="n">
        <f aca="false">IF(OR(AI354="",N(O354)=0),"",AI354+AG354/O354)</f>
        <v>-0.00273224043715849</v>
      </c>
      <c r="AK354" s="32" t="n">
        <f aca="false">IF(OR(AJ354="",N(AE354)=0),"",AJ354-AE354)</f>
        <v>0</v>
      </c>
      <c r="AL354" s="33" t="n">
        <f aca="false">IF(N(F354)=0,"",INDEX(Inputs!$B$28:$B$32,IFERROR(MATCH(F354,Inputs!$A$28:$A$32,1),0)+1))</f>
        <v>0.075</v>
      </c>
      <c r="AM354" s="34"/>
      <c r="AN354" s="33" t="n">
        <f aca="false">IF(N(AM354)&gt;0,AM354,AL354)</f>
        <v>0.075</v>
      </c>
      <c r="AO354" s="29" t="n">
        <f aca="false">IF(N(AN354)=0,"",AN354+IF(I354="yes",AN354*Inputs!$B$10*Inputs!$B$9,0)+IFERROR(INDEX(Inputs!$B$13:$B$15,MATCH(G354,Inputs!$A$13:$A$15,0)),0)+IFERROR(INDEX(Inputs!$B$18:$B$24,MATCH(H354,Inputs!$A$18:$A$24,0)),0))</f>
        <v>0.075</v>
      </c>
      <c r="AP354" s="28" t="n">
        <f aca="false">IF(OR(N(AO354)&lt;=0,N(AG354)=0,N(L354)=0),"",MIN(L354,AG354/AO354))</f>
        <v>25</v>
      </c>
      <c r="AQ354" s="29" t="n">
        <f aca="false">IF(OR(AP354="",N(O354)=0),"",AP354/O354-1)</f>
        <v>-0.0892531876138434</v>
      </c>
      <c r="AR354" s="29" t="n">
        <f aca="false">IF(OR(AQ354="",N(O354)=0),"",AQ354+AG354/O354)</f>
        <v>-0.00273224043715849</v>
      </c>
      <c r="AS354" s="32" t="n">
        <f aca="false">IF(OR(AR354="",N(AJ354)=0),"",AR354-AJ354)</f>
        <v>0</v>
      </c>
      <c r="AT354" s="28" t="n">
        <v>25</v>
      </c>
      <c r="AU354" s="28" t="n">
        <v>2.375</v>
      </c>
      <c r="AV354" s="28" t="n">
        <f aca="false">IF(N(AT354)&gt;0,AT354,L354)</f>
        <v>25</v>
      </c>
      <c r="AW354" s="28" t="n">
        <f aca="false">IF(AND(N(M354)&gt;0,N(AV354)&gt;0),M354*AV354,IF(N(AU354)&gt;0,AU354,N354))</f>
        <v>2.375</v>
      </c>
      <c r="AX354" s="29" t="n">
        <f aca="false">IF(N(AN354)=0,"",AN354+IF(I354="yes",AN354*Inputs!$B$10*Inputs!$B$9,0)+IFERROR(INDEX(Inputs!$B$13:$B$15,MATCH(G354,Inputs!$A$13:$A$15,0)),0)+IFERROR(INDEX(Inputs!$B$18:$B$24,MATCH(H354,Inputs!$A$18:$A$24,0)),0))</f>
        <v>0.075</v>
      </c>
      <c r="AY354" s="28" t="n">
        <f aca="false">IF(OR(N(AX354)&lt;=0,N(AW354)=0,N(AV354)=0),"",MIN(AV354,AW354/AX354))</f>
        <v>25</v>
      </c>
      <c r="AZ354" s="29" t="n">
        <f aca="false">IF(OR(AY354="",N(O354)=0),"",AY354/O354-1)</f>
        <v>-0.0892531876138434</v>
      </c>
      <c r="BA354" s="29" t="n">
        <f aca="false">IF(OR(AZ354="",N(O354)=0),"",AZ354+AW354/O354)</f>
        <v>-0.00273224043715849</v>
      </c>
      <c r="BB354" s="32" t="n">
        <f aca="false">IF(OR(BA354="",N(AR354)=0),"",BA354-AR354)</f>
        <v>0</v>
      </c>
      <c r="BC354" s="35" t="n">
        <f aca="false">IF(OR(BA354="",N(U354)=0),"",BA354-U354)</f>
        <v>0</v>
      </c>
      <c r="BD354" s="36" t="s">
        <v>224</v>
      </c>
    </row>
    <row r="355" customFormat="false" ht="15" hidden="false" customHeight="false" outlineLevel="0" collapsed="false">
      <c r="A355" s="2" t="s">
        <v>556</v>
      </c>
      <c r="B355" s="2" t="n">
        <v>243</v>
      </c>
      <c r="C355" s="2" t="s">
        <v>764</v>
      </c>
      <c r="D355" s="2" t="s">
        <v>760</v>
      </c>
      <c r="E355" s="2" t="s">
        <v>761</v>
      </c>
      <c r="F355" s="27" t="n">
        <v>20300</v>
      </c>
      <c r="G355" s="2" t="s">
        <v>51</v>
      </c>
      <c r="H355" s="2" t="s">
        <v>58</v>
      </c>
      <c r="I355" s="2" t="s">
        <v>144</v>
      </c>
      <c r="J355" s="2" t="s">
        <v>145</v>
      </c>
      <c r="K355" s="2" t="n">
        <v>4</v>
      </c>
      <c r="L355" s="28" t="n">
        <v>25</v>
      </c>
      <c r="M355" s="29" t="n">
        <v>0.0825</v>
      </c>
      <c r="N355" s="28" t="n">
        <v>2.0625</v>
      </c>
      <c r="O355" s="28" t="n">
        <v>0</v>
      </c>
      <c r="P355" s="2" t="s">
        <v>146</v>
      </c>
      <c r="Q355" s="29" t="n">
        <v>0.08</v>
      </c>
      <c r="R355" s="30" t="n">
        <v>0.08</v>
      </c>
      <c r="S355" s="31" t="n">
        <v>25</v>
      </c>
      <c r="T355" s="30"/>
      <c r="U355" s="30"/>
      <c r="V355" s="29" t="n">
        <v>0</v>
      </c>
      <c r="W355" s="29" t="n">
        <f aca="false">IF(N(Q355)=0,"",Q355+IF(I355="yes",Q355*Inputs!$B$10*Inputs!$B$9,0)+V355)</f>
        <v>0.08</v>
      </c>
      <c r="X355" s="28" t="n">
        <f aca="false">IF(OR(N(W355)&lt;=0,N(N355)=0,N(L355)=0),"",MIN(L355,N355/W355))</f>
        <v>25</v>
      </c>
      <c r="Y355" s="29" t="str">
        <f aca="false">IF(OR(X355="",N(O355)=0),"",X355/O355-1)</f>
        <v/>
      </c>
      <c r="Z355" s="29" t="str">
        <f aca="false">IF(OR(Y355="",N(O355)=0),"",Y355+N355/O355)</f>
        <v/>
      </c>
      <c r="AA355" s="32" t="str">
        <f aca="false">IF(OR(Z355="",N(U355)=0),"",Z355-U355)</f>
        <v/>
      </c>
      <c r="AB355" s="29" t="n">
        <f aca="false">IF(N(Q355)=0,"",Q355+IF(I355="yes",Q355*Inputs!$B$10*Inputs!$B$9,0)+IFERROR(INDEX(Inputs!$B$13:$B$15,MATCH(G355,Inputs!$A$13:$A$15,0)),0)+IFERROR(INDEX(Inputs!$B$18:$B$24,MATCH(H355,Inputs!$A$18:$A$24,0)),0))</f>
        <v>0.08</v>
      </c>
      <c r="AC355" s="28" t="n">
        <f aca="false">IF(OR(N(AB355)&lt;=0,N(N355)=0,N(L355)=0),"",MIN(L355,N355/AB355))</f>
        <v>25</v>
      </c>
      <c r="AD355" s="29" t="str">
        <f aca="false">IF(OR(AC355="",N(O355)=0),"",AC355/O355-1)</f>
        <v/>
      </c>
      <c r="AE355" s="29" t="str">
        <f aca="false">IF(OR(AD355="",N(O355)=0),"",AD355+N355/O355)</f>
        <v/>
      </c>
      <c r="AF355" s="32" t="str">
        <f aca="false">IF(OR(AE355="",N(Z355)=0),"",AE355-Z355)</f>
        <v/>
      </c>
      <c r="AG355" s="28" t="n">
        <f aca="false">IF(AND(N(M355)&gt;0,N(L355)&gt;0),M355*L355,N355)</f>
        <v>2.0625</v>
      </c>
      <c r="AH355" s="28" t="n">
        <f aca="false">IF(OR(N(AB355)&lt;=0,N(AG355)=0,N(L355)=0),"",MIN(L355,AG355/AB355))</f>
        <v>25</v>
      </c>
      <c r="AI355" s="29" t="str">
        <f aca="false">IF(OR(AH355="",N(O355)=0),"",AH355/O355-1)</f>
        <v/>
      </c>
      <c r="AJ355" s="29" t="str">
        <f aca="false">IF(OR(AI355="",N(O355)=0),"",AI355+AG355/O355)</f>
        <v/>
      </c>
      <c r="AK355" s="32" t="str">
        <f aca="false">IF(OR(AJ355="",N(AE355)=0),"",AJ355-AE355)</f>
        <v/>
      </c>
      <c r="AL355" s="33" t="n">
        <f aca="false">IF(N(F355)=0,"",INDEX(Inputs!$B$28:$B$32,IFERROR(MATCH(F355,Inputs!$A$28:$A$32,1),0)+1))</f>
        <v>0.075</v>
      </c>
      <c r="AM355" s="34"/>
      <c r="AN355" s="33" t="n">
        <f aca="false">IF(N(AM355)&gt;0,AM355,AL355)</f>
        <v>0.075</v>
      </c>
      <c r="AO355" s="29" t="n">
        <f aca="false">IF(N(AN355)=0,"",AN355+IF(I355="yes",AN355*Inputs!$B$10*Inputs!$B$9,0)+IFERROR(INDEX(Inputs!$B$13:$B$15,MATCH(G355,Inputs!$A$13:$A$15,0)),0)+IFERROR(INDEX(Inputs!$B$18:$B$24,MATCH(H355,Inputs!$A$18:$A$24,0)),0))</f>
        <v>0.075</v>
      </c>
      <c r="AP355" s="28" t="n">
        <f aca="false">IF(OR(N(AO355)&lt;=0,N(AG355)=0,N(L355)=0),"",MIN(L355,AG355/AO355))</f>
        <v>25</v>
      </c>
      <c r="AQ355" s="29" t="str">
        <f aca="false">IF(OR(AP355="",N(O355)=0),"",AP355/O355-1)</f>
        <v/>
      </c>
      <c r="AR355" s="29" t="str">
        <f aca="false">IF(OR(AQ355="",N(O355)=0),"",AQ355+AG355/O355)</f>
        <v/>
      </c>
      <c r="AS355" s="32" t="str">
        <f aca="false">IF(OR(AR355="",N(AJ355)=0),"",AR355-AJ355)</f>
        <v/>
      </c>
      <c r="AT355" s="28" t="n">
        <v>25</v>
      </c>
      <c r="AU355" s="28" t="n">
        <v>2.0625</v>
      </c>
      <c r="AV355" s="28" t="n">
        <f aca="false">IF(N(AT355)&gt;0,AT355,L355)</f>
        <v>25</v>
      </c>
      <c r="AW355" s="28" t="n">
        <f aca="false">IF(AND(N(M355)&gt;0,N(AV355)&gt;0),M355*AV355,IF(N(AU355)&gt;0,AU355,N355))</f>
        <v>2.0625</v>
      </c>
      <c r="AX355" s="29" t="n">
        <f aca="false">IF(N(AN355)=0,"",AN355+IF(I355="yes",AN355*Inputs!$B$10*Inputs!$B$9,0)+IFERROR(INDEX(Inputs!$B$13:$B$15,MATCH(G355,Inputs!$A$13:$A$15,0)),0)+IFERROR(INDEX(Inputs!$B$18:$B$24,MATCH(H355,Inputs!$A$18:$A$24,0)),0))</f>
        <v>0.075</v>
      </c>
      <c r="AY355" s="28" t="n">
        <f aca="false">IF(OR(N(AX355)&lt;=0,N(AW355)=0,N(AV355)=0),"",MIN(AV355,AW355/AX355))</f>
        <v>25</v>
      </c>
      <c r="AZ355" s="29" t="str">
        <f aca="false">IF(OR(AY355="",N(O355)=0),"",AY355/O355-1)</f>
        <v/>
      </c>
      <c r="BA355" s="29" t="str">
        <f aca="false">IF(OR(AZ355="",N(O355)=0),"",AZ355+AW355/O355)</f>
        <v/>
      </c>
      <c r="BB355" s="32" t="str">
        <f aca="false">IF(OR(BA355="",N(AR355)=0),"",BA355-AR355)</f>
        <v/>
      </c>
      <c r="BC355" s="35" t="str">
        <f aca="false">IF(OR(BA355="",N(U355)=0),"",BA355-U355)</f>
        <v/>
      </c>
      <c r="BD355" s="36" t="s">
        <v>299</v>
      </c>
    </row>
    <row r="356" customFormat="false" ht="15" hidden="false" customHeight="false" outlineLevel="0" collapsed="false">
      <c r="A356" s="2" t="s">
        <v>556</v>
      </c>
      <c r="B356" s="2" t="n">
        <v>246</v>
      </c>
      <c r="C356" s="2" t="s">
        <v>765</v>
      </c>
      <c r="D356" s="2" t="s">
        <v>766</v>
      </c>
      <c r="E356" s="2" t="s">
        <v>767</v>
      </c>
      <c r="F356" s="27" t="n">
        <v>4500</v>
      </c>
      <c r="G356" s="2" t="s">
        <v>51</v>
      </c>
      <c r="H356" s="2" t="s">
        <v>58</v>
      </c>
      <c r="I356" s="2" t="s">
        <v>151</v>
      </c>
      <c r="J356" s="2" t="s">
        <v>145</v>
      </c>
      <c r="K356" s="2" t="n">
        <v>4</v>
      </c>
      <c r="L356" s="28" t="n">
        <v>25</v>
      </c>
      <c r="M356" s="29" t="n">
        <v>0.05125</v>
      </c>
      <c r="N356" s="28" t="n">
        <v>1.28125</v>
      </c>
      <c r="O356" s="28" t="n">
        <v>17.65</v>
      </c>
      <c r="P356" s="2" t="s">
        <v>146</v>
      </c>
      <c r="Q356" s="29" t="n">
        <v>0.08</v>
      </c>
      <c r="R356" s="30" t="n">
        <v>0.076</v>
      </c>
      <c r="S356" s="31" t="n">
        <v>16.858552631579</v>
      </c>
      <c r="T356" s="30" t="n">
        <v>-0.0448412106754138</v>
      </c>
      <c r="U356" s="30" t="n">
        <v>0.0277508573132548</v>
      </c>
      <c r="V356" s="29" t="n">
        <v>0</v>
      </c>
      <c r="W356" s="29" t="n">
        <f aca="false">IF(N(Q356)=0,"",Q356+IF(I356="yes",Q356*Inputs!$B$10*Inputs!$B$9,0)+V356)</f>
        <v>0.076</v>
      </c>
      <c r="X356" s="28" t="n">
        <f aca="false">IF(OR(N(W356)&lt;=0,N(N356)=0,N(L356)=0),"",MIN(L356,N356/W356))</f>
        <v>16.858552631579</v>
      </c>
      <c r="Y356" s="29" t="n">
        <f aca="false">IF(OR(X356="",N(O356)=0),"",X356/O356-1)</f>
        <v>-0.0448412106754136</v>
      </c>
      <c r="Z356" s="29" t="n">
        <f aca="false">IF(OR(Y356="",N(O356)=0),"",Y356+N356/O356)</f>
        <v>0.027750857313255</v>
      </c>
      <c r="AA356" s="32" t="n">
        <f aca="false">IF(OR(Z356="",N(U356)=0),"",Z356-U356)</f>
        <v>2.32452945780892E-016</v>
      </c>
      <c r="AB356" s="29" t="n">
        <f aca="false">IF(N(Q356)=0,"",Q356+IF(I356="yes",Q356*Inputs!$B$10*Inputs!$B$9,0)+IFERROR(INDEX(Inputs!$B$13:$B$15,MATCH(G356,Inputs!$A$13:$A$15,0)),0)+IFERROR(INDEX(Inputs!$B$18:$B$24,MATCH(H356,Inputs!$A$18:$A$24,0)),0))</f>
        <v>0.076</v>
      </c>
      <c r="AC356" s="28" t="n">
        <f aca="false">IF(OR(N(AB356)&lt;=0,N(N356)=0,N(L356)=0),"",MIN(L356,N356/AB356))</f>
        <v>16.858552631579</v>
      </c>
      <c r="AD356" s="29" t="n">
        <f aca="false">IF(OR(AC356="",N(O356)=0),"",AC356/O356-1)</f>
        <v>-0.0448412106754136</v>
      </c>
      <c r="AE356" s="29" t="n">
        <f aca="false">IF(OR(AD356="",N(O356)=0),"",AD356+N356/O356)</f>
        <v>0.027750857313255</v>
      </c>
      <c r="AF356" s="32" t="n">
        <f aca="false">IF(OR(AE356="",N(Z356)=0),"",AE356-Z356)</f>
        <v>0</v>
      </c>
      <c r="AG356" s="28" t="n">
        <f aca="false">IF(AND(N(M356)&gt;0,N(L356)&gt;0),M356*L356,N356)</f>
        <v>1.28125</v>
      </c>
      <c r="AH356" s="28" t="n">
        <f aca="false">IF(OR(N(AB356)&lt;=0,N(AG356)=0,N(L356)=0),"",MIN(L356,AG356/AB356))</f>
        <v>16.858552631579</v>
      </c>
      <c r="AI356" s="29" t="n">
        <f aca="false">IF(OR(AH356="",N(O356)=0),"",AH356/O356-1)</f>
        <v>-0.0448412106754136</v>
      </c>
      <c r="AJ356" s="29" t="n">
        <f aca="false">IF(OR(AI356="",N(O356)=0),"",AI356+AG356/O356)</f>
        <v>0.027750857313255</v>
      </c>
      <c r="AK356" s="32" t="n">
        <f aca="false">IF(OR(AJ356="",N(AE356)=0),"",AJ356-AE356)</f>
        <v>0</v>
      </c>
      <c r="AL356" s="33" t="n">
        <f aca="false">IF(N(F356)=0,"",INDEX(Inputs!$B$28:$B$32,IFERROR(MATCH(F356,Inputs!$A$28:$A$32,1),0)+1))</f>
        <v>0.085</v>
      </c>
      <c r="AM356" s="34"/>
      <c r="AN356" s="33" t="n">
        <f aca="false">IF(N(AM356)&gt;0,AM356,AL356)</f>
        <v>0.085</v>
      </c>
      <c r="AO356" s="29" t="n">
        <f aca="false">IF(N(AN356)=0,"",AN356+IF(I356="yes",AN356*Inputs!$B$10*Inputs!$B$9,0)+IFERROR(INDEX(Inputs!$B$13:$B$15,MATCH(G356,Inputs!$A$13:$A$15,0)),0)+IFERROR(INDEX(Inputs!$B$18:$B$24,MATCH(H356,Inputs!$A$18:$A$24,0)),0))</f>
        <v>0.08075</v>
      </c>
      <c r="AP356" s="28" t="n">
        <f aca="false">IF(OR(N(AO356)&lt;=0,N(AG356)=0,N(L356)=0),"",MIN(L356,AG356/AO356))</f>
        <v>15.8668730650155</v>
      </c>
      <c r="AQ356" s="29" t="n">
        <f aca="false">IF(OR(AP356="",N(O356)=0),"",AP356/O356-1)</f>
        <v>-0.101027021812154</v>
      </c>
      <c r="AR356" s="29" t="n">
        <f aca="false">IF(OR(AQ356="",N(O356)=0),"",AQ356+AG356/O356)</f>
        <v>-0.0284349538234855</v>
      </c>
      <c r="AS356" s="32" t="n">
        <f aca="false">IF(OR(AR356="",N(AJ356)=0),"",AR356-AJ356)</f>
        <v>-0.0561858111367405</v>
      </c>
      <c r="AT356" s="28" t="n">
        <v>25</v>
      </c>
      <c r="AU356" s="28" t="n">
        <v>1.28125</v>
      </c>
      <c r="AV356" s="28" t="n">
        <f aca="false">IF(N(AT356)&gt;0,AT356,L356)</f>
        <v>25</v>
      </c>
      <c r="AW356" s="28" t="n">
        <f aca="false">IF(AND(N(M356)&gt;0,N(AV356)&gt;0),M356*AV356,IF(N(AU356)&gt;0,AU356,N356))</f>
        <v>1.28125</v>
      </c>
      <c r="AX356" s="29" t="n">
        <f aca="false">IF(N(AN356)=0,"",AN356+IF(I356="yes",AN356*Inputs!$B$10*Inputs!$B$9,0)+IFERROR(INDEX(Inputs!$B$13:$B$15,MATCH(G356,Inputs!$A$13:$A$15,0)),0)+IFERROR(INDEX(Inputs!$B$18:$B$24,MATCH(H356,Inputs!$A$18:$A$24,0)),0))</f>
        <v>0.08075</v>
      </c>
      <c r="AY356" s="28" t="n">
        <f aca="false">IF(OR(N(AX356)&lt;=0,N(AW356)=0,N(AV356)=0),"",MIN(AV356,AW356/AX356))</f>
        <v>15.8668730650155</v>
      </c>
      <c r="AZ356" s="29" t="n">
        <f aca="false">IF(OR(AY356="",N(O356)=0),"",AY356/O356-1)</f>
        <v>-0.101027021812154</v>
      </c>
      <c r="BA356" s="29" t="n">
        <f aca="false">IF(OR(AZ356="",N(O356)=0),"",AZ356+AW356/O356)</f>
        <v>-0.0284349538234855</v>
      </c>
      <c r="BB356" s="32" t="n">
        <f aca="false">IF(OR(BA356="",N(AR356)=0),"",BA356-AR356)</f>
        <v>0</v>
      </c>
      <c r="BC356" s="35" t="n">
        <f aca="false">IF(OR(BA356="",N(U356)=0),"",BA356-U356)</f>
        <v>-0.0561858111367402</v>
      </c>
      <c r="BD356" s="37"/>
    </row>
    <row r="357" customFormat="false" ht="15" hidden="false" customHeight="false" outlineLevel="0" collapsed="false">
      <c r="A357" s="2" t="s">
        <v>768</v>
      </c>
      <c r="B357" s="2" t="n">
        <v>7</v>
      </c>
      <c r="C357" s="2" t="s">
        <v>769</v>
      </c>
      <c r="D357" s="2" t="s">
        <v>770</v>
      </c>
      <c r="E357" s="2" t="s">
        <v>771</v>
      </c>
      <c r="F357" s="27" t="n">
        <v>1700</v>
      </c>
      <c r="G357" s="2" t="s">
        <v>51</v>
      </c>
      <c r="H357" s="2" t="s">
        <v>58</v>
      </c>
      <c r="I357" s="2" t="s">
        <v>151</v>
      </c>
      <c r="J357" s="2" t="s">
        <v>145</v>
      </c>
      <c r="K357" s="2" t="n">
        <v>4</v>
      </c>
      <c r="L357" s="28" t="n">
        <v>25</v>
      </c>
      <c r="M357" s="29" t="n">
        <v>0.05</v>
      </c>
      <c r="N357" s="28" t="n">
        <v>1.25</v>
      </c>
      <c r="O357" s="28" t="n">
        <v>19.21</v>
      </c>
      <c r="P357" s="2" t="s">
        <v>146</v>
      </c>
      <c r="Q357" s="29" t="n">
        <v>0.1</v>
      </c>
      <c r="R357" s="30" t="n">
        <v>0.095</v>
      </c>
      <c r="S357" s="31" t="n">
        <v>13.1578947368421</v>
      </c>
      <c r="T357" s="30" t="n">
        <v>-0.315049727389792</v>
      </c>
      <c r="U357" s="30" t="n">
        <v>-0.249979451491822</v>
      </c>
      <c r="V357" s="29" t="n">
        <v>0</v>
      </c>
      <c r="W357" s="29" t="n">
        <f aca="false">IF(N(Q357)=0,"",Q357+IF(I357="yes",Q357*Inputs!$B$10*Inputs!$B$9,0)+V357)</f>
        <v>0.095</v>
      </c>
      <c r="X357" s="28" t="n">
        <f aca="false">IF(OR(N(W357)&lt;=0,N(N357)=0,N(L357)=0),"",MIN(L357,N357/W357))</f>
        <v>13.1578947368421</v>
      </c>
      <c r="Y357" s="29" t="n">
        <f aca="false">IF(OR(X357="",N(O357)=0),"",X357/O357-1)</f>
        <v>-0.315049727389792</v>
      </c>
      <c r="Z357" s="29" t="n">
        <f aca="false">IF(OR(Y357="",N(O357)=0),"",Y357+N357/O357)</f>
        <v>-0.249979451491822</v>
      </c>
      <c r="AA357" s="32" t="n">
        <f aca="false">IF(OR(Z357="",N(U357)=0),"",Z357-U357)</f>
        <v>0</v>
      </c>
      <c r="AB357" s="29" t="n">
        <f aca="false">IF(N(Q357)=0,"",Q357+IF(I357="yes",Q357*Inputs!$B$10*Inputs!$B$9,0)+IFERROR(INDEX(Inputs!$B$13:$B$15,MATCH(G357,Inputs!$A$13:$A$15,0)),0)+IFERROR(INDEX(Inputs!$B$18:$B$24,MATCH(H357,Inputs!$A$18:$A$24,0)),0))</f>
        <v>0.095</v>
      </c>
      <c r="AC357" s="28" t="n">
        <f aca="false">IF(OR(N(AB357)&lt;=0,N(N357)=0,N(L357)=0),"",MIN(L357,N357/AB357))</f>
        <v>13.1578947368421</v>
      </c>
      <c r="AD357" s="29" t="n">
        <f aca="false">IF(OR(AC357="",N(O357)=0),"",AC357/O357-1)</f>
        <v>-0.315049727389792</v>
      </c>
      <c r="AE357" s="29" t="n">
        <f aca="false">IF(OR(AD357="",N(O357)=0),"",AD357+N357/O357)</f>
        <v>-0.249979451491822</v>
      </c>
      <c r="AF357" s="32" t="n">
        <f aca="false">IF(OR(AE357="",N(Z357)=0),"",AE357-Z357)</f>
        <v>0</v>
      </c>
      <c r="AG357" s="28" t="n">
        <f aca="false">IF(AND(N(M357)&gt;0,N(L357)&gt;0),M357*L357,N357)</f>
        <v>1.25</v>
      </c>
      <c r="AH357" s="28" t="n">
        <f aca="false">IF(OR(N(AB357)&lt;=0,N(AG357)=0,N(L357)=0),"",MIN(L357,AG357/AB357))</f>
        <v>13.1578947368421</v>
      </c>
      <c r="AI357" s="29" t="n">
        <f aca="false">IF(OR(AH357="",N(O357)=0),"",AH357/O357-1)</f>
        <v>-0.315049727389792</v>
      </c>
      <c r="AJ357" s="29" t="n">
        <f aca="false">IF(OR(AI357="",N(O357)=0),"",AI357+AG357/O357)</f>
        <v>-0.249979451491822</v>
      </c>
      <c r="AK357" s="32" t="n">
        <f aca="false">IF(OR(AJ357="",N(AE357)=0),"",AJ357-AE357)</f>
        <v>0</v>
      </c>
      <c r="AL357" s="33" t="n">
        <f aca="false">IF(N(F357)=0,"",INDEX(Inputs!$B$28:$B$32,IFERROR(MATCH(F357,Inputs!$A$28:$A$32,1),0)+1))</f>
        <v>0.085</v>
      </c>
      <c r="AM357" s="34"/>
      <c r="AN357" s="33" t="n">
        <f aca="false">IF(N(AM357)&gt;0,AM357,AL357)</f>
        <v>0.085</v>
      </c>
      <c r="AO357" s="29" t="n">
        <f aca="false">IF(N(AN357)=0,"",AN357+IF(I357="yes",AN357*Inputs!$B$10*Inputs!$B$9,0)+IFERROR(INDEX(Inputs!$B$13:$B$15,MATCH(G357,Inputs!$A$13:$A$15,0)),0)+IFERROR(INDEX(Inputs!$B$18:$B$24,MATCH(H357,Inputs!$A$18:$A$24,0)),0))</f>
        <v>0.08075</v>
      </c>
      <c r="AP357" s="28" t="n">
        <f aca="false">IF(OR(N(AO357)&lt;=0,N(AG357)=0,N(L357)=0),"",MIN(L357,AG357/AO357))</f>
        <v>15.4798761609907</v>
      </c>
      <c r="AQ357" s="29" t="n">
        <f aca="false">IF(OR(AP357="",N(O357)=0),"",AP357/O357-1)</f>
        <v>-0.194176149870343</v>
      </c>
      <c r="AR357" s="29" t="n">
        <f aca="false">IF(OR(AQ357="",N(O357)=0),"",AQ357+AG357/O357)</f>
        <v>-0.129105873972373</v>
      </c>
      <c r="AS357" s="32" t="n">
        <f aca="false">IF(OR(AR357="",N(AJ357)=0),"",AR357-AJ357)</f>
        <v>0.120873577519449</v>
      </c>
      <c r="AT357" s="28" t="n">
        <v>25</v>
      </c>
      <c r="AU357" s="28" t="n">
        <v>1.25</v>
      </c>
      <c r="AV357" s="28" t="n">
        <f aca="false">IF(N(AT357)&gt;0,AT357,L357)</f>
        <v>25</v>
      </c>
      <c r="AW357" s="28" t="n">
        <f aca="false">IF(AND(N(M357)&gt;0,N(AV357)&gt;0),M357*AV357,IF(N(AU357)&gt;0,AU357,N357))</f>
        <v>1.25</v>
      </c>
      <c r="AX357" s="29" t="n">
        <f aca="false">IF(N(AN357)=0,"",AN357+IF(I357="yes",AN357*Inputs!$B$10*Inputs!$B$9,0)+IFERROR(INDEX(Inputs!$B$13:$B$15,MATCH(G357,Inputs!$A$13:$A$15,0)),0)+IFERROR(INDEX(Inputs!$B$18:$B$24,MATCH(H357,Inputs!$A$18:$A$24,0)),0))</f>
        <v>0.08075</v>
      </c>
      <c r="AY357" s="28" t="n">
        <f aca="false">IF(OR(N(AX357)&lt;=0,N(AW357)=0,N(AV357)=0),"",MIN(AV357,AW357/AX357))</f>
        <v>15.4798761609907</v>
      </c>
      <c r="AZ357" s="29" t="n">
        <f aca="false">IF(OR(AY357="",N(O357)=0),"",AY357/O357-1)</f>
        <v>-0.194176149870343</v>
      </c>
      <c r="BA357" s="29" t="n">
        <f aca="false">IF(OR(AZ357="",N(O357)=0),"",AZ357+AW357/O357)</f>
        <v>-0.129105873972373</v>
      </c>
      <c r="BB357" s="32" t="n">
        <f aca="false">IF(OR(BA357="",N(AR357)=0),"",BA357-AR357)</f>
        <v>0</v>
      </c>
      <c r="BC357" s="35" t="n">
        <f aca="false">IF(OR(BA357="",N(U357)=0),"",BA357-U357)</f>
        <v>0.120873577519449</v>
      </c>
      <c r="BD357" s="37"/>
    </row>
    <row r="358" customFormat="false" ht="15" hidden="false" customHeight="false" outlineLevel="0" collapsed="false">
      <c r="A358" s="2" t="s">
        <v>768</v>
      </c>
      <c r="B358" s="2" t="n">
        <v>8</v>
      </c>
      <c r="C358" s="2" t="s">
        <v>772</v>
      </c>
      <c r="D358" s="2" t="s">
        <v>770</v>
      </c>
      <c r="E358" s="2" t="s">
        <v>771</v>
      </c>
      <c r="F358" s="27" t="n">
        <v>1700</v>
      </c>
      <c r="G358" s="2" t="s">
        <v>51</v>
      </c>
      <c r="H358" s="2" t="s">
        <v>58</v>
      </c>
      <c r="I358" s="2" t="s">
        <v>151</v>
      </c>
      <c r="J358" s="2" t="s">
        <v>145</v>
      </c>
      <c r="K358" s="2" t="n">
        <v>4</v>
      </c>
      <c r="L358" s="28" t="n">
        <v>25</v>
      </c>
      <c r="M358" s="29" t="n">
        <v>0.05</v>
      </c>
      <c r="N358" s="28" t="n">
        <v>1.25</v>
      </c>
      <c r="O358" s="28" t="n">
        <v>19.21</v>
      </c>
      <c r="P358" s="2" t="s">
        <v>146</v>
      </c>
      <c r="Q358" s="29" t="n">
        <v>0.1</v>
      </c>
      <c r="R358" s="30" t="n">
        <v>0.095</v>
      </c>
      <c r="S358" s="31" t="n">
        <v>13.1578947368421</v>
      </c>
      <c r="T358" s="30" t="n">
        <v>-0.315049727389792</v>
      </c>
      <c r="U358" s="30" t="n">
        <v>-0.249979451491822</v>
      </c>
      <c r="V358" s="29" t="n">
        <v>0</v>
      </c>
      <c r="W358" s="29" t="n">
        <f aca="false">IF(N(Q358)=0,"",Q358+IF(I358="yes",Q358*Inputs!$B$10*Inputs!$B$9,0)+V358)</f>
        <v>0.095</v>
      </c>
      <c r="X358" s="28" t="n">
        <f aca="false">IF(OR(N(W358)&lt;=0,N(N358)=0,N(L358)=0),"",MIN(L358,N358/W358))</f>
        <v>13.1578947368421</v>
      </c>
      <c r="Y358" s="29" t="n">
        <f aca="false">IF(OR(X358="",N(O358)=0),"",X358/O358-1)</f>
        <v>-0.315049727389792</v>
      </c>
      <c r="Z358" s="29" t="n">
        <f aca="false">IF(OR(Y358="",N(O358)=0),"",Y358+N358/O358)</f>
        <v>-0.249979451491822</v>
      </c>
      <c r="AA358" s="32" t="n">
        <f aca="false">IF(OR(Z358="",N(U358)=0),"",Z358-U358)</f>
        <v>0</v>
      </c>
      <c r="AB358" s="29" t="n">
        <f aca="false">IF(N(Q358)=0,"",Q358+IF(I358="yes",Q358*Inputs!$B$10*Inputs!$B$9,0)+IFERROR(INDEX(Inputs!$B$13:$B$15,MATCH(G358,Inputs!$A$13:$A$15,0)),0)+IFERROR(INDEX(Inputs!$B$18:$B$24,MATCH(H358,Inputs!$A$18:$A$24,0)),0))</f>
        <v>0.095</v>
      </c>
      <c r="AC358" s="28" t="n">
        <f aca="false">IF(OR(N(AB358)&lt;=0,N(N358)=0,N(L358)=0),"",MIN(L358,N358/AB358))</f>
        <v>13.1578947368421</v>
      </c>
      <c r="AD358" s="29" t="n">
        <f aca="false">IF(OR(AC358="",N(O358)=0),"",AC358/O358-1)</f>
        <v>-0.315049727389792</v>
      </c>
      <c r="AE358" s="29" t="n">
        <f aca="false">IF(OR(AD358="",N(O358)=0),"",AD358+N358/O358)</f>
        <v>-0.249979451491822</v>
      </c>
      <c r="AF358" s="32" t="n">
        <f aca="false">IF(OR(AE358="",N(Z358)=0),"",AE358-Z358)</f>
        <v>0</v>
      </c>
      <c r="AG358" s="28" t="n">
        <f aca="false">IF(AND(N(M358)&gt;0,N(L358)&gt;0),M358*L358,N358)</f>
        <v>1.25</v>
      </c>
      <c r="AH358" s="28" t="n">
        <f aca="false">IF(OR(N(AB358)&lt;=0,N(AG358)=0,N(L358)=0),"",MIN(L358,AG358/AB358))</f>
        <v>13.1578947368421</v>
      </c>
      <c r="AI358" s="29" t="n">
        <f aca="false">IF(OR(AH358="",N(O358)=0),"",AH358/O358-1)</f>
        <v>-0.315049727389792</v>
      </c>
      <c r="AJ358" s="29" t="n">
        <f aca="false">IF(OR(AI358="",N(O358)=0),"",AI358+AG358/O358)</f>
        <v>-0.249979451491822</v>
      </c>
      <c r="AK358" s="32" t="n">
        <f aca="false">IF(OR(AJ358="",N(AE358)=0),"",AJ358-AE358)</f>
        <v>0</v>
      </c>
      <c r="AL358" s="33" t="n">
        <f aca="false">IF(N(F358)=0,"",INDEX(Inputs!$B$28:$B$32,IFERROR(MATCH(F358,Inputs!$A$28:$A$32,1),0)+1))</f>
        <v>0.085</v>
      </c>
      <c r="AM358" s="34"/>
      <c r="AN358" s="33" t="n">
        <f aca="false">IF(N(AM358)&gt;0,AM358,AL358)</f>
        <v>0.085</v>
      </c>
      <c r="AO358" s="29" t="n">
        <f aca="false">IF(N(AN358)=0,"",AN358+IF(I358="yes",AN358*Inputs!$B$10*Inputs!$B$9,0)+IFERROR(INDEX(Inputs!$B$13:$B$15,MATCH(G358,Inputs!$A$13:$A$15,0)),0)+IFERROR(INDEX(Inputs!$B$18:$B$24,MATCH(H358,Inputs!$A$18:$A$24,0)),0))</f>
        <v>0.08075</v>
      </c>
      <c r="AP358" s="28" t="n">
        <f aca="false">IF(OR(N(AO358)&lt;=0,N(AG358)=0,N(L358)=0),"",MIN(L358,AG358/AO358))</f>
        <v>15.4798761609907</v>
      </c>
      <c r="AQ358" s="29" t="n">
        <f aca="false">IF(OR(AP358="",N(O358)=0),"",AP358/O358-1)</f>
        <v>-0.194176149870343</v>
      </c>
      <c r="AR358" s="29" t="n">
        <f aca="false">IF(OR(AQ358="",N(O358)=0),"",AQ358+AG358/O358)</f>
        <v>-0.129105873972373</v>
      </c>
      <c r="AS358" s="32" t="n">
        <f aca="false">IF(OR(AR358="",N(AJ358)=0),"",AR358-AJ358)</f>
        <v>0.120873577519449</v>
      </c>
      <c r="AT358" s="28" t="n">
        <v>25</v>
      </c>
      <c r="AU358" s="28" t="n">
        <v>1.25</v>
      </c>
      <c r="AV358" s="28" t="n">
        <f aca="false">IF(N(AT358)&gt;0,AT358,L358)</f>
        <v>25</v>
      </c>
      <c r="AW358" s="28" t="n">
        <f aca="false">IF(AND(N(M358)&gt;0,N(AV358)&gt;0),M358*AV358,IF(N(AU358)&gt;0,AU358,N358))</f>
        <v>1.25</v>
      </c>
      <c r="AX358" s="29" t="n">
        <f aca="false">IF(N(AN358)=0,"",AN358+IF(I358="yes",AN358*Inputs!$B$10*Inputs!$B$9,0)+IFERROR(INDEX(Inputs!$B$13:$B$15,MATCH(G358,Inputs!$A$13:$A$15,0)),0)+IFERROR(INDEX(Inputs!$B$18:$B$24,MATCH(H358,Inputs!$A$18:$A$24,0)),0))</f>
        <v>0.08075</v>
      </c>
      <c r="AY358" s="28" t="n">
        <f aca="false">IF(OR(N(AX358)&lt;=0,N(AW358)=0,N(AV358)=0),"",MIN(AV358,AW358/AX358))</f>
        <v>15.4798761609907</v>
      </c>
      <c r="AZ358" s="29" t="n">
        <f aca="false">IF(OR(AY358="",N(O358)=0),"",AY358/O358-1)</f>
        <v>-0.194176149870343</v>
      </c>
      <c r="BA358" s="29" t="n">
        <f aca="false">IF(OR(AZ358="",N(O358)=0),"",AZ358+AW358/O358)</f>
        <v>-0.129105873972373</v>
      </c>
      <c r="BB358" s="32" t="n">
        <f aca="false">IF(OR(BA358="",N(AR358)=0),"",BA358-AR358)</f>
        <v>0</v>
      </c>
      <c r="BC358" s="35" t="n">
        <f aca="false">IF(OR(BA358="",N(U358)=0),"",BA358-U358)</f>
        <v>0.120873577519449</v>
      </c>
      <c r="BD358" s="37"/>
    </row>
    <row r="359" customFormat="false" ht="15" hidden="false" customHeight="false" outlineLevel="0" collapsed="false">
      <c r="A359" s="2" t="s">
        <v>768</v>
      </c>
      <c r="B359" s="2" t="n">
        <v>9</v>
      </c>
      <c r="C359" s="2" t="s">
        <v>773</v>
      </c>
      <c r="D359" s="2" t="s">
        <v>770</v>
      </c>
      <c r="E359" s="2" t="s">
        <v>771</v>
      </c>
      <c r="F359" s="27" t="n">
        <v>1700</v>
      </c>
      <c r="G359" s="2" t="s">
        <v>51</v>
      </c>
      <c r="H359" s="2" t="s">
        <v>58</v>
      </c>
      <c r="I359" s="2" t="s">
        <v>151</v>
      </c>
      <c r="J359" s="2" t="s">
        <v>145</v>
      </c>
      <c r="K359" s="2" t="n">
        <v>4</v>
      </c>
      <c r="L359" s="28" t="n">
        <v>25</v>
      </c>
      <c r="M359" s="29" t="n">
        <v>0.05</v>
      </c>
      <c r="N359" s="28" t="n">
        <v>1.25</v>
      </c>
      <c r="O359" s="28" t="n">
        <v>19.04</v>
      </c>
      <c r="P359" s="2" t="s">
        <v>146</v>
      </c>
      <c r="Q359" s="29" t="n">
        <v>0.1</v>
      </c>
      <c r="R359" s="30" t="n">
        <v>0.095</v>
      </c>
      <c r="S359" s="31" t="n">
        <v>13.1578947368421</v>
      </c>
      <c r="T359" s="30" t="n">
        <v>-0.308934099955772</v>
      </c>
      <c r="U359" s="30" t="n">
        <v>-0.24328283945157</v>
      </c>
      <c r="V359" s="29" t="n">
        <v>0</v>
      </c>
      <c r="W359" s="29" t="n">
        <f aca="false">IF(N(Q359)=0,"",Q359+IF(I359="yes",Q359*Inputs!$B$10*Inputs!$B$9,0)+V359)</f>
        <v>0.095</v>
      </c>
      <c r="X359" s="28" t="n">
        <f aca="false">IF(OR(N(W359)&lt;=0,N(N359)=0,N(L359)=0),"",MIN(L359,N359/W359))</f>
        <v>13.1578947368421</v>
      </c>
      <c r="Y359" s="29" t="n">
        <f aca="false">IF(OR(X359="",N(O359)=0),"",X359/O359-1)</f>
        <v>-0.308934099955772</v>
      </c>
      <c r="Z359" s="29" t="n">
        <f aca="false">IF(OR(Y359="",N(O359)=0),"",Y359+N359/O359)</f>
        <v>-0.24328283945157</v>
      </c>
      <c r="AA359" s="32" t="n">
        <f aca="false">IF(OR(Z359="",N(U359)=0),"",Z359-U359)</f>
        <v>0</v>
      </c>
      <c r="AB359" s="29" t="n">
        <f aca="false">IF(N(Q359)=0,"",Q359+IF(I359="yes",Q359*Inputs!$B$10*Inputs!$B$9,0)+IFERROR(INDEX(Inputs!$B$13:$B$15,MATCH(G359,Inputs!$A$13:$A$15,0)),0)+IFERROR(INDEX(Inputs!$B$18:$B$24,MATCH(H359,Inputs!$A$18:$A$24,0)),0))</f>
        <v>0.095</v>
      </c>
      <c r="AC359" s="28" t="n">
        <f aca="false">IF(OR(N(AB359)&lt;=0,N(N359)=0,N(L359)=0),"",MIN(L359,N359/AB359))</f>
        <v>13.1578947368421</v>
      </c>
      <c r="AD359" s="29" t="n">
        <f aca="false">IF(OR(AC359="",N(O359)=0),"",AC359/O359-1)</f>
        <v>-0.308934099955772</v>
      </c>
      <c r="AE359" s="29" t="n">
        <f aca="false">IF(OR(AD359="",N(O359)=0),"",AD359+N359/O359)</f>
        <v>-0.24328283945157</v>
      </c>
      <c r="AF359" s="32" t="n">
        <f aca="false">IF(OR(AE359="",N(Z359)=0),"",AE359-Z359)</f>
        <v>0</v>
      </c>
      <c r="AG359" s="28" t="n">
        <f aca="false">IF(AND(N(M359)&gt;0,N(L359)&gt;0),M359*L359,N359)</f>
        <v>1.25</v>
      </c>
      <c r="AH359" s="28" t="n">
        <f aca="false">IF(OR(N(AB359)&lt;=0,N(AG359)=0,N(L359)=0),"",MIN(L359,AG359/AB359))</f>
        <v>13.1578947368421</v>
      </c>
      <c r="AI359" s="29" t="n">
        <f aca="false">IF(OR(AH359="",N(O359)=0),"",AH359/O359-1)</f>
        <v>-0.308934099955772</v>
      </c>
      <c r="AJ359" s="29" t="n">
        <f aca="false">IF(OR(AI359="",N(O359)=0),"",AI359+AG359/O359)</f>
        <v>-0.24328283945157</v>
      </c>
      <c r="AK359" s="32" t="n">
        <f aca="false">IF(OR(AJ359="",N(AE359)=0),"",AJ359-AE359)</f>
        <v>0</v>
      </c>
      <c r="AL359" s="33" t="n">
        <f aca="false">IF(N(F359)=0,"",INDEX(Inputs!$B$28:$B$32,IFERROR(MATCH(F359,Inputs!$A$28:$A$32,1),0)+1))</f>
        <v>0.085</v>
      </c>
      <c r="AM359" s="34"/>
      <c r="AN359" s="33" t="n">
        <f aca="false">IF(N(AM359)&gt;0,AM359,AL359)</f>
        <v>0.085</v>
      </c>
      <c r="AO359" s="29" t="n">
        <f aca="false">IF(N(AN359)=0,"",AN359+IF(I359="yes",AN359*Inputs!$B$10*Inputs!$B$9,0)+IFERROR(INDEX(Inputs!$B$13:$B$15,MATCH(G359,Inputs!$A$13:$A$15,0)),0)+IFERROR(INDEX(Inputs!$B$18:$B$24,MATCH(H359,Inputs!$A$18:$A$24,0)),0))</f>
        <v>0.08075</v>
      </c>
      <c r="AP359" s="28" t="n">
        <f aca="false">IF(OR(N(AO359)&lt;=0,N(AG359)=0,N(L359)=0),"",MIN(L359,AG359/AO359))</f>
        <v>15.4798761609907</v>
      </c>
      <c r="AQ359" s="29" t="n">
        <f aca="false">IF(OR(AP359="",N(O359)=0),"",AP359/O359-1)</f>
        <v>-0.186981294065614</v>
      </c>
      <c r="AR359" s="29" t="n">
        <f aca="false">IF(OR(AQ359="",N(O359)=0),"",AQ359+AG359/O359)</f>
        <v>-0.121330033561412</v>
      </c>
      <c r="AS359" s="32" t="n">
        <f aca="false">IF(OR(AR359="",N(AJ359)=0),"",AR359-AJ359)</f>
        <v>0.121952805890158</v>
      </c>
      <c r="AT359" s="28" t="n">
        <v>25</v>
      </c>
      <c r="AU359" s="28" t="n">
        <v>1.25</v>
      </c>
      <c r="AV359" s="28" t="n">
        <f aca="false">IF(N(AT359)&gt;0,AT359,L359)</f>
        <v>25</v>
      </c>
      <c r="AW359" s="28" t="n">
        <f aca="false">IF(AND(N(M359)&gt;0,N(AV359)&gt;0),M359*AV359,IF(N(AU359)&gt;0,AU359,N359))</f>
        <v>1.25</v>
      </c>
      <c r="AX359" s="29" t="n">
        <f aca="false">IF(N(AN359)=0,"",AN359+IF(I359="yes",AN359*Inputs!$B$10*Inputs!$B$9,0)+IFERROR(INDEX(Inputs!$B$13:$B$15,MATCH(G359,Inputs!$A$13:$A$15,0)),0)+IFERROR(INDEX(Inputs!$B$18:$B$24,MATCH(H359,Inputs!$A$18:$A$24,0)),0))</f>
        <v>0.08075</v>
      </c>
      <c r="AY359" s="28" t="n">
        <f aca="false">IF(OR(N(AX359)&lt;=0,N(AW359)=0,N(AV359)=0),"",MIN(AV359,AW359/AX359))</f>
        <v>15.4798761609907</v>
      </c>
      <c r="AZ359" s="29" t="n">
        <f aca="false">IF(OR(AY359="",N(O359)=0),"",AY359/O359-1)</f>
        <v>-0.186981294065614</v>
      </c>
      <c r="BA359" s="29" t="n">
        <f aca="false">IF(OR(AZ359="",N(O359)=0),"",AZ359+AW359/O359)</f>
        <v>-0.121330033561412</v>
      </c>
      <c r="BB359" s="32" t="n">
        <f aca="false">IF(OR(BA359="",N(AR359)=0),"",BA359-AR359)</f>
        <v>0</v>
      </c>
      <c r="BC359" s="35" t="n">
        <f aca="false">IF(OR(BA359="",N(U359)=0),"",BA359-U359)</f>
        <v>0.121952805890158</v>
      </c>
      <c r="BD359" s="37"/>
    </row>
    <row r="360" customFormat="false" ht="15" hidden="false" customHeight="false" outlineLevel="0" collapsed="false">
      <c r="A360" s="2" t="s">
        <v>768</v>
      </c>
      <c r="B360" s="2" t="n">
        <v>12</v>
      </c>
      <c r="C360" s="2" t="s">
        <v>774</v>
      </c>
      <c r="D360" s="2" t="s">
        <v>775</v>
      </c>
      <c r="E360" s="2" t="s">
        <v>776</v>
      </c>
      <c r="F360" s="27" t="n">
        <v>651</v>
      </c>
      <c r="G360" s="2" t="s">
        <v>52</v>
      </c>
      <c r="H360" s="2" t="s">
        <v>58</v>
      </c>
      <c r="I360" s="2" t="s">
        <v>144</v>
      </c>
      <c r="J360" s="2" t="s">
        <v>145</v>
      </c>
      <c r="K360" s="2" t="n">
        <v>4</v>
      </c>
      <c r="L360" s="28" t="n">
        <v>25</v>
      </c>
      <c r="M360" s="29" t="n">
        <v>0.08</v>
      </c>
      <c r="N360" s="28" t="n">
        <v>2</v>
      </c>
      <c r="O360" s="28" t="n">
        <v>0</v>
      </c>
      <c r="P360" s="2" t="s">
        <v>223</v>
      </c>
      <c r="Q360" s="29" t="n">
        <v>0.085</v>
      </c>
      <c r="R360" s="30" t="n">
        <v>0.085</v>
      </c>
      <c r="S360" s="31" t="n">
        <v>23.5294117647059</v>
      </c>
      <c r="T360" s="30"/>
      <c r="U360" s="30"/>
      <c r="V360" s="29" t="n">
        <v>-0.005</v>
      </c>
      <c r="W360" s="29" t="n">
        <f aca="false">IF(N(Q360)=0,"",Q360+IF(I360="yes",Q360*Inputs!$B$10*Inputs!$B$9,0)+V360)</f>
        <v>0.08</v>
      </c>
      <c r="X360" s="28" t="n">
        <f aca="false">IF(OR(N(W360)&lt;=0,N(N360)=0,N(L360)=0),"",MIN(L360,N360/W360))</f>
        <v>25</v>
      </c>
      <c r="Y360" s="29" t="str">
        <f aca="false">IF(OR(X360="",N(O360)=0),"",X360/O360-1)</f>
        <v/>
      </c>
      <c r="Z360" s="29" t="str">
        <f aca="false">IF(OR(Y360="",N(O360)=0),"",Y360+N360/O360)</f>
        <v/>
      </c>
      <c r="AA360" s="32" t="str">
        <f aca="false">IF(OR(Z360="",N(U360)=0),"",Z360-U360)</f>
        <v/>
      </c>
      <c r="AB360" s="29" t="n">
        <f aca="false">IF(N(Q360)=0,"",Q360+IF(I360="yes",Q360*Inputs!$B$10*Inputs!$B$9,0)+IFERROR(INDEX(Inputs!$B$13:$B$15,MATCH(G360,Inputs!$A$13:$A$15,0)),0)+IFERROR(INDEX(Inputs!$B$18:$B$24,MATCH(H360,Inputs!$A$18:$A$24,0)),0))</f>
        <v>0.08</v>
      </c>
      <c r="AC360" s="28" t="n">
        <f aca="false">IF(OR(N(AB360)&lt;=0,N(N360)=0,N(L360)=0),"",MIN(L360,N360/AB360))</f>
        <v>25</v>
      </c>
      <c r="AD360" s="29" t="str">
        <f aca="false">IF(OR(AC360="",N(O360)=0),"",AC360/O360-1)</f>
        <v/>
      </c>
      <c r="AE360" s="29" t="str">
        <f aca="false">IF(OR(AD360="",N(O360)=0),"",AD360+N360/O360)</f>
        <v/>
      </c>
      <c r="AF360" s="32" t="str">
        <f aca="false">IF(OR(AE360="",N(Z360)=0),"",AE360-Z360)</f>
        <v/>
      </c>
      <c r="AG360" s="28" t="n">
        <f aca="false">IF(AND(N(M360)&gt;0,N(L360)&gt;0),M360*L360,N360)</f>
        <v>2</v>
      </c>
      <c r="AH360" s="28" t="n">
        <f aca="false">IF(OR(N(AB360)&lt;=0,N(AG360)=0,N(L360)=0),"",MIN(L360,AG360/AB360))</f>
        <v>25</v>
      </c>
      <c r="AI360" s="29" t="str">
        <f aca="false">IF(OR(AH360="",N(O360)=0),"",AH360/O360-1)</f>
        <v/>
      </c>
      <c r="AJ360" s="29" t="str">
        <f aca="false">IF(OR(AI360="",N(O360)=0),"",AI360+AG360/O360)</f>
        <v/>
      </c>
      <c r="AK360" s="32" t="str">
        <f aca="false">IF(OR(AJ360="",N(AE360)=0),"",AJ360-AE360)</f>
        <v/>
      </c>
      <c r="AL360" s="33" t="n">
        <f aca="false">IF(N(F360)=0,"",INDEX(Inputs!$B$28:$B$32,IFERROR(MATCH(F360,Inputs!$A$28:$A$32,1),0)+1))</f>
        <v>0.09</v>
      </c>
      <c r="AM360" s="34"/>
      <c r="AN360" s="33" t="n">
        <f aca="false">IF(N(AM360)&gt;0,AM360,AL360)</f>
        <v>0.09</v>
      </c>
      <c r="AO360" s="29" t="n">
        <f aca="false">IF(N(AN360)=0,"",AN360+IF(I360="yes",AN360*Inputs!$B$10*Inputs!$B$9,0)+IFERROR(INDEX(Inputs!$B$13:$B$15,MATCH(G360,Inputs!$A$13:$A$15,0)),0)+IFERROR(INDEX(Inputs!$B$18:$B$24,MATCH(H360,Inputs!$A$18:$A$24,0)),0))</f>
        <v>0.085</v>
      </c>
      <c r="AP360" s="28" t="n">
        <f aca="false">IF(OR(N(AO360)&lt;=0,N(AG360)=0,N(L360)=0),"",MIN(L360,AG360/AO360))</f>
        <v>23.5294117647059</v>
      </c>
      <c r="AQ360" s="29" t="str">
        <f aca="false">IF(OR(AP360="",N(O360)=0),"",AP360/O360-1)</f>
        <v/>
      </c>
      <c r="AR360" s="29" t="str">
        <f aca="false">IF(OR(AQ360="",N(O360)=0),"",AQ360+AG360/O360)</f>
        <v/>
      </c>
      <c r="AS360" s="32" t="str">
        <f aca="false">IF(OR(AR360="",N(AJ360)=0),"",AR360-AJ360)</f>
        <v/>
      </c>
      <c r="AT360" s="28" t="n">
        <v>25</v>
      </c>
      <c r="AU360" s="28" t="n">
        <v>2</v>
      </c>
      <c r="AV360" s="28" t="n">
        <f aca="false">IF(N(AT360)&gt;0,AT360,L360)</f>
        <v>25</v>
      </c>
      <c r="AW360" s="28" t="n">
        <f aca="false">IF(AND(N(M360)&gt;0,N(AV360)&gt;0),M360*AV360,IF(N(AU360)&gt;0,AU360,N360))</f>
        <v>2</v>
      </c>
      <c r="AX360" s="29" t="n">
        <f aca="false">IF(N(AN360)=0,"",AN360+IF(I360="yes",AN360*Inputs!$B$10*Inputs!$B$9,0)+IFERROR(INDEX(Inputs!$B$13:$B$15,MATCH(G360,Inputs!$A$13:$A$15,0)),0)+IFERROR(INDEX(Inputs!$B$18:$B$24,MATCH(H360,Inputs!$A$18:$A$24,0)),0))</f>
        <v>0.085</v>
      </c>
      <c r="AY360" s="28" t="n">
        <f aca="false">IF(OR(N(AX360)&lt;=0,N(AW360)=0,N(AV360)=0),"",MIN(AV360,AW360/AX360))</f>
        <v>23.5294117647059</v>
      </c>
      <c r="AZ360" s="29" t="str">
        <f aca="false">IF(OR(AY360="",N(O360)=0),"",AY360/O360-1)</f>
        <v/>
      </c>
      <c r="BA360" s="29" t="str">
        <f aca="false">IF(OR(AZ360="",N(O360)=0),"",AZ360+AW360/O360)</f>
        <v/>
      </c>
      <c r="BB360" s="32" t="str">
        <f aca="false">IF(OR(BA360="",N(AR360)=0),"",BA360-AR360)</f>
        <v/>
      </c>
      <c r="BC360" s="35" t="str">
        <f aca="false">IF(OR(BA360="",N(U360)=0),"",BA360-U360)</f>
        <v/>
      </c>
      <c r="BD360" s="36" t="s">
        <v>284</v>
      </c>
    </row>
    <row r="361" customFormat="false" ht="15" hidden="false" customHeight="false" outlineLevel="0" collapsed="false">
      <c r="A361" s="2" t="s">
        <v>768</v>
      </c>
      <c r="B361" s="2" t="n">
        <v>13</v>
      </c>
      <c r="C361" s="2" t="s">
        <v>777</v>
      </c>
      <c r="D361" s="2" t="s">
        <v>775</v>
      </c>
      <c r="E361" s="2" t="s">
        <v>776</v>
      </c>
      <c r="F361" s="27" t="n">
        <v>651</v>
      </c>
      <c r="G361" s="2" t="s">
        <v>52</v>
      </c>
      <c r="H361" s="2" t="s">
        <v>58</v>
      </c>
      <c r="I361" s="2" t="s">
        <v>144</v>
      </c>
      <c r="J361" s="2" t="s">
        <v>145</v>
      </c>
      <c r="K361" s="2" t="n">
        <v>4</v>
      </c>
      <c r="L361" s="28" t="n">
        <v>25</v>
      </c>
      <c r="M361" s="29" t="n">
        <v>0.05</v>
      </c>
      <c r="N361" s="28" t="n">
        <v>1.25</v>
      </c>
      <c r="O361" s="28" t="n">
        <v>0</v>
      </c>
      <c r="P361" s="2" t="s">
        <v>146</v>
      </c>
      <c r="Q361" s="29" t="n">
        <v>0.085</v>
      </c>
      <c r="R361" s="30" t="n">
        <v>0.08</v>
      </c>
      <c r="S361" s="31" t="n">
        <v>15.625</v>
      </c>
      <c r="T361" s="30"/>
      <c r="U361" s="30"/>
      <c r="V361" s="29" t="n">
        <v>-0.005</v>
      </c>
      <c r="W361" s="29" t="n">
        <f aca="false">IF(N(Q361)=0,"",Q361+IF(I361="yes",Q361*Inputs!$B$10*Inputs!$B$9,0)+V361)</f>
        <v>0.08</v>
      </c>
      <c r="X361" s="28" t="n">
        <f aca="false">IF(OR(N(W361)&lt;=0,N(N361)=0,N(L361)=0),"",MIN(L361,N361/W361))</f>
        <v>15.625</v>
      </c>
      <c r="Y361" s="29" t="str">
        <f aca="false">IF(OR(X361="",N(O361)=0),"",X361/O361-1)</f>
        <v/>
      </c>
      <c r="Z361" s="29" t="str">
        <f aca="false">IF(OR(Y361="",N(O361)=0),"",Y361+N361/O361)</f>
        <v/>
      </c>
      <c r="AA361" s="32" t="str">
        <f aca="false">IF(OR(Z361="",N(U361)=0),"",Z361-U361)</f>
        <v/>
      </c>
      <c r="AB361" s="29" t="n">
        <f aca="false">IF(N(Q361)=0,"",Q361+IF(I361="yes",Q361*Inputs!$B$10*Inputs!$B$9,0)+IFERROR(INDEX(Inputs!$B$13:$B$15,MATCH(G361,Inputs!$A$13:$A$15,0)),0)+IFERROR(INDEX(Inputs!$B$18:$B$24,MATCH(H361,Inputs!$A$18:$A$24,0)),0))</f>
        <v>0.08</v>
      </c>
      <c r="AC361" s="28" t="n">
        <f aca="false">IF(OR(N(AB361)&lt;=0,N(N361)=0,N(L361)=0),"",MIN(L361,N361/AB361))</f>
        <v>15.625</v>
      </c>
      <c r="AD361" s="29" t="str">
        <f aca="false">IF(OR(AC361="",N(O361)=0),"",AC361/O361-1)</f>
        <v/>
      </c>
      <c r="AE361" s="29" t="str">
        <f aca="false">IF(OR(AD361="",N(O361)=0),"",AD361+N361/O361)</f>
        <v/>
      </c>
      <c r="AF361" s="32" t="str">
        <f aca="false">IF(OR(AE361="",N(Z361)=0),"",AE361-Z361)</f>
        <v/>
      </c>
      <c r="AG361" s="28" t="n">
        <f aca="false">IF(AND(N(M361)&gt;0,N(L361)&gt;0),M361*L361,N361)</f>
        <v>1.25</v>
      </c>
      <c r="AH361" s="28" t="n">
        <f aca="false">IF(OR(N(AB361)&lt;=0,N(AG361)=0,N(L361)=0),"",MIN(L361,AG361/AB361))</f>
        <v>15.625</v>
      </c>
      <c r="AI361" s="29" t="str">
        <f aca="false">IF(OR(AH361="",N(O361)=0),"",AH361/O361-1)</f>
        <v/>
      </c>
      <c r="AJ361" s="29" t="str">
        <f aca="false">IF(OR(AI361="",N(O361)=0),"",AI361+AG361/O361)</f>
        <v/>
      </c>
      <c r="AK361" s="32" t="str">
        <f aca="false">IF(OR(AJ361="",N(AE361)=0),"",AJ361-AE361)</f>
        <v/>
      </c>
      <c r="AL361" s="33" t="n">
        <f aca="false">IF(N(F361)=0,"",INDEX(Inputs!$B$28:$B$32,IFERROR(MATCH(F361,Inputs!$A$28:$A$32,1),0)+1))</f>
        <v>0.09</v>
      </c>
      <c r="AM361" s="34"/>
      <c r="AN361" s="33" t="n">
        <f aca="false">IF(N(AM361)&gt;0,AM361,AL361)</f>
        <v>0.09</v>
      </c>
      <c r="AO361" s="29" t="n">
        <f aca="false">IF(N(AN361)=0,"",AN361+IF(I361="yes",AN361*Inputs!$B$10*Inputs!$B$9,0)+IFERROR(INDEX(Inputs!$B$13:$B$15,MATCH(G361,Inputs!$A$13:$A$15,0)),0)+IFERROR(INDEX(Inputs!$B$18:$B$24,MATCH(H361,Inputs!$A$18:$A$24,0)),0))</f>
        <v>0.085</v>
      </c>
      <c r="AP361" s="28" t="n">
        <f aca="false">IF(OR(N(AO361)&lt;=0,N(AG361)=0,N(L361)=0),"",MIN(L361,AG361/AO361))</f>
        <v>14.7058823529412</v>
      </c>
      <c r="AQ361" s="29" t="str">
        <f aca="false">IF(OR(AP361="",N(O361)=0),"",AP361/O361-1)</f>
        <v/>
      </c>
      <c r="AR361" s="29" t="str">
        <f aca="false">IF(OR(AQ361="",N(O361)=0),"",AQ361+AG361/O361)</f>
        <v/>
      </c>
      <c r="AS361" s="32" t="str">
        <f aca="false">IF(OR(AR361="",N(AJ361)=0),"",AR361-AJ361)</f>
        <v/>
      </c>
      <c r="AT361" s="28" t="n">
        <v>25</v>
      </c>
      <c r="AU361" s="28" t="n">
        <v>1.25</v>
      </c>
      <c r="AV361" s="28" t="n">
        <f aca="false">IF(N(AT361)&gt;0,AT361,L361)</f>
        <v>25</v>
      </c>
      <c r="AW361" s="28" t="n">
        <f aca="false">IF(AND(N(M361)&gt;0,N(AV361)&gt;0),M361*AV361,IF(N(AU361)&gt;0,AU361,N361))</f>
        <v>1.25</v>
      </c>
      <c r="AX361" s="29" t="n">
        <f aca="false">IF(N(AN361)=0,"",AN361+IF(I361="yes",AN361*Inputs!$B$10*Inputs!$B$9,0)+IFERROR(INDEX(Inputs!$B$13:$B$15,MATCH(G361,Inputs!$A$13:$A$15,0)),0)+IFERROR(INDEX(Inputs!$B$18:$B$24,MATCH(H361,Inputs!$A$18:$A$24,0)),0))</f>
        <v>0.085</v>
      </c>
      <c r="AY361" s="28" t="n">
        <f aca="false">IF(OR(N(AX361)&lt;=0,N(AW361)=0,N(AV361)=0),"",MIN(AV361,AW361/AX361))</f>
        <v>14.7058823529412</v>
      </c>
      <c r="AZ361" s="29" t="str">
        <f aca="false">IF(OR(AY361="",N(O361)=0),"",AY361/O361-1)</f>
        <v/>
      </c>
      <c r="BA361" s="29" t="str">
        <f aca="false">IF(OR(AZ361="",N(O361)=0),"",AZ361+AW361/O361)</f>
        <v/>
      </c>
      <c r="BB361" s="32" t="str">
        <f aca="false">IF(OR(BA361="",N(AR361)=0),"",BA361-AR361)</f>
        <v/>
      </c>
      <c r="BC361" s="35" t="str">
        <f aca="false">IF(OR(BA361="",N(U361)=0),"",BA361-U361)</f>
        <v/>
      </c>
      <c r="BD361" s="36" t="s">
        <v>299</v>
      </c>
    </row>
    <row r="362" customFormat="false" ht="15" hidden="false" customHeight="false" outlineLevel="0" collapsed="false">
      <c r="A362" s="2" t="s">
        <v>768</v>
      </c>
      <c r="B362" s="2" t="n">
        <v>14</v>
      </c>
      <c r="C362" s="2" t="s">
        <v>778</v>
      </c>
      <c r="D362" s="2" t="s">
        <v>775</v>
      </c>
      <c r="E362" s="2" t="s">
        <v>776</v>
      </c>
      <c r="F362" s="27" t="n">
        <v>651</v>
      </c>
      <c r="G362" s="2" t="s">
        <v>52</v>
      </c>
      <c r="H362" s="2" t="s">
        <v>58</v>
      </c>
      <c r="I362" s="2" t="s">
        <v>144</v>
      </c>
      <c r="J362" s="2" t="s">
        <v>145</v>
      </c>
      <c r="K362" s="2" t="n">
        <v>4</v>
      </c>
      <c r="L362" s="28" t="n">
        <v>25</v>
      </c>
      <c r="M362" s="29" t="n">
        <v>0.04875</v>
      </c>
      <c r="N362" s="28" t="n">
        <v>1.21875</v>
      </c>
      <c r="O362" s="28" t="n">
        <v>24.34</v>
      </c>
      <c r="P362" s="2" t="s">
        <v>146</v>
      </c>
      <c r="Q362" s="29" t="n">
        <v>0.085</v>
      </c>
      <c r="R362" s="30" t="n">
        <v>0.08</v>
      </c>
      <c r="S362" s="31" t="n">
        <v>15.234375</v>
      </c>
      <c r="T362" s="30" t="n">
        <v>-0.374101273623665</v>
      </c>
      <c r="U362" s="30" t="n">
        <v>-0.324029375513558</v>
      </c>
      <c r="V362" s="29" t="n">
        <v>-0.005</v>
      </c>
      <c r="W362" s="29" t="n">
        <f aca="false">IF(N(Q362)=0,"",Q362+IF(I362="yes",Q362*Inputs!$B$10*Inputs!$B$9,0)+V362)</f>
        <v>0.08</v>
      </c>
      <c r="X362" s="28" t="n">
        <f aca="false">IF(OR(N(W362)&lt;=0,N(N362)=0,N(L362)=0),"",MIN(L362,N362/W362))</f>
        <v>15.234375</v>
      </c>
      <c r="Y362" s="29" t="n">
        <f aca="false">IF(OR(X362="",N(O362)=0),"",X362/O362-1)</f>
        <v>-0.374101273623665</v>
      </c>
      <c r="Z362" s="29" t="n">
        <f aca="false">IF(OR(Y362="",N(O362)=0),"",Y362+N362/O362)</f>
        <v>-0.324029375513558</v>
      </c>
      <c r="AA362" s="32" t="n">
        <f aca="false">IF(OR(Z362="",N(U362)=0),"",Z362-U362)</f>
        <v>0</v>
      </c>
      <c r="AB362" s="29" t="n">
        <f aca="false">IF(N(Q362)=0,"",Q362+IF(I362="yes",Q362*Inputs!$B$10*Inputs!$B$9,0)+IFERROR(INDEX(Inputs!$B$13:$B$15,MATCH(G362,Inputs!$A$13:$A$15,0)),0)+IFERROR(INDEX(Inputs!$B$18:$B$24,MATCH(H362,Inputs!$A$18:$A$24,0)),0))</f>
        <v>0.08</v>
      </c>
      <c r="AC362" s="28" t="n">
        <f aca="false">IF(OR(N(AB362)&lt;=0,N(N362)=0,N(L362)=0),"",MIN(L362,N362/AB362))</f>
        <v>15.234375</v>
      </c>
      <c r="AD362" s="29" t="n">
        <f aca="false">IF(OR(AC362="",N(O362)=0),"",AC362/O362-1)</f>
        <v>-0.374101273623665</v>
      </c>
      <c r="AE362" s="29" t="n">
        <f aca="false">IF(OR(AD362="",N(O362)=0),"",AD362+N362/O362)</f>
        <v>-0.324029375513558</v>
      </c>
      <c r="AF362" s="32" t="n">
        <f aca="false">IF(OR(AE362="",N(Z362)=0),"",AE362-Z362)</f>
        <v>0</v>
      </c>
      <c r="AG362" s="28" t="n">
        <f aca="false">IF(AND(N(M362)&gt;0,N(L362)&gt;0),M362*L362,N362)</f>
        <v>1.21875</v>
      </c>
      <c r="AH362" s="28" t="n">
        <f aca="false">IF(OR(N(AB362)&lt;=0,N(AG362)=0,N(L362)=0),"",MIN(L362,AG362/AB362))</f>
        <v>15.234375</v>
      </c>
      <c r="AI362" s="29" t="n">
        <f aca="false">IF(OR(AH362="",N(O362)=0),"",AH362/O362-1)</f>
        <v>-0.374101273623665</v>
      </c>
      <c r="AJ362" s="29" t="n">
        <f aca="false">IF(OR(AI362="",N(O362)=0),"",AI362+AG362/O362)</f>
        <v>-0.324029375513558</v>
      </c>
      <c r="AK362" s="32" t="n">
        <f aca="false">IF(OR(AJ362="",N(AE362)=0),"",AJ362-AE362)</f>
        <v>0</v>
      </c>
      <c r="AL362" s="33" t="n">
        <f aca="false">IF(N(F362)=0,"",INDEX(Inputs!$B$28:$B$32,IFERROR(MATCH(F362,Inputs!$A$28:$A$32,1),0)+1))</f>
        <v>0.09</v>
      </c>
      <c r="AM362" s="34"/>
      <c r="AN362" s="33" t="n">
        <f aca="false">IF(N(AM362)&gt;0,AM362,AL362)</f>
        <v>0.09</v>
      </c>
      <c r="AO362" s="29" t="n">
        <f aca="false">IF(N(AN362)=0,"",AN362+IF(I362="yes",AN362*Inputs!$B$10*Inputs!$B$9,0)+IFERROR(INDEX(Inputs!$B$13:$B$15,MATCH(G362,Inputs!$A$13:$A$15,0)),0)+IFERROR(INDEX(Inputs!$B$18:$B$24,MATCH(H362,Inputs!$A$18:$A$24,0)),0))</f>
        <v>0.085</v>
      </c>
      <c r="AP362" s="28" t="n">
        <f aca="false">IF(OR(N(AO362)&lt;=0,N(AG362)=0,N(L362)=0),"",MIN(L362,AG362/AO362))</f>
        <v>14.3382352941176</v>
      </c>
      <c r="AQ362" s="29" t="n">
        <f aca="false">IF(OR(AP362="",N(O362)=0),"",AP362/O362-1)</f>
        <v>-0.410918845763449</v>
      </c>
      <c r="AR362" s="29" t="n">
        <f aca="false">IF(OR(AQ362="",N(O362)=0),"",AQ362+AG362/O362)</f>
        <v>-0.360846947653342</v>
      </c>
      <c r="AS362" s="32" t="n">
        <f aca="false">IF(OR(AR362="",N(AJ362)=0),"",AR362-AJ362)</f>
        <v>-0.0368175721397843</v>
      </c>
      <c r="AT362" s="28" t="n">
        <v>25</v>
      </c>
      <c r="AU362" s="28" t="n">
        <v>1.21875</v>
      </c>
      <c r="AV362" s="28" t="n">
        <f aca="false">IF(N(AT362)&gt;0,AT362,L362)</f>
        <v>25</v>
      </c>
      <c r="AW362" s="28" t="n">
        <f aca="false">IF(AND(N(M362)&gt;0,N(AV362)&gt;0),M362*AV362,IF(N(AU362)&gt;0,AU362,N362))</f>
        <v>1.21875</v>
      </c>
      <c r="AX362" s="29" t="n">
        <f aca="false">IF(N(AN362)=0,"",AN362+IF(I362="yes",AN362*Inputs!$B$10*Inputs!$B$9,0)+IFERROR(INDEX(Inputs!$B$13:$B$15,MATCH(G362,Inputs!$A$13:$A$15,0)),0)+IFERROR(INDEX(Inputs!$B$18:$B$24,MATCH(H362,Inputs!$A$18:$A$24,0)),0))</f>
        <v>0.085</v>
      </c>
      <c r="AY362" s="28" t="n">
        <f aca="false">IF(OR(N(AX362)&lt;=0,N(AW362)=0,N(AV362)=0),"",MIN(AV362,AW362/AX362))</f>
        <v>14.3382352941176</v>
      </c>
      <c r="AZ362" s="29" t="n">
        <f aca="false">IF(OR(AY362="",N(O362)=0),"",AY362/O362-1)</f>
        <v>-0.410918845763449</v>
      </c>
      <c r="BA362" s="29" t="n">
        <f aca="false">IF(OR(AZ362="",N(O362)=0),"",AZ362+AW362/O362)</f>
        <v>-0.360846947653342</v>
      </c>
      <c r="BB362" s="32" t="n">
        <f aca="false">IF(OR(BA362="",N(AR362)=0),"",BA362-AR362)</f>
        <v>0</v>
      </c>
      <c r="BC362" s="35" t="n">
        <f aca="false">IF(OR(BA362="",N(U362)=0),"",BA362-U362)</f>
        <v>-0.0368175721397843</v>
      </c>
      <c r="BD362" s="37"/>
    </row>
    <row r="363" customFormat="false" ht="15" hidden="false" customHeight="false" outlineLevel="0" collapsed="false">
      <c r="A363" s="2" t="s">
        <v>768</v>
      </c>
      <c r="B363" s="2" t="n">
        <v>17</v>
      </c>
      <c r="C363" s="2" t="s">
        <v>779</v>
      </c>
      <c r="D363" s="2" t="s">
        <v>780</v>
      </c>
      <c r="E363" s="2" t="s">
        <v>781</v>
      </c>
      <c r="F363" s="27" t="n">
        <v>1600</v>
      </c>
      <c r="G363" s="2" t="s">
        <v>51</v>
      </c>
      <c r="H363" s="2" t="s">
        <v>58</v>
      </c>
      <c r="I363" s="2" t="s">
        <v>151</v>
      </c>
      <c r="J363" s="2" t="s">
        <v>145</v>
      </c>
      <c r="K363" s="2" t="n">
        <v>4</v>
      </c>
      <c r="L363" s="28" t="n">
        <v>25</v>
      </c>
      <c r="M363" s="29" t="n">
        <v>0.0595</v>
      </c>
      <c r="N363" s="28" t="n">
        <v>1.4875</v>
      </c>
      <c r="O363" s="28" t="n">
        <v>24.8</v>
      </c>
      <c r="P363" s="2" t="s">
        <v>146</v>
      </c>
      <c r="Q363" s="29" t="n">
        <v>0.08</v>
      </c>
      <c r="R363" s="30" t="n">
        <v>0.076</v>
      </c>
      <c r="S363" s="31" t="n">
        <v>19.5723684210526</v>
      </c>
      <c r="T363" s="30" t="n">
        <v>-0.210791595925297</v>
      </c>
      <c r="U363" s="30" t="n">
        <v>-0.15081175721562</v>
      </c>
      <c r="V363" s="29" t="n">
        <v>0</v>
      </c>
      <c r="W363" s="29" t="n">
        <f aca="false">IF(N(Q363)=0,"",Q363+IF(I363="yes",Q363*Inputs!$B$10*Inputs!$B$9,0)+V363)</f>
        <v>0.076</v>
      </c>
      <c r="X363" s="28" t="n">
        <f aca="false">IF(OR(N(W363)&lt;=0,N(N363)=0,N(L363)=0),"",MIN(L363,N363/W363))</f>
        <v>19.5723684210526</v>
      </c>
      <c r="Y363" s="29" t="n">
        <f aca="false">IF(OR(X363="",N(O363)=0),"",X363/O363-1)</f>
        <v>-0.210791595925297</v>
      </c>
      <c r="Z363" s="29" t="n">
        <f aca="false">IF(OR(Y363="",N(O363)=0),"",Y363+N363/O363)</f>
        <v>-0.15081175721562</v>
      </c>
      <c r="AA363" s="32" t="n">
        <f aca="false">IF(OR(Z363="",N(U363)=0),"",Z363-U363)</f>
        <v>0</v>
      </c>
      <c r="AB363" s="29" t="n">
        <f aca="false">IF(N(Q363)=0,"",Q363+IF(I363="yes",Q363*Inputs!$B$10*Inputs!$B$9,0)+IFERROR(INDEX(Inputs!$B$13:$B$15,MATCH(G363,Inputs!$A$13:$A$15,0)),0)+IFERROR(INDEX(Inputs!$B$18:$B$24,MATCH(H363,Inputs!$A$18:$A$24,0)),0))</f>
        <v>0.076</v>
      </c>
      <c r="AC363" s="28" t="n">
        <f aca="false">IF(OR(N(AB363)&lt;=0,N(N363)=0,N(L363)=0),"",MIN(L363,N363/AB363))</f>
        <v>19.5723684210526</v>
      </c>
      <c r="AD363" s="29" t="n">
        <f aca="false">IF(OR(AC363="",N(O363)=0),"",AC363/O363-1)</f>
        <v>-0.210791595925297</v>
      </c>
      <c r="AE363" s="29" t="n">
        <f aca="false">IF(OR(AD363="",N(O363)=0),"",AD363+N363/O363)</f>
        <v>-0.15081175721562</v>
      </c>
      <c r="AF363" s="32" t="n">
        <f aca="false">IF(OR(AE363="",N(Z363)=0),"",AE363-Z363)</f>
        <v>0</v>
      </c>
      <c r="AG363" s="28" t="n">
        <f aca="false">IF(AND(N(M363)&gt;0,N(L363)&gt;0),M363*L363,N363)</f>
        <v>1.4875</v>
      </c>
      <c r="AH363" s="28" t="n">
        <f aca="false">IF(OR(N(AB363)&lt;=0,N(AG363)=0,N(L363)=0),"",MIN(L363,AG363/AB363))</f>
        <v>19.5723684210526</v>
      </c>
      <c r="AI363" s="29" t="n">
        <f aca="false">IF(OR(AH363="",N(O363)=0),"",AH363/O363-1)</f>
        <v>-0.210791595925297</v>
      </c>
      <c r="AJ363" s="29" t="n">
        <f aca="false">IF(OR(AI363="",N(O363)=0),"",AI363+AG363/O363)</f>
        <v>-0.15081175721562</v>
      </c>
      <c r="AK363" s="32" t="n">
        <f aca="false">IF(OR(AJ363="",N(AE363)=0),"",AJ363-AE363)</f>
        <v>0</v>
      </c>
      <c r="AL363" s="33" t="n">
        <f aca="false">IF(N(F363)=0,"",INDEX(Inputs!$B$28:$B$32,IFERROR(MATCH(F363,Inputs!$A$28:$A$32,1),0)+1))</f>
        <v>0.085</v>
      </c>
      <c r="AM363" s="34"/>
      <c r="AN363" s="33" t="n">
        <f aca="false">IF(N(AM363)&gt;0,AM363,AL363)</f>
        <v>0.085</v>
      </c>
      <c r="AO363" s="29" t="n">
        <f aca="false">IF(N(AN363)=0,"",AN363+IF(I363="yes",AN363*Inputs!$B$10*Inputs!$B$9,0)+IFERROR(INDEX(Inputs!$B$13:$B$15,MATCH(G363,Inputs!$A$13:$A$15,0)),0)+IFERROR(INDEX(Inputs!$B$18:$B$24,MATCH(H363,Inputs!$A$18:$A$24,0)),0))</f>
        <v>0.08075</v>
      </c>
      <c r="AP363" s="28" t="n">
        <f aca="false">IF(OR(N(AO363)&lt;=0,N(AG363)=0,N(L363)=0),"",MIN(L363,AG363/AO363))</f>
        <v>18.4210526315789</v>
      </c>
      <c r="AQ363" s="29" t="n">
        <f aca="false">IF(OR(AP363="",N(O363)=0),"",AP363/O363-1)</f>
        <v>-0.257215619694397</v>
      </c>
      <c r="AR363" s="29" t="n">
        <f aca="false">IF(OR(AQ363="",N(O363)=0),"",AQ363+AG363/O363)</f>
        <v>-0.19723578098472</v>
      </c>
      <c r="AS363" s="32" t="n">
        <f aca="false">IF(OR(AR363="",N(AJ363)=0),"",AR363-AJ363)</f>
        <v>-0.0464240237691003</v>
      </c>
      <c r="AT363" s="28" t="n">
        <v>25</v>
      </c>
      <c r="AU363" s="28" t="n">
        <v>1.49</v>
      </c>
      <c r="AV363" s="28" t="n">
        <f aca="false">IF(N(AT363)&gt;0,AT363,L363)</f>
        <v>25</v>
      </c>
      <c r="AW363" s="28" t="n">
        <f aca="false">IF(AND(N(M363)&gt;0,N(AV363)&gt;0),M363*AV363,IF(N(AU363)&gt;0,AU363,N363))</f>
        <v>1.4875</v>
      </c>
      <c r="AX363" s="29" t="n">
        <f aca="false">IF(N(AN363)=0,"",AN363+IF(I363="yes",AN363*Inputs!$B$10*Inputs!$B$9,0)+IFERROR(INDEX(Inputs!$B$13:$B$15,MATCH(G363,Inputs!$A$13:$A$15,0)),0)+IFERROR(INDEX(Inputs!$B$18:$B$24,MATCH(H363,Inputs!$A$18:$A$24,0)),0))</f>
        <v>0.08075</v>
      </c>
      <c r="AY363" s="28" t="n">
        <f aca="false">IF(OR(N(AX363)&lt;=0,N(AW363)=0,N(AV363)=0),"",MIN(AV363,AW363/AX363))</f>
        <v>18.4210526315789</v>
      </c>
      <c r="AZ363" s="29" t="n">
        <f aca="false">IF(OR(AY363="",N(O363)=0),"",AY363/O363-1)</f>
        <v>-0.257215619694397</v>
      </c>
      <c r="BA363" s="29" t="n">
        <f aca="false">IF(OR(AZ363="",N(O363)=0),"",AZ363+AW363/O363)</f>
        <v>-0.19723578098472</v>
      </c>
      <c r="BB363" s="32" t="n">
        <f aca="false">IF(OR(BA363="",N(AR363)=0),"",BA363-AR363)</f>
        <v>0</v>
      </c>
      <c r="BC363" s="35" t="n">
        <f aca="false">IF(OR(BA363="",N(U363)=0),"",BA363-U363)</f>
        <v>-0.0464240237691004</v>
      </c>
      <c r="BD363" s="37"/>
    </row>
    <row r="364" customFormat="false" ht="15" hidden="false" customHeight="false" outlineLevel="0" collapsed="false">
      <c r="A364" s="2" t="s">
        <v>768</v>
      </c>
      <c r="B364" s="2" t="n">
        <v>21</v>
      </c>
      <c r="C364" s="2" t="s">
        <v>782</v>
      </c>
      <c r="D364" s="2" t="s">
        <v>783</v>
      </c>
      <c r="E364" s="2" t="s">
        <v>784</v>
      </c>
      <c r="F364" s="27" t="n">
        <v>92</v>
      </c>
      <c r="G364" s="2" t="s">
        <v>51</v>
      </c>
      <c r="H364" s="2" t="s">
        <v>58</v>
      </c>
      <c r="I364" s="2" t="s">
        <v>144</v>
      </c>
      <c r="J364" s="2" t="s">
        <v>145</v>
      </c>
      <c r="K364" s="2" t="n">
        <v>4</v>
      </c>
      <c r="L364" s="28" t="n">
        <v>50</v>
      </c>
      <c r="M364" s="29" t="n">
        <v>0.04</v>
      </c>
      <c r="N364" s="28" t="n">
        <v>2</v>
      </c>
      <c r="O364" s="28" t="n">
        <v>0</v>
      </c>
      <c r="P364" s="2" t="s">
        <v>146</v>
      </c>
      <c r="Q364" s="29" t="n">
        <v>0.1</v>
      </c>
      <c r="R364" s="30" t="n">
        <v>0.1</v>
      </c>
      <c r="S364" s="31" t="n">
        <v>20</v>
      </c>
      <c r="T364" s="30"/>
      <c r="U364" s="30"/>
      <c r="V364" s="29" t="n">
        <v>0</v>
      </c>
      <c r="W364" s="29" t="n">
        <f aca="false">IF(N(Q364)=0,"",Q364+IF(I364="yes",Q364*Inputs!$B$10*Inputs!$B$9,0)+V364)</f>
        <v>0.1</v>
      </c>
      <c r="X364" s="28" t="n">
        <f aca="false">IF(OR(N(W364)&lt;=0,N(N364)=0,N(L364)=0),"",MIN(L364,N364/W364))</f>
        <v>20</v>
      </c>
      <c r="Y364" s="29" t="str">
        <f aca="false">IF(OR(X364="",N(O364)=0),"",X364/O364-1)</f>
        <v/>
      </c>
      <c r="Z364" s="29" t="str">
        <f aca="false">IF(OR(Y364="",N(O364)=0),"",Y364+N364/O364)</f>
        <v/>
      </c>
      <c r="AA364" s="32" t="str">
        <f aca="false">IF(OR(Z364="",N(U364)=0),"",Z364-U364)</f>
        <v/>
      </c>
      <c r="AB364" s="29" t="n">
        <f aca="false">IF(N(Q364)=0,"",Q364+IF(I364="yes",Q364*Inputs!$B$10*Inputs!$B$9,0)+IFERROR(INDEX(Inputs!$B$13:$B$15,MATCH(G364,Inputs!$A$13:$A$15,0)),0)+IFERROR(INDEX(Inputs!$B$18:$B$24,MATCH(H364,Inputs!$A$18:$A$24,0)),0))</f>
        <v>0.1</v>
      </c>
      <c r="AC364" s="28" t="n">
        <f aca="false">IF(OR(N(AB364)&lt;=0,N(N364)=0,N(L364)=0),"",MIN(L364,N364/AB364))</f>
        <v>20</v>
      </c>
      <c r="AD364" s="29" t="str">
        <f aca="false">IF(OR(AC364="",N(O364)=0),"",AC364/O364-1)</f>
        <v/>
      </c>
      <c r="AE364" s="29" t="str">
        <f aca="false">IF(OR(AD364="",N(O364)=0),"",AD364+N364/O364)</f>
        <v/>
      </c>
      <c r="AF364" s="32" t="str">
        <f aca="false">IF(OR(AE364="",N(Z364)=0),"",AE364-Z364)</f>
        <v/>
      </c>
      <c r="AG364" s="28" t="n">
        <f aca="false">IF(AND(N(M364)&gt;0,N(L364)&gt;0),M364*L364,N364)</f>
        <v>2</v>
      </c>
      <c r="AH364" s="28" t="n">
        <f aca="false">IF(OR(N(AB364)&lt;=0,N(AG364)=0,N(L364)=0),"",MIN(L364,AG364/AB364))</f>
        <v>20</v>
      </c>
      <c r="AI364" s="29" t="str">
        <f aca="false">IF(OR(AH364="",N(O364)=0),"",AH364/O364-1)</f>
        <v/>
      </c>
      <c r="AJ364" s="29" t="str">
        <f aca="false">IF(OR(AI364="",N(O364)=0),"",AI364+AG364/O364)</f>
        <v/>
      </c>
      <c r="AK364" s="32" t="str">
        <f aca="false">IF(OR(AJ364="",N(AE364)=0),"",AJ364-AE364)</f>
        <v/>
      </c>
      <c r="AL364" s="33" t="n">
        <f aca="false">IF(N(F364)=0,"",INDEX(Inputs!$B$28:$B$32,IFERROR(MATCH(F364,Inputs!$A$28:$A$32,1),0)+1))</f>
        <v>0.1</v>
      </c>
      <c r="AM364" s="34"/>
      <c r="AN364" s="33" t="n">
        <f aca="false">IF(N(AM364)&gt;0,AM364,AL364)</f>
        <v>0.1</v>
      </c>
      <c r="AO364" s="29" t="n">
        <f aca="false">IF(N(AN364)=0,"",AN364+IF(I364="yes",AN364*Inputs!$B$10*Inputs!$B$9,0)+IFERROR(INDEX(Inputs!$B$13:$B$15,MATCH(G364,Inputs!$A$13:$A$15,0)),0)+IFERROR(INDEX(Inputs!$B$18:$B$24,MATCH(H364,Inputs!$A$18:$A$24,0)),0))</f>
        <v>0.1</v>
      </c>
      <c r="AP364" s="28" t="n">
        <f aca="false">IF(OR(N(AO364)&lt;=0,N(AG364)=0,N(L364)=0),"",MIN(L364,AG364/AO364))</f>
        <v>20</v>
      </c>
      <c r="AQ364" s="29" t="str">
        <f aca="false">IF(OR(AP364="",N(O364)=0),"",AP364/O364-1)</f>
        <v/>
      </c>
      <c r="AR364" s="29" t="str">
        <f aca="false">IF(OR(AQ364="",N(O364)=0),"",AQ364+AG364/O364)</f>
        <v/>
      </c>
      <c r="AS364" s="32" t="str">
        <f aca="false">IF(OR(AR364="",N(AJ364)=0),"",AR364-AJ364)</f>
        <v/>
      </c>
      <c r="AT364" s="28" t="n">
        <v>50</v>
      </c>
      <c r="AU364" s="28" t="n">
        <v>2</v>
      </c>
      <c r="AV364" s="28" t="n">
        <f aca="false">IF(N(AT364)&gt;0,AT364,L364)</f>
        <v>50</v>
      </c>
      <c r="AW364" s="28" t="n">
        <f aca="false">IF(AND(N(M364)&gt;0,N(AV364)&gt;0),M364*AV364,IF(N(AU364)&gt;0,AU364,N364))</f>
        <v>2</v>
      </c>
      <c r="AX364" s="29" t="n">
        <f aca="false">IF(N(AN364)=0,"",AN364+IF(I364="yes",AN364*Inputs!$B$10*Inputs!$B$9,0)+IFERROR(INDEX(Inputs!$B$13:$B$15,MATCH(G364,Inputs!$A$13:$A$15,0)),0)+IFERROR(INDEX(Inputs!$B$18:$B$24,MATCH(H364,Inputs!$A$18:$A$24,0)),0))</f>
        <v>0.1</v>
      </c>
      <c r="AY364" s="28" t="n">
        <f aca="false">IF(OR(N(AX364)&lt;=0,N(AW364)=0,N(AV364)=0),"",MIN(AV364,AW364/AX364))</f>
        <v>20</v>
      </c>
      <c r="AZ364" s="29" t="str">
        <f aca="false">IF(OR(AY364="",N(O364)=0),"",AY364/O364-1)</f>
        <v/>
      </c>
      <c r="BA364" s="29" t="str">
        <f aca="false">IF(OR(AZ364="",N(O364)=0),"",AZ364+AW364/O364)</f>
        <v/>
      </c>
      <c r="BB364" s="32" t="str">
        <f aca="false">IF(OR(BA364="",N(AR364)=0),"",BA364-AR364)</f>
        <v/>
      </c>
      <c r="BC364" s="35" t="str">
        <f aca="false">IF(OR(BA364="",N(U364)=0),"",BA364-U364)</f>
        <v/>
      </c>
      <c r="BD364" s="36" t="s">
        <v>299</v>
      </c>
    </row>
    <row r="365" customFormat="false" ht="15" hidden="false" customHeight="false" outlineLevel="0" collapsed="false">
      <c r="A365" s="2" t="s">
        <v>768</v>
      </c>
      <c r="B365" s="2" t="n">
        <v>25</v>
      </c>
      <c r="C365" s="2" t="s">
        <v>785</v>
      </c>
      <c r="D365" s="2" t="s">
        <v>786</v>
      </c>
      <c r="E365" s="2" t="s">
        <v>787</v>
      </c>
      <c r="F365" s="27" t="n">
        <v>2600</v>
      </c>
      <c r="G365" s="2" t="s">
        <v>51</v>
      </c>
      <c r="H365" s="2" t="s">
        <v>58</v>
      </c>
      <c r="I365" s="2" t="s">
        <v>151</v>
      </c>
      <c r="J365" s="2" t="s">
        <v>145</v>
      </c>
      <c r="K365" s="2" t="n">
        <v>4</v>
      </c>
      <c r="L365" s="28" t="n">
        <v>25</v>
      </c>
      <c r="M365" s="29" t="n">
        <v>0.05375</v>
      </c>
      <c r="N365" s="28" t="n">
        <v>1.34375</v>
      </c>
      <c r="O365" s="28" t="n">
        <v>20.99</v>
      </c>
      <c r="P365" s="2" t="s">
        <v>146</v>
      </c>
      <c r="Q365" s="29" t="n">
        <v>0.08</v>
      </c>
      <c r="R365" s="30" t="n">
        <v>0.076</v>
      </c>
      <c r="S365" s="31" t="n">
        <v>17.6809210526316</v>
      </c>
      <c r="T365" s="30" t="n">
        <v>-0.157650259522078</v>
      </c>
      <c r="U365" s="30" t="n">
        <v>-0.0936316792457562</v>
      </c>
      <c r="V365" s="29" t="n">
        <v>0</v>
      </c>
      <c r="W365" s="29" t="n">
        <f aca="false">IF(N(Q365)=0,"",Q365+IF(I365="yes",Q365*Inputs!$B$10*Inputs!$B$9,0)+V365)</f>
        <v>0.076</v>
      </c>
      <c r="X365" s="28" t="n">
        <f aca="false">IF(OR(N(W365)&lt;=0,N(N365)=0,N(L365)=0),"",MIN(L365,N365/W365))</f>
        <v>17.6809210526316</v>
      </c>
      <c r="Y365" s="29" t="n">
        <f aca="false">IF(OR(X365="",N(O365)=0),"",X365/O365-1)</f>
        <v>-0.157650259522078</v>
      </c>
      <c r="Z365" s="29" t="n">
        <f aca="false">IF(OR(Y365="",N(O365)=0),"",Y365+N365/O365)</f>
        <v>-0.0936316792457561</v>
      </c>
      <c r="AA365" s="32" t="n">
        <f aca="false">IF(OR(Z365="",N(U365)=0),"",Z365-U365)</f>
        <v>0</v>
      </c>
      <c r="AB365" s="29" t="n">
        <f aca="false">IF(N(Q365)=0,"",Q365+IF(I365="yes",Q365*Inputs!$B$10*Inputs!$B$9,0)+IFERROR(INDEX(Inputs!$B$13:$B$15,MATCH(G365,Inputs!$A$13:$A$15,0)),0)+IFERROR(INDEX(Inputs!$B$18:$B$24,MATCH(H365,Inputs!$A$18:$A$24,0)),0))</f>
        <v>0.076</v>
      </c>
      <c r="AC365" s="28" t="n">
        <f aca="false">IF(OR(N(AB365)&lt;=0,N(N365)=0,N(L365)=0),"",MIN(L365,N365/AB365))</f>
        <v>17.6809210526316</v>
      </c>
      <c r="AD365" s="29" t="n">
        <f aca="false">IF(OR(AC365="",N(O365)=0),"",AC365/O365-1)</f>
        <v>-0.157650259522078</v>
      </c>
      <c r="AE365" s="29" t="n">
        <f aca="false">IF(OR(AD365="",N(O365)=0),"",AD365+N365/O365)</f>
        <v>-0.0936316792457561</v>
      </c>
      <c r="AF365" s="32" t="n">
        <f aca="false">IF(OR(AE365="",N(Z365)=0),"",AE365-Z365)</f>
        <v>0</v>
      </c>
      <c r="AG365" s="28" t="n">
        <f aca="false">IF(AND(N(M365)&gt;0,N(L365)&gt;0),M365*L365,N365)</f>
        <v>1.34375</v>
      </c>
      <c r="AH365" s="28" t="n">
        <f aca="false">IF(OR(N(AB365)&lt;=0,N(AG365)=0,N(L365)=0),"",MIN(L365,AG365/AB365))</f>
        <v>17.6809210526316</v>
      </c>
      <c r="AI365" s="29" t="n">
        <f aca="false">IF(OR(AH365="",N(O365)=0),"",AH365/O365-1)</f>
        <v>-0.157650259522078</v>
      </c>
      <c r="AJ365" s="29" t="n">
        <f aca="false">IF(OR(AI365="",N(O365)=0),"",AI365+AG365/O365)</f>
        <v>-0.0936316792457561</v>
      </c>
      <c r="AK365" s="32" t="n">
        <f aca="false">IF(OR(AJ365="",N(AE365)=0),"",AJ365-AE365)</f>
        <v>0</v>
      </c>
      <c r="AL365" s="33" t="n">
        <f aca="false">IF(N(F365)=0,"",INDEX(Inputs!$B$28:$B$32,IFERROR(MATCH(F365,Inputs!$A$28:$A$32,1),0)+1))</f>
        <v>0.085</v>
      </c>
      <c r="AM365" s="34"/>
      <c r="AN365" s="33" t="n">
        <f aca="false">IF(N(AM365)&gt;0,AM365,AL365)</f>
        <v>0.085</v>
      </c>
      <c r="AO365" s="29" t="n">
        <f aca="false">IF(N(AN365)=0,"",AN365+IF(I365="yes",AN365*Inputs!$B$10*Inputs!$B$9,0)+IFERROR(INDEX(Inputs!$B$13:$B$15,MATCH(G365,Inputs!$A$13:$A$15,0)),0)+IFERROR(INDEX(Inputs!$B$18:$B$24,MATCH(H365,Inputs!$A$18:$A$24,0)),0))</f>
        <v>0.08075</v>
      </c>
      <c r="AP365" s="28" t="n">
        <f aca="false">IF(OR(N(AO365)&lt;=0,N(AG365)=0,N(L365)=0),"",MIN(L365,AG365/AO365))</f>
        <v>16.640866873065</v>
      </c>
      <c r="AQ365" s="29" t="n">
        <f aca="false">IF(OR(AP365="",N(O365)=0),"",AP365/O365-1)</f>
        <v>-0.207200244256074</v>
      </c>
      <c r="AR365" s="29" t="n">
        <f aca="false">IF(OR(AQ365="",N(O365)=0),"",AQ365+AG365/O365)</f>
        <v>-0.143181663979751</v>
      </c>
      <c r="AS365" s="32" t="n">
        <f aca="false">IF(OR(AR365="",N(AJ365)=0),"",AR365-AJ365)</f>
        <v>-0.0495499847339954</v>
      </c>
      <c r="AT365" s="28" t="n">
        <v>25</v>
      </c>
      <c r="AU365" s="28" t="n">
        <v>1.34</v>
      </c>
      <c r="AV365" s="28" t="n">
        <f aca="false">IF(N(AT365)&gt;0,AT365,L365)</f>
        <v>25</v>
      </c>
      <c r="AW365" s="28" t="n">
        <f aca="false">IF(AND(N(M365)&gt;0,N(AV365)&gt;0),M365*AV365,IF(N(AU365)&gt;0,AU365,N365))</f>
        <v>1.34375</v>
      </c>
      <c r="AX365" s="29" t="n">
        <f aca="false">IF(N(AN365)=0,"",AN365+IF(I365="yes",AN365*Inputs!$B$10*Inputs!$B$9,0)+IFERROR(INDEX(Inputs!$B$13:$B$15,MATCH(G365,Inputs!$A$13:$A$15,0)),0)+IFERROR(INDEX(Inputs!$B$18:$B$24,MATCH(H365,Inputs!$A$18:$A$24,0)),0))</f>
        <v>0.08075</v>
      </c>
      <c r="AY365" s="28" t="n">
        <f aca="false">IF(OR(N(AX365)&lt;=0,N(AW365)=0,N(AV365)=0),"",MIN(AV365,AW365/AX365))</f>
        <v>16.640866873065</v>
      </c>
      <c r="AZ365" s="29" t="n">
        <f aca="false">IF(OR(AY365="",N(O365)=0),"",AY365/O365-1)</f>
        <v>-0.207200244256074</v>
      </c>
      <c r="BA365" s="29" t="n">
        <f aca="false">IF(OR(AZ365="",N(O365)=0),"",AZ365+AW365/O365)</f>
        <v>-0.143181663979751</v>
      </c>
      <c r="BB365" s="32" t="n">
        <f aca="false">IF(OR(BA365="",N(AR365)=0),"",BA365-AR365)</f>
        <v>0</v>
      </c>
      <c r="BC365" s="35" t="n">
        <f aca="false">IF(OR(BA365="",N(U365)=0),"",BA365-U365)</f>
        <v>-0.0495499847339953</v>
      </c>
      <c r="BD365" s="37"/>
    </row>
    <row r="366" customFormat="false" ht="15" hidden="false" customHeight="false" outlineLevel="0" collapsed="false">
      <c r="A366" s="2" t="s">
        <v>768</v>
      </c>
      <c r="B366" s="2" t="n">
        <v>26</v>
      </c>
      <c r="C366" s="2" t="s">
        <v>788</v>
      </c>
      <c r="D366" s="2" t="s">
        <v>786</v>
      </c>
      <c r="E366" s="2" t="s">
        <v>787</v>
      </c>
      <c r="F366" s="27" t="n">
        <v>2600</v>
      </c>
      <c r="G366" s="2" t="s">
        <v>51</v>
      </c>
      <c r="H366" s="2" t="s">
        <v>58</v>
      </c>
      <c r="I366" s="2" t="s">
        <v>151</v>
      </c>
      <c r="J366" s="2" t="s">
        <v>145</v>
      </c>
      <c r="K366" s="2" t="n">
        <v>4</v>
      </c>
      <c r="L366" s="28" t="n">
        <v>25</v>
      </c>
      <c r="M366" s="29" t="n">
        <v>0.0425</v>
      </c>
      <c r="N366" s="28" t="n">
        <v>1.0625</v>
      </c>
      <c r="O366" s="28" t="n">
        <v>16.75</v>
      </c>
      <c r="P366" s="2" t="s">
        <v>146</v>
      </c>
      <c r="Q366" s="29" t="n">
        <v>0.08</v>
      </c>
      <c r="R366" s="30" t="n">
        <v>0.076</v>
      </c>
      <c r="S366" s="31" t="n">
        <v>13.9802631578947</v>
      </c>
      <c r="T366" s="30" t="n">
        <v>-0.165357423409269</v>
      </c>
      <c r="U366" s="30" t="n">
        <v>-0.101924587588374</v>
      </c>
      <c r="V366" s="29" t="n">
        <v>0</v>
      </c>
      <c r="W366" s="29" t="n">
        <f aca="false">IF(N(Q366)=0,"",Q366+IF(I366="yes",Q366*Inputs!$B$10*Inputs!$B$9,0)+V366)</f>
        <v>0.076</v>
      </c>
      <c r="X366" s="28" t="n">
        <f aca="false">IF(OR(N(W366)&lt;=0,N(N366)=0,N(L366)=0),"",MIN(L366,N366/W366))</f>
        <v>13.9802631578947</v>
      </c>
      <c r="Y366" s="29" t="n">
        <f aca="false">IF(OR(X366="",N(O366)=0),"",X366/O366-1)</f>
        <v>-0.165357423409269</v>
      </c>
      <c r="Z366" s="29" t="n">
        <f aca="false">IF(OR(Y366="",N(O366)=0),"",Y366+N366/O366)</f>
        <v>-0.101924587588374</v>
      </c>
      <c r="AA366" s="32" t="n">
        <f aca="false">IF(OR(Z366="",N(U366)=0),"",Z366-U366)</f>
        <v>0</v>
      </c>
      <c r="AB366" s="29" t="n">
        <f aca="false">IF(N(Q366)=0,"",Q366+IF(I366="yes",Q366*Inputs!$B$10*Inputs!$B$9,0)+IFERROR(INDEX(Inputs!$B$13:$B$15,MATCH(G366,Inputs!$A$13:$A$15,0)),0)+IFERROR(INDEX(Inputs!$B$18:$B$24,MATCH(H366,Inputs!$A$18:$A$24,0)),0))</f>
        <v>0.076</v>
      </c>
      <c r="AC366" s="28" t="n">
        <f aca="false">IF(OR(N(AB366)&lt;=0,N(N366)=0,N(L366)=0),"",MIN(L366,N366/AB366))</f>
        <v>13.9802631578947</v>
      </c>
      <c r="AD366" s="29" t="n">
        <f aca="false">IF(OR(AC366="",N(O366)=0),"",AC366/O366-1)</f>
        <v>-0.165357423409269</v>
      </c>
      <c r="AE366" s="29" t="n">
        <f aca="false">IF(OR(AD366="",N(O366)=0),"",AD366+N366/O366)</f>
        <v>-0.101924587588374</v>
      </c>
      <c r="AF366" s="32" t="n">
        <f aca="false">IF(OR(AE366="",N(Z366)=0),"",AE366-Z366)</f>
        <v>0</v>
      </c>
      <c r="AG366" s="28" t="n">
        <f aca="false">IF(AND(N(M366)&gt;0,N(L366)&gt;0),M366*L366,N366)</f>
        <v>1.0625</v>
      </c>
      <c r="AH366" s="28" t="n">
        <f aca="false">IF(OR(N(AB366)&lt;=0,N(AG366)=0,N(L366)=0),"",MIN(L366,AG366/AB366))</f>
        <v>13.9802631578947</v>
      </c>
      <c r="AI366" s="29" t="n">
        <f aca="false">IF(OR(AH366="",N(O366)=0),"",AH366/O366-1)</f>
        <v>-0.165357423409269</v>
      </c>
      <c r="AJ366" s="29" t="n">
        <f aca="false">IF(OR(AI366="",N(O366)=0),"",AI366+AG366/O366)</f>
        <v>-0.101924587588374</v>
      </c>
      <c r="AK366" s="32" t="n">
        <f aca="false">IF(OR(AJ366="",N(AE366)=0),"",AJ366-AE366)</f>
        <v>0</v>
      </c>
      <c r="AL366" s="33" t="n">
        <f aca="false">IF(N(F366)=0,"",INDEX(Inputs!$B$28:$B$32,IFERROR(MATCH(F366,Inputs!$A$28:$A$32,1),0)+1))</f>
        <v>0.085</v>
      </c>
      <c r="AM366" s="34"/>
      <c r="AN366" s="33" t="n">
        <f aca="false">IF(N(AM366)&gt;0,AM366,AL366)</f>
        <v>0.085</v>
      </c>
      <c r="AO366" s="29" t="n">
        <f aca="false">IF(N(AN366)=0,"",AN366+IF(I366="yes",AN366*Inputs!$B$10*Inputs!$B$9,0)+IFERROR(INDEX(Inputs!$B$13:$B$15,MATCH(G366,Inputs!$A$13:$A$15,0)),0)+IFERROR(INDEX(Inputs!$B$18:$B$24,MATCH(H366,Inputs!$A$18:$A$24,0)),0))</f>
        <v>0.08075</v>
      </c>
      <c r="AP366" s="28" t="n">
        <f aca="false">IF(OR(N(AO366)&lt;=0,N(AG366)=0,N(L366)=0),"",MIN(L366,AG366/AO366))</f>
        <v>13.1578947368421</v>
      </c>
      <c r="AQ366" s="29" t="n">
        <f aca="false">IF(OR(AP366="",N(O366)=0),"",AP366/O366-1)</f>
        <v>-0.214454045561665</v>
      </c>
      <c r="AR366" s="29" t="n">
        <f aca="false">IF(OR(AQ366="",N(O366)=0),"",AQ366+AG366/O366)</f>
        <v>-0.15102120974077</v>
      </c>
      <c r="AS366" s="32" t="n">
        <f aca="false">IF(OR(AR366="",N(AJ366)=0),"",AR366-AJ366)</f>
        <v>-0.049096622152396</v>
      </c>
      <c r="AT366" s="28" t="n">
        <v>25</v>
      </c>
      <c r="AU366" s="28" t="n">
        <v>1.0625</v>
      </c>
      <c r="AV366" s="28" t="n">
        <f aca="false">IF(N(AT366)&gt;0,AT366,L366)</f>
        <v>25</v>
      </c>
      <c r="AW366" s="28" t="n">
        <f aca="false">IF(AND(N(M366)&gt;0,N(AV366)&gt;0),M366*AV366,IF(N(AU366)&gt;0,AU366,N366))</f>
        <v>1.0625</v>
      </c>
      <c r="AX366" s="29" t="n">
        <f aca="false">IF(N(AN366)=0,"",AN366+IF(I366="yes",AN366*Inputs!$B$10*Inputs!$B$9,0)+IFERROR(INDEX(Inputs!$B$13:$B$15,MATCH(G366,Inputs!$A$13:$A$15,0)),0)+IFERROR(INDEX(Inputs!$B$18:$B$24,MATCH(H366,Inputs!$A$18:$A$24,0)),0))</f>
        <v>0.08075</v>
      </c>
      <c r="AY366" s="28" t="n">
        <f aca="false">IF(OR(N(AX366)&lt;=0,N(AW366)=0,N(AV366)=0),"",MIN(AV366,AW366/AX366))</f>
        <v>13.1578947368421</v>
      </c>
      <c r="AZ366" s="29" t="n">
        <f aca="false">IF(OR(AY366="",N(O366)=0),"",AY366/O366-1)</f>
        <v>-0.214454045561665</v>
      </c>
      <c r="BA366" s="29" t="n">
        <f aca="false">IF(OR(AZ366="",N(O366)=0),"",AZ366+AW366/O366)</f>
        <v>-0.15102120974077</v>
      </c>
      <c r="BB366" s="32" t="n">
        <f aca="false">IF(OR(BA366="",N(AR366)=0),"",BA366-AR366)</f>
        <v>0</v>
      </c>
      <c r="BC366" s="35" t="n">
        <f aca="false">IF(OR(BA366="",N(U366)=0),"",BA366-U366)</f>
        <v>-0.0490966221523959</v>
      </c>
      <c r="BD366" s="37"/>
    </row>
    <row r="367" customFormat="false" ht="15" hidden="false" customHeight="false" outlineLevel="0" collapsed="false">
      <c r="A367" s="2" t="s">
        <v>768</v>
      </c>
      <c r="B367" s="2" t="n">
        <v>34</v>
      </c>
      <c r="C367" s="2" t="s">
        <v>789</v>
      </c>
      <c r="D367" s="2" t="s">
        <v>790</v>
      </c>
      <c r="E367" s="2" t="s">
        <v>791</v>
      </c>
      <c r="F367" s="27" t="n">
        <v>67</v>
      </c>
      <c r="G367" s="2" t="s">
        <v>52</v>
      </c>
      <c r="H367" s="2" t="s">
        <v>58</v>
      </c>
      <c r="I367" s="2" t="s">
        <v>144</v>
      </c>
      <c r="J367" s="2" t="s">
        <v>145</v>
      </c>
      <c r="K367" s="2" t="n">
        <v>4</v>
      </c>
      <c r="L367" s="28" t="n">
        <v>25</v>
      </c>
      <c r="M367" s="29" t="n">
        <v>0.0725</v>
      </c>
      <c r="N367" s="28" t="n">
        <v>1.8125</v>
      </c>
      <c r="O367" s="28" t="n">
        <v>24.75</v>
      </c>
      <c r="P367" s="2" t="s">
        <v>223</v>
      </c>
      <c r="Q367" s="29" t="n">
        <v>0.1</v>
      </c>
      <c r="R367" s="30" t="n">
        <v>0.1</v>
      </c>
      <c r="S367" s="31" t="n">
        <v>18.125</v>
      </c>
      <c r="T367" s="30" t="n">
        <v>-0.267676767676768</v>
      </c>
      <c r="U367" s="30" t="n">
        <v>-0.194444444444445</v>
      </c>
      <c r="V367" s="29" t="n">
        <v>-0.005</v>
      </c>
      <c r="W367" s="29" t="n">
        <f aca="false">IF(N(Q367)=0,"",Q367+IF(I367="yes",Q367*Inputs!$B$10*Inputs!$B$9,0)+V367)</f>
        <v>0.095</v>
      </c>
      <c r="X367" s="28" t="n">
        <f aca="false">IF(OR(N(W367)&lt;=0,N(N367)=0,N(L367)=0),"",MIN(L367,N367/W367))</f>
        <v>19.0789473684211</v>
      </c>
      <c r="Y367" s="29" t="n">
        <f aca="false">IF(OR(X367="",N(O367)=0),"",X367/O367-1)</f>
        <v>-0.229133439659756</v>
      </c>
      <c r="Z367" s="29" t="n">
        <f aca="false">IF(OR(Y367="",N(O367)=0),"",Y367+N367/O367)</f>
        <v>-0.155901116427432</v>
      </c>
      <c r="AA367" s="32" t="n">
        <f aca="false">IF(OR(Z367="",N(U367)=0),"",Z367-U367)</f>
        <v>0.0385433280170123</v>
      </c>
      <c r="AB367" s="29" t="n">
        <f aca="false">IF(N(Q367)=0,"",Q367+IF(I367="yes",Q367*Inputs!$B$10*Inputs!$B$9,0)+IFERROR(INDEX(Inputs!$B$13:$B$15,MATCH(G367,Inputs!$A$13:$A$15,0)),0)+IFERROR(INDEX(Inputs!$B$18:$B$24,MATCH(H367,Inputs!$A$18:$A$24,0)),0))</f>
        <v>0.095</v>
      </c>
      <c r="AC367" s="28" t="n">
        <f aca="false">IF(OR(N(AB367)&lt;=0,N(N367)=0,N(L367)=0),"",MIN(L367,N367/AB367))</f>
        <v>19.0789473684211</v>
      </c>
      <c r="AD367" s="29" t="n">
        <f aca="false">IF(OR(AC367="",N(O367)=0),"",AC367/O367-1)</f>
        <v>-0.229133439659756</v>
      </c>
      <c r="AE367" s="29" t="n">
        <f aca="false">IF(OR(AD367="",N(O367)=0),"",AD367+N367/O367)</f>
        <v>-0.155901116427432</v>
      </c>
      <c r="AF367" s="32" t="n">
        <f aca="false">IF(OR(AE367="",N(Z367)=0),"",AE367-Z367)</f>
        <v>0</v>
      </c>
      <c r="AG367" s="28" t="n">
        <f aca="false">IF(AND(N(M367)&gt;0,N(L367)&gt;0),M367*L367,N367)</f>
        <v>1.8125</v>
      </c>
      <c r="AH367" s="28" t="n">
        <f aca="false">IF(OR(N(AB367)&lt;=0,N(AG367)=0,N(L367)=0),"",MIN(L367,AG367/AB367))</f>
        <v>19.0789473684211</v>
      </c>
      <c r="AI367" s="29" t="n">
        <f aca="false">IF(OR(AH367="",N(O367)=0),"",AH367/O367-1)</f>
        <v>-0.229133439659756</v>
      </c>
      <c r="AJ367" s="29" t="n">
        <f aca="false">IF(OR(AI367="",N(O367)=0),"",AI367+AG367/O367)</f>
        <v>-0.155901116427432</v>
      </c>
      <c r="AK367" s="32" t="n">
        <f aca="false">IF(OR(AJ367="",N(AE367)=0),"",AJ367-AE367)</f>
        <v>0</v>
      </c>
      <c r="AL367" s="33" t="n">
        <f aca="false">IF(N(F367)=0,"",INDEX(Inputs!$B$28:$B$32,IFERROR(MATCH(F367,Inputs!$A$28:$A$32,1),0)+1))</f>
        <v>0.1</v>
      </c>
      <c r="AM367" s="34"/>
      <c r="AN367" s="33" t="n">
        <f aca="false">IF(N(AM367)&gt;0,AM367,AL367)</f>
        <v>0.1</v>
      </c>
      <c r="AO367" s="29" t="n">
        <f aca="false">IF(N(AN367)=0,"",AN367+IF(I367="yes",AN367*Inputs!$B$10*Inputs!$B$9,0)+IFERROR(INDEX(Inputs!$B$13:$B$15,MATCH(G367,Inputs!$A$13:$A$15,0)),0)+IFERROR(INDEX(Inputs!$B$18:$B$24,MATCH(H367,Inputs!$A$18:$A$24,0)),0))</f>
        <v>0.095</v>
      </c>
      <c r="AP367" s="28" t="n">
        <f aca="false">IF(OR(N(AO367)&lt;=0,N(AG367)=0,N(L367)=0),"",MIN(L367,AG367/AO367))</f>
        <v>19.0789473684211</v>
      </c>
      <c r="AQ367" s="29" t="n">
        <f aca="false">IF(OR(AP367="",N(O367)=0),"",AP367/O367-1)</f>
        <v>-0.229133439659756</v>
      </c>
      <c r="AR367" s="29" t="n">
        <f aca="false">IF(OR(AQ367="",N(O367)=0),"",AQ367+AG367/O367)</f>
        <v>-0.155901116427432</v>
      </c>
      <c r="AS367" s="32" t="n">
        <f aca="false">IF(OR(AR367="",N(AJ367)=0),"",AR367-AJ367)</f>
        <v>0</v>
      </c>
      <c r="AT367" s="28" t="n">
        <v>25</v>
      </c>
      <c r="AU367" s="28" t="n">
        <v>1.8125</v>
      </c>
      <c r="AV367" s="28" t="n">
        <f aca="false">IF(N(AT367)&gt;0,AT367,L367)</f>
        <v>25</v>
      </c>
      <c r="AW367" s="28" t="n">
        <f aca="false">IF(AND(N(M367)&gt;0,N(AV367)&gt;0),M367*AV367,IF(N(AU367)&gt;0,AU367,N367))</f>
        <v>1.8125</v>
      </c>
      <c r="AX367" s="29" t="n">
        <f aca="false">IF(N(AN367)=0,"",AN367+IF(I367="yes",AN367*Inputs!$B$10*Inputs!$B$9,0)+IFERROR(INDEX(Inputs!$B$13:$B$15,MATCH(G367,Inputs!$A$13:$A$15,0)),0)+IFERROR(INDEX(Inputs!$B$18:$B$24,MATCH(H367,Inputs!$A$18:$A$24,0)),0))</f>
        <v>0.095</v>
      </c>
      <c r="AY367" s="28" t="n">
        <f aca="false">IF(OR(N(AX367)&lt;=0,N(AW367)=0,N(AV367)=0),"",MIN(AV367,AW367/AX367))</f>
        <v>19.0789473684211</v>
      </c>
      <c r="AZ367" s="29" t="n">
        <f aca="false">IF(OR(AY367="",N(O367)=0),"",AY367/O367-1)</f>
        <v>-0.229133439659756</v>
      </c>
      <c r="BA367" s="29" t="n">
        <f aca="false">IF(OR(AZ367="",N(O367)=0),"",AZ367+AW367/O367)</f>
        <v>-0.155901116427432</v>
      </c>
      <c r="BB367" s="32" t="n">
        <f aca="false">IF(OR(BA367="",N(AR367)=0),"",BA367-AR367)</f>
        <v>0</v>
      </c>
      <c r="BC367" s="35" t="n">
        <f aca="false">IF(OR(BA367="",N(U367)=0),"",BA367-U367)</f>
        <v>0.0385433280170123</v>
      </c>
      <c r="BD367" s="36" t="s">
        <v>224</v>
      </c>
    </row>
    <row r="368" customFormat="false" ht="15" hidden="false" customHeight="false" outlineLevel="0" collapsed="false">
      <c r="A368" s="2" t="s">
        <v>768</v>
      </c>
      <c r="B368" s="2" t="n">
        <v>38</v>
      </c>
      <c r="C368" s="2" t="s">
        <v>792</v>
      </c>
      <c r="D368" s="2" t="s">
        <v>793</v>
      </c>
      <c r="E368" s="2" t="s">
        <v>794</v>
      </c>
      <c r="F368" s="27" t="n">
        <v>873</v>
      </c>
      <c r="G368" s="2" t="s">
        <v>51</v>
      </c>
      <c r="H368" s="2" t="s">
        <v>58</v>
      </c>
      <c r="I368" s="2" t="s">
        <v>144</v>
      </c>
      <c r="J368" s="2" t="s">
        <v>145</v>
      </c>
      <c r="K368" s="2" t="n">
        <v>4</v>
      </c>
      <c r="L368" s="28" t="n">
        <v>25</v>
      </c>
      <c r="M368" s="29" t="n">
        <v>0.05</v>
      </c>
      <c r="N368" s="28" t="n">
        <v>1.25</v>
      </c>
      <c r="O368" s="28" t="n">
        <v>19.02</v>
      </c>
      <c r="P368" s="2" t="s">
        <v>146</v>
      </c>
      <c r="Q368" s="29" t="n">
        <v>0.1</v>
      </c>
      <c r="R368" s="30" t="n">
        <v>0.1</v>
      </c>
      <c r="S368" s="31" t="n">
        <v>12.5</v>
      </c>
      <c r="T368" s="30" t="n">
        <v>-0.34279705573081</v>
      </c>
      <c r="U368" s="30" t="n">
        <v>-0.277076761303891</v>
      </c>
      <c r="V368" s="29" t="n">
        <v>0</v>
      </c>
      <c r="W368" s="29" t="n">
        <f aca="false">IF(N(Q368)=0,"",Q368+IF(I368="yes",Q368*Inputs!$B$10*Inputs!$B$9,0)+V368)</f>
        <v>0.1</v>
      </c>
      <c r="X368" s="28" t="n">
        <f aca="false">IF(OR(N(W368)&lt;=0,N(N368)=0,N(L368)=0),"",MIN(L368,N368/W368))</f>
        <v>12.5</v>
      </c>
      <c r="Y368" s="29" t="n">
        <f aca="false">IF(OR(X368="",N(O368)=0),"",X368/O368-1)</f>
        <v>-0.34279705573081</v>
      </c>
      <c r="Z368" s="29" t="n">
        <f aca="false">IF(OR(Y368="",N(O368)=0),"",Y368+N368/O368)</f>
        <v>-0.277076761303891</v>
      </c>
      <c r="AA368" s="32" t="n">
        <f aca="false">IF(OR(Z368="",N(U368)=0),"",Z368-U368)</f>
        <v>0</v>
      </c>
      <c r="AB368" s="29" t="n">
        <f aca="false">IF(N(Q368)=0,"",Q368+IF(I368="yes",Q368*Inputs!$B$10*Inputs!$B$9,0)+IFERROR(INDEX(Inputs!$B$13:$B$15,MATCH(G368,Inputs!$A$13:$A$15,0)),0)+IFERROR(INDEX(Inputs!$B$18:$B$24,MATCH(H368,Inputs!$A$18:$A$24,0)),0))</f>
        <v>0.1</v>
      </c>
      <c r="AC368" s="28" t="n">
        <f aca="false">IF(OR(N(AB368)&lt;=0,N(N368)=0,N(L368)=0),"",MIN(L368,N368/AB368))</f>
        <v>12.5</v>
      </c>
      <c r="AD368" s="29" t="n">
        <f aca="false">IF(OR(AC368="",N(O368)=0),"",AC368/O368-1)</f>
        <v>-0.34279705573081</v>
      </c>
      <c r="AE368" s="29" t="n">
        <f aca="false">IF(OR(AD368="",N(O368)=0),"",AD368+N368/O368)</f>
        <v>-0.277076761303891</v>
      </c>
      <c r="AF368" s="32" t="n">
        <f aca="false">IF(OR(AE368="",N(Z368)=0),"",AE368-Z368)</f>
        <v>0</v>
      </c>
      <c r="AG368" s="28" t="n">
        <f aca="false">IF(AND(N(M368)&gt;0,N(L368)&gt;0),M368*L368,N368)</f>
        <v>1.25</v>
      </c>
      <c r="AH368" s="28" t="n">
        <f aca="false">IF(OR(N(AB368)&lt;=0,N(AG368)=0,N(L368)=0),"",MIN(L368,AG368/AB368))</f>
        <v>12.5</v>
      </c>
      <c r="AI368" s="29" t="n">
        <f aca="false">IF(OR(AH368="",N(O368)=0),"",AH368/O368-1)</f>
        <v>-0.34279705573081</v>
      </c>
      <c r="AJ368" s="29" t="n">
        <f aca="false">IF(OR(AI368="",N(O368)=0),"",AI368+AG368/O368)</f>
        <v>-0.277076761303891</v>
      </c>
      <c r="AK368" s="32" t="n">
        <f aca="false">IF(OR(AJ368="",N(AE368)=0),"",AJ368-AE368)</f>
        <v>0</v>
      </c>
      <c r="AL368" s="33" t="n">
        <f aca="false">IF(N(F368)=0,"",INDEX(Inputs!$B$28:$B$32,IFERROR(MATCH(F368,Inputs!$A$28:$A$32,1),0)+1))</f>
        <v>0.09</v>
      </c>
      <c r="AM368" s="34"/>
      <c r="AN368" s="33" t="n">
        <f aca="false">IF(N(AM368)&gt;0,AM368,AL368)</f>
        <v>0.09</v>
      </c>
      <c r="AO368" s="29" t="n">
        <f aca="false">IF(N(AN368)=0,"",AN368+IF(I368="yes",AN368*Inputs!$B$10*Inputs!$B$9,0)+IFERROR(INDEX(Inputs!$B$13:$B$15,MATCH(G368,Inputs!$A$13:$A$15,0)),0)+IFERROR(INDEX(Inputs!$B$18:$B$24,MATCH(H368,Inputs!$A$18:$A$24,0)),0))</f>
        <v>0.09</v>
      </c>
      <c r="AP368" s="28" t="n">
        <f aca="false">IF(OR(N(AO368)&lt;=0,N(AG368)=0,N(L368)=0),"",MIN(L368,AG368/AO368))</f>
        <v>13.8888888888889</v>
      </c>
      <c r="AQ368" s="29" t="n">
        <f aca="false">IF(OR(AP368="",N(O368)=0),"",AP368/O368-1)</f>
        <v>-0.269774506367566</v>
      </c>
      <c r="AR368" s="29" t="n">
        <f aca="false">IF(OR(AQ368="",N(O368)=0),"",AQ368+AG368/O368)</f>
        <v>-0.204054211940647</v>
      </c>
      <c r="AS368" s="32" t="n">
        <f aca="false">IF(OR(AR368="",N(AJ368)=0),"",AR368-AJ368)</f>
        <v>0.0730225493632433</v>
      </c>
      <c r="AT368" s="28" t="n">
        <v>25</v>
      </c>
      <c r="AU368" s="28" t="n">
        <v>1.25</v>
      </c>
      <c r="AV368" s="28" t="n">
        <f aca="false">IF(N(AT368)&gt;0,AT368,L368)</f>
        <v>25</v>
      </c>
      <c r="AW368" s="28" t="n">
        <f aca="false">IF(AND(N(M368)&gt;0,N(AV368)&gt;0),M368*AV368,IF(N(AU368)&gt;0,AU368,N368))</f>
        <v>1.25</v>
      </c>
      <c r="AX368" s="29" t="n">
        <f aca="false">IF(N(AN368)=0,"",AN368+IF(I368="yes",AN368*Inputs!$B$10*Inputs!$B$9,0)+IFERROR(INDEX(Inputs!$B$13:$B$15,MATCH(G368,Inputs!$A$13:$A$15,0)),0)+IFERROR(INDEX(Inputs!$B$18:$B$24,MATCH(H368,Inputs!$A$18:$A$24,0)),0))</f>
        <v>0.09</v>
      </c>
      <c r="AY368" s="28" t="n">
        <f aca="false">IF(OR(N(AX368)&lt;=0,N(AW368)=0,N(AV368)=0),"",MIN(AV368,AW368/AX368))</f>
        <v>13.8888888888889</v>
      </c>
      <c r="AZ368" s="29" t="n">
        <f aca="false">IF(OR(AY368="",N(O368)=0),"",AY368/O368-1)</f>
        <v>-0.269774506367566</v>
      </c>
      <c r="BA368" s="29" t="n">
        <f aca="false">IF(OR(AZ368="",N(O368)=0),"",AZ368+AW368/O368)</f>
        <v>-0.204054211940647</v>
      </c>
      <c r="BB368" s="32" t="n">
        <f aca="false">IF(OR(BA368="",N(AR368)=0),"",BA368-AR368)</f>
        <v>0</v>
      </c>
      <c r="BC368" s="35" t="n">
        <f aca="false">IF(OR(BA368="",N(U368)=0),"",BA368-U368)</f>
        <v>0.0730225493632433</v>
      </c>
      <c r="BD368" s="37"/>
    </row>
    <row r="369" customFormat="false" ht="15" hidden="false" customHeight="false" outlineLevel="0" collapsed="false">
      <c r="A369" s="2" t="s">
        <v>768</v>
      </c>
      <c r="B369" s="2" t="n">
        <v>42</v>
      </c>
      <c r="C369" s="2" t="s">
        <v>795</v>
      </c>
      <c r="D369" s="2" t="s">
        <v>796</v>
      </c>
      <c r="E369" s="2" t="s">
        <v>797</v>
      </c>
      <c r="F369" s="27" t="n">
        <v>203</v>
      </c>
      <c r="G369" s="2" t="s">
        <v>51</v>
      </c>
      <c r="H369" s="2" t="s">
        <v>58</v>
      </c>
      <c r="I369" s="2" t="s">
        <v>151</v>
      </c>
      <c r="J369" s="2" t="s">
        <v>145</v>
      </c>
      <c r="K369" s="2" t="n">
        <v>4</v>
      </c>
      <c r="L369" s="28" t="n">
        <v>25</v>
      </c>
      <c r="M369" s="29" t="n">
        <v>0.05125</v>
      </c>
      <c r="N369" s="28" t="n">
        <v>1.28125</v>
      </c>
      <c r="O369" s="28" t="n">
        <v>20.05</v>
      </c>
      <c r="P369" s="2" t="s">
        <v>146</v>
      </c>
      <c r="Q369" s="29" t="n">
        <v>0.1</v>
      </c>
      <c r="R369" s="30" t="n">
        <v>0.095</v>
      </c>
      <c r="S369" s="31" t="n">
        <v>13.4868421052632</v>
      </c>
      <c r="T369" s="30" t="n">
        <v>-0.327339545872162</v>
      </c>
      <c r="U369" s="30" t="n">
        <v>-0.263436802730017</v>
      </c>
      <c r="V369" s="29" t="n">
        <v>0</v>
      </c>
      <c r="W369" s="29" t="n">
        <f aca="false">IF(N(Q369)=0,"",Q369+IF(I369="yes",Q369*Inputs!$B$10*Inputs!$B$9,0)+V369)</f>
        <v>0.095</v>
      </c>
      <c r="X369" s="28" t="n">
        <f aca="false">IF(OR(N(W369)&lt;=0,N(N369)=0,N(L369)=0),"",MIN(L369,N369/W369))</f>
        <v>13.4868421052632</v>
      </c>
      <c r="Y369" s="29" t="n">
        <f aca="false">IF(OR(X369="",N(O369)=0),"",X369/O369-1)</f>
        <v>-0.327339545872162</v>
      </c>
      <c r="Z369" s="29" t="n">
        <f aca="false">IF(OR(Y369="",N(O369)=0),"",Y369+N369/O369)</f>
        <v>-0.263436802730017</v>
      </c>
      <c r="AA369" s="32" t="n">
        <f aca="false">IF(OR(Z369="",N(U369)=0),"",Z369-U369)</f>
        <v>0</v>
      </c>
      <c r="AB369" s="29" t="n">
        <f aca="false">IF(N(Q369)=0,"",Q369+IF(I369="yes",Q369*Inputs!$B$10*Inputs!$B$9,0)+IFERROR(INDEX(Inputs!$B$13:$B$15,MATCH(G369,Inputs!$A$13:$A$15,0)),0)+IFERROR(INDEX(Inputs!$B$18:$B$24,MATCH(H369,Inputs!$A$18:$A$24,0)),0))</f>
        <v>0.095</v>
      </c>
      <c r="AC369" s="28" t="n">
        <f aca="false">IF(OR(N(AB369)&lt;=0,N(N369)=0,N(L369)=0),"",MIN(L369,N369/AB369))</f>
        <v>13.4868421052632</v>
      </c>
      <c r="AD369" s="29" t="n">
        <f aca="false">IF(OR(AC369="",N(O369)=0),"",AC369/O369-1)</f>
        <v>-0.327339545872162</v>
      </c>
      <c r="AE369" s="29" t="n">
        <f aca="false">IF(OR(AD369="",N(O369)=0),"",AD369+N369/O369)</f>
        <v>-0.263436802730017</v>
      </c>
      <c r="AF369" s="32" t="n">
        <f aca="false">IF(OR(AE369="",N(Z369)=0),"",AE369-Z369)</f>
        <v>0</v>
      </c>
      <c r="AG369" s="28" t="n">
        <f aca="false">IF(AND(N(M369)&gt;0,N(L369)&gt;0),M369*L369,N369)</f>
        <v>1.28125</v>
      </c>
      <c r="AH369" s="28" t="n">
        <f aca="false">IF(OR(N(AB369)&lt;=0,N(AG369)=0,N(L369)=0),"",MIN(L369,AG369/AB369))</f>
        <v>13.4868421052632</v>
      </c>
      <c r="AI369" s="29" t="n">
        <f aca="false">IF(OR(AH369="",N(O369)=0),"",AH369/O369-1)</f>
        <v>-0.327339545872162</v>
      </c>
      <c r="AJ369" s="29" t="n">
        <f aca="false">IF(OR(AI369="",N(O369)=0),"",AI369+AG369/O369)</f>
        <v>-0.263436802730017</v>
      </c>
      <c r="AK369" s="32" t="n">
        <f aca="false">IF(OR(AJ369="",N(AE369)=0),"",AJ369-AE369)</f>
        <v>0</v>
      </c>
      <c r="AL369" s="33" t="n">
        <f aca="false">IF(N(F369)=0,"",INDEX(Inputs!$B$28:$B$32,IFERROR(MATCH(F369,Inputs!$A$28:$A$32,1),0)+1))</f>
        <v>0.1</v>
      </c>
      <c r="AM369" s="34"/>
      <c r="AN369" s="33" t="n">
        <f aca="false">IF(N(AM369)&gt;0,AM369,AL369)</f>
        <v>0.1</v>
      </c>
      <c r="AO369" s="29" t="n">
        <f aca="false">IF(N(AN369)=0,"",AN369+IF(I369="yes",AN369*Inputs!$B$10*Inputs!$B$9,0)+IFERROR(INDEX(Inputs!$B$13:$B$15,MATCH(G369,Inputs!$A$13:$A$15,0)),0)+IFERROR(INDEX(Inputs!$B$18:$B$24,MATCH(H369,Inputs!$A$18:$A$24,0)),0))</f>
        <v>0.095</v>
      </c>
      <c r="AP369" s="28" t="n">
        <f aca="false">IF(OR(N(AO369)&lt;=0,N(AG369)=0,N(L369)=0),"",MIN(L369,AG369/AO369))</f>
        <v>13.4868421052632</v>
      </c>
      <c r="AQ369" s="29" t="n">
        <f aca="false">IF(OR(AP369="",N(O369)=0),"",AP369/O369-1)</f>
        <v>-0.327339545872162</v>
      </c>
      <c r="AR369" s="29" t="n">
        <f aca="false">IF(OR(AQ369="",N(O369)=0),"",AQ369+AG369/O369)</f>
        <v>-0.263436802730017</v>
      </c>
      <c r="AS369" s="32" t="n">
        <f aca="false">IF(OR(AR369="",N(AJ369)=0),"",AR369-AJ369)</f>
        <v>0</v>
      </c>
      <c r="AT369" s="28" t="n">
        <v>25</v>
      </c>
      <c r="AU369" s="28" t="n">
        <v>1.28</v>
      </c>
      <c r="AV369" s="28" t="n">
        <f aca="false">IF(N(AT369)&gt;0,AT369,L369)</f>
        <v>25</v>
      </c>
      <c r="AW369" s="28" t="n">
        <f aca="false">IF(AND(N(M369)&gt;0,N(AV369)&gt;0),M369*AV369,IF(N(AU369)&gt;0,AU369,N369))</f>
        <v>1.28125</v>
      </c>
      <c r="AX369" s="29" t="n">
        <f aca="false">IF(N(AN369)=0,"",AN369+IF(I369="yes",AN369*Inputs!$B$10*Inputs!$B$9,0)+IFERROR(INDEX(Inputs!$B$13:$B$15,MATCH(G369,Inputs!$A$13:$A$15,0)),0)+IFERROR(INDEX(Inputs!$B$18:$B$24,MATCH(H369,Inputs!$A$18:$A$24,0)),0))</f>
        <v>0.095</v>
      </c>
      <c r="AY369" s="28" t="n">
        <f aca="false">IF(OR(N(AX369)&lt;=0,N(AW369)=0,N(AV369)=0),"",MIN(AV369,AW369/AX369))</f>
        <v>13.4868421052632</v>
      </c>
      <c r="AZ369" s="29" t="n">
        <f aca="false">IF(OR(AY369="",N(O369)=0),"",AY369/O369-1)</f>
        <v>-0.327339545872162</v>
      </c>
      <c r="BA369" s="29" t="n">
        <f aca="false">IF(OR(AZ369="",N(O369)=0),"",AZ369+AW369/O369)</f>
        <v>-0.263436802730017</v>
      </c>
      <c r="BB369" s="32" t="n">
        <f aca="false">IF(OR(BA369="",N(AR369)=0),"",BA369-AR369)</f>
        <v>0</v>
      </c>
      <c r="BC369" s="35" t="n">
        <f aca="false">IF(OR(BA369="",N(U369)=0),"",BA369-U369)</f>
        <v>0</v>
      </c>
      <c r="BD369" s="37"/>
    </row>
    <row r="370" customFormat="false" ht="15" hidden="false" customHeight="false" outlineLevel="0" collapsed="false">
      <c r="A370" s="2" t="s">
        <v>768</v>
      </c>
      <c r="B370" s="2" t="n">
        <v>43</v>
      </c>
      <c r="C370" s="2" t="s">
        <v>798</v>
      </c>
      <c r="D370" s="2" t="s">
        <v>796</v>
      </c>
      <c r="E370" s="2" t="s">
        <v>797</v>
      </c>
      <c r="F370" s="27" t="n">
        <v>203</v>
      </c>
      <c r="G370" s="2" t="s">
        <v>51</v>
      </c>
      <c r="H370" s="2" t="s">
        <v>58</v>
      </c>
      <c r="I370" s="2" t="s">
        <v>151</v>
      </c>
      <c r="J370" s="2" t="s">
        <v>145</v>
      </c>
      <c r="K370" s="2" t="n">
        <v>4</v>
      </c>
      <c r="L370" s="28" t="n">
        <v>25</v>
      </c>
      <c r="M370" s="29" t="n">
        <v>0.05125</v>
      </c>
      <c r="N370" s="28" t="n">
        <v>1.28125</v>
      </c>
      <c r="O370" s="28" t="n">
        <v>20.03</v>
      </c>
      <c r="P370" s="2" t="s">
        <v>146</v>
      </c>
      <c r="Q370" s="29" t="n">
        <v>0.1</v>
      </c>
      <c r="R370" s="30" t="n">
        <v>0.095</v>
      </c>
      <c r="S370" s="31" t="n">
        <v>13.4868421052632</v>
      </c>
      <c r="T370" s="30" t="n">
        <v>-0.326667892897496</v>
      </c>
      <c r="U370" s="30" t="n">
        <v>-0.262701342722758</v>
      </c>
      <c r="V370" s="29" t="n">
        <v>0</v>
      </c>
      <c r="W370" s="29" t="n">
        <f aca="false">IF(N(Q370)=0,"",Q370+IF(I370="yes",Q370*Inputs!$B$10*Inputs!$B$9,0)+V370)</f>
        <v>0.095</v>
      </c>
      <c r="X370" s="28" t="n">
        <f aca="false">IF(OR(N(W370)&lt;=0,N(N370)=0,N(L370)=0),"",MIN(L370,N370/W370))</f>
        <v>13.4868421052632</v>
      </c>
      <c r="Y370" s="29" t="n">
        <f aca="false">IF(OR(X370="",N(O370)=0),"",X370/O370-1)</f>
        <v>-0.326667892897496</v>
      </c>
      <c r="Z370" s="29" t="n">
        <f aca="false">IF(OR(Y370="",N(O370)=0),"",Y370+N370/O370)</f>
        <v>-0.262701342722758</v>
      </c>
      <c r="AA370" s="32" t="n">
        <f aca="false">IF(OR(Z370="",N(U370)=0),"",Z370-U370)</f>
        <v>0</v>
      </c>
      <c r="AB370" s="29" t="n">
        <f aca="false">IF(N(Q370)=0,"",Q370+IF(I370="yes",Q370*Inputs!$B$10*Inputs!$B$9,0)+IFERROR(INDEX(Inputs!$B$13:$B$15,MATCH(G370,Inputs!$A$13:$A$15,0)),0)+IFERROR(INDEX(Inputs!$B$18:$B$24,MATCH(H370,Inputs!$A$18:$A$24,0)),0))</f>
        <v>0.095</v>
      </c>
      <c r="AC370" s="28" t="n">
        <f aca="false">IF(OR(N(AB370)&lt;=0,N(N370)=0,N(L370)=0),"",MIN(L370,N370/AB370))</f>
        <v>13.4868421052632</v>
      </c>
      <c r="AD370" s="29" t="n">
        <f aca="false">IF(OR(AC370="",N(O370)=0),"",AC370/O370-1)</f>
        <v>-0.326667892897496</v>
      </c>
      <c r="AE370" s="29" t="n">
        <f aca="false">IF(OR(AD370="",N(O370)=0),"",AD370+N370/O370)</f>
        <v>-0.262701342722758</v>
      </c>
      <c r="AF370" s="32" t="n">
        <f aca="false">IF(OR(AE370="",N(Z370)=0),"",AE370-Z370)</f>
        <v>0</v>
      </c>
      <c r="AG370" s="28" t="n">
        <f aca="false">IF(AND(N(M370)&gt;0,N(L370)&gt;0),M370*L370,N370)</f>
        <v>1.28125</v>
      </c>
      <c r="AH370" s="28" t="n">
        <f aca="false">IF(OR(N(AB370)&lt;=0,N(AG370)=0,N(L370)=0),"",MIN(L370,AG370/AB370))</f>
        <v>13.4868421052632</v>
      </c>
      <c r="AI370" s="29" t="n">
        <f aca="false">IF(OR(AH370="",N(O370)=0),"",AH370/O370-1)</f>
        <v>-0.326667892897496</v>
      </c>
      <c r="AJ370" s="29" t="n">
        <f aca="false">IF(OR(AI370="",N(O370)=0),"",AI370+AG370/O370)</f>
        <v>-0.262701342722758</v>
      </c>
      <c r="AK370" s="32" t="n">
        <f aca="false">IF(OR(AJ370="",N(AE370)=0),"",AJ370-AE370)</f>
        <v>0</v>
      </c>
      <c r="AL370" s="33" t="n">
        <f aca="false">IF(N(F370)=0,"",INDEX(Inputs!$B$28:$B$32,IFERROR(MATCH(F370,Inputs!$A$28:$A$32,1),0)+1))</f>
        <v>0.1</v>
      </c>
      <c r="AM370" s="34"/>
      <c r="AN370" s="33" t="n">
        <f aca="false">IF(N(AM370)&gt;0,AM370,AL370)</f>
        <v>0.1</v>
      </c>
      <c r="AO370" s="29" t="n">
        <f aca="false">IF(N(AN370)=0,"",AN370+IF(I370="yes",AN370*Inputs!$B$10*Inputs!$B$9,0)+IFERROR(INDEX(Inputs!$B$13:$B$15,MATCH(G370,Inputs!$A$13:$A$15,0)),0)+IFERROR(INDEX(Inputs!$B$18:$B$24,MATCH(H370,Inputs!$A$18:$A$24,0)),0))</f>
        <v>0.095</v>
      </c>
      <c r="AP370" s="28" t="n">
        <f aca="false">IF(OR(N(AO370)&lt;=0,N(AG370)=0,N(L370)=0),"",MIN(L370,AG370/AO370))</f>
        <v>13.4868421052632</v>
      </c>
      <c r="AQ370" s="29" t="n">
        <f aca="false">IF(OR(AP370="",N(O370)=0),"",AP370/O370-1)</f>
        <v>-0.326667892897496</v>
      </c>
      <c r="AR370" s="29" t="n">
        <f aca="false">IF(OR(AQ370="",N(O370)=0),"",AQ370+AG370/O370)</f>
        <v>-0.262701342722758</v>
      </c>
      <c r="AS370" s="32" t="n">
        <f aca="false">IF(OR(AR370="",N(AJ370)=0),"",AR370-AJ370)</f>
        <v>0</v>
      </c>
      <c r="AT370" s="28" t="n">
        <v>25</v>
      </c>
      <c r="AU370" s="28" t="n">
        <v>1.28</v>
      </c>
      <c r="AV370" s="28" t="n">
        <f aca="false">IF(N(AT370)&gt;0,AT370,L370)</f>
        <v>25</v>
      </c>
      <c r="AW370" s="28" t="n">
        <f aca="false">IF(AND(N(M370)&gt;0,N(AV370)&gt;0),M370*AV370,IF(N(AU370)&gt;0,AU370,N370))</f>
        <v>1.28125</v>
      </c>
      <c r="AX370" s="29" t="n">
        <f aca="false">IF(N(AN370)=0,"",AN370+IF(I370="yes",AN370*Inputs!$B$10*Inputs!$B$9,0)+IFERROR(INDEX(Inputs!$B$13:$B$15,MATCH(G370,Inputs!$A$13:$A$15,0)),0)+IFERROR(INDEX(Inputs!$B$18:$B$24,MATCH(H370,Inputs!$A$18:$A$24,0)),0))</f>
        <v>0.095</v>
      </c>
      <c r="AY370" s="28" t="n">
        <f aca="false">IF(OR(N(AX370)&lt;=0,N(AW370)=0,N(AV370)=0),"",MIN(AV370,AW370/AX370))</f>
        <v>13.4868421052632</v>
      </c>
      <c r="AZ370" s="29" t="n">
        <f aca="false">IF(OR(AY370="",N(O370)=0),"",AY370/O370-1)</f>
        <v>-0.326667892897496</v>
      </c>
      <c r="BA370" s="29" t="n">
        <f aca="false">IF(OR(AZ370="",N(O370)=0),"",AZ370+AW370/O370)</f>
        <v>-0.262701342722758</v>
      </c>
      <c r="BB370" s="32" t="n">
        <f aca="false">IF(OR(BA370="",N(AR370)=0),"",BA370-AR370)</f>
        <v>0</v>
      </c>
      <c r="BC370" s="35" t="n">
        <f aca="false">IF(OR(BA370="",N(U370)=0),"",BA370-U370)</f>
        <v>0</v>
      </c>
      <c r="BD370" s="37"/>
    </row>
    <row r="371" customFormat="false" ht="15" hidden="false" customHeight="false" outlineLevel="0" collapsed="false">
      <c r="A371" s="2" t="s">
        <v>768</v>
      </c>
      <c r="B371" s="2" t="n">
        <v>46</v>
      </c>
      <c r="C371" s="2" t="s">
        <v>799</v>
      </c>
      <c r="D371" s="2" t="s">
        <v>800</v>
      </c>
      <c r="E371" s="2" t="s">
        <v>801</v>
      </c>
      <c r="F371" s="27" t="n">
        <v>13100</v>
      </c>
      <c r="G371" s="2" t="s">
        <v>52</v>
      </c>
      <c r="H371" s="2" t="s">
        <v>58</v>
      </c>
      <c r="I371" s="2" t="s">
        <v>144</v>
      </c>
      <c r="J371" s="2" t="s">
        <v>145</v>
      </c>
      <c r="K371" s="2" t="n">
        <v>4</v>
      </c>
      <c r="L371" s="28" t="n">
        <v>25</v>
      </c>
      <c r="M371" s="29" t="n">
        <v>0.0425</v>
      </c>
      <c r="N371" s="28" t="n">
        <v>1.0625</v>
      </c>
      <c r="O371" s="28" t="n">
        <v>15.06</v>
      </c>
      <c r="P371" s="2" t="s">
        <v>223</v>
      </c>
      <c r="Q371" s="29" t="n">
        <v>0.08</v>
      </c>
      <c r="R371" s="30" t="n">
        <v>0.08</v>
      </c>
      <c r="S371" s="31" t="n">
        <v>13.28125</v>
      </c>
      <c r="T371" s="30" t="n">
        <v>-0.118110889774236</v>
      </c>
      <c r="U371" s="30" t="n">
        <v>-0.0475597609561754</v>
      </c>
      <c r="V371" s="29" t="n">
        <v>-0.005</v>
      </c>
      <c r="W371" s="29" t="n">
        <f aca="false">IF(N(Q371)=0,"",Q371+IF(I371="yes",Q371*Inputs!$B$10*Inputs!$B$9,0)+V371)</f>
        <v>0.075</v>
      </c>
      <c r="X371" s="28" t="n">
        <f aca="false">IF(OR(N(W371)&lt;=0,N(N371)=0,N(L371)=0),"",MIN(L371,N371/W371))</f>
        <v>14.1666666666667</v>
      </c>
      <c r="Y371" s="29" t="n">
        <f aca="false">IF(OR(X371="",N(O371)=0),"",X371/O371-1)</f>
        <v>-0.0593182824258521</v>
      </c>
      <c r="Z371" s="29" t="n">
        <f aca="false">IF(OR(Y371="",N(O371)=0),"",Y371+N371/O371)</f>
        <v>0.011232846392209</v>
      </c>
      <c r="AA371" s="32" t="n">
        <f aca="false">IF(OR(Z371="",N(U371)=0),"",Z371-U371)</f>
        <v>0.0587926073483843</v>
      </c>
      <c r="AB371" s="29" t="n">
        <f aca="false">IF(N(Q371)=0,"",Q371+IF(I371="yes",Q371*Inputs!$B$10*Inputs!$B$9,0)+IFERROR(INDEX(Inputs!$B$13:$B$15,MATCH(G371,Inputs!$A$13:$A$15,0)),0)+IFERROR(INDEX(Inputs!$B$18:$B$24,MATCH(H371,Inputs!$A$18:$A$24,0)),0))</f>
        <v>0.075</v>
      </c>
      <c r="AC371" s="28" t="n">
        <f aca="false">IF(OR(N(AB371)&lt;=0,N(N371)=0,N(L371)=0),"",MIN(L371,N371/AB371))</f>
        <v>14.1666666666667</v>
      </c>
      <c r="AD371" s="29" t="n">
        <f aca="false">IF(OR(AC371="",N(O371)=0),"",AC371/O371-1)</f>
        <v>-0.0593182824258521</v>
      </c>
      <c r="AE371" s="29" t="n">
        <f aca="false">IF(OR(AD371="",N(O371)=0),"",AD371+N371/O371)</f>
        <v>0.011232846392209</v>
      </c>
      <c r="AF371" s="32" t="n">
        <f aca="false">IF(OR(AE371="",N(Z371)=0),"",AE371-Z371)</f>
        <v>0</v>
      </c>
      <c r="AG371" s="28" t="n">
        <f aca="false">IF(AND(N(M371)&gt;0,N(L371)&gt;0),M371*L371,N371)</f>
        <v>1.0625</v>
      </c>
      <c r="AH371" s="28" t="n">
        <f aca="false">IF(OR(N(AB371)&lt;=0,N(AG371)=0,N(L371)=0),"",MIN(L371,AG371/AB371))</f>
        <v>14.1666666666667</v>
      </c>
      <c r="AI371" s="29" t="n">
        <f aca="false">IF(OR(AH371="",N(O371)=0),"",AH371/O371-1)</f>
        <v>-0.0593182824258521</v>
      </c>
      <c r="AJ371" s="29" t="n">
        <f aca="false">IF(OR(AI371="",N(O371)=0),"",AI371+AG371/O371)</f>
        <v>0.011232846392209</v>
      </c>
      <c r="AK371" s="32" t="n">
        <f aca="false">IF(OR(AJ371="",N(AE371)=0),"",AJ371-AE371)</f>
        <v>0</v>
      </c>
      <c r="AL371" s="33" t="n">
        <f aca="false">IF(N(F371)=0,"",INDEX(Inputs!$B$28:$B$32,IFERROR(MATCH(F371,Inputs!$A$28:$A$32,1),0)+1))</f>
        <v>0.08</v>
      </c>
      <c r="AM371" s="34"/>
      <c r="AN371" s="33" t="n">
        <f aca="false">IF(N(AM371)&gt;0,AM371,AL371)</f>
        <v>0.08</v>
      </c>
      <c r="AO371" s="29" t="n">
        <f aca="false">IF(N(AN371)=0,"",AN371+IF(I371="yes",AN371*Inputs!$B$10*Inputs!$B$9,0)+IFERROR(INDEX(Inputs!$B$13:$B$15,MATCH(G371,Inputs!$A$13:$A$15,0)),0)+IFERROR(INDEX(Inputs!$B$18:$B$24,MATCH(H371,Inputs!$A$18:$A$24,0)),0))</f>
        <v>0.075</v>
      </c>
      <c r="AP371" s="28" t="n">
        <f aca="false">IF(OR(N(AO371)&lt;=0,N(AG371)=0,N(L371)=0),"",MIN(L371,AG371/AO371))</f>
        <v>14.1666666666667</v>
      </c>
      <c r="AQ371" s="29" t="n">
        <f aca="false">IF(OR(AP371="",N(O371)=0),"",AP371/O371-1)</f>
        <v>-0.0593182824258521</v>
      </c>
      <c r="AR371" s="29" t="n">
        <f aca="false">IF(OR(AQ371="",N(O371)=0),"",AQ371+AG371/O371)</f>
        <v>0.011232846392209</v>
      </c>
      <c r="AS371" s="32" t="n">
        <f aca="false">IF(OR(AR371="",N(AJ371)=0),"",AR371-AJ371)</f>
        <v>0</v>
      </c>
      <c r="AT371" s="28" t="n">
        <v>25</v>
      </c>
      <c r="AU371" s="28" t="n">
        <v>1.0625</v>
      </c>
      <c r="AV371" s="28" t="n">
        <f aca="false">IF(N(AT371)&gt;0,AT371,L371)</f>
        <v>25</v>
      </c>
      <c r="AW371" s="28" t="n">
        <f aca="false">IF(AND(N(M371)&gt;0,N(AV371)&gt;0),M371*AV371,IF(N(AU371)&gt;0,AU371,N371))</f>
        <v>1.0625</v>
      </c>
      <c r="AX371" s="29" t="n">
        <f aca="false">IF(N(AN371)=0,"",AN371+IF(I371="yes",AN371*Inputs!$B$10*Inputs!$B$9,0)+IFERROR(INDEX(Inputs!$B$13:$B$15,MATCH(G371,Inputs!$A$13:$A$15,0)),0)+IFERROR(INDEX(Inputs!$B$18:$B$24,MATCH(H371,Inputs!$A$18:$A$24,0)),0))</f>
        <v>0.075</v>
      </c>
      <c r="AY371" s="28" t="n">
        <f aca="false">IF(OR(N(AX371)&lt;=0,N(AW371)=0,N(AV371)=0),"",MIN(AV371,AW371/AX371))</f>
        <v>14.1666666666667</v>
      </c>
      <c r="AZ371" s="29" t="n">
        <f aca="false">IF(OR(AY371="",N(O371)=0),"",AY371/O371-1)</f>
        <v>-0.0593182824258521</v>
      </c>
      <c r="BA371" s="29" t="n">
        <f aca="false">IF(OR(AZ371="",N(O371)=0),"",AZ371+AW371/O371)</f>
        <v>0.011232846392209</v>
      </c>
      <c r="BB371" s="32" t="n">
        <f aca="false">IF(OR(BA371="",N(AR371)=0),"",BA371-AR371)</f>
        <v>0</v>
      </c>
      <c r="BC371" s="35" t="n">
        <f aca="false">IF(OR(BA371="",N(U371)=0),"",BA371-U371)</f>
        <v>0.0587926073483843</v>
      </c>
      <c r="BD371" s="36" t="s">
        <v>224</v>
      </c>
    </row>
    <row r="372" customFormat="false" ht="15" hidden="false" customHeight="false" outlineLevel="0" collapsed="false">
      <c r="A372" s="2" t="s">
        <v>768</v>
      </c>
      <c r="B372" s="2" t="n">
        <v>50</v>
      </c>
      <c r="C372" s="2" t="s">
        <v>802</v>
      </c>
      <c r="D372" s="2" t="s">
        <v>803</v>
      </c>
      <c r="E372" s="2" t="s">
        <v>804</v>
      </c>
      <c r="F372" s="27" t="n">
        <v>445</v>
      </c>
      <c r="G372" s="2" t="s">
        <v>52</v>
      </c>
      <c r="H372" s="2" t="s">
        <v>58</v>
      </c>
      <c r="I372" s="2" t="s">
        <v>144</v>
      </c>
      <c r="J372" s="2" t="s">
        <v>145</v>
      </c>
      <c r="K372" s="2" t="n">
        <v>4</v>
      </c>
      <c r="L372" s="28" t="n">
        <v>25</v>
      </c>
      <c r="M372" s="29" t="n">
        <v>0.0775</v>
      </c>
      <c r="N372" s="28" t="n">
        <v>1.9375</v>
      </c>
      <c r="O372" s="28" t="n">
        <v>0</v>
      </c>
      <c r="P372" s="2" t="s">
        <v>223</v>
      </c>
      <c r="Q372" s="29" t="n">
        <v>0.085</v>
      </c>
      <c r="R372" s="30" t="n">
        <v>0.085</v>
      </c>
      <c r="S372" s="31" t="n">
        <v>22.7941176470588</v>
      </c>
      <c r="T372" s="30"/>
      <c r="U372" s="30"/>
      <c r="V372" s="29" t="n">
        <v>-0.005</v>
      </c>
      <c r="W372" s="29" t="n">
        <f aca="false">IF(N(Q372)=0,"",Q372+IF(I372="yes",Q372*Inputs!$B$10*Inputs!$B$9,0)+V372)</f>
        <v>0.08</v>
      </c>
      <c r="X372" s="28" t="n">
        <f aca="false">IF(OR(N(W372)&lt;=0,N(N372)=0,N(L372)=0),"",MIN(L372,N372/W372))</f>
        <v>24.21875</v>
      </c>
      <c r="Y372" s="29" t="str">
        <f aca="false">IF(OR(X372="",N(O372)=0),"",X372/O372-1)</f>
        <v/>
      </c>
      <c r="Z372" s="29" t="str">
        <f aca="false">IF(OR(Y372="",N(O372)=0),"",Y372+N372/O372)</f>
        <v/>
      </c>
      <c r="AA372" s="32" t="str">
        <f aca="false">IF(OR(Z372="",N(U372)=0),"",Z372-U372)</f>
        <v/>
      </c>
      <c r="AB372" s="29" t="n">
        <f aca="false">IF(N(Q372)=0,"",Q372+IF(I372="yes",Q372*Inputs!$B$10*Inputs!$B$9,0)+IFERROR(INDEX(Inputs!$B$13:$B$15,MATCH(G372,Inputs!$A$13:$A$15,0)),0)+IFERROR(INDEX(Inputs!$B$18:$B$24,MATCH(H372,Inputs!$A$18:$A$24,0)),0))</f>
        <v>0.08</v>
      </c>
      <c r="AC372" s="28" t="n">
        <f aca="false">IF(OR(N(AB372)&lt;=0,N(N372)=0,N(L372)=0),"",MIN(L372,N372/AB372))</f>
        <v>24.21875</v>
      </c>
      <c r="AD372" s="29" t="str">
        <f aca="false">IF(OR(AC372="",N(O372)=0),"",AC372/O372-1)</f>
        <v/>
      </c>
      <c r="AE372" s="29" t="str">
        <f aca="false">IF(OR(AD372="",N(O372)=0),"",AD372+N372/O372)</f>
        <v/>
      </c>
      <c r="AF372" s="32" t="str">
        <f aca="false">IF(OR(AE372="",N(Z372)=0),"",AE372-Z372)</f>
        <v/>
      </c>
      <c r="AG372" s="28" t="n">
        <f aca="false">IF(AND(N(M372)&gt;0,N(L372)&gt;0),M372*L372,N372)</f>
        <v>1.9375</v>
      </c>
      <c r="AH372" s="28" t="n">
        <f aca="false">IF(OR(N(AB372)&lt;=0,N(AG372)=0,N(L372)=0),"",MIN(L372,AG372/AB372))</f>
        <v>24.21875</v>
      </c>
      <c r="AI372" s="29" t="str">
        <f aca="false">IF(OR(AH372="",N(O372)=0),"",AH372/O372-1)</f>
        <v/>
      </c>
      <c r="AJ372" s="29" t="str">
        <f aca="false">IF(OR(AI372="",N(O372)=0),"",AI372+AG372/O372)</f>
        <v/>
      </c>
      <c r="AK372" s="32" t="str">
        <f aca="false">IF(OR(AJ372="",N(AE372)=0),"",AJ372-AE372)</f>
        <v/>
      </c>
      <c r="AL372" s="33" t="n">
        <f aca="false">IF(N(F372)=0,"",INDEX(Inputs!$B$28:$B$32,IFERROR(MATCH(F372,Inputs!$A$28:$A$32,1),0)+1))</f>
        <v>0.09</v>
      </c>
      <c r="AM372" s="34"/>
      <c r="AN372" s="33" t="n">
        <f aca="false">IF(N(AM372)&gt;0,AM372,AL372)</f>
        <v>0.09</v>
      </c>
      <c r="AO372" s="29" t="n">
        <f aca="false">IF(N(AN372)=0,"",AN372+IF(I372="yes",AN372*Inputs!$B$10*Inputs!$B$9,0)+IFERROR(INDEX(Inputs!$B$13:$B$15,MATCH(G372,Inputs!$A$13:$A$15,0)),0)+IFERROR(INDEX(Inputs!$B$18:$B$24,MATCH(H372,Inputs!$A$18:$A$24,0)),0))</f>
        <v>0.085</v>
      </c>
      <c r="AP372" s="28" t="n">
        <f aca="false">IF(OR(N(AO372)&lt;=0,N(AG372)=0,N(L372)=0),"",MIN(L372,AG372/AO372))</f>
        <v>22.7941176470588</v>
      </c>
      <c r="AQ372" s="29" t="str">
        <f aca="false">IF(OR(AP372="",N(O372)=0),"",AP372/O372-1)</f>
        <v/>
      </c>
      <c r="AR372" s="29" t="str">
        <f aca="false">IF(OR(AQ372="",N(O372)=0),"",AQ372+AG372/O372)</f>
        <v/>
      </c>
      <c r="AS372" s="32" t="str">
        <f aca="false">IF(OR(AR372="",N(AJ372)=0),"",AR372-AJ372)</f>
        <v/>
      </c>
      <c r="AT372" s="28" t="n">
        <v>25</v>
      </c>
      <c r="AU372" s="28" t="n">
        <v>1.9375</v>
      </c>
      <c r="AV372" s="28" t="n">
        <f aca="false">IF(N(AT372)&gt;0,AT372,L372)</f>
        <v>25</v>
      </c>
      <c r="AW372" s="28" t="n">
        <f aca="false">IF(AND(N(M372)&gt;0,N(AV372)&gt;0),M372*AV372,IF(N(AU372)&gt;0,AU372,N372))</f>
        <v>1.9375</v>
      </c>
      <c r="AX372" s="29" t="n">
        <f aca="false">IF(N(AN372)=0,"",AN372+IF(I372="yes",AN372*Inputs!$B$10*Inputs!$B$9,0)+IFERROR(INDEX(Inputs!$B$13:$B$15,MATCH(G372,Inputs!$A$13:$A$15,0)),0)+IFERROR(INDEX(Inputs!$B$18:$B$24,MATCH(H372,Inputs!$A$18:$A$24,0)),0))</f>
        <v>0.085</v>
      </c>
      <c r="AY372" s="28" t="n">
        <f aca="false">IF(OR(N(AX372)&lt;=0,N(AW372)=0,N(AV372)=0),"",MIN(AV372,AW372/AX372))</f>
        <v>22.7941176470588</v>
      </c>
      <c r="AZ372" s="29" t="str">
        <f aca="false">IF(OR(AY372="",N(O372)=0),"",AY372/O372-1)</f>
        <v/>
      </c>
      <c r="BA372" s="29" t="str">
        <f aca="false">IF(OR(AZ372="",N(O372)=0),"",AZ372+AW372/O372)</f>
        <v/>
      </c>
      <c r="BB372" s="32" t="str">
        <f aca="false">IF(OR(BA372="",N(AR372)=0),"",BA372-AR372)</f>
        <v/>
      </c>
      <c r="BC372" s="35" t="str">
        <f aca="false">IF(OR(BA372="",N(U372)=0),"",BA372-U372)</f>
        <v/>
      </c>
      <c r="BD372" s="36" t="s">
        <v>284</v>
      </c>
    </row>
    <row r="373" customFormat="false" ht="15" hidden="false" customHeight="false" outlineLevel="0" collapsed="false">
      <c r="A373" s="2" t="s">
        <v>768</v>
      </c>
      <c r="B373" s="2" t="n">
        <v>54</v>
      </c>
      <c r="C373" s="2" t="s">
        <v>805</v>
      </c>
      <c r="D373" s="2" t="s">
        <v>806</v>
      </c>
      <c r="E373" s="2" t="s">
        <v>143</v>
      </c>
      <c r="F373" s="27"/>
      <c r="G373" s="2" t="s">
        <v>51</v>
      </c>
      <c r="H373" s="2" t="s">
        <v>58</v>
      </c>
      <c r="I373" s="2" t="s">
        <v>151</v>
      </c>
      <c r="J373" s="2" t="s">
        <v>145</v>
      </c>
      <c r="K373" s="2" t="n">
        <v>4</v>
      </c>
      <c r="L373" s="28" t="n">
        <v>25</v>
      </c>
      <c r="M373" s="29" t="n">
        <v>0.0875</v>
      </c>
      <c r="N373" s="28" t="n">
        <v>2.1875</v>
      </c>
      <c r="O373" s="28" t="n">
        <v>0</v>
      </c>
      <c r="P373" s="2" t="s">
        <v>146</v>
      </c>
      <c r="Q373" s="29" t="n">
        <v>0</v>
      </c>
      <c r="R373" s="30" t="n">
        <v>0</v>
      </c>
      <c r="S373" s="31"/>
      <c r="T373" s="30"/>
      <c r="U373" s="30"/>
      <c r="V373" s="29" t="n">
        <v>0</v>
      </c>
      <c r="W373" s="29" t="str">
        <f aca="false">IF(N(Q373)=0,"",Q373+IF(I373="yes",Q373*Inputs!$B$10*Inputs!$B$9,0)+V373)</f>
        <v/>
      </c>
      <c r="X373" s="28" t="str">
        <f aca="false">IF(OR(N(W373)&lt;=0,N(N373)=0,N(L373)=0),"",MIN(L373,N373/W373))</f>
        <v/>
      </c>
      <c r="Y373" s="29" t="str">
        <f aca="false">IF(OR(X373="",N(O373)=0),"",X373/O373-1)</f>
        <v/>
      </c>
      <c r="Z373" s="29" t="str">
        <f aca="false">IF(OR(Y373="",N(O373)=0),"",Y373+N373/O373)</f>
        <v/>
      </c>
      <c r="AA373" s="32" t="str">
        <f aca="false">IF(OR(Z373="",N(U373)=0),"",Z373-U373)</f>
        <v/>
      </c>
      <c r="AB373" s="29" t="str">
        <f aca="false">IF(N(Q373)=0,"",Q373+IF(I373="yes",Q373*Inputs!$B$10*Inputs!$B$9,0)+IFERROR(INDEX(Inputs!$B$13:$B$15,MATCH(G373,Inputs!$A$13:$A$15,0)),0)+IFERROR(INDEX(Inputs!$B$18:$B$24,MATCH(H373,Inputs!$A$18:$A$24,0)),0))</f>
        <v/>
      </c>
      <c r="AC373" s="28" t="str">
        <f aca="false">IF(OR(N(AB373)&lt;=0,N(N373)=0,N(L373)=0),"",MIN(L373,N373/AB373))</f>
        <v/>
      </c>
      <c r="AD373" s="29" t="str">
        <f aca="false">IF(OR(AC373="",N(O373)=0),"",AC373/O373-1)</f>
        <v/>
      </c>
      <c r="AE373" s="29" t="str">
        <f aca="false">IF(OR(AD373="",N(O373)=0),"",AD373+N373/O373)</f>
        <v/>
      </c>
      <c r="AF373" s="32" t="str">
        <f aca="false">IF(OR(AE373="",N(Z373)=0),"",AE373-Z373)</f>
        <v/>
      </c>
      <c r="AG373" s="28" t="n">
        <f aca="false">IF(AND(N(M373)&gt;0,N(L373)&gt;0),M373*L373,N373)</f>
        <v>2.1875</v>
      </c>
      <c r="AH373" s="28" t="str">
        <f aca="false">IF(OR(N(AB373)&lt;=0,N(AG373)=0,N(L373)=0),"",MIN(L373,AG373/AB373))</f>
        <v/>
      </c>
      <c r="AI373" s="29" t="str">
        <f aca="false">IF(OR(AH373="",N(O373)=0),"",AH373/O373-1)</f>
        <v/>
      </c>
      <c r="AJ373" s="29" t="str">
        <f aca="false">IF(OR(AI373="",N(O373)=0),"",AI373+AG373/O373)</f>
        <v/>
      </c>
      <c r="AK373" s="32" t="str">
        <f aca="false">IF(OR(AJ373="",N(AE373)=0),"",AJ373-AE373)</f>
        <v/>
      </c>
      <c r="AL373" s="33" t="str">
        <f aca="false">IF(N(F373)=0,"",INDEX(Inputs!$B$28:$B$32,IFERROR(MATCH(F373,Inputs!$A$28:$A$32,1),0)+1))</f>
        <v/>
      </c>
      <c r="AM373" s="34"/>
      <c r="AN373" s="33" t="str">
        <f aca="false">IF(N(AM373)&gt;0,AM373,AL373)</f>
        <v/>
      </c>
      <c r="AO373" s="29" t="str">
        <f aca="false">IF(N(AN373)=0,"",AN373+IF(I373="yes",AN373*Inputs!$B$10*Inputs!$B$9,0)+IFERROR(INDEX(Inputs!$B$13:$B$15,MATCH(G373,Inputs!$A$13:$A$15,0)),0)+IFERROR(INDEX(Inputs!$B$18:$B$24,MATCH(H373,Inputs!$A$18:$A$24,0)),0))</f>
        <v/>
      </c>
      <c r="AP373" s="28" t="str">
        <f aca="false">IF(OR(N(AO373)&lt;=0,N(AG373)=0,N(L373)=0),"",MIN(L373,AG373/AO373))</f>
        <v/>
      </c>
      <c r="AQ373" s="29" t="str">
        <f aca="false">IF(OR(AP373="",N(O373)=0),"",AP373/O373-1)</f>
        <v/>
      </c>
      <c r="AR373" s="29" t="str">
        <f aca="false">IF(OR(AQ373="",N(O373)=0),"",AQ373+AG373/O373)</f>
        <v/>
      </c>
      <c r="AS373" s="32" t="str">
        <f aca="false">IF(OR(AR373="",N(AJ373)=0),"",AR373-AJ373)</f>
        <v/>
      </c>
      <c r="AT373" s="28" t="n">
        <v>25</v>
      </c>
      <c r="AU373" s="28" t="n">
        <v>2.19</v>
      </c>
      <c r="AV373" s="28" t="n">
        <f aca="false">IF(N(AT373)&gt;0,AT373,L373)</f>
        <v>25</v>
      </c>
      <c r="AW373" s="28" t="n">
        <f aca="false">IF(AND(N(M373)&gt;0,N(AV373)&gt;0),M373*AV373,IF(N(AU373)&gt;0,AU373,N373))</f>
        <v>2.1875</v>
      </c>
      <c r="AX373" s="29" t="str">
        <f aca="false">IF(N(AN373)=0,"",AN373+IF(I373="yes",AN373*Inputs!$B$10*Inputs!$B$9,0)+IFERROR(INDEX(Inputs!$B$13:$B$15,MATCH(G373,Inputs!$A$13:$A$15,0)),0)+IFERROR(INDEX(Inputs!$B$18:$B$24,MATCH(H373,Inputs!$A$18:$A$24,0)),0))</f>
        <v/>
      </c>
      <c r="AY373" s="28" t="str">
        <f aca="false">IF(OR(N(AX373)&lt;=0,N(AW373)=0,N(AV373)=0),"",MIN(AV373,AW373/AX373))</f>
        <v/>
      </c>
      <c r="AZ373" s="29" t="str">
        <f aca="false">IF(OR(AY373="",N(O373)=0),"",AY373/O373-1)</f>
        <v/>
      </c>
      <c r="BA373" s="29" t="str">
        <f aca="false">IF(OR(AZ373="",N(O373)=0),"",AZ373+AW373/O373)</f>
        <v/>
      </c>
      <c r="BB373" s="32" t="str">
        <f aca="false">IF(OR(BA373="",N(AR373)=0),"",BA373-AR373)</f>
        <v/>
      </c>
      <c r="BC373" s="35" t="str">
        <f aca="false">IF(OR(BA373="",N(U373)=0),"",BA373-U373)</f>
        <v/>
      </c>
      <c r="BD373" s="36" t="s">
        <v>302</v>
      </c>
    </row>
    <row r="374" customFormat="false" ht="15" hidden="false" customHeight="false" outlineLevel="0" collapsed="false">
      <c r="A374" s="2" t="s">
        <v>768</v>
      </c>
      <c r="B374" s="2" t="n">
        <v>58</v>
      </c>
      <c r="C374" s="2" t="s">
        <v>807</v>
      </c>
      <c r="D374" s="2" t="s">
        <v>808</v>
      </c>
      <c r="E374" s="2" t="s">
        <v>143</v>
      </c>
      <c r="F374" s="27"/>
      <c r="G374" s="2" t="s">
        <v>51</v>
      </c>
      <c r="H374" s="2" t="s">
        <v>59</v>
      </c>
      <c r="I374" s="2" t="s">
        <v>151</v>
      </c>
      <c r="J374" s="2" t="s">
        <v>145</v>
      </c>
      <c r="K374" s="2" t="n">
        <v>4</v>
      </c>
      <c r="L374" s="28" t="n">
        <v>25</v>
      </c>
      <c r="M374" s="29" t="n">
        <v>0.08625</v>
      </c>
      <c r="N374" s="28" t="n">
        <v>2.15625</v>
      </c>
      <c r="O374" s="28" t="n">
        <v>25.55</v>
      </c>
      <c r="P374" s="2" t="s">
        <v>146</v>
      </c>
      <c r="Q374" s="29" t="n">
        <v>0</v>
      </c>
      <c r="R374" s="30" t="n">
        <v>0</v>
      </c>
      <c r="S374" s="31"/>
      <c r="T374" s="30"/>
      <c r="U374" s="30"/>
      <c r="V374" s="29" t="n">
        <v>0</v>
      </c>
      <c r="W374" s="29" t="str">
        <f aca="false">IF(N(Q374)=0,"",Q374+IF(I374="yes",Q374*Inputs!$B$10*Inputs!$B$9,0)+V374)</f>
        <v/>
      </c>
      <c r="X374" s="28" t="str">
        <f aca="false">IF(OR(N(W374)&lt;=0,N(N374)=0,N(L374)=0),"",MIN(L374,N374/W374))</f>
        <v/>
      </c>
      <c r="Y374" s="29" t="str">
        <f aca="false">IF(OR(X374="",N(O374)=0),"",X374/O374-1)</f>
        <v/>
      </c>
      <c r="Z374" s="29" t="str">
        <f aca="false">IF(OR(Y374="",N(O374)=0),"",Y374+N374/O374)</f>
        <v/>
      </c>
      <c r="AA374" s="32" t="str">
        <f aca="false">IF(OR(Z374="",N(U374)=0),"",Z374-U374)</f>
        <v/>
      </c>
      <c r="AB374" s="29" t="str">
        <f aca="false">IF(N(Q374)=0,"",Q374+IF(I374="yes",Q374*Inputs!$B$10*Inputs!$B$9,0)+IFERROR(INDEX(Inputs!$B$13:$B$15,MATCH(G374,Inputs!$A$13:$A$15,0)),0)+IFERROR(INDEX(Inputs!$B$18:$B$24,MATCH(H374,Inputs!$A$18:$A$24,0)),0))</f>
        <v/>
      </c>
      <c r="AC374" s="28" t="str">
        <f aca="false">IF(OR(N(AB374)&lt;=0,N(N374)=0,N(L374)=0),"",MIN(L374,N374/AB374))</f>
        <v/>
      </c>
      <c r="AD374" s="29" t="str">
        <f aca="false">IF(OR(AC374="",N(O374)=0),"",AC374/O374-1)</f>
        <v/>
      </c>
      <c r="AE374" s="29" t="str">
        <f aca="false">IF(OR(AD374="",N(O374)=0),"",AD374+N374/O374)</f>
        <v/>
      </c>
      <c r="AF374" s="32" t="str">
        <f aca="false">IF(OR(AE374="",N(Z374)=0),"",AE374-Z374)</f>
        <v/>
      </c>
      <c r="AG374" s="28" t="n">
        <f aca="false">IF(AND(N(M374)&gt;0,N(L374)&gt;0),M374*L374,N374)</f>
        <v>2.15625</v>
      </c>
      <c r="AH374" s="28" t="str">
        <f aca="false">IF(OR(N(AB374)&lt;=0,N(AG374)=0,N(L374)=0),"",MIN(L374,AG374/AB374))</f>
        <v/>
      </c>
      <c r="AI374" s="29" t="str">
        <f aca="false">IF(OR(AH374="",N(O374)=0),"",AH374/O374-1)</f>
        <v/>
      </c>
      <c r="AJ374" s="29" t="str">
        <f aca="false">IF(OR(AI374="",N(O374)=0),"",AI374+AG374/O374)</f>
        <v/>
      </c>
      <c r="AK374" s="32" t="str">
        <f aca="false">IF(OR(AJ374="",N(AE374)=0),"",AJ374-AE374)</f>
        <v/>
      </c>
      <c r="AL374" s="33" t="str">
        <f aca="false">IF(N(F374)=0,"",INDEX(Inputs!$B$28:$B$32,IFERROR(MATCH(F374,Inputs!$A$28:$A$32,1),0)+1))</f>
        <v/>
      </c>
      <c r="AM374" s="34"/>
      <c r="AN374" s="33" t="str">
        <f aca="false">IF(N(AM374)&gt;0,AM374,AL374)</f>
        <v/>
      </c>
      <c r="AO374" s="29" t="str">
        <f aca="false">IF(N(AN374)=0,"",AN374+IF(I374="yes",AN374*Inputs!$B$10*Inputs!$B$9,0)+IFERROR(INDEX(Inputs!$B$13:$B$15,MATCH(G374,Inputs!$A$13:$A$15,0)),0)+IFERROR(INDEX(Inputs!$B$18:$B$24,MATCH(H374,Inputs!$A$18:$A$24,0)),0))</f>
        <v/>
      </c>
      <c r="AP374" s="28" t="str">
        <f aca="false">IF(OR(N(AO374)&lt;=0,N(AG374)=0,N(L374)=0),"",MIN(L374,AG374/AO374))</f>
        <v/>
      </c>
      <c r="AQ374" s="29" t="str">
        <f aca="false">IF(OR(AP374="",N(O374)=0),"",AP374/O374-1)</f>
        <v/>
      </c>
      <c r="AR374" s="29" t="str">
        <f aca="false">IF(OR(AQ374="",N(O374)=0),"",AQ374+AG374/O374)</f>
        <v/>
      </c>
      <c r="AS374" s="32" t="str">
        <f aca="false">IF(OR(AR374="",N(AJ374)=0),"",AR374-AJ374)</f>
        <v/>
      </c>
      <c r="AT374" s="28" t="n">
        <v>25</v>
      </c>
      <c r="AU374" s="28" t="n">
        <v>2.16</v>
      </c>
      <c r="AV374" s="28" t="n">
        <f aca="false">IF(N(AT374)&gt;0,AT374,L374)</f>
        <v>25</v>
      </c>
      <c r="AW374" s="28" t="n">
        <f aca="false">IF(AND(N(M374)&gt;0,N(AV374)&gt;0),M374*AV374,IF(N(AU374)&gt;0,AU374,N374))</f>
        <v>2.15625</v>
      </c>
      <c r="AX374" s="29" t="str">
        <f aca="false">IF(N(AN374)=0,"",AN374+IF(I374="yes",AN374*Inputs!$B$10*Inputs!$B$9,0)+IFERROR(INDEX(Inputs!$B$13:$B$15,MATCH(G374,Inputs!$A$13:$A$15,0)),0)+IFERROR(INDEX(Inputs!$B$18:$B$24,MATCH(H374,Inputs!$A$18:$A$24,0)),0))</f>
        <v/>
      </c>
      <c r="AY374" s="28" t="str">
        <f aca="false">IF(OR(N(AX374)&lt;=0,N(AW374)=0,N(AV374)=0),"",MIN(AV374,AW374/AX374))</f>
        <v/>
      </c>
      <c r="AZ374" s="29" t="str">
        <f aca="false">IF(OR(AY374="",N(O374)=0),"",AY374/O374-1)</f>
        <v/>
      </c>
      <c r="BA374" s="29" t="str">
        <f aca="false">IF(OR(AZ374="",N(O374)=0),"",AZ374+AW374/O374)</f>
        <v/>
      </c>
      <c r="BB374" s="32" t="str">
        <f aca="false">IF(OR(BA374="",N(AR374)=0),"",BA374-AR374)</f>
        <v/>
      </c>
      <c r="BC374" s="35" t="str">
        <f aca="false">IF(OR(BA374="",N(U374)=0),"",BA374-U374)</f>
        <v/>
      </c>
      <c r="BD374" s="36" t="s">
        <v>231</v>
      </c>
    </row>
    <row r="375" customFormat="false" ht="15" hidden="false" customHeight="false" outlineLevel="0" collapsed="false">
      <c r="A375" s="2" t="s">
        <v>768</v>
      </c>
      <c r="B375" s="2" t="n">
        <v>59</v>
      </c>
      <c r="C375" s="2" t="s">
        <v>809</v>
      </c>
      <c r="D375" s="2" t="s">
        <v>808</v>
      </c>
      <c r="E375" s="2" t="s">
        <v>143</v>
      </c>
      <c r="F375" s="27"/>
      <c r="G375" s="2" t="s">
        <v>51</v>
      </c>
      <c r="H375" s="2" t="s">
        <v>59</v>
      </c>
      <c r="I375" s="2" t="s">
        <v>151</v>
      </c>
      <c r="J375" s="2" t="s">
        <v>145</v>
      </c>
      <c r="K375" s="2" t="n">
        <v>4</v>
      </c>
      <c r="L375" s="28" t="n">
        <v>25</v>
      </c>
      <c r="M375" s="29" t="n">
        <v>0.082</v>
      </c>
      <c r="N375" s="28" t="n">
        <v>2.05</v>
      </c>
      <c r="O375" s="28" t="n">
        <v>25.85</v>
      </c>
      <c r="P375" s="2" t="s">
        <v>146</v>
      </c>
      <c r="Q375" s="29" t="n">
        <v>0</v>
      </c>
      <c r="R375" s="30" t="n">
        <v>0</v>
      </c>
      <c r="S375" s="31"/>
      <c r="T375" s="30"/>
      <c r="U375" s="30"/>
      <c r="V375" s="29" t="n">
        <v>0</v>
      </c>
      <c r="W375" s="29" t="str">
        <f aca="false">IF(N(Q375)=0,"",Q375+IF(I375="yes",Q375*Inputs!$B$10*Inputs!$B$9,0)+V375)</f>
        <v/>
      </c>
      <c r="X375" s="28" t="str">
        <f aca="false">IF(OR(N(W375)&lt;=0,N(N375)=0,N(L375)=0),"",MIN(L375,N375/W375))</f>
        <v/>
      </c>
      <c r="Y375" s="29" t="str">
        <f aca="false">IF(OR(X375="",N(O375)=0),"",X375/O375-1)</f>
        <v/>
      </c>
      <c r="Z375" s="29" t="str">
        <f aca="false">IF(OR(Y375="",N(O375)=0),"",Y375+N375/O375)</f>
        <v/>
      </c>
      <c r="AA375" s="32" t="str">
        <f aca="false">IF(OR(Z375="",N(U375)=0),"",Z375-U375)</f>
        <v/>
      </c>
      <c r="AB375" s="29" t="str">
        <f aca="false">IF(N(Q375)=0,"",Q375+IF(I375="yes",Q375*Inputs!$B$10*Inputs!$B$9,0)+IFERROR(INDEX(Inputs!$B$13:$B$15,MATCH(G375,Inputs!$A$13:$A$15,0)),0)+IFERROR(INDEX(Inputs!$B$18:$B$24,MATCH(H375,Inputs!$A$18:$A$24,0)),0))</f>
        <v/>
      </c>
      <c r="AC375" s="28" t="str">
        <f aca="false">IF(OR(N(AB375)&lt;=0,N(N375)=0,N(L375)=0),"",MIN(L375,N375/AB375))</f>
        <v/>
      </c>
      <c r="AD375" s="29" t="str">
        <f aca="false">IF(OR(AC375="",N(O375)=0),"",AC375/O375-1)</f>
        <v/>
      </c>
      <c r="AE375" s="29" t="str">
        <f aca="false">IF(OR(AD375="",N(O375)=0),"",AD375+N375/O375)</f>
        <v/>
      </c>
      <c r="AF375" s="32" t="str">
        <f aca="false">IF(OR(AE375="",N(Z375)=0),"",AE375-Z375)</f>
        <v/>
      </c>
      <c r="AG375" s="28" t="n">
        <f aca="false">IF(AND(N(M375)&gt;0,N(L375)&gt;0),M375*L375,N375)</f>
        <v>2.05</v>
      </c>
      <c r="AH375" s="28" t="str">
        <f aca="false">IF(OR(N(AB375)&lt;=0,N(AG375)=0,N(L375)=0),"",MIN(L375,AG375/AB375))</f>
        <v/>
      </c>
      <c r="AI375" s="29" t="str">
        <f aca="false">IF(OR(AH375="",N(O375)=0),"",AH375/O375-1)</f>
        <v/>
      </c>
      <c r="AJ375" s="29" t="str">
        <f aca="false">IF(OR(AI375="",N(O375)=0),"",AI375+AG375/O375)</f>
        <v/>
      </c>
      <c r="AK375" s="32" t="str">
        <f aca="false">IF(OR(AJ375="",N(AE375)=0),"",AJ375-AE375)</f>
        <v/>
      </c>
      <c r="AL375" s="33" t="str">
        <f aca="false">IF(N(F375)=0,"",INDEX(Inputs!$B$28:$B$32,IFERROR(MATCH(F375,Inputs!$A$28:$A$32,1),0)+1))</f>
        <v/>
      </c>
      <c r="AM375" s="34"/>
      <c r="AN375" s="33" t="str">
        <f aca="false">IF(N(AM375)&gt;0,AM375,AL375)</f>
        <v/>
      </c>
      <c r="AO375" s="29" t="str">
        <f aca="false">IF(N(AN375)=0,"",AN375+IF(I375="yes",AN375*Inputs!$B$10*Inputs!$B$9,0)+IFERROR(INDEX(Inputs!$B$13:$B$15,MATCH(G375,Inputs!$A$13:$A$15,0)),0)+IFERROR(INDEX(Inputs!$B$18:$B$24,MATCH(H375,Inputs!$A$18:$A$24,0)),0))</f>
        <v/>
      </c>
      <c r="AP375" s="28" t="str">
        <f aca="false">IF(OR(N(AO375)&lt;=0,N(AG375)=0,N(L375)=0),"",MIN(L375,AG375/AO375))</f>
        <v/>
      </c>
      <c r="AQ375" s="29" t="str">
        <f aca="false">IF(OR(AP375="",N(O375)=0),"",AP375/O375-1)</f>
        <v/>
      </c>
      <c r="AR375" s="29" t="str">
        <f aca="false">IF(OR(AQ375="",N(O375)=0),"",AQ375+AG375/O375)</f>
        <v/>
      </c>
      <c r="AS375" s="32" t="str">
        <f aca="false">IF(OR(AR375="",N(AJ375)=0),"",AR375-AJ375)</f>
        <v/>
      </c>
      <c r="AT375" s="28" t="n">
        <v>25</v>
      </c>
      <c r="AU375" s="28" t="n">
        <v>2.05</v>
      </c>
      <c r="AV375" s="28" t="n">
        <f aca="false">IF(N(AT375)&gt;0,AT375,L375)</f>
        <v>25</v>
      </c>
      <c r="AW375" s="28" t="n">
        <f aca="false">IF(AND(N(M375)&gt;0,N(AV375)&gt;0),M375*AV375,IF(N(AU375)&gt;0,AU375,N375))</f>
        <v>2.05</v>
      </c>
      <c r="AX375" s="29" t="str">
        <f aca="false">IF(N(AN375)=0,"",AN375+IF(I375="yes",AN375*Inputs!$B$10*Inputs!$B$9,0)+IFERROR(INDEX(Inputs!$B$13:$B$15,MATCH(G375,Inputs!$A$13:$A$15,0)),0)+IFERROR(INDEX(Inputs!$B$18:$B$24,MATCH(H375,Inputs!$A$18:$A$24,0)),0))</f>
        <v/>
      </c>
      <c r="AY375" s="28" t="str">
        <f aca="false">IF(OR(N(AX375)&lt;=0,N(AW375)=0,N(AV375)=0),"",MIN(AV375,AW375/AX375))</f>
        <v/>
      </c>
      <c r="AZ375" s="29" t="str">
        <f aca="false">IF(OR(AY375="",N(O375)=0),"",AY375/O375-1)</f>
        <v/>
      </c>
      <c r="BA375" s="29" t="str">
        <f aca="false">IF(OR(AZ375="",N(O375)=0),"",AZ375+AW375/O375)</f>
        <v/>
      </c>
      <c r="BB375" s="32" t="str">
        <f aca="false">IF(OR(BA375="",N(AR375)=0),"",BA375-AR375)</f>
        <v/>
      </c>
      <c r="BC375" s="35" t="str">
        <f aca="false">IF(OR(BA375="",N(U375)=0),"",BA375-U375)</f>
        <v/>
      </c>
      <c r="BD375" s="36" t="s">
        <v>231</v>
      </c>
    </row>
    <row r="376" customFormat="false" ht="15" hidden="false" customHeight="false" outlineLevel="0" collapsed="false">
      <c r="A376" s="2" t="s">
        <v>768</v>
      </c>
      <c r="B376" s="2" t="n">
        <v>60</v>
      </c>
      <c r="C376" s="2" t="s">
        <v>810</v>
      </c>
      <c r="D376" s="2" t="s">
        <v>808</v>
      </c>
      <c r="E376" s="2" t="s">
        <v>143</v>
      </c>
      <c r="F376" s="27"/>
      <c r="G376" s="2" t="s">
        <v>51</v>
      </c>
      <c r="H376" s="2" t="s">
        <v>59</v>
      </c>
      <c r="I376" s="2" t="s">
        <v>151</v>
      </c>
      <c r="J376" s="2" t="s">
        <v>145</v>
      </c>
      <c r="K376" s="2" t="n">
        <v>4</v>
      </c>
      <c r="L376" s="28" t="n">
        <v>25</v>
      </c>
      <c r="M376" s="29" t="n">
        <v>0.085</v>
      </c>
      <c r="N376" s="28" t="n">
        <v>2.125</v>
      </c>
      <c r="O376" s="28" t="n">
        <v>25.7</v>
      </c>
      <c r="P376" s="2" t="s">
        <v>146</v>
      </c>
      <c r="Q376" s="29" t="n">
        <v>0</v>
      </c>
      <c r="R376" s="30" t="n">
        <v>0</v>
      </c>
      <c r="S376" s="31"/>
      <c r="T376" s="30"/>
      <c r="U376" s="30"/>
      <c r="V376" s="29" t="n">
        <v>0</v>
      </c>
      <c r="W376" s="29" t="str">
        <f aca="false">IF(N(Q376)=0,"",Q376+IF(I376="yes",Q376*Inputs!$B$10*Inputs!$B$9,0)+V376)</f>
        <v/>
      </c>
      <c r="X376" s="28" t="str">
        <f aca="false">IF(OR(N(W376)&lt;=0,N(N376)=0,N(L376)=0),"",MIN(L376,N376/W376))</f>
        <v/>
      </c>
      <c r="Y376" s="29" t="str">
        <f aca="false">IF(OR(X376="",N(O376)=0),"",X376/O376-1)</f>
        <v/>
      </c>
      <c r="Z376" s="29" t="str">
        <f aca="false">IF(OR(Y376="",N(O376)=0),"",Y376+N376/O376)</f>
        <v/>
      </c>
      <c r="AA376" s="32" t="str">
        <f aca="false">IF(OR(Z376="",N(U376)=0),"",Z376-U376)</f>
        <v/>
      </c>
      <c r="AB376" s="29" t="str">
        <f aca="false">IF(N(Q376)=0,"",Q376+IF(I376="yes",Q376*Inputs!$B$10*Inputs!$B$9,0)+IFERROR(INDEX(Inputs!$B$13:$B$15,MATCH(G376,Inputs!$A$13:$A$15,0)),0)+IFERROR(INDEX(Inputs!$B$18:$B$24,MATCH(H376,Inputs!$A$18:$A$24,0)),0))</f>
        <v/>
      </c>
      <c r="AC376" s="28" t="str">
        <f aca="false">IF(OR(N(AB376)&lt;=0,N(N376)=0,N(L376)=0),"",MIN(L376,N376/AB376))</f>
        <v/>
      </c>
      <c r="AD376" s="29" t="str">
        <f aca="false">IF(OR(AC376="",N(O376)=0),"",AC376/O376-1)</f>
        <v/>
      </c>
      <c r="AE376" s="29" t="str">
        <f aca="false">IF(OR(AD376="",N(O376)=0),"",AD376+N376/O376)</f>
        <v/>
      </c>
      <c r="AF376" s="32" t="str">
        <f aca="false">IF(OR(AE376="",N(Z376)=0),"",AE376-Z376)</f>
        <v/>
      </c>
      <c r="AG376" s="28" t="n">
        <f aca="false">IF(AND(N(M376)&gt;0,N(L376)&gt;0),M376*L376,N376)</f>
        <v>2.125</v>
      </c>
      <c r="AH376" s="28" t="str">
        <f aca="false">IF(OR(N(AB376)&lt;=0,N(AG376)=0,N(L376)=0),"",MIN(L376,AG376/AB376))</f>
        <v/>
      </c>
      <c r="AI376" s="29" t="str">
        <f aca="false">IF(OR(AH376="",N(O376)=0),"",AH376/O376-1)</f>
        <v/>
      </c>
      <c r="AJ376" s="29" t="str">
        <f aca="false">IF(OR(AI376="",N(O376)=0),"",AI376+AG376/O376)</f>
        <v/>
      </c>
      <c r="AK376" s="32" t="str">
        <f aca="false">IF(OR(AJ376="",N(AE376)=0),"",AJ376-AE376)</f>
        <v/>
      </c>
      <c r="AL376" s="33" t="str">
        <f aca="false">IF(N(F376)=0,"",INDEX(Inputs!$B$28:$B$32,IFERROR(MATCH(F376,Inputs!$A$28:$A$32,1),0)+1))</f>
        <v/>
      </c>
      <c r="AM376" s="34"/>
      <c r="AN376" s="33" t="str">
        <f aca="false">IF(N(AM376)&gt;0,AM376,AL376)</f>
        <v/>
      </c>
      <c r="AO376" s="29" t="str">
        <f aca="false">IF(N(AN376)=0,"",AN376+IF(I376="yes",AN376*Inputs!$B$10*Inputs!$B$9,0)+IFERROR(INDEX(Inputs!$B$13:$B$15,MATCH(G376,Inputs!$A$13:$A$15,0)),0)+IFERROR(INDEX(Inputs!$B$18:$B$24,MATCH(H376,Inputs!$A$18:$A$24,0)),0))</f>
        <v/>
      </c>
      <c r="AP376" s="28" t="str">
        <f aca="false">IF(OR(N(AO376)&lt;=0,N(AG376)=0,N(L376)=0),"",MIN(L376,AG376/AO376))</f>
        <v/>
      </c>
      <c r="AQ376" s="29" t="str">
        <f aca="false">IF(OR(AP376="",N(O376)=0),"",AP376/O376-1)</f>
        <v/>
      </c>
      <c r="AR376" s="29" t="str">
        <f aca="false">IF(OR(AQ376="",N(O376)=0),"",AQ376+AG376/O376)</f>
        <v/>
      </c>
      <c r="AS376" s="32" t="str">
        <f aca="false">IF(OR(AR376="",N(AJ376)=0),"",AR376-AJ376)</f>
        <v/>
      </c>
      <c r="AT376" s="28" t="n">
        <v>25</v>
      </c>
      <c r="AU376" s="28" t="n">
        <v>2.13</v>
      </c>
      <c r="AV376" s="28" t="n">
        <f aca="false">IF(N(AT376)&gt;0,AT376,L376)</f>
        <v>25</v>
      </c>
      <c r="AW376" s="28" t="n">
        <f aca="false">IF(AND(N(M376)&gt;0,N(AV376)&gt;0),M376*AV376,IF(N(AU376)&gt;0,AU376,N376))</f>
        <v>2.125</v>
      </c>
      <c r="AX376" s="29" t="str">
        <f aca="false">IF(N(AN376)=0,"",AN376+IF(I376="yes",AN376*Inputs!$B$10*Inputs!$B$9,0)+IFERROR(INDEX(Inputs!$B$13:$B$15,MATCH(G376,Inputs!$A$13:$A$15,0)),0)+IFERROR(INDEX(Inputs!$B$18:$B$24,MATCH(H376,Inputs!$A$18:$A$24,0)),0))</f>
        <v/>
      </c>
      <c r="AY376" s="28" t="str">
        <f aca="false">IF(OR(N(AX376)&lt;=0,N(AW376)=0,N(AV376)=0),"",MIN(AV376,AW376/AX376))</f>
        <v/>
      </c>
      <c r="AZ376" s="29" t="str">
        <f aca="false">IF(OR(AY376="",N(O376)=0),"",AY376/O376-1)</f>
        <v/>
      </c>
      <c r="BA376" s="29" t="str">
        <f aca="false">IF(OR(AZ376="",N(O376)=0),"",AZ376+AW376/O376)</f>
        <v/>
      </c>
      <c r="BB376" s="32" t="str">
        <f aca="false">IF(OR(BA376="",N(AR376)=0),"",BA376-AR376)</f>
        <v/>
      </c>
      <c r="BC376" s="35" t="str">
        <f aca="false">IF(OR(BA376="",N(U376)=0),"",BA376-U376)</f>
        <v/>
      </c>
      <c r="BD376" s="36" t="s">
        <v>231</v>
      </c>
    </row>
    <row r="377" customFormat="false" ht="15" hidden="false" customHeight="false" outlineLevel="0" collapsed="false">
      <c r="A377" s="2" t="s">
        <v>768</v>
      </c>
      <c r="B377" s="2" t="n">
        <v>63</v>
      </c>
      <c r="C377" s="2" t="s">
        <v>811</v>
      </c>
      <c r="D377" s="2" t="s">
        <v>812</v>
      </c>
      <c r="E377" s="2" t="s">
        <v>813</v>
      </c>
      <c r="F377" s="27" t="n">
        <v>12700</v>
      </c>
      <c r="G377" s="2" t="s">
        <v>52</v>
      </c>
      <c r="H377" s="2" t="s">
        <v>58</v>
      </c>
      <c r="I377" s="2" t="s">
        <v>144</v>
      </c>
      <c r="J377" s="2" t="s">
        <v>277</v>
      </c>
      <c r="K377" s="2" t="n">
        <v>2</v>
      </c>
      <c r="L377" s="28" t="n">
        <v>1000</v>
      </c>
      <c r="M377" s="29" t="n">
        <v>0.0525</v>
      </c>
      <c r="N377" s="28" t="n">
        <v>52.5</v>
      </c>
      <c r="O377" s="28" t="n">
        <v>0</v>
      </c>
      <c r="P377" s="2" t="s">
        <v>223</v>
      </c>
      <c r="Q377" s="29" t="n">
        <v>0.08</v>
      </c>
      <c r="R377" s="30" t="n">
        <v>0.0725</v>
      </c>
      <c r="S377" s="31" t="n">
        <v>724.137931034483</v>
      </c>
      <c r="T377" s="30"/>
      <c r="U377" s="30"/>
      <c r="V377" s="29" t="n">
        <v>-0.0075</v>
      </c>
      <c r="W377" s="29" t="n">
        <f aca="false">IF(N(Q377)=0,"",Q377+IF(I377="yes",Q377*Inputs!$B$10*Inputs!$B$9,0)+V377)</f>
        <v>0.0725</v>
      </c>
      <c r="X377" s="28" t="n">
        <f aca="false">IF(OR(N(W377)&lt;=0,N(N377)=0,N(L377)=0),"",MIN(L377,N377/W377))</f>
        <v>724.137931034483</v>
      </c>
      <c r="Y377" s="29" t="str">
        <f aca="false">IF(OR(X377="",N(O377)=0),"",X377/O377-1)</f>
        <v/>
      </c>
      <c r="Z377" s="29" t="str">
        <f aca="false">IF(OR(Y377="",N(O377)=0),"",Y377+N377/O377)</f>
        <v/>
      </c>
      <c r="AA377" s="32" t="str">
        <f aca="false">IF(OR(Z377="",N(U377)=0),"",Z377-U377)</f>
        <v/>
      </c>
      <c r="AB377" s="29" t="n">
        <f aca="false">IF(N(Q377)=0,"",Q377+IF(I377="yes",Q377*Inputs!$B$10*Inputs!$B$9,0)+IFERROR(INDEX(Inputs!$B$13:$B$15,MATCH(G377,Inputs!$A$13:$A$15,0)),0)+IFERROR(INDEX(Inputs!$B$18:$B$24,MATCH(H377,Inputs!$A$18:$A$24,0)),0))</f>
        <v>0.075</v>
      </c>
      <c r="AC377" s="28" t="n">
        <f aca="false">IF(OR(N(AB377)&lt;=0,N(N377)=0,N(L377)=0),"",MIN(L377,N377/AB377))</f>
        <v>700</v>
      </c>
      <c r="AD377" s="29" t="str">
        <f aca="false">IF(OR(AC377="",N(O377)=0),"",AC377/O377-1)</f>
        <v/>
      </c>
      <c r="AE377" s="29" t="str">
        <f aca="false">IF(OR(AD377="",N(O377)=0),"",AD377+N377/O377)</f>
        <v/>
      </c>
      <c r="AF377" s="32" t="str">
        <f aca="false">IF(OR(AE377="",N(Z377)=0),"",AE377-Z377)</f>
        <v/>
      </c>
      <c r="AG377" s="28" t="n">
        <f aca="false">IF(AND(N(M377)&gt;0,N(L377)&gt;0),M377*L377,N377)</f>
        <v>52.5</v>
      </c>
      <c r="AH377" s="28" t="n">
        <f aca="false">IF(OR(N(AB377)&lt;=0,N(AG377)=0,N(L377)=0),"",MIN(L377,AG377/AB377))</f>
        <v>700</v>
      </c>
      <c r="AI377" s="29" t="str">
        <f aca="false">IF(OR(AH377="",N(O377)=0),"",AH377/O377-1)</f>
        <v/>
      </c>
      <c r="AJ377" s="29" t="str">
        <f aca="false">IF(OR(AI377="",N(O377)=0),"",AI377+AG377/O377)</f>
        <v/>
      </c>
      <c r="AK377" s="32" t="str">
        <f aca="false">IF(OR(AJ377="",N(AE377)=0),"",AJ377-AE377)</f>
        <v/>
      </c>
      <c r="AL377" s="33" t="n">
        <f aca="false">IF(N(F377)=0,"",INDEX(Inputs!$B$28:$B$32,IFERROR(MATCH(F377,Inputs!$A$28:$A$32,1),0)+1))</f>
        <v>0.08</v>
      </c>
      <c r="AM377" s="34"/>
      <c r="AN377" s="33" t="n">
        <f aca="false">IF(N(AM377)&gt;0,AM377,AL377)</f>
        <v>0.08</v>
      </c>
      <c r="AO377" s="29" t="n">
        <f aca="false">IF(N(AN377)=0,"",AN377+IF(I377="yes",AN377*Inputs!$B$10*Inputs!$B$9,0)+IFERROR(INDEX(Inputs!$B$13:$B$15,MATCH(G377,Inputs!$A$13:$A$15,0)),0)+IFERROR(INDEX(Inputs!$B$18:$B$24,MATCH(H377,Inputs!$A$18:$A$24,0)),0))</f>
        <v>0.075</v>
      </c>
      <c r="AP377" s="28" t="n">
        <f aca="false">IF(OR(N(AO377)&lt;=0,N(AG377)=0,N(L377)=0),"",MIN(L377,AG377/AO377))</f>
        <v>700</v>
      </c>
      <c r="AQ377" s="29" t="str">
        <f aca="false">IF(OR(AP377="",N(O377)=0),"",AP377/O377-1)</f>
        <v/>
      </c>
      <c r="AR377" s="29" t="str">
        <f aca="false">IF(OR(AQ377="",N(O377)=0),"",AQ377+AG377/O377)</f>
        <v/>
      </c>
      <c r="AS377" s="32" t="str">
        <f aca="false">IF(OR(AR377="",N(AJ377)=0),"",AR377-AJ377)</f>
        <v/>
      </c>
      <c r="AT377" s="28"/>
      <c r="AU377" s="28"/>
      <c r="AV377" s="28" t="n">
        <f aca="false">IF(N(AT377)&gt;0,AT377,L377)</f>
        <v>1000</v>
      </c>
      <c r="AW377" s="28" t="n">
        <f aca="false">IF(AND(N(M377)&gt;0,N(AV377)&gt;0),M377*AV377,IF(N(AU377)&gt;0,AU377,N377))</f>
        <v>52.5</v>
      </c>
      <c r="AX377" s="29" t="n">
        <f aca="false">IF(N(AN377)=0,"",AN377+IF(I377="yes",AN377*Inputs!$B$10*Inputs!$B$9,0)+IFERROR(INDEX(Inputs!$B$13:$B$15,MATCH(G377,Inputs!$A$13:$A$15,0)),0)+IFERROR(INDEX(Inputs!$B$18:$B$24,MATCH(H377,Inputs!$A$18:$A$24,0)),0))</f>
        <v>0.075</v>
      </c>
      <c r="AY377" s="28" t="n">
        <f aca="false">IF(OR(N(AX377)&lt;=0,N(AW377)=0,N(AV377)=0),"",MIN(AV377,AW377/AX377))</f>
        <v>700</v>
      </c>
      <c r="AZ377" s="29" t="str">
        <f aca="false">IF(OR(AY377="",N(O377)=0),"",AY377/O377-1)</f>
        <v/>
      </c>
      <c r="BA377" s="29" t="str">
        <f aca="false">IF(OR(AZ377="",N(O377)=0),"",AZ377+AW377/O377)</f>
        <v/>
      </c>
      <c r="BB377" s="32" t="str">
        <f aca="false">IF(OR(BA377="",N(AR377)=0),"",BA377-AR377)</f>
        <v/>
      </c>
      <c r="BC377" s="35" t="str">
        <f aca="false">IF(OR(BA377="",N(U377)=0),"",BA377-U377)</f>
        <v/>
      </c>
      <c r="BD377" s="36" t="s">
        <v>508</v>
      </c>
    </row>
    <row r="378" customFormat="false" ht="15" hidden="false" customHeight="false" outlineLevel="0" collapsed="false">
      <c r="A378" s="2" t="s">
        <v>768</v>
      </c>
      <c r="B378" s="2" t="n">
        <v>64</v>
      </c>
      <c r="C378" s="2" t="s">
        <v>814</v>
      </c>
      <c r="D378" s="2" t="s">
        <v>812</v>
      </c>
      <c r="E378" s="2" t="s">
        <v>813</v>
      </c>
      <c r="F378" s="27" t="n">
        <v>12700</v>
      </c>
      <c r="G378" s="2" t="s">
        <v>52</v>
      </c>
      <c r="H378" s="2" t="s">
        <v>58</v>
      </c>
      <c r="I378" s="2" t="s">
        <v>144</v>
      </c>
      <c r="J378" s="2" t="s">
        <v>277</v>
      </c>
      <c r="K378" s="2" t="n">
        <v>2</v>
      </c>
      <c r="L378" s="28" t="n">
        <v>1000</v>
      </c>
      <c r="M378" s="29" t="n">
        <v>0.0575</v>
      </c>
      <c r="N378" s="28" t="n">
        <v>57.5</v>
      </c>
      <c r="O378" s="28" t="n">
        <v>0</v>
      </c>
      <c r="P378" s="2" t="s">
        <v>223</v>
      </c>
      <c r="Q378" s="29" t="n">
        <v>0.08</v>
      </c>
      <c r="R378" s="30" t="n">
        <v>0.0725</v>
      </c>
      <c r="S378" s="31" t="n">
        <v>793.103448275862</v>
      </c>
      <c r="T378" s="30"/>
      <c r="U378" s="30"/>
      <c r="V378" s="29" t="n">
        <v>-0.0075</v>
      </c>
      <c r="W378" s="29" t="n">
        <f aca="false">IF(N(Q378)=0,"",Q378+IF(I378="yes",Q378*Inputs!$B$10*Inputs!$B$9,0)+V378)</f>
        <v>0.0725</v>
      </c>
      <c r="X378" s="28" t="n">
        <f aca="false">IF(OR(N(W378)&lt;=0,N(N378)=0,N(L378)=0),"",MIN(L378,N378/W378))</f>
        <v>793.103448275862</v>
      </c>
      <c r="Y378" s="29" t="str">
        <f aca="false">IF(OR(X378="",N(O378)=0),"",X378/O378-1)</f>
        <v/>
      </c>
      <c r="Z378" s="29" t="str">
        <f aca="false">IF(OR(Y378="",N(O378)=0),"",Y378+N378/O378)</f>
        <v/>
      </c>
      <c r="AA378" s="32" t="str">
        <f aca="false">IF(OR(Z378="",N(U378)=0),"",Z378-U378)</f>
        <v/>
      </c>
      <c r="AB378" s="29" t="n">
        <f aca="false">IF(N(Q378)=0,"",Q378+IF(I378="yes",Q378*Inputs!$B$10*Inputs!$B$9,0)+IFERROR(INDEX(Inputs!$B$13:$B$15,MATCH(G378,Inputs!$A$13:$A$15,0)),0)+IFERROR(INDEX(Inputs!$B$18:$B$24,MATCH(H378,Inputs!$A$18:$A$24,0)),0))</f>
        <v>0.075</v>
      </c>
      <c r="AC378" s="28" t="n">
        <f aca="false">IF(OR(N(AB378)&lt;=0,N(N378)=0,N(L378)=0),"",MIN(L378,N378/AB378))</f>
        <v>766.666666666667</v>
      </c>
      <c r="AD378" s="29" t="str">
        <f aca="false">IF(OR(AC378="",N(O378)=0),"",AC378/O378-1)</f>
        <v/>
      </c>
      <c r="AE378" s="29" t="str">
        <f aca="false">IF(OR(AD378="",N(O378)=0),"",AD378+N378/O378)</f>
        <v/>
      </c>
      <c r="AF378" s="32" t="str">
        <f aca="false">IF(OR(AE378="",N(Z378)=0),"",AE378-Z378)</f>
        <v/>
      </c>
      <c r="AG378" s="28" t="n">
        <f aca="false">IF(AND(N(M378)&gt;0,N(L378)&gt;0),M378*L378,N378)</f>
        <v>57.5</v>
      </c>
      <c r="AH378" s="28" t="n">
        <f aca="false">IF(OR(N(AB378)&lt;=0,N(AG378)=0,N(L378)=0),"",MIN(L378,AG378/AB378))</f>
        <v>766.666666666667</v>
      </c>
      <c r="AI378" s="29" t="str">
        <f aca="false">IF(OR(AH378="",N(O378)=0),"",AH378/O378-1)</f>
        <v/>
      </c>
      <c r="AJ378" s="29" t="str">
        <f aca="false">IF(OR(AI378="",N(O378)=0),"",AI378+AG378/O378)</f>
        <v/>
      </c>
      <c r="AK378" s="32" t="str">
        <f aca="false">IF(OR(AJ378="",N(AE378)=0),"",AJ378-AE378)</f>
        <v/>
      </c>
      <c r="AL378" s="33" t="n">
        <f aca="false">IF(N(F378)=0,"",INDEX(Inputs!$B$28:$B$32,IFERROR(MATCH(F378,Inputs!$A$28:$A$32,1),0)+1))</f>
        <v>0.08</v>
      </c>
      <c r="AM378" s="34"/>
      <c r="AN378" s="33" t="n">
        <f aca="false">IF(N(AM378)&gt;0,AM378,AL378)</f>
        <v>0.08</v>
      </c>
      <c r="AO378" s="29" t="n">
        <f aca="false">IF(N(AN378)=0,"",AN378+IF(I378="yes",AN378*Inputs!$B$10*Inputs!$B$9,0)+IFERROR(INDEX(Inputs!$B$13:$B$15,MATCH(G378,Inputs!$A$13:$A$15,0)),0)+IFERROR(INDEX(Inputs!$B$18:$B$24,MATCH(H378,Inputs!$A$18:$A$24,0)),0))</f>
        <v>0.075</v>
      </c>
      <c r="AP378" s="28" t="n">
        <f aca="false">IF(OR(N(AO378)&lt;=0,N(AG378)=0,N(L378)=0),"",MIN(L378,AG378/AO378))</f>
        <v>766.666666666667</v>
      </c>
      <c r="AQ378" s="29" t="str">
        <f aca="false">IF(OR(AP378="",N(O378)=0),"",AP378/O378-1)</f>
        <v/>
      </c>
      <c r="AR378" s="29" t="str">
        <f aca="false">IF(OR(AQ378="",N(O378)=0),"",AQ378+AG378/O378)</f>
        <v/>
      </c>
      <c r="AS378" s="32" t="str">
        <f aca="false">IF(OR(AR378="",N(AJ378)=0),"",AR378-AJ378)</f>
        <v/>
      </c>
      <c r="AT378" s="28" t="n">
        <v>1000</v>
      </c>
      <c r="AU378" s="28" t="n">
        <v>57.5</v>
      </c>
      <c r="AV378" s="28" t="n">
        <f aca="false">IF(N(AT378)&gt;0,AT378,L378)</f>
        <v>1000</v>
      </c>
      <c r="AW378" s="28" t="n">
        <f aca="false">IF(AND(N(M378)&gt;0,N(AV378)&gt;0),M378*AV378,IF(N(AU378)&gt;0,AU378,N378))</f>
        <v>57.5</v>
      </c>
      <c r="AX378" s="29" t="n">
        <f aca="false">IF(N(AN378)=0,"",AN378+IF(I378="yes",AN378*Inputs!$B$10*Inputs!$B$9,0)+IFERROR(INDEX(Inputs!$B$13:$B$15,MATCH(G378,Inputs!$A$13:$A$15,0)),0)+IFERROR(INDEX(Inputs!$B$18:$B$24,MATCH(H378,Inputs!$A$18:$A$24,0)),0))</f>
        <v>0.075</v>
      </c>
      <c r="AY378" s="28" t="n">
        <f aca="false">IF(OR(N(AX378)&lt;=0,N(AW378)=0,N(AV378)=0),"",MIN(AV378,AW378/AX378))</f>
        <v>766.666666666667</v>
      </c>
      <c r="AZ378" s="29" t="str">
        <f aca="false">IF(OR(AY378="",N(O378)=0),"",AY378/O378-1)</f>
        <v/>
      </c>
      <c r="BA378" s="29" t="str">
        <f aca="false">IF(OR(AZ378="",N(O378)=0),"",AZ378+AW378/O378)</f>
        <v/>
      </c>
      <c r="BB378" s="32" t="str">
        <f aca="false">IF(OR(BA378="",N(AR378)=0),"",BA378-AR378)</f>
        <v/>
      </c>
      <c r="BC378" s="35" t="str">
        <f aca="false">IF(OR(BA378="",N(U378)=0),"",BA378-U378)</f>
        <v/>
      </c>
      <c r="BD378" s="36" t="s">
        <v>284</v>
      </c>
    </row>
    <row r="379" customFormat="false" ht="15" hidden="false" customHeight="false" outlineLevel="0" collapsed="false">
      <c r="A379" s="2" t="s">
        <v>768</v>
      </c>
      <c r="B379" s="2" t="n">
        <v>67</v>
      </c>
      <c r="C379" s="2" t="s">
        <v>815</v>
      </c>
      <c r="D379" s="2" t="s">
        <v>816</v>
      </c>
      <c r="E379" s="2" t="s">
        <v>817</v>
      </c>
      <c r="F379" s="27"/>
      <c r="G379" s="2" t="s">
        <v>51</v>
      </c>
      <c r="H379" s="2" t="s">
        <v>63</v>
      </c>
      <c r="I379" s="2" t="s">
        <v>151</v>
      </c>
      <c r="J379" s="2" t="s">
        <v>168</v>
      </c>
      <c r="K379" s="2" t="n">
        <v>12</v>
      </c>
      <c r="L379" s="28" t="n">
        <v>11</v>
      </c>
      <c r="M379" s="29" t="n">
        <v>0.1</v>
      </c>
      <c r="N379" s="28" t="n">
        <v>1.1</v>
      </c>
      <c r="O379" s="28" t="n">
        <v>0.02</v>
      </c>
      <c r="P379" s="2" t="s">
        <v>223</v>
      </c>
      <c r="Q379" s="29" t="n">
        <v>0.1</v>
      </c>
      <c r="R379" s="30" t="n">
        <v>0.1</v>
      </c>
      <c r="S379" s="31" t="n">
        <v>11</v>
      </c>
      <c r="T379" s="30" t="n">
        <v>549</v>
      </c>
      <c r="U379" s="30" t="n">
        <v>604</v>
      </c>
      <c r="V379" s="29" t="n">
        <v>0</v>
      </c>
      <c r="W379" s="29" t="n">
        <f aca="false">IF(N(Q379)=0,"",Q379+IF(I379="yes",Q379*Inputs!$B$10*Inputs!$B$9,0)+V379)</f>
        <v>0.095</v>
      </c>
      <c r="X379" s="28" t="n">
        <f aca="false">IF(OR(N(W379)&lt;=0,N(N379)=0,N(L379)=0),"",MIN(L379,N379/W379))</f>
        <v>11</v>
      </c>
      <c r="Y379" s="29" t="n">
        <f aca="false">IF(OR(X379="",N(O379)=0),"",X379/O379-1)</f>
        <v>549</v>
      </c>
      <c r="Z379" s="29" t="n">
        <f aca="false">IF(OR(Y379="",N(O379)=0),"",Y379+N379/O379)</f>
        <v>604</v>
      </c>
      <c r="AA379" s="32" t="n">
        <f aca="false">IF(OR(Z379="",N(U379)=0),"",Z379-U379)</f>
        <v>0</v>
      </c>
      <c r="AB379" s="29" t="n">
        <f aca="false">IF(N(Q379)=0,"",Q379+IF(I379="yes",Q379*Inputs!$B$10*Inputs!$B$9,0)+IFERROR(INDEX(Inputs!$B$13:$B$15,MATCH(G379,Inputs!$A$13:$A$15,0)),0)+IFERROR(INDEX(Inputs!$B$18:$B$24,MATCH(H379,Inputs!$A$18:$A$24,0)),0))</f>
        <v>0.095</v>
      </c>
      <c r="AC379" s="28" t="n">
        <f aca="false">IF(OR(N(AB379)&lt;=0,N(N379)=0,N(L379)=0),"",MIN(L379,N379/AB379))</f>
        <v>11</v>
      </c>
      <c r="AD379" s="29" t="n">
        <f aca="false">IF(OR(AC379="",N(O379)=0),"",AC379/O379-1)</f>
        <v>549</v>
      </c>
      <c r="AE379" s="29" t="n">
        <f aca="false">IF(OR(AD379="",N(O379)=0),"",AD379+N379/O379)</f>
        <v>604</v>
      </c>
      <c r="AF379" s="32" t="n">
        <f aca="false">IF(OR(AE379="",N(Z379)=0),"",AE379-Z379)</f>
        <v>0</v>
      </c>
      <c r="AG379" s="28" t="n">
        <f aca="false">IF(AND(N(M379)&gt;0,N(L379)&gt;0),M379*L379,N379)</f>
        <v>1.1</v>
      </c>
      <c r="AH379" s="28" t="n">
        <f aca="false">IF(OR(N(AB379)&lt;=0,N(AG379)=0,N(L379)=0),"",MIN(L379,AG379/AB379))</f>
        <v>11</v>
      </c>
      <c r="AI379" s="29" t="n">
        <f aca="false">IF(OR(AH379="",N(O379)=0),"",AH379/O379-1)</f>
        <v>549</v>
      </c>
      <c r="AJ379" s="29" t="n">
        <f aca="false">IF(OR(AI379="",N(O379)=0),"",AI379+AG379/O379)</f>
        <v>604</v>
      </c>
      <c r="AK379" s="32" t="n">
        <f aca="false">IF(OR(AJ379="",N(AE379)=0),"",AJ379-AE379)</f>
        <v>0</v>
      </c>
      <c r="AL379" s="33" t="str">
        <f aca="false">IF(N(F379)=0,"",INDEX(Inputs!$B$28:$B$32,IFERROR(MATCH(F379,Inputs!$A$28:$A$32,1),0)+1))</f>
        <v/>
      </c>
      <c r="AM379" s="34"/>
      <c r="AN379" s="33" t="str">
        <f aca="false">IF(N(AM379)&gt;0,AM379,AL379)</f>
        <v/>
      </c>
      <c r="AO379" s="29" t="str">
        <f aca="false">IF(N(AN379)=0,"",AN379+IF(I379="yes",AN379*Inputs!$B$10*Inputs!$B$9,0)+IFERROR(INDEX(Inputs!$B$13:$B$15,MATCH(G379,Inputs!$A$13:$A$15,0)),0)+IFERROR(INDEX(Inputs!$B$18:$B$24,MATCH(H379,Inputs!$A$18:$A$24,0)),0))</f>
        <v/>
      </c>
      <c r="AP379" s="28" t="str">
        <f aca="false">IF(OR(N(AO379)&lt;=0,N(AG379)=0,N(L379)=0),"",MIN(L379,AG379/AO379))</f>
        <v/>
      </c>
      <c r="AQ379" s="29" t="str">
        <f aca="false">IF(OR(AP379="",N(O379)=0),"",AP379/O379-1)</f>
        <v/>
      </c>
      <c r="AR379" s="29" t="str">
        <f aca="false">IF(OR(AQ379="",N(O379)=0),"",AQ379+AG379/O379)</f>
        <v/>
      </c>
      <c r="AS379" s="32" t="str">
        <f aca="false">IF(OR(AR379="",N(AJ379)=0),"",AR379-AJ379)</f>
        <v/>
      </c>
      <c r="AT379" s="28" t="n">
        <v>11</v>
      </c>
      <c r="AU379" s="28" t="n">
        <v>1</v>
      </c>
      <c r="AV379" s="28" t="n">
        <f aca="false">IF(N(AT379)&gt;0,AT379,L379)</f>
        <v>11</v>
      </c>
      <c r="AW379" s="28" t="n">
        <f aca="false">IF(AND(N(M379)&gt;0,N(AV379)&gt;0),M379*AV379,IF(N(AU379)&gt;0,AU379,N379))</f>
        <v>1.1</v>
      </c>
      <c r="AX379" s="29" t="str">
        <f aca="false">IF(N(AN379)=0,"",AN379+IF(I379="yes",AN379*Inputs!$B$10*Inputs!$B$9,0)+IFERROR(INDEX(Inputs!$B$13:$B$15,MATCH(G379,Inputs!$A$13:$A$15,0)),0)+IFERROR(INDEX(Inputs!$B$18:$B$24,MATCH(H379,Inputs!$A$18:$A$24,0)),0))</f>
        <v/>
      </c>
      <c r="AY379" s="28" t="str">
        <f aca="false">IF(OR(N(AX379)&lt;=0,N(AW379)=0,N(AV379)=0),"",MIN(AV379,AW379/AX379))</f>
        <v/>
      </c>
      <c r="AZ379" s="29" t="str">
        <f aca="false">IF(OR(AY379="",N(O379)=0),"",AY379/O379-1)</f>
        <v/>
      </c>
      <c r="BA379" s="29" t="str">
        <f aca="false">IF(OR(AZ379="",N(O379)=0),"",AZ379+AW379/O379)</f>
        <v/>
      </c>
      <c r="BB379" s="32" t="str">
        <f aca="false">IF(OR(BA379="",N(AR379)=0),"",BA379-AR379)</f>
        <v/>
      </c>
      <c r="BC379" s="35" t="str">
        <f aca="false">IF(OR(BA379="",N(U379)=0),"",BA379-U379)</f>
        <v/>
      </c>
      <c r="BD379" s="36" t="s">
        <v>224</v>
      </c>
    </row>
    <row r="380" customFormat="false" ht="15" hidden="false" customHeight="false" outlineLevel="0" collapsed="false">
      <c r="A380" s="2" t="s">
        <v>768</v>
      </c>
      <c r="B380" s="2" t="n">
        <v>71</v>
      </c>
      <c r="C380" s="2" t="s">
        <v>818</v>
      </c>
      <c r="D380" s="2" t="s">
        <v>819</v>
      </c>
      <c r="E380" s="2" t="s">
        <v>143</v>
      </c>
      <c r="F380" s="27"/>
      <c r="G380" s="2" t="s">
        <v>51</v>
      </c>
      <c r="H380" s="2" t="s">
        <v>58</v>
      </c>
      <c r="I380" s="2" t="s">
        <v>151</v>
      </c>
      <c r="J380" s="2" t="s">
        <v>145</v>
      </c>
      <c r="K380" s="2" t="n">
        <v>4</v>
      </c>
      <c r="L380" s="28" t="n">
        <v>25</v>
      </c>
      <c r="M380" s="29" t="n">
        <v>0.0875</v>
      </c>
      <c r="N380" s="28" t="n">
        <v>2.1875</v>
      </c>
      <c r="O380" s="28" t="n">
        <v>0.48</v>
      </c>
      <c r="P380" s="2" t="s">
        <v>146</v>
      </c>
      <c r="Q380" s="29" t="n">
        <v>0</v>
      </c>
      <c r="R380" s="30" t="n">
        <v>0</v>
      </c>
      <c r="S380" s="31"/>
      <c r="T380" s="30"/>
      <c r="U380" s="30"/>
      <c r="V380" s="29" t="n">
        <v>0</v>
      </c>
      <c r="W380" s="29" t="str">
        <f aca="false">IF(N(Q380)=0,"",Q380+IF(I380="yes",Q380*Inputs!$B$10*Inputs!$B$9,0)+V380)</f>
        <v/>
      </c>
      <c r="X380" s="28" t="str">
        <f aca="false">IF(OR(N(W380)&lt;=0,N(N380)=0,N(L380)=0),"",MIN(L380,N380/W380))</f>
        <v/>
      </c>
      <c r="Y380" s="29" t="str">
        <f aca="false">IF(OR(X380="",N(O380)=0),"",X380/O380-1)</f>
        <v/>
      </c>
      <c r="Z380" s="29" t="str">
        <f aca="false">IF(OR(Y380="",N(O380)=0),"",Y380+N380/O380)</f>
        <v/>
      </c>
      <c r="AA380" s="32" t="str">
        <f aca="false">IF(OR(Z380="",N(U380)=0),"",Z380-U380)</f>
        <v/>
      </c>
      <c r="AB380" s="29" t="str">
        <f aca="false">IF(N(Q380)=0,"",Q380+IF(I380="yes",Q380*Inputs!$B$10*Inputs!$B$9,0)+IFERROR(INDEX(Inputs!$B$13:$B$15,MATCH(G380,Inputs!$A$13:$A$15,0)),0)+IFERROR(INDEX(Inputs!$B$18:$B$24,MATCH(H380,Inputs!$A$18:$A$24,0)),0))</f>
        <v/>
      </c>
      <c r="AC380" s="28" t="str">
        <f aca="false">IF(OR(N(AB380)&lt;=0,N(N380)=0,N(L380)=0),"",MIN(L380,N380/AB380))</f>
        <v/>
      </c>
      <c r="AD380" s="29" t="str">
        <f aca="false">IF(OR(AC380="",N(O380)=0),"",AC380/O380-1)</f>
        <v/>
      </c>
      <c r="AE380" s="29" t="str">
        <f aca="false">IF(OR(AD380="",N(O380)=0),"",AD380+N380/O380)</f>
        <v/>
      </c>
      <c r="AF380" s="32" t="str">
        <f aca="false">IF(OR(AE380="",N(Z380)=0),"",AE380-Z380)</f>
        <v/>
      </c>
      <c r="AG380" s="28" t="n">
        <f aca="false">IF(AND(N(M380)&gt;0,N(L380)&gt;0),M380*L380,N380)</f>
        <v>2.1875</v>
      </c>
      <c r="AH380" s="28" t="str">
        <f aca="false">IF(OR(N(AB380)&lt;=0,N(AG380)=0,N(L380)=0),"",MIN(L380,AG380/AB380))</f>
        <v/>
      </c>
      <c r="AI380" s="29" t="str">
        <f aca="false">IF(OR(AH380="",N(O380)=0),"",AH380/O380-1)</f>
        <v/>
      </c>
      <c r="AJ380" s="29" t="str">
        <f aca="false">IF(OR(AI380="",N(O380)=0),"",AI380+AG380/O380)</f>
        <v/>
      </c>
      <c r="AK380" s="32" t="str">
        <f aca="false">IF(OR(AJ380="",N(AE380)=0),"",AJ380-AE380)</f>
        <v/>
      </c>
      <c r="AL380" s="33" t="str">
        <f aca="false">IF(N(F380)=0,"",INDEX(Inputs!$B$28:$B$32,IFERROR(MATCH(F380,Inputs!$A$28:$A$32,1),0)+1))</f>
        <v/>
      </c>
      <c r="AM380" s="34"/>
      <c r="AN380" s="33" t="str">
        <f aca="false">IF(N(AM380)&gt;0,AM380,AL380)</f>
        <v/>
      </c>
      <c r="AO380" s="29" t="str">
        <f aca="false">IF(N(AN380)=0,"",AN380+IF(I380="yes",AN380*Inputs!$B$10*Inputs!$B$9,0)+IFERROR(INDEX(Inputs!$B$13:$B$15,MATCH(G380,Inputs!$A$13:$A$15,0)),0)+IFERROR(INDEX(Inputs!$B$18:$B$24,MATCH(H380,Inputs!$A$18:$A$24,0)),0))</f>
        <v/>
      </c>
      <c r="AP380" s="28" t="str">
        <f aca="false">IF(OR(N(AO380)&lt;=0,N(AG380)=0,N(L380)=0),"",MIN(L380,AG380/AO380))</f>
        <v/>
      </c>
      <c r="AQ380" s="29" t="str">
        <f aca="false">IF(OR(AP380="",N(O380)=0),"",AP380/O380-1)</f>
        <v/>
      </c>
      <c r="AR380" s="29" t="str">
        <f aca="false">IF(OR(AQ380="",N(O380)=0),"",AQ380+AG380/O380)</f>
        <v/>
      </c>
      <c r="AS380" s="32" t="str">
        <f aca="false">IF(OR(AR380="",N(AJ380)=0),"",AR380-AJ380)</f>
        <v/>
      </c>
      <c r="AT380" s="28" t="n">
        <v>25</v>
      </c>
      <c r="AU380" s="28" t="n">
        <v>2.19</v>
      </c>
      <c r="AV380" s="28" t="n">
        <f aca="false">IF(N(AT380)&gt;0,AT380,L380)</f>
        <v>25</v>
      </c>
      <c r="AW380" s="28" t="n">
        <f aca="false">IF(AND(N(M380)&gt;0,N(AV380)&gt;0),M380*AV380,IF(N(AU380)&gt;0,AU380,N380))</f>
        <v>2.1875</v>
      </c>
      <c r="AX380" s="29" t="str">
        <f aca="false">IF(N(AN380)=0,"",AN380+IF(I380="yes",AN380*Inputs!$B$10*Inputs!$B$9,0)+IFERROR(INDEX(Inputs!$B$13:$B$15,MATCH(G380,Inputs!$A$13:$A$15,0)),0)+IFERROR(INDEX(Inputs!$B$18:$B$24,MATCH(H380,Inputs!$A$18:$A$24,0)),0))</f>
        <v/>
      </c>
      <c r="AY380" s="28" t="str">
        <f aca="false">IF(OR(N(AX380)&lt;=0,N(AW380)=0,N(AV380)=0),"",MIN(AV380,AW380/AX380))</f>
        <v/>
      </c>
      <c r="AZ380" s="29" t="str">
        <f aca="false">IF(OR(AY380="",N(O380)=0),"",AY380/O380-1)</f>
        <v/>
      </c>
      <c r="BA380" s="29" t="str">
        <f aca="false">IF(OR(AZ380="",N(O380)=0),"",AZ380+AW380/O380)</f>
        <v/>
      </c>
      <c r="BB380" s="32" t="str">
        <f aca="false">IF(OR(BA380="",N(AR380)=0),"",BA380-AR380)</f>
        <v/>
      </c>
      <c r="BC380" s="35" t="str">
        <f aca="false">IF(OR(BA380="",N(U380)=0),"",BA380-U380)</f>
        <v/>
      </c>
      <c r="BD380" s="36" t="s">
        <v>231</v>
      </c>
    </row>
    <row r="381" customFormat="false" ht="15" hidden="false" customHeight="false" outlineLevel="0" collapsed="false">
      <c r="A381" s="2" t="s">
        <v>768</v>
      </c>
      <c r="B381" s="2" t="n">
        <v>75</v>
      </c>
      <c r="C381" s="2" t="s">
        <v>820</v>
      </c>
      <c r="D381" s="2" t="s">
        <v>821</v>
      </c>
      <c r="E381" s="2" t="s">
        <v>143</v>
      </c>
      <c r="F381" s="27"/>
      <c r="G381" s="2" t="s">
        <v>51</v>
      </c>
      <c r="H381" s="2" t="s">
        <v>58</v>
      </c>
      <c r="I381" s="2" t="s">
        <v>144</v>
      </c>
      <c r="J381" s="2" t="s">
        <v>145</v>
      </c>
      <c r="K381" s="2" t="n">
        <v>4</v>
      </c>
      <c r="L381" s="28" t="n">
        <v>25</v>
      </c>
      <c r="M381" s="29" t="n">
        <v>0.075</v>
      </c>
      <c r="N381" s="28" t="n">
        <v>1.875</v>
      </c>
      <c r="O381" s="28" t="n">
        <v>0</v>
      </c>
      <c r="P381" s="2" t="s">
        <v>146</v>
      </c>
      <c r="Q381" s="29" t="n">
        <v>0</v>
      </c>
      <c r="R381" s="30" t="n">
        <v>0</v>
      </c>
      <c r="S381" s="31"/>
      <c r="T381" s="30"/>
      <c r="U381" s="30"/>
      <c r="V381" s="29" t="n">
        <v>0</v>
      </c>
      <c r="W381" s="29" t="str">
        <f aca="false">IF(N(Q381)=0,"",Q381+IF(I381="yes",Q381*Inputs!$B$10*Inputs!$B$9,0)+V381)</f>
        <v/>
      </c>
      <c r="X381" s="28" t="str">
        <f aca="false">IF(OR(N(W381)&lt;=0,N(N381)=0,N(L381)=0),"",MIN(L381,N381/W381))</f>
        <v/>
      </c>
      <c r="Y381" s="29" t="str">
        <f aca="false">IF(OR(X381="",N(O381)=0),"",X381/O381-1)</f>
        <v/>
      </c>
      <c r="Z381" s="29" t="str">
        <f aca="false">IF(OR(Y381="",N(O381)=0),"",Y381+N381/O381)</f>
        <v/>
      </c>
      <c r="AA381" s="32" t="str">
        <f aca="false">IF(OR(Z381="",N(U381)=0),"",Z381-U381)</f>
        <v/>
      </c>
      <c r="AB381" s="29" t="str">
        <f aca="false">IF(N(Q381)=0,"",Q381+IF(I381="yes",Q381*Inputs!$B$10*Inputs!$B$9,0)+IFERROR(INDEX(Inputs!$B$13:$B$15,MATCH(G381,Inputs!$A$13:$A$15,0)),0)+IFERROR(INDEX(Inputs!$B$18:$B$24,MATCH(H381,Inputs!$A$18:$A$24,0)),0))</f>
        <v/>
      </c>
      <c r="AC381" s="28" t="str">
        <f aca="false">IF(OR(N(AB381)&lt;=0,N(N381)=0,N(L381)=0),"",MIN(L381,N381/AB381))</f>
        <v/>
      </c>
      <c r="AD381" s="29" t="str">
        <f aca="false">IF(OR(AC381="",N(O381)=0),"",AC381/O381-1)</f>
        <v/>
      </c>
      <c r="AE381" s="29" t="str">
        <f aca="false">IF(OR(AD381="",N(O381)=0),"",AD381+N381/O381)</f>
        <v/>
      </c>
      <c r="AF381" s="32" t="str">
        <f aca="false">IF(OR(AE381="",N(Z381)=0),"",AE381-Z381)</f>
        <v/>
      </c>
      <c r="AG381" s="28" t="n">
        <f aca="false">IF(AND(N(M381)&gt;0,N(L381)&gt;0),M381*L381,N381)</f>
        <v>1.875</v>
      </c>
      <c r="AH381" s="28" t="str">
        <f aca="false">IF(OR(N(AB381)&lt;=0,N(AG381)=0,N(L381)=0),"",MIN(L381,AG381/AB381))</f>
        <v/>
      </c>
      <c r="AI381" s="29" t="str">
        <f aca="false">IF(OR(AH381="",N(O381)=0),"",AH381/O381-1)</f>
        <v/>
      </c>
      <c r="AJ381" s="29" t="str">
        <f aca="false">IF(OR(AI381="",N(O381)=0),"",AI381+AG381/O381)</f>
        <v/>
      </c>
      <c r="AK381" s="32" t="str">
        <f aca="false">IF(OR(AJ381="",N(AE381)=0),"",AJ381-AE381)</f>
        <v/>
      </c>
      <c r="AL381" s="33" t="str">
        <f aca="false">IF(N(F381)=0,"",INDEX(Inputs!$B$28:$B$32,IFERROR(MATCH(F381,Inputs!$A$28:$A$32,1),0)+1))</f>
        <v/>
      </c>
      <c r="AM381" s="34"/>
      <c r="AN381" s="33" t="str">
        <f aca="false">IF(N(AM381)&gt;0,AM381,AL381)</f>
        <v/>
      </c>
      <c r="AO381" s="29" t="str">
        <f aca="false">IF(N(AN381)=0,"",AN381+IF(I381="yes",AN381*Inputs!$B$10*Inputs!$B$9,0)+IFERROR(INDEX(Inputs!$B$13:$B$15,MATCH(G381,Inputs!$A$13:$A$15,0)),0)+IFERROR(INDEX(Inputs!$B$18:$B$24,MATCH(H381,Inputs!$A$18:$A$24,0)),0))</f>
        <v/>
      </c>
      <c r="AP381" s="28" t="str">
        <f aca="false">IF(OR(N(AO381)&lt;=0,N(AG381)=0,N(L381)=0),"",MIN(L381,AG381/AO381))</f>
        <v/>
      </c>
      <c r="AQ381" s="29" t="str">
        <f aca="false">IF(OR(AP381="",N(O381)=0),"",AP381/O381-1)</f>
        <v/>
      </c>
      <c r="AR381" s="29" t="str">
        <f aca="false">IF(OR(AQ381="",N(O381)=0),"",AQ381+AG381/O381)</f>
        <v/>
      </c>
      <c r="AS381" s="32" t="str">
        <f aca="false">IF(OR(AR381="",N(AJ381)=0),"",AR381-AJ381)</f>
        <v/>
      </c>
      <c r="AT381" s="28"/>
      <c r="AU381" s="28"/>
      <c r="AV381" s="28" t="n">
        <f aca="false">IF(N(AT381)&gt;0,AT381,L381)</f>
        <v>25</v>
      </c>
      <c r="AW381" s="28" t="n">
        <f aca="false">IF(AND(N(M381)&gt;0,N(AV381)&gt;0),M381*AV381,IF(N(AU381)&gt;0,AU381,N381))</f>
        <v>1.875</v>
      </c>
      <c r="AX381" s="29" t="str">
        <f aca="false">IF(N(AN381)=0,"",AN381+IF(I381="yes",AN381*Inputs!$B$10*Inputs!$B$9,0)+IFERROR(INDEX(Inputs!$B$13:$B$15,MATCH(G381,Inputs!$A$13:$A$15,0)),0)+IFERROR(INDEX(Inputs!$B$18:$B$24,MATCH(H381,Inputs!$A$18:$A$24,0)),0))</f>
        <v/>
      </c>
      <c r="AY381" s="28" t="str">
        <f aca="false">IF(OR(N(AX381)&lt;=0,N(AW381)=0,N(AV381)=0),"",MIN(AV381,AW381/AX381))</f>
        <v/>
      </c>
      <c r="AZ381" s="29" t="str">
        <f aca="false">IF(OR(AY381="",N(O381)=0),"",AY381/O381-1)</f>
        <v/>
      </c>
      <c r="BA381" s="29" t="str">
        <f aca="false">IF(OR(AZ381="",N(O381)=0),"",AZ381+AW381/O381)</f>
        <v/>
      </c>
      <c r="BB381" s="32" t="str">
        <f aca="false">IF(OR(BA381="",N(AR381)=0),"",BA381-AR381)</f>
        <v/>
      </c>
      <c r="BC381" s="35" t="str">
        <f aca="false">IF(OR(BA381="",N(U381)=0),"",BA381-U381)</f>
        <v/>
      </c>
      <c r="BD381" s="36" t="s">
        <v>147</v>
      </c>
    </row>
    <row r="382" customFormat="false" ht="15" hidden="false" customHeight="false" outlineLevel="0" collapsed="false">
      <c r="A382" s="2" t="s">
        <v>768</v>
      </c>
      <c r="B382" s="2" t="n">
        <v>79</v>
      </c>
      <c r="C382" s="2" t="s">
        <v>822</v>
      </c>
      <c r="D382" s="2" t="s">
        <v>823</v>
      </c>
      <c r="E382" s="2" t="s">
        <v>824</v>
      </c>
      <c r="F382" s="27" t="n">
        <v>2100</v>
      </c>
      <c r="G382" s="2" t="s">
        <v>51</v>
      </c>
      <c r="H382" s="2" t="s">
        <v>58</v>
      </c>
      <c r="I382" s="2" t="s">
        <v>144</v>
      </c>
      <c r="J382" s="2" t="s">
        <v>145</v>
      </c>
      <c r="K382" s="2" t="n">
        <v>4</v>
      </c>
      <c r="L382" s="28" t="n">
        <v>25</v>
      </c>
      <c r="M382" s="29" t="n">
        <v>0.0725</v>
      </c>
      <c r="N382" s="28" t="n">
        <v>1.8125</v>
      </c>
      <c r="O382" s="28" t="n">
        <v>22.95</v>
      </c>
      <c r="P382" s="2" t="s">
        <v>146</v>
      </c>
      <c r="Q382" s="29" t="n">
        <v>0.1</v>
      </c>
      <c r="R382" s="30" t="n">
        <v>0.1</v>
      </c>
      <c r="S382" s="31" t="n">
        <v>18.125</v>
      </c>
      <c r="T382" s="30" t="n">
        <v>-0.210239651416122</v>
      </c>
      <c r="U382" s="30" t="n">
        <v>-0.131263616557734</v>
      </c>
      <c r="V382" s="29" t="n">
        <v>0</v>
      </c>
      <c r="W382" s="29" t="n">
        <f aca="false">IF(N(Q382)=0,"",Q382+IF(I382="yes",Q382*Inputs!$B$10*Inputs!$B$9,0)+V382)</f>
        <v>0.1</v>
      </c>
      <c r="X382" s="28" t="n">
        <f aca="false">IF(OR(N(W382)&lt;=0,N(N382)=0,N(L382)=0),"",MIN(L382,N382/W382))</f>
        <v>18.125</v>
      </c>
      <c r="Y382" s="29" t="n">
        <f aca="false">IF(OR(X382="",N(O382)=0),"",X382/O382-1)</f>
        <v>-0.210239651416122</v>
      </c>
      <c r="Z382" s="29" t="n">
        <f aca="false">IF(OR(Y382="",N(O382)=0),"",Y382+N382/O382)</f>
        <v>-0.131263616557734</v>
      </c>
      <c r="AA382" s="32" t="n">
        <f aca="false">IF(OR(Z382="",N(U382)=0),"",Z382-U382)</f>
        <v>0</v>
      </c>
      <c r="AB382" s="29" t="n">
        <f aca="false">IF(N(Q382)=0,"",Q382+IF(I382="yes",Q382*Inputs!$B$10*Inputs!$B$9,0)+IFERROR(INDEX(Inputs!$B$13:$B$15,MATCH(G382,Inputs!$A$13:$A$15,0)),0)+IFERROR(INDEX(Inputs!$B$18:$B$24,MATCH(H382,Inputs!$A$18:$A$24,0)),0))</f>
        <v>0.1</v>
      </c>
      <c r="AC382" s="28" t="n">
        <f aca="false">IF(OR(N(AB382)&lt;=0,N(N382)=0,N(L382)=0),"",MIN(L382,N382/AB382))</f>
        <v>18.125</v>
      </c>
      <c r="AD382" s="29" t="n">
        <f aca="false">IF(OR(AC382="",N(O382)=0),"",AC382/O382-1)</f>
        <v>-0.210239651416122</v>
      </c>
      <c r="AE382" s="29" t="n">
        <f aca="false">IF(OR(AD382="",N(O382)=0),"",AD382+N382/O382)</f>
        <v>-0.131263616557734</v>
      </c>
      <c r="AF382" s="32" t="n">
        <f aca="false">IF(OR(AE382="",N(Z382)=0),"",AE382-Z382)</f>
        <v>0</v>
      </c>
      <c r="AG382" s="28" t="n">
        <f aca="false">IF(AND(N(M382)&gt;0,N(L382)&gt;0),M382*L382,N382)</f>
        <v>1.8125</v>
      </c>
      <c r="AH382" s="28" t="n">
        <f aca="false">IF(OR(N(AB382)&lt;=0,N(AG382)=0,N(L382)=0),"",MIN(L382,AG382/AB382))</f>
        <v>18.125</v>
      </c>
      <c r="AI382" s="29" t="n">
        <f aca="false">IF(OR(AH382="",N(O382)=0),"",AH382/O382-1)</f>
        <v>-0.210239651416122</v>
      </c>
      <c r="AJ382" s="29" t="n">
        <f aca="false">IF(OR(AI382="",N(O382)=0),"",AI382+AG382/O382)</f>
        <v>-0.131263616557734</v>
      </c>
      <c r="AK382" s="32" t="n">
        <f aca="false">IF(OR(AJ382="",N(AE382)=0),"",AJ382-AE382)</f>
        <v>0</v>
      </c>
      <c r="AL382" s="33" t="n">
        <f aca="false">IF(N(F382)=0,"",INDEX(Inputs!$B$28:$B$32,IFERROR(MATCH(F382,Inputs!$A$28:$A$32,1),0)+1))</f>
        <v>0.085</v>
      </c>
      <c r="AM382" s="34"/>
      <c r="AN382" s="33" t="n">
        <f aca="false">IF(N(AM382)&gt;0,AM382,AL382)</f>
        <v>0.085</v>
      </c>
      <c r="AO382" s="29" t="n">
        <f aca="false">IF(N(AN382)=0,"",AN382+IF(I382="yes",AN382*Inputs!$B$10*Inputs!$B$9,0)+IFERROR(INDEX(Inputs!$B$13:$B$15,MATCH(G382,Inputs!$A$13:$A$15,0)),0)+IFERROR(INDEX(Inputs!$B$18:$B$24,MATCH(H382,Inputs!$A$18:$A$24,0)),0))</f>
        <v>0.085</v>
      </c>
      <c r="AP382" s="28" t="n">
        <f aca="false">IF(OR(N(AO382)&lt;=0,N(AG382)=0,N(L382)=0),"",MIN(L382,AG382/AO382))</f>
        <v>21.3235294117647</v>
      </c>
      <c r="AQ382" s="29" t="n">
        <f aca="false">IF(OR(AP382="",N(O382)=0),"",AP382/O382-1)</f>
        <v>-0.0708701781366142</v>
      </c>
      <c r="AR382" s="29" t="n">
        <f aca="false">IF(OR(AQ382="",N(O382)=0),"",AQ382+AG382/O382)</f>
        <v>0.00810585672177357</v>
      </c>
      <c r="AS382" s="32" t="n">
        <f aca="false">IF(OR(AR382="",N(AJ382)=0),"",AR382-AJ382)</f>
        <v>0.139369473279508</v>
      </c>
      <c r="AT382" s="28" t="n">
        <v>25</v>
      </c>
      <c r="AU382" s="28" t="n">
        <v>1.81</v>
      </c>
      <c r="AV382" s="28" t="n">
        <f aca="false">IF(N(AT382)&gt;0,AT382,L382)</f>
        <v>25</v>
      </c>
      <c r="AW382" s="28" t="n">
        <f aca="false">IF(AND(N(M382)&gt;0,N(AV382)&gt;0),M382*AV382,IF(N(AU382)&gt;0,AU382,N382))</f>
        <v>1.8125</v>
      </c>
      <c r="AX382" s="29" t="n">
        <f aca="false">IF(N(AN382)=0,"",AN382+IF(I382="yes",AN382*Inputs!$B$10*Inputs!$B$9,0)+IFERROR(INDEX(Inputs!$B$13:$B$15,MATCH(G382,Inputs!$A$13:$A$15,0)),0)+IFERROR(INDEX(Inputs!$B$18:$B$24,MATCH(H382,Inputs!$A$18:$A$24,0)),0))</f>
        <v>0.085</v>
      </c>
      <c r="AY382" s="28" t="n">
        <f aca="false">IF(OR(N(AX382)&lt;=0,N(AW382)=0,N(AV382)=0),"",MIN(AV382,AW382/AX382))</f>
        <v>21.3235294117647</v>
      </c>
      <c r="AZ382" s="29" t="n">
        <f aca="false">IF(OR(AY382="",N(O382)=0),"",AY382/O382-1)</f>
        <v>-0.0708701781366142</v>
      </c>
      <c r="BA382" s="29" t="n">
        <f aca="false">IF(OR(AZ382="",N(O382)=0),"",AZ382+AW382/O382)</f>
        <v>0.00810585672177357</v>
      </c>
      <c r="BB382" s="32" t="n">
        <f aca="false">IF(OR(BA382="",N(AR382)=0),"",BA382-AR382)</f>
        <v>0</v>
      </c>
      <c r="BC382" s="35" t="n">
        <f aca="false">IF(OR(BA382="",N(U382)=0),"",BA382-U382)</f>
        <v>0.139369473279508</v>
      </c>
      <c r="BD382" s="37"/>
    </row>
    <row r="383" customFormat="false" ht="15" hidden="false" customHeight="false" outlineLevel="0" collapsed="false">
      <c r="A383" s="2" t="s">
        <v>768</v>
      </c>
      <c r="B383" s="2" t="n">
        <v>80</v>
      </c>
      <c r="C383" s="2" t="s">
        <v>825</v>
      </c>
      <c r="D383" s="2" t="s">
        <v>823</v>
      </c>
      <c r="E383" s="2" t="s">
        <v>824</v>
      </c>
      <c r="F383" s="27" t="n">
        <v>2100</v>
      </c>
      <c r="G383" s="2" t="s">
        <v>51</v>
      </c>
      <c r="H383" s="2" t="s">
        <v>58</v>
      </c>
      <c r="I383" s="2" t="s">
        <v>144</v>
      </c>
      <c r="J383" s="2" t="s">
        <v>145</v>
      </c>
      <c r="K383" s="2" t="n">
        <v>4</v>
      </c>
      <c r="L383" s="28" t="n">
        <v>25</v>
      </c>
      <c r="M383" s="29" t="n">
        <v>0.06875</v>
      </c>
      <c r="N383" s="28" t="n">
        <v>1.71875</v>
      </c>
      <c r="O383" s="28" t="n">
        <v>22.05</v>
      </c>
      <c r="P383" s="2" t="s">
        <v>146</v>
      </c>
      <c r="Q383" s="29" t="n">
        <v>0.1</v>
      </c>
      <c r="R383" s="30" t="n">
        <v>0.1</v>
      </c>
      <c r="S383" s="31" t="n">
        <v>17.1875</v>
      </c>
      <c r="T383" s="30" t="n">
        <v>-0.220521541950113</v>
      </c>
      <c r="U383" s="30" t="n">
        <v>-0.142573696145125</v>
      </c>
      <c r="V383" s="29" t="n">
        <v>0</v>
      </c>
      <c r="W383" s="29" t="n">
        <f aca="false">IF(N(Q383)=0,"",Q383+IF(I383="yes",Q383*Inputs!$B$10*Inputs!$B$9,0)+V383)</f>
        <v>0.1</v>
      </c>
      <c r="X383" s="28" t="n">
        <f aca="false">IF(OR(N(W383)&lt;=0,N(N383)=0,N(L383)=0),"",MIN(L383,N383/W383))</f>
        <v>17.1875</v>
      </c>
      <c r="Y383" s="29" t="n">
        <f aca="false">IF(OR(X383="",N(O383)=0),"",X383/O383-1)</f>
        <v>-0.220521541950113</v>
      </c>
      <c r="Z383" s="29" t="n">
        <f aca="false">IF(OR(Y383="",N(O383)=0),"",Y383+N383/O383)</f>
        <v>-0.142573696145125</v>
      </c>
      <c r="AA383" s="32" t="n">
        <f aca="false">IF(OR(Z383="",N(U383)=0),"",Z383-U383)</f>
        <v>0</v>
      </c>
      <c r="AB383" s="29" t="n">
        <f aca="false">IF(N(Q383)=0,"",Q383+IF(I383="yes",Q383*Inputs!$B$10*Inputs!$B$9,0)+IFERROR(INDEX(Inputs!$B$13:$B$15,MATCH(G383,Inputs!$A$13:$A$15,0)),0)+IFERROR(INDEX(Inputs!$B$18:$B$24,MATCH(H383,Inputs!$A$18:$A$24,0)),0))</f>
        <v>0.1</v>
      </c>
      <c r="AC383" s="28" t="n">
        <f aca="false">IF(OR(N(AB383)&lt;=0,N(N383)=0,N(L383)=0),"",MIN(L383,N383/AB383))</f>
        <v>17.1875</v>
      </c>
      <c r="AD383" s="29" t="n">
        <f aca="false">IF(OR(AC383="",N(O383)=0),"",AC383/O383-1)</f>
        <v>-0.220521541950113</v>
      </c>
      <c r="AE383" s="29" t="n">
        <f aca="false">IF(OR(AD383="",N(O383)=0),"",AD383+N383/O383)</f>
        <v>-0.142573696145125</v>
      </c>
      <c r="AF383" s="32" t="n">
        <f aca="false">IF(OR(AE383="",N(Z383)=0),"",AE383-Z383)</f>
        <v>0</v>
      </c>
      <c r="AG383" s="28" t="n">
        <f aca="false">IF(AND(N(M383)&gt;0,N(L383)&gt;0),M383*L383,N383)</f>
        <v>1.71875</v>
      </c>
      <c r="AH383" s="28" t="n">
        <f aca="false">IF(OR(N(AB383)&lt;=0,N(AG383)=0,N(L383)=0),"",MIN(L383,AG383/AB383))</f>
        <v>17.1875</v>
      </c>
      <c r="AI383" s="29" t="n">
        <f aca="false">IF(OR(AH383="",N(O383)=0),"",AH383/O383-1)</f>
        <v>-0.220521541950113</v>
      </c>
      <c r="AJ383" s="29" t="n">
        <f aca="false">IF(OR(AI383="",N(O383)=0),"",AI383+AG383/O383)</f>
        <v>-0.142573696145125</v>
      </c>
      <c r="AK383" s="32" t="n">
        <f aca="false">IF(OR(AJ383="",N(AE383)=0),"",AJ383-AE383)</f>
        <v>0</v>
      </c>
      <c r="AL383" s="33" t="n">
        <f aca="false">IF(N(F383)=0,"",INDEX(Inputs!$B$28:$B$32,IFERROR(MATCH(F383,Inputs!$A$28:$A$32,1),0)+1))</f>
        <v>0.085</v>
      </c>
      <c r="AM383" s="34"/>
      <c r="AN383" s="33" t="n">
        <f aca="false">IF(N(AM383)&gt;0,AM383,AL383)</f>
        <v>0.085</v>
      </c>
      <c r="AO383" s="29" t="n">
        <f aca="false">IF(N(AN383)=0,"",AN383+IF(I383="yes",AN383*Inputs!$B$10*Inputs!$B$9,0)+IFERROR(INDEX(Inputs!$B$13:$B$15,MATCH(G383,Inputs!$A$13:$A$15,0)),0)+IFERROR(INDEX(Inputs!$B$18:$B$24,MATCH(H383,Inputs!$A$18:$A$24,0)),0))</f>
        <v>0.085</v>
      </c>
      <c r="AP383" s="28" t="n">
        <f aca="false">IF(OR(N(AO383)&lt;=0,N(AG383)=0,N(L383)=0),"",MIN(L383,AG383/AO383))</f>
        <v>20.2205882352941</v>
      </c>
      <c r="AQ383" s="29" t="n">
        <f aca="false">IF(OR(AP383="",N(O383)=0),"",AP383/O383-1)</f>
        <v>-0.0829665199413098</v>
      </c>
      <c r="AR383" s="29" t="n">
        <f aca="false">IF(OR(AQ383="",N(O383)=0),"",AQ383+AG383/O383)</f>
        <v>-0.00501867413632109</v>
      </c>
      <c r="AS383" s="32" t="n">
        <f aca="false">IF(OR(AR383="",N(AJ383)=0),"",AR383-AJ383)</f>
        <v>0.137555022008804</v>
      </c>
      <c r="AT383" s="28" t="n">
        <v>25</v>
      </c>
      <c r="AU383" s="28" t="n">
        <v>1.72</v>
      </c>
      <c r="AV383" s="28" t="n">
        <f aca="false">IF(N(AT383)&gt;0,AT383,L383)</f>
        <v>25</v>
      </c>
      <c r="AW383" s="28" t="n">
        <f aca="false">IF(AND(N(M383)&gt;0,N(AV383)&gt;0),M383*AV383,IF(N(AU383)&gt;0,AU383,N383))</f>
        <v>1.71875</v>
      </c>
      <c r="AX383" s="29" t="n">
        <f aca="false">IF(N(AN383)=0,"",AN383+IF(I383="yes",AN383*Inputs!$B$10*Inputs!$B$9,0)+IFERROR(INDEX(Inputs!$B$13:$B$15,MATCH(G383,Inputs!$A$13:$A$15,0)),0)+IFERROR(INDEX(Inputs!$B$18:$B$24,MATCH(H383,Inputs!$A$18:$A$24,0)),0))</f>
        <v>0.085</v>
      </c>
      <c r="AY383" s="28" t="n">
        <f aca="false">IF(OR(N(AX383)&lt;=0,N(AW383)=0,N(AV383)=0),"",MIN(AV383,AW383/AX383))</f>
        <v>20.2205882352941</v>
      </c>
      <c r="AZ383" s="29" t="n">
        <f aca="false">IF(OR(AY383="",N(O383)=0),"",AY383/O383-1)</f>
        <v>-0.0829665199413098</v>
      </c>
      <c r="BA383" s="29" t="n">
        <f aca="false">IF(OR(AZ383="",N(O383)=0),"",AZ383+AW383/O383)</f>
        <v>-0.00501867413632109</v>
      </c>
      <c r="BB383" s="32" t="n">
        <f aca="false">IF(OR(BA383="",N(AR383)=0),"",BA383-AR383)</f>
        <v>0</v>
      </c>
      <c r="BC383" s="35" t="n">
        <f aca="false">IF(OR(BA383="",N(U383)=0),"",BA383-U383)</f>
        <v>0.137555022008804</v>
      </c>
      <c r="BD383" s="37"/>
    </row>
    <row r="384" customFormat="false" ht="15" hidden="false" customHeight="false" outlineLevel="0" collapsed="false">
      <c r="A384" s="2" t="s">
        <v>768</v>
      </c>
      <c r="B384" s="2" t="n">
        <v>81</v>
      </c>
      <c r="C384" s="2" t="s">
        <v>826</v>
      </c>
      <c r="D384" s="2" t="s">
        <v>823</v>
      </c>
      <c r="E384" s="2" t="s">
        <v>824</v>
      </c>
      <c r="F384" s="27" t="n">
        <v>2100</v>
      </c>
      <c r="G384" s="2" t="s">
        <v>51</v>
      </c>
      <c r="H384" s="2" t="s">
        <v>58</v>
      </c>
      <c r="I384" s="2" t="s">
        <v>144</v>
      </c>
      <c r="J384" s="2" t="s">
        <v>145</v>
      </c>
      <c r="K384" s="2" t="n">
        <v>4</v>
      </c>
      <c r="L384" s="28" t="n">
        <v>25</v>
      </c>
      <c r="M384" s="29" t="n">
        <v>0.075</v>
      </c>
      <c r="N384" s="28" t="n">
        <v>1.875</v>
      </c>
      <c r="O384" s="28" t="n">
        <v>23.75</v>
      </c>
      <c r="P384" s="2" t="s">
        <v>146</v>
      </c>
      <c r="Q384" s="29" t="n">
        <v>0.1</v>
      </c>
      <c r="R384" s="30" t="n">
        <v>0.1</v>
      </c>
      <c r="S384" s="31" t="n">
        <v>18.75</v>
      </c>
      <c r="T384" s="30" t="n">
        <v>-0.210526315789474</v>
      </c>
      <c r="U384" s="30" t="n">
        <v>-0.131578947368421</v>
      </c>
      <c r="V384" s="29" t="n">
        <v>0</v>
      </c>
      <c r="W384" s="29" t="n">
        <f aca="false">IF(N(Q384)=0,"",Q384+IF(I384="yes",Q384*Inputs!$B$10*Inputs!$B$9,0)+V384)</f>
        <v>0.1</v>
      </c>
      <c r="X384" s="28" t="n">
        <f aca="false">IF(OR(N(W384)&lt;=0,N(N384)=0,N(L384)=0),"",MIN(L384,N384/W384))</f>
        <v>18.75</v>
      </c>
      <c r="Y384" s="29" t="n">
        <f aca="false">IF(OR(X384="",N(O384)=0),"",X384/O384-1)</f>
        <v>-0.210526315789474</v>
      </c>
      <c r="Z384" s="29" t="n">
        <f aca="false">IF(OR(Y384="",N(O384)=0),"",Y384+N384/O384)</f>
        <v>-0.131578947368421</v>
      </c>
      <c r="AA384" s="32" t="n">
        <f aca="false">IF(OR(Z384="",N(U384)=0),"",Z384-U384)</f>
        <v>0</v>
      </c>
      <c r="AB384" s="29" t="n">
        <f aca="false">IF(N(Q384)=0,"",Q384+IF(I384="yes",Q384*Inputs!$B$10*Inputs!$B$9,0)+IFERROR(INDEX(Inputs!$B$13:$B$15,MATCH(G384,Inputs!$A$13:$A$15,0)),0)+IFERROR(INDEX(Inputs!$B$18:$B$24,MATCH(H384,Inputs!$A$18:$A$24,0)),0))</f>
        <v>0.1</v>
      </c>
      <c r="AC384" s="28" t="n">
        <f aca="false">IF(OR(N(AB384)&lt;=0,N(N384)=0,N(L384)=0),"",MIN(L384,N384/AB384))</f>
        <v>18.75</v>
      </c>
      <c r="AD384" s="29" t="n">
        <f aca="false">IF(OR(AC384="",N(O384)=0),"",AC384/O384-1)</f>
        <v>-0.210526315789474</v>
      </c>
      <c r="AE384" s="29" t="n">
        <f aca="false">IF(OR(AD384="",N(O384)=0),"",AD384+N384/O384)</f>
        <v>-0.131578947368421</v>
      </c>
      <c r="AF384" s="32" t="n">
        <f aca="false">IF(OR(AE384="",N(Z384)=0),"",AE384-Z384)</f>
        <v>0</v>
      </c>
      <c r="AG384" s="28" t="n">
        <f aca="false">IF(AND(N(M384)&gt;0,N(L384)&gt;0),M384*L384,N384)</f>
        <v>1.875</v>
      </c>
      <c r="AH384" s="28" t="n">
        <f aca="false">IF(OR(N(AB384)&lt;=0,N(AG384)=0,N(L384)=0),"",MIN(L384,AG384/AB384))</f>
        <v>18.75</v>
      </c>
      <c r="AI384" s="29" t="n">
        <f aca="false">IF(OR(AH384="",N(O384)=0),"",AH384/O384-1)</f>
        <v>-0.210526315789474</v>
      </c>
      <c r="AJ384" s="29" t="n">
        <f aca="false">IF(OR(AI384="",N(O384)=0),"",AI384+AG384/O384)</f>
        <v>-0.131578947368421</v>
      </c>
      <c r="AK384" s="32" t="n">
        <f aca="false">IF(OR(AJ384="",N(AE384)=0),"",AJ384-AE384)</f>
        <v>0</v>
      </c>
      <c r="AL384" s="33" t="n">
        <f aca="false">IF(N(F384)=0,"",INDEX(Inputs!$B$28:$B$32,IFERROR(MATCH(F384,Inputs!$A$28:$A$32,1),0)+1))</f>
        <v>0.085</v>
      </c>
      <c r="AM384" s="34"/>
      <c r="AN384" s="33" t="n">
        <f aca="false">IF(N(AM384)&gt;0,AM384,AL384)</f>
        <v>0.085</v>
      </c>
      <c r="AO384" s="29" t="n">
        <f aca="false">IF(N(AN384)=0,"",AN384+IF(I384="yes",AN384*Inputs!$B$10*Inputs!$B$9,0)+IFERROR(INDEX(Inputs!$B$13:$B$15,MATCH(G384,Inputs!$A$13:$A$15,0)),0)+IFERROR(INDEX(Inputs!$B$18:$B$24,MATCH(H384,Inputs!$A$18:$A$24,0)),0))</f>
        <v>0.085</v>
      </c>
      <c r="AP384" s="28" t="n">
        <f aca="false">IF(OR(N(AO384)&lt;=0,N(AG384)=0,N(L384)=0),"",MIN(L384,AG384/AO384))</f>
        <v>22.0588235294118</v>
      </c>
      <c r="AQ384" s="29" t="n">
        <f aca="false">IF(OR(AP384="",N(O384)=0),"",AP384/O384-1)</f>
        <v>-0.0712074303405573</v>
      </c>
      <c r="AR384" s="29" t="n">
        <f aca="false">IF(OR(AQ384="",N(O384)=0),"",AQ384+AG384/O384)</f>
        <v>0.00773993808049531</v>
      </c>
      <c r="AS384" s="32" t="n">
        <f aca="false">IF(OR(AR384="",N(AJ384)=0),"",AR384-AJ384)</f>
        <v>0.139318885448916</v>
      </c>
      <c r="AT384" s="28" t="n">
        <v>25</v>
      </c>
      <c r="AU384" s="28" t="n">
        <v>1.88</v>
      </c>
      <c r="AV384" s="28" t="n">
        <f aca="false">IF(N(AT384)&gt;0,AT384,L384)</f>
        <v>25</v>
      </c>
      <c r="AW384" s="28" t="n">
        <f aca="false">IF(AND(N(M384)&gt;0,N(AV384)&gt;0),M384*AV384,IF(N(AU384)&gt;0,AU384,N384))</f>
        <v>1.875</v>
      </c>
      <c r="AX384" s="29" t="n">
        <f aca="false">IF(N(AN384)=0,"",AN384+IF(I384="yes",AN384*Inputs!$B$10*Inputs!$B$9,0)+IFERROR(INDEX(Inputs!$B$13:$B$15,MATCH(G384,Inputs!$A$13:$A$15,0)),0)+IFERROR(INDEX(Inputs!$B$18:$B$24,MATCH(H384,Inputs!$A$18:$A$24,0)),0))</f>
        <v>0.085</v>
      </c>
      <c r="AY384" s="28" t="n">
        <f aca="false">IF(OR(N(AX384)&lt;=0,N(AW384)=0,N(AV384)=0),"",MIN(AV384,AW384/AX384))</f>
        <v>22.0588235294118</v>
      </c>
      <c r="AZ384" s="29" t="n">
        <f aca="false">IF(OR(AY384="",N(O384)=0),"",AY384/O384-1)</f>
        <v>-0.0712074303405573</v>
      </c>
      <c r="BA384" s="29" t="n">
        <f aca="false">IF(OR(AZ384="",N(O384)=0),"",AZ384+AW384/O384)</f>
        <v>0.00773993808049531</v>
      </c>
      <c r="BB384" s="32" t="n">
        <f aca="false">IF(OR(BA384="",N(AR384)=0),"",BA384-AR384)</f>
        <v>0</v>
      </c>
      <c r="BC384" s="35" t="n">
        <f aca="false">IF(OR(BA384="",N(U384)=0),"",BA384-U384)</f>
        <v>0.139318885448916</v>
      </c>
      <c r="BD384" s="37"/>
    </row>
    <row r="385" customFormat="false" ht="15" hidden="false" customHeight="false" outlineLevel="0" collapsed="false">
      <c r="A385" s="2" t="s">
        <v>768</v>
      </c>
      <c r="B385" s="2" t="n">
        <v>82</v>
      </c>
      <c r="C385" s="2" t="s">
        <v>827</v>
      </c>
      <c r="D385" s="2" t="s">
        <v>823</v>
      </c>
      <c r="E385" s="2" t="s">
        <v>824</v>
      </c>
      <c r="F385" s="27" t="n">
        <v>2100</v>
      </c>
      <c r="G385" s="2" t="s">
        <v>51</v>
      </c>
      <c r="H385" s="2" t="s">
        <v>58</v>
      </c>
      <c r="I385" s="2" t="s">
        <v>144</v>
      </c>
      <c r="J385" s="2" t="s">
        <v>145</v>
      </c>
      <c r="K385" s="2" t="n">
        <v>4</v>
      </c>
      <c r="L385" s="28" t="n">
        <v>25</v>
      </c>
      <c r="M385" s="29" t="n">
        <v>0.07375</v>
      </c>
      <c r="N385" s="28" t="n">
        <v>1.84375</v>
      </c>
      <c r="O385" s="28" t="n">
        <v>23.02</v>
      </c>
      <c r="P385" s="2" t="s">
        <v>146</v>
      </c>
      <c r="Q385" s="29" t="n">
        <v>0.1</v>
      </c>
      <c r="R385" s="30" t="n">
        <v>0.1</v>
      </c>
      <c r="S385" s="31" t="n">
        <v>18.4375</v>
      </c>
      <c r="T385" s="30" t="n">
        <v>-0.199066029539531</v>
      </c>
      <c r="U385" s="30" t="n">
        <v>-0.118972632493484</v>
      </c>
      <c r="V385" s="29" t="n">
        <v>0</v>
      </c>
      <c r="W385" s="29" t="n">
        <f aca="false">IF(N(Q385)=0,"",Q385+IF(I385="yes",Q385*Inputs!$B$10*Inputs!$B$9,0)+V385)</f>
        <v>0.1</v>
      </c>
      <c r="X385" s="28" t="n">
        <f aca="false">IF(OR(N(W385)&lt;=0,N(N385)=0,N(L385)=0),"",MIN(L385,N385/W385))</f>
        <v>18.4375</v>
      </c>
      <c r="Y385" s="29" t="n">
        <f aca="false">IF(OR(X385="",N(O385)=0),"",X385/O385-1)</f>
        <v>-0.199066029539531</v>
      </c>
      <c r="Z385" s="29" t="n">
        <f aca="false">IF(OR(Y385="",N(O385)=0),"",Y385+N385/O385)</f>
        <v>-0.118972632493484</v>
      </c>
      <c r="AA385" s="32" t="n">
        <f aca="false">IF(OR(Z385="",N(U385)=0),"",Z385-U385)</f>
        <v>0</v>
      </c>
      <c r="AB385" s="29" t="n">
        <f aca="false">IF(N(Q385)=0,"",Q385+IF(I385="yes",Q385*Inputs!$B$10*Inputs!$B$9,0)+IFERROR(INDEX(Inputs!$B$13:$B$15,MATCH(G385,Inputs!$A$13:$A$15,0)),0)+IFERROR(INDEX(Inputs!$B$18:$B$24,MATCH(H385,Inputs!$A$18:$A$24,0)),0))</f>
        <v>0.1</v>
      </c>
      <c r="AC385" s="28" t="n">
        <f aca="false">IF(OR(N(AB385)&lt;=0,N(N385)=0,N(L385)=0),"",MIN(L385,N385/AB385))</f>
        <v>18.4375</v>
      </c>
      <c r="AD385" s="29" t="n">
        <f aca="false">IF(OR(AC385="",N(O385)=0),"",AC385/O385-1)</f>
        <v>-0.199066029539531</v>
      </c>
      <c r="AE385" s="29" t="n">
        <f aca="false">IF(OR(AD385="",N(O385)=0),"",AD385+N385/O385)</f>
        <v>-0.118972632493484</v>
      </c>
      <c r="AF385" s="32" t="n">
        <f aca="false">IF(OR(AE385="",N(Z385)=0),"",AE385-Z385)</f>
        <v>0</v>
      </c>
      <c r="AG385" s="28" t="n">
        <f aca="false">IF(AND(N(M385)&gt;0,N(L385)&gt;0),M385*L385,N385)</f>
        <v>1.84375</v>
      </c>
      <c r="AH385" s="28" t="n">
        <f aca="false">IF(OR(N(AB385)&lt;=0,N(AG385)=0,N(L385)=0),"",MIN(L385,AG385/AB385))</f>
        <v>18.4375</v>
      </c>
      <c r="AI385" s="29" t="n">
        <f aca="false">IF(OR(AH385="",N(O385)=0),"",AH385/O385-1)</f>
        <v>-0.199066029539531</v>
      </c>
      <c r="AJ385" s="29" t="n">
        <f aca="false">IF(OR(AI385="",N(O385)=0),"",AI385+AG385/O385)</f>
        <v>-0.118972632493484</v>
      </c>
      <c r="AK385" s="32" t="n">
        <f aca="false">IF(OR(AJ385="",N(AE385)=0),"",AJ385-AE385)</f>
        <v>0</v>
      </c>
      <c r="AL385" s="33" t="n">
        <f aca="false">IF(N(F385)=0,"",INDEX(Inputs!$B$28:$B$32,IFERROR(MATCH(F385,Inputs!$A$28:$A$32,1),0)+1))</f>
        <v>0.085</v>
      </c>
      <c r="AM385" s="34"/>
      <c r="AN385" s="33" t="n">
        <f aca="false">IF(N(AM385)&gt;0,AM385,AL385)</f>
        <v>0.085</v>
      </c>
      <c r="AO385" s="29" t="n">
        <f aca="false">IF(N(AN385)=0,"",AN385+IF(I385="yes",AN385*Inputs!$B$10*Inputs!$B$9,0)+IFERROR(INDEX(Inputs!$B$13:$B$15,MATCH(G385,Inputs!$A$13:$A$15,0)),0)+IFERROR(INDEX(Inputs!$B$18:$B$24,MATCH(H385,Inputs!$A$18:$A$24,0)),0))</f>
        <v>0.085</v>
      </c>
      <c r="AP385" s="28" t="n">
        <f aca="false">IF(OR(N(AO385)&lt;=0,N(AG385)=0,N(L385)=0),"",MIN(L385,AG385/AO385))</f>
        <v>21.6911764705882</v>
      </c>
      <c r="AQ385" s="29" t="n">
        <f aca="false">IF(OR(AP385="",N(O385)=0),"",AP385/O385-1)</f>
        <v>-0.0577247406347421</v>
      </c>
      <c r="AR385" s="29" t="n">
        <f aca="false">IF(OR(AQ385="",N(O385)=0),"",AQ385+AG385/O385)</f>
        <v>0.0223686564113048</v>
      </c>
      <c r="AS385" s="32" t="n">
        <f aca="false">IF(OR(AR385="",N(AJ385)=0),"",AR385-AJ385)</f>
        <v>0.141341288904789</v>
      </c>
      <c r="AT385" s="28" t="n">
        <v>25</v>
      </c>
      <c r="AU385" s="28" t="n">
        <v>1.84375</v>
      </c>
      <c r="AV385" s="28" t="n">
        <f aca="false">IF(N(AT385)&gt;0,AT385,L385)</f>
        <v>25</v>
      </c>
      <c r="AW385" s="28" t="n">
        <f aca="false">IF(AND(N(M385)&gt;0,N(AV385)&gt;0),M385*AV385,IF(N(AU385)&gt;0,AU385,N385))</f>
        <v>1.84375</v>
      </c>
      <c r="AX385" s="29" t="n">
        <f aca="false">IF(N(AN385)=0,"",AN385+IF(I385="yes",AN385*Inputs!$B$10*Inputs!$B$9,0)+IFERROR(INDEX(Inputs!$B$13:$B$15,MATCH(G385,Inputs!$A$13:$A$15,0)),0)+IFERROR(INDEX(Inputs!$B$18:$B$24,MATCH(H385,Inputs!$A$18:$A$24,0)),0))</f>
        <v>0.085</v>
      </c>
      <c r="AY385" s="28" t="n">
        <f aca="false">IF(OR(N(AX385)&lt;=0,N(AW385)=0,N(AV385)=0),"",MIN(AV385,AW385/AX385))</f>
        <v>21.6911764705882</v>
      </c>
      <c r="AZ385" s="29" t="n">
        <f aca="false">IF(OR(AY385="",N(O385)=0),"",AY385/O385-1)</f>
        <v>-0.0577247406347421</v>
      </c>
      <c r="BA385" s="29" t="n">
        <f aca="false">IF(OR(AZ385="",N(O385)=0),"",AZ385+AW385/O385)</f>
        <v>0.0223686564113048</v>
      </c>
      <c r="BB385" s="32" t="n">
        <f aca="false">IF(OR(BA385="",N(AR385)=0),"",BA385-AR385)</f>
        <v>0</v>
      </c>
      <c r="BC385" s="35" t="n">
        <f aca="false">IF(OR(BA385="",N(U385)=0),"",BA385-U385)</f>
        <v>0.141341288904789</v>
      </c>
      <c r="BD385" s="37"/>
    </row>
    <row r="386" customFormat="false" ht="15" hidden="false" customHeight="false" outlineLevel="0" collapsed="false">
      <c r="A386" s="2" t="s">
        <v>768</v>
      </c>
      <c r="B386" s="2" t="n">
        <v>85</v>
      </c>
      <c r="C386" s="2" t="s">
        <v>828</v>
      </c>
      <c r="D386" s="2" t="s">
        <v>829</v>
      </c>
      <c r="E386" s="2" t="s">
        <v>830</v>
      </c>
      <c r="F386" s="27" t="n">
        <v>150</v>
      </c>
      <c r="G386" s="2" t="s">
        <v>51</v>
      </c>
      <c r="H386" s="2" t="s">
        <v>58</v>
      </c>
      <c r="I386" s="2" t="s">
        <v>151</v>
      </c>
      <c r="J386" s="2" t="s">
        <v>145</v>
      </c>
      <c r="K386" s="2" t="n">
        <v>4</v>
      </c>
      <c r="L386" s="28" t="n">
        <v>25</v>
      </c>
      <c r="M386" s="29" t="n">
        <v>0.052</v>
      </c>
      <c r="N386" s="28" t="n">
        <v>1.3</v>
      </c>
      <c r="O386" s="28" t="n">
        <v>19.74</v>
      </c>
      <c r="P386" s="2" t="s">
        <v>146</v>
      </c>
      <c r="Q386" s="29" t="n">
        <v>0.1</v>
      </c>
      <c r="R386" s="30" t="n">
        <v>0.095</v>
      </c>
      <c r="S386" s="31" t="n">
        <v>13.6842105263158</v>
      </c>
      <c r="T386" s="30" t="n">
        <v>-0.306777582253506</v>
      </c>
      <c r="U386" s="30" t="n">
        <v>-0.240921452567589</v>
      </c>
      <c r="V386" s="29" t="n">
        <v>0</v>
      </c>
      <c r="W386" s="29" t="n">
        <f aca="false">IF(N(Q386)=0,"",Q386+IF(I386="yes",Q386*Inputs!$B$10*Inputs!$B$9,0)+V386)</f>
        <v>0.095</v>
      </c>
      <c r="X386" s="28" t="n">
        <f aca="false">IF(OR(N(W386)&lt;=0,N(N386)=0,N(L386)=0),"",MIN(L386,N386/W386))</f>
        <v>13.6842105263158</v>
      </c>
      <c r="Y386" s="29" t="n">
        <f aca="false">IF(OR(X386="",N(O386)=0),"",X386/O386-1)</f>
        <v>-0.306777582253506</v>
      </c>
      <c r="Z386" s="29" t="n">
        <f aca="false">IF(OR(Y386="",N(O386)=0),"",Y386+N386/O386)</f>
        <v>-0.240921452567589</v>
      </c>
      <c r="AA386" s="32" t="n">
        <f aca="false">IF(OR(Z386="",N(U386)=0),"",Z386-U386)</f>
        <v>0</v>
      </c>
      <c r="AB386" s="29" t="n">
        <f aca="false">IF(N(Q386)=0,"",Q386+IF(I386="yes",Q386*Inputs!$B$10*Inputs!$B$9,0)+IFERROR(INDEX(Inputs!$B$13:$B$15,MATCH(G386,Inputs!$A$13:$A$15,0)),0)+IFERROR(INDEX(Inputs!$B$18:$B$24,MATCH(H386,Inputs!$A$18:$A$24,0)),0))</f>
        <v>0.095</v>
      </c>
      <c r="AC386" s="28" t="n">
        <f aca="false">IF(OR(N(AB386)&lt;=0,N(N386)=0,N(L386)=0),"",MIN(L386,N386/AB386))</f>
        <v>13.6842105263158</v>
      </c>
      <c r="AD386" s="29" t="n">
        <f aca="false">IF(OR(AC386="",N(O386)=0),"",AC386/O386-1)</f>
        <v>-0.306777582253506</v>
      </c>
      <c r="AE386" s="29" t="n">
        <f aca="false">IF(OR(AD386="",N(O386)=0),"",AD386+N386/O386)</f>
        <v>-0.240921452567589</v>
      </c>
      <c r="AF386" s="32" t="n">
        <f aca="false">IF(OR(AE386="",N(Z386)=0),"",AE386-Z386)</f>
        <v>0</v>
      </c>
      <c r="AG386" s="28" t="n">
        <f aca="false">IF(AND(N(M386)&gt;0,N(L386)&gt;0),M386*L386,N386)</f>
        <v>1.3</v>
      </c>
      <c r="AH386" s="28" t="n">
        <f aca="false">IF(OR(N(AB386)&lt;=0,N(AG386)=0,N(L386)=0),"",MIN(L386,AG386/AB386))</f>
        <v>13.6842105263158</v>
      </c>
      <c r="AI386" s="29" t="n">
        <f aca="false">IF(OR(AH386="",N(O386)=0),"",AH386/O386-1)</f>
        <v>-0.306777582253506</v>
      </c>
      <c r="AJ386" s="29" t="n">
        <f aca="false">IF(OR(AI386="",N(O386)=0),"",AI386+AG386/O386)</f>
        <v>-0.240921452567589</v>
      </c>
      <c r="AK386" s="32" t="n">
        <f aca="false">IF(OR(AJ386="",N(AE386)=0),"",AJ386-AE386)</f>
        <v>0</v>
      </c>
      <c r="AL386" s="33" t="n">
        <f aca="false">IF(N(F386)=0,"",INDEX(Inputs!$B$28:$B$32,IFERROR(MATCH(F386,Inputs!$A$28:$A$32,1),0)+1))</f>
        <v>0.1</v>
      </c>
      <c r="AM386" s="34"/>
      <c r="AN386" s="33" t="n">
        <f aca="false">IF(N(AM386)&gt;0,AM386,AL386)</f>
        <v>0.1</v>
      </c>
      <c r="AO386" s="29" t="n">
        <f aca="false">IF(N(AN386)=0,"",AN386+IF(I386="yes",AN386*Inputs!$B$10*Inputs!$B$9,0)+IFERROR(INDEX(Inputs!$B$13:$B$15,MATCH(G386,Inputs!$A$13:$A$15,0)),0)+IFERROR(INDEX(Inputs!$B$18:$B$24,MATCH(H386,Inputs!$A$18:$A$24,0)),0))</f>
        <v>0.095</v>
      </c>
      <c r="AP386" s="28" t="n">
        <f aca="false">IF(OR(N(AO386)&lt;=0,N(AG386)=0,N(L386)=0),"",MIN(L386,AG386/AO386))</f>
        <v>13.6842105263158</v>
      </c>
      <c r="AQ386" s="29" t="n">
        <f aca="false">IF(OR(AP386="",N(O386)=0),"",AP386/O386-1)</f>
        <v>-0.306777582253506</v>
      </c>
      <c r="AR386" s="29" t="n">
        <f aca="false">IF(OR(AQ386="",N(O386)=0),"",AQ386+AG386/O386)</f>
        <v>-0.240921452567589</v>
      </c>
      <c r="AS386" s="32" t="n">
        <f aca="false">IF(OR(AR386="",N(AJ386)=0),"",AR386-AJ386)</f>
        <v>0</v>
      </c>
      <c r="AT386" s="28" t="n">
        <v>25</v>
      </c>
      <c r="AU386" s="28" t="n">
        <v>1.3</v>
      </c>
      <c r="AV386" s="28" t="n">
        <f aca="false">IF(N(AT386)&gt;0,AT386,L386)</f>
        <v>25</v>
      </c>
      <c r="AW386" s="28" t="n">
        <f aca="false">IF(AND(N(M386)&gt;0,N(AV386)&gt;0),M386*AV386,IF(N(AU386)&gt;0,AU386,N386))</f>
        <v>1.3</v>
      </c>
      <c r="AX386" s="29" t="n">
        <f aca="false">IF(N(AN386)=0,"",AN386+IF(I386="yes",AN386*Inputs!$B$10*Inputs!$B$9,0)+IFERROR(INDEX(Inputs!$B$13:$B$15,MATCH(G386,Inputs!$A$13:$A$15,0)),0)+IFERROR(INDEX(Inputs!$B$18:$B$24,MATCH(H386,Inputs!$A$18:$A$24,0)),0))</f>
        <v>0.095</v>
      </c>
      <c r="AY386" s="28" t="n">
        <f aca="false">IF(OR(N(AX386)&lt;=0,N(AW386)=0,N(AV386)=0),"",MIN(AV386,AW386/AX386))</f>
        <v>13.6842105263158</v>
      </c>
      <c r="AZ386" s="29" t="n">
        <f aca="false">IF(OR(AY386="",N(O386)=0),"",AY386/O386-1)</f>
        <v>-0.306777582253506</v>
      </c>
      <c r="BA386" s="29" t="n">
        <f aca="false">IF(OR(AZ386="",N(O386)=0),"",AZ386+AW386/O386)</f>
        <v>-0.240921452567589</v>
      </c>
      <c r="BB386" s="32" t="n">
        <f aca="false">IF(OR(BA386="",N(AR386)=0),"",BA386-AR386)</f>
        <v>0</v>
      </c>
      <c r="BC386" s="35" t="n">
        <f aca="false">IF(OR(BA386="",N(U386)=0),"",BA386-U386)</f>
        <v>0</v>
      </c>
      <c r="BD386" s="37"/>
    </row>
    <row r="387" customFormat="false" ht="15" hidden="false" customHeight="false" outlineLevel="0" collapsed="false">
      <c r="A387" s="2" t="s">
        <v>768</v>
      </c>
      <c r="B387" s="2" t="n">
        <v>89</v>
      </c>
      <c r="C387" s="2" t="s">
        <v>831</v>
      </c>
      <c r="D387" s="2" t="s">
        <v>832</v>
      </c>
      <c r="E387" s="2" t="s">
        <v>833</v>
      </c>
      <c r="F387" s="27" t="n">
        <v>628</v>
      </c>
      <c r="G387" s="2" t="s">
        <v>51</v>
      </c>
      <c r="H387" s="2" t="s">
        <v>58</v>
      </c>
      <c r="I387" s="2" t="s">
        <v>144</v>
      </c>
      <c r="J387" s="2" t="s">
        <v>168</v>
      </c>
      <c r="K387" s="2" t="n">
        <v>12</v>
      </c>
      <c r="L387" s="28" t="n">
        <v>25</v>
      </c>
      <c r="M387" s="29" t="n">
        <v>0.0664</v>
      </c>
      <c r="N387" s="28" t="n">
        <v>1.66</v>
      </c>
      <c r="O387" s="28" t="n">
        <v>23.6</v>
      </c>
      <c r="P387" s="2" t="s">
        <v>146</v>
      </c>
      <c r="Q387" s="29" t="n">
        <v>0.09</v>
      </c>
      <c r="R387" s="30" t="n">
        <v>0.09</v>
      </c>
      <c r="S387" s="31" t="n">
        <v>18.4444444444444</v>
      </c>
      <c r="T387" s="30" t="n">
        <v>-0.218455743879473</v>
      </c>
      <c r="U387" s="30" t="n">
        <v>-0.148116760828625</v>
      </c>
      <c r="V387" s="29" t="n">
        <v>0</v>
      </c>
      <c r="W387" s="29" t="n">
        <f aca="false">IF(N(Q387)=0,"",Q387+IF(I387="yes",Q387*Inputs!$B$10*Inputs!$B$9,0)+V387)</f>
        <v>0.09</v>
      </c>
      <c r="X387" s="28" t="n">
        <f aca="false">IF(OR(N(W387)&lt;=0,N(N387)=0,N(L387)=0),"",MIN(L387,N387/W387))</f>
        <v>18.4444444444444</v>
      </c>
      <c r="Y387" s="29" t="n">
        <f aca="false">IF(OR(X387="",N(O387)=0),"",X387/O387-1)</f>
        <v>-0.218455743879473</v>
      </c>
      <c r="Z387" s="29" t="n">
        <f aca="false">IF(OR(Y387="",N(O387)=0),"",Y387+N387/O387)</f>
        <v>-0.148116760828625</v>
      </c>
      <c r="AA387" s="32" t="n">
        <f aca="false">IF(OR(Z387="",N(U387)=0),"",Z387-U387)</f>
        <v>0</v>
      </c>
      <c r="AB387" s="29" t="n">
        <f aca="false">IF(N(Q387)=0,"",Q387+IF(I387="yes",Q387*Inputs!$B$10*Inputs!$B$9,0)+IFERROR(INDEX(Inputs!$B$13:$B$15,MATCH(G387,Inputs!$A$13:$A$15,0)),0)+IFERROR(INDEX(Inputs!$B$18:$B$24,MATCH(H387,Inputs!$A$18:$A$24,0)),0))</f>
        <v>0.09</v>
      </c>
      <c r="AC387" s="28" t="n">
        <f aca="false">IF(OR(N(AB387)&lt;=0,N(N387)=0,N(L387)=0),"",MIN(L387,N387/AB387))</f>
        <v>18.4444444444444</v>
      </c>
      <c r="AD387" s="29" t="n">
        <f aca="false">IF(OR(AC387="",N(O387)=0),"",AC387/O387-1)</f>
        <v>-0.218455743879473</v>
      </c>
      <c r="AE387" s="29" t="n">
        <f aca="false">IF(OR(AD387="",N(O387)=0),"",AD387+N387/O387)</f>
        <v>-0.148116760828625</v>
      </c>
      <c r="AF387" s="32" t="n">
        <f aca="false">IF(OR(AE387="",N(Z387)=0),"",AE387-Z387)</f>
        <v>0</v>
      </c>
      <c r="AG387" s="28" t="n">
        <f aca="false">IF(AND(N(M387)&gt;0,N(L387)&gt;0),M387*L387,N387)</f>
        <v>1.66</v>
      </c>
      <c r="AH387" s="28" t="n">
        <f aca="false">IF(OR(N(AB387)&lt;=0,N(AG387)=0,N(L387)=0),"",MIN(L387,AG387/AB387))</f>
        <v>18.4444444444444</v>
      </c>
      <c r="AI387" s="29" t="n">
        <f aca="false">IF(OR(AH387="",N(O387)=0),"",AH387/O387-1)</f>
        <v>-0.218455743879473</v>
      </c>
      <c r="AJ387" s="29" t="n">
        <f aca="false">IF(OR(AI387="",N(O387)=0),"",AI387+AG387/O387)</f>
        <v>-0.148116760828625</v>
      </c>
      <c r="AK387" s="32" t="n">
        <f aca="false">IF(OR(AJ387="",N(AE387)=0),"",AJ387-AE387)</f>
        <v>0</v>
      </c>
      <c r="AL387" s="33" t="n">
        <f aca="false">IF(N(F387)=0,"",INDEX(Inputs!$B$28:$B$32,IFERROR(MATCH(F387,Inputs!$A$28:$A$32,1),0)+1))</f>
        <v>0.09</v>
      </c>
      <c r="AM387" s="34"/>
      <c r="AN387" s="33" t="n">
        <f aca="false">IF(N(AM387)&gt;0,AM387,AL387)</f>
        <v>0.09</v>
      </c>
      <c r="AO387" s="29" t="n">
        <f aca="false">IF(N(AN387)=0,"",AN387+IF(I387="yes",AN387*Inputs!$B$10*Inputs!$B$9,0)+IFERROR(INDEX(Inputs!$B$13:$B$15,MATCH(G387,Inputs!$A$13:$A$15,0)),0)+IFERROR(INDEX(Inputs!$B$18:$B$24,MATCH(H387,Inputs!$A$18:$A$24,0)),0))</f>
        <v>0.09</v>
      </c>
      <c r="AP387" s="28" t="n">
        <f aca="false">IF(OR(N(AO387)&lt;=0,N(AG387)=0,N(L387)=0),"",MIN(L387,AG387/AO387))</f>
        <v>18.4444444444444</v>
      </c>
      <c r="AQ387" s="29" t="n">
        <f aca="false">IF(OR(AP387="",N(O387)=0),"",AP387/O387-1)</f>
        <v>-0.218455743879473</v>
      </c>
      <c r="AR387" s="29" t="n">
        <f aca="false">IF(OR(AQ387="",N(O387)=0),"",AQ387+AG387/O387)</f>
        <v>-0.148116760828625</v>
      </c>
      <c r="AS387" s="32" t="n">
        <f aca="false">IF(OR(AR387="",N(AJ387)=0),"",AR387-AJ387)</f>
        <v>0</v>
      </c>
      <c r="AT387" s="28" t="n">
        <v>25</v>
      </c>
      <c r="AU387" s="28" t="n">
        <v>1.66</v>
      </c>
      <c r="AV387" s="28" t="n">
        <f aca="false">IF(N(AT387)&gt;0,AT387,L387)</f>
        <v>25</v>
      </c>
      <c r="AW387" s="28" t="n">
        <f aca="false">IF(AND(N(M387)&gt;0,N(AV387)&gt;0),M387*AV387,IF(N(AU387)&gt;0,AU387,N387))</f>
        <v>1.66</v>
      </c>
      <c r="AX387" s="29" t="n">
        <f aca="false">IF(N(AN387)=0,"",AN387+IF(I387="yes",AN387*Inputs!$B$10*Inputs!$B$9,0)+IFERROR(INDEX(Inputs!$B$13:$B$15,MATCH(G387,Inputs!$A$13:$A$15,0)),0)+IFERROR(INDEX(Inputs!$B$18:$B$24,MATCH(H387,Inputs!$A$18:$A$24,0)),0))</f>
        <v>0.09</v>
      </c>
      <c r="AY387" s="28" t="n">
        <f aca="false">IF(OR(N(AX387)&lt;=0,N(AW387)=0,N(AV387)=0),"",MIN(AV387,AW387/AX387))</f>
        <v>18.4444444444444</v>
      </c>
      <c r="AZ387" s="29" t="n">
        <f aca="false">IF(OR(AY387="",N(O387)=0),"",AY387/O387-1)</f>
        <v>-0.218455743879473</v>
      </c>
      <c r="BA387" s="29" t="n">
        <f aca="false">IF(OR(AZ387="",N(O387)=0),"",AZ387+AW387/O387)</f>
        <v>-0.148116760828625</v>
      </c>
      <c r="BB387" s="32" t="n">
        <f aca="false">IF(OR(BA387="",N(AR387)=0),"",BA387-AR387)</f>
        <v>0</v>
      </c>
      <c r="BC387" s="35" t="n">
        <f aca="false">IF(OR(BA387="",N(U387)=0),"",BA387-U387)</f>
        <v>0</v>
      </c>
      <c r="BD387" s="37"/>
    </row>
    <row r="388" customFormat="false" ht="15" hidden="false" customHeight="false" outlineLevel="0" collapsed="false">
      <c r="A388" s="2" t="s">
        <v>768</v>
      </c>
      <c r="B388" s="2" t="n">
        <v>90</v>
      </c>
      <c r="C388" s="2" t="s">
        <v>834</v>
      </c>
      <c r="D388" s="2" t="s">
        <v>832</v>
      </c>
      <c r="E388" s="2" t="s">
        <v>833</v>
      </c>
      <c r="F388" s="27" t="n">
        <v>628</v>
      </c>
      <c r="G388" s="2" t="s">
        <v>51</v>
      </c>
      <c r="H388" s="2" t="s">
        <v>58</v>
      </c>
      <c r="I388" s="2" t="s">
        <v>144</v>
      </c>
      <c r="J388" s="2" t="s">
        <v>168</v>
      </c>
      <c r="K388" s="2" t="n">
        <v>12</v>
      </c>
      <c r="L388" s="28" t="n">
        <v>25</v>
      </c>
      <c r="M388" s="29" t="n">
        <v>0.06</v>
      </c>
      <c r="N388" s="28" t="n">
        <v>1.5</v>
      </c>
      <c r="O388" s="28" t="n">
        <v>20.96</v>
      </c>
      <c r="P388" s="2" t="s">
        <v>146</v>
      </c>
      <c r="Q388" s="29" t="n">
        <v>0.09</v>
      </c>
      <c r="R388" s="30" t="n">
        <v>0.09</v>
      </c>
      <c r="S388" s="31" t="n">
        <v>16.6666666666667</v>
      </c>
      <c r="T388" s="30" t="n">
        <v>-0.204834605597965</v>
      </c>
      <c r="U388" s="30" t="n">
        <v>-0.133269720101781</v>
      </c>
      <c r="V388" s="29" t="n">
        <v>0</v>
      </c>
      <c r="W388" s="29" t="n">
        <f aca="false">IF(N(Q388)=0,"",Q388+IF(I388="yes",Q388*Inputs!$B$10*Inputs!$B$9,0)+V388)</f>
        <v>0.09</v>
      </c>
      <c r="X388" s="28" t="n">
        <f aca="false">IF(OR(N(W388)&lt;=0,N(N388)=0,N(L388)=0),"",MIN(L388,N388/W388))</f>
        <v>16.6666666666667</v>
      </c>
      <c r="Y388" s="29" t="n">
        <f aca="false">IF(OR(X388="",N(O388)=0),"",X388/O388-1)</f>
        <v>-0.204834605597965</v>
      </c>
      <c r="Z388" s="29" t="n">
        <f aca="false">IF(OR(Y388="",N(O388)=0),"",Y388+N388/O388)</f>
        <v>-0.133269720101781</v>
      </c>
      <c r="AA388" s="32" t="n">
        <f aca="false">IF(OR(Z388="",N(U388)=0),"",Z388-U388)</f>
        <v>0</v>
      </c>
      <c r="AB388" s="29" t="n">
        <f aca="false">IF(N(Q388)=0,"",Q388+IF(I388="yes",Q388*Inputs!$B$10*Inputs!$B$9,0)+IFERROR(INDEX(Inputs!$B$13:$B$15,MATCH(G388,Inputs!$A$13:$A$15,0)),0)+IFERROR(INDEX(Inputs!$B$18:$B$24,MATCH(H388,Inputs!$A$18:$A$24,0)),0))</f>
        <v>0.09</v>
      </c>
      <c r="AC388" s="28" t="n">
        <f aca="false">IF(OR(N(AB388)&lt;=0,N(N388)=0,N(L388)=0),"",MIN(L388,N388/AB388))</f>
        <v>16.6666666666667</v>
      </c>
      <c r="AD388" s="29" t="n">
        <f aca="false">IF(OR(AC388="",N(O388)=0),"",AC388/O388-1)</f>
        <v>-0.204834605597965</v>
      </c>
      <c r="AE388" s="29" t="n">
        <f aca="false">IF(OR(AD388="",N(O388)=0),"",AD388+N388/O388)</f>
        <v>-0.133269720101781</v>
      </c>
      <c r="AF388" s="32" t="n">
        <f aca="false">IF(OR(AE388="",N(Z388)=0),"",AE388-Z388)</f>
        <v>0</v>
      </c>
      <c r="AG388" s="28" t="n">
        <f aca="false">IF(AND(N(M388)&gt;0,N(L388)&gt;0),M388*L388,N388)</f>
        <v>1.5</v>
      </c>
      <c r="AH388" s="28" t="n">
        <f aca="false">IF(OR(N(AB388)&lt;=0,N(AG388)=0,N(L388)=0),"",MIN(L388,AG388/AB388))</f>
        <v>16.6666666666667</v>
      </c>
      <c r="AI388" s="29" t="n">
        <f aca="false">IF(OR(AH388="",N(O388)=0),"",AH388/O388-1)</f>
        <v>-0.204834605597965</v>
      </c>
      <c r="AJ388" s="29" t="n">
        <f aca="false">IF(OR(AI388="",N(O388)=0),"",AI388+AG388/O388)</f>
        <v>-0.133269720101781</v>
      </c>
      <c r="AK388" s="32" t="n">
        <f aca="false">IF(OR(AJ388="",N(AE388)=0),"",AJ388-AE388)</f>
        <v>0</v>
      </c>
      <c r="AL388" s="33" t="n">
        <f aca="false">IF(N(F388)=0,"",INDEX(Inputs!$B$28:$B$32,IFERROR(MATCH(F388,Inputs!$A$28:$A$32,1),0)+1))</f>
        <v>0.09</v>
      </c>
      <c r="AM388" s="34"/>
      <c r="AN388" s="33" t="n">
        <f aca="false">IF(N(AM388)&gt;0,AM388,AL388)</f>
        <v>0.09</v>
      </c>
      <c r="AO388" s="29" t="n">
        <f aca="false">IF(N(AN388)=0,"",AN388+IF(I388="yes",AN388*Inputs!$B$10*Inputs!$B$9,0)+IFERROR(INDEX(Inputs!$B$13:$B$15,MATCH(G388,Inputs!$A$13:$A$15,0)),0)+IFERROR(INDEX(Inputs!$B$18:$B$24,MATCH(H388,Inputs!$A$18:$A$24,0)),0))</f>
        <v>0.09</v>
      </c>
      <c r="AP388" s="28" t="n">
        <f aca="false">IF(OR(N(AO388)&lt;=0,N(AG388)=0,N(L388)=0),"",MIN(L388,AG388/AO388))</f>
        <v>16.6666666666667</v>
      </c>
      <c r="AQ388" s="29" t="n">
        <f aca="false">IF(OR(AP388="",N(O388)=0),"",AP388/O388-1)</f>
        <v>-0.204834605597964</v>
      </c>
      <c r="AR388" s="29" t="n">
        <f aca="false">IF(OR(AQ388="",N(O388)=0),"",AQ388+AG388/O388)</f>
        <v>-0.133269720101781</v>
      </c>
      <c r="AS388" s="32" t="n">
        <f aca="false">IF(OR(AR388="",N(AJ388)=0),"",AR388-AJ388)</f>
        <v>0</v>
      </c>
      <c r="AT388" s="28" t="n">
        <v>25</v>
      </c>
      <c r="AU388" s="28" t="n">
        <v>1.5</v>
      </c>
      <c r="AV388" s="28" t="n">
        <f aca="false">IF(N(AT388)&gt;0,AT388,L388)</f>
        <v>25</v>
      </c>
      <c r="AW388" s="28" t="n">
        <f aca="false">IF(AND(N(M388)&gt;0,N(AV388)&gt;0),M388*AV388,IF(N(AU388)&gt;0,AU388,N388))</f>
        <v>1.5</v>
      </c>
      <c r="AX388" s="29" t="n">
        <f aca="false">IF(N(AN388)=0,"",AN388+IF(I388="yes",AN388*Inputs!$B$10*Inputs!$B$9,0)+IFERROR(INDEX(Inputs!$B$13:$B$15,MATCH(G388,Inputs!$A$13:$A$15,0)),0)+IFERROR(INDEX(Inputs!$B$18:$B$24,MATCH(H388,Inputs!$A$18:$A$24,0)),0))</f>
        <v>0.09</v>
      </c>
      <c r="AY388" s="28" t="n">
        <f aca="false">IF(OR(N(AX388)&lt;=0,N(AW388)=0,N(AV388)=0),"",MIN(AV388,AW388/AX388))</f>
        <v>16.6666666666667</v>
      </c>
      <c r="AZ388" s="29" t="n">
        <f aca="false">IF(OR(AY388="",N(O388)=0),"",AY388/O388-1)</f>
        <v>-0.204834605597964</v>
      </c>
      <c r="BA388" s="29" t="n">
        <f aca="false">IF(OR(AZ388="",N(O388)=0),"",AZ388+AW388/O388)</f>
        <v>-0.133269720101781</v>
      </c>
      <c r="BB388" s="32" t="n">
        <f aca="false">IF(OR(BA388="",N(AR388)=0),"",BA388-AR388)</f>
        <v>0</v>
      </c>
      <c r="BC388" s="35" t="n">
        <f aca="false">IF(OR(BA388="",N(U388)=0),"",BA388-U388)</f>
        <v>0</v>
      </c>
      <c r="BD388" s="37"/>
    </row>
    <row r="389" customFormat="false" ht="15" hidden="false" customHeight="false" outlineLevel="0" collapsed="false">
      <c r="A389" s="2" t="s">
        <v>768</v>
      </c>
      <c r="B389" s="2" t="n">
        <v>93</v>
      </c>
      <c r="C389" s="2" t="s">
        <v>835</v>
      </c>
      <c r="D389" s="2" t="s">
        <v>836</v>
      </c>
      <c r="E389" s="2" t="s">
        <v>837</v>
      </c>
      <c r="F389" s="27" t="n">
        <v>53</v>
      </c>
      <c r="G389" s="2" t="s">
        <v>51</v>
      </c>
      <c r="H389" s="2" t="s">
        <v>59</v>
      </c>
      <c r="I389" s="2" t="s">
        <v>144</v>
      </c>
      <c r="J389" s="2" t="s">
        <v>145</v>
      </c>
      <c r="K389" s="2" t="n">
        <v>4</v>
      </c>
      <c r="L389" s="28" t="n">
        <v>25</v>
      </c>
      <c r="M389" s="29" t="n">
        <v>0.07</v>
      </c>
      <c r="N389" s="28" t="n">
        <v>1.75</v>
      </c>
      <c r="O389" s="28" t="n">
        <v>17.42</v>
      </c>
      <c r="P389" s="2" t="s">
        <v>146</v>
      </c>
      <c r="Q389" s="29" t="n">
        <v>0.1</v>
      </c>
      <c r="R389" s="30" t="n">
        <v>0.1</v>
      </c>
      <c r="S389" s="31" t="n">
        <v>17.5</v>
      </c>
      <c r="T389" s="30" t="n">
        <v>0.00459242250287018</v>
      </c>
      <c r="U389" s="30" t="n">
        <v>0.105051664753157</v>
      </c>
      <c r="V389" s="29" t="n">
        <v>0</v>
      </c>
      <c r="W389" s="29" t="n">
        <f aca="false">IF(N(Q389)=0,"",Q389+IF(I389="yes",Q389*Inputs!$B$10*Inputs!$B$9,0)+V389)</f>
        <v>0.1</v>
      </c>
      <c r="X389" s="28" t="n">
        <f aca="false">IF(OR(N(W389)&lt;=0,N(N389)=0,N(L389)=0),"",MIN(L389,N389/W389))</f>
        <v>17.5</v>
      </c>
      <c r="Y389" s="29" t="n">
        <f aca="false">IF(OR(X389="",N(O389)=0),"",X389/O389-1)</f>
        <v>0.00459242250287018</v>
      </c>
      <c r="Z389" s="29" t="n">
        <f aca="false">IF(OR(Y389="",N(O389)=0),"",Y389+N389/O389)</f>
        <v>0.105051664753157</v>
      </c>
      <c r="AA389" s="32" t="n">
        <f aca="false">IF(OR(Z389="",N(U389)=0),"",Z389-U389)</f>
        <v>0</v>
      </c>
      <c r="AB389" s="29" t="n">
        <f aca="false">IF(N(Q389)=0,"",Q389+IF(I389="yes",Q389*Inputs!$B$10*Inputs!$B$9,0)+IFERROR(INDEX(Inputs!$B$13:$B$15,MATCH(G389,Inputs!$A$13:$A$15,0)),0)+IFERROR(INDEX(Inputs!$B$18:$B$24,MATCH(H389,Inputs!$A$18:$A$24,0)),0))</f>
        <v>0.1</v>
      </c>
      <c r="AC389" s="28" t="n">
        <f aca="false">IF(OR(N(AB389)&lt;=0,N(N389)=0,N(L389)=0),"",MIN(L389,N389/AB389))</f>
        <v>17.5</v>
      </c>
      <c r="AD389" s="29" t="n">
        <f aca="false">IF(OR(AC389="",N(O389)=0),"",AC389/O389-1)</f>
        <v>0.00459242250287018</v>
      </c>
      <c r="AE389" s="29" t="n">
        <f aca="false">IF(OR(AD389="",N(O389)=0),"",AD389+N389/O389)</f>
        <v>0.105051664753157</v>
      </c>
      <c r="AF389" s="32" t="n">
        <f aca="false">IF(OR(AE389="",N(Z389)=0),"",AE389-Z389)</f>
        <v>0</v>
      </c>
      <c r="AG389" s="28" t="n">
        <f aca="false">IF(AND(N(M389)&gt;0,N(L389)&gt;0),M389*L389,N389)</f>
        <v>1.75</v>
      </c>
      <c r="AH389" s="28" t="n">
        <f aca="false">IF(OR(N(AB389)&lt;=0,N(AG389)=0,N(L389)=0),"",MIN(L389,AG389/AB389))</f>
        <v>17.5</v>
      </c>
      <c r="AI389" s="29" t="n">
        <f aca="false">IF(OR(AH389="",N(O389)=0),"",AH389/O389-1)</f>
        <v>0.00459242250287018</v>
      </c>
      <c r="AJ389" s="29" t="n">
        <f aca="false">IF(OR(AI389="",N(O389)=0),"",AI389+AG389/O389)</f>
        <v>0.105051664753157</v>
      </c>
      <c r="AK389" s="32" t="n">
        <f aca="false">IF(OR(AJ389="",N(AE389)=0),"",AJ389-AE389)</f>
        <v>0</v>
      </c>
      <c r="AL389" s="33" t="n">
        <f aca="false">IF(N(F389)=0,"",INDEX(Inputs!$B$28:$B$32,IFERROR(MATCH(F389,Inputs!$A$28:$A$32,1),0)+1))</f>
        <v>0.1</v>
      </c>
      <c r="AM389" s="34"/>
      <c r="AN389" s="33" t="n">
        <f aca="false">IF(N(AM389)&gt;0,AM389,AL389)</f>
        <v>0.1</v>
      </c>
      <c r="AO389" s="29" t="n">
        <f aca="false">IF(N(AN389)=0,"",AN389+IF(I389="yes",AN389*Inputs!$B$10*Inputs!$B$9,0)+IFERROR(INDEX(Inputs!$B$13:$B$15,MATCH(G389,Inputs!$A$13:$A$15,0)),0)+IFERROR(INDEX(Inputs!$B$18:$B$24,MATCH(H389,Inputs!$A$18:$A$24,0)),0))</f>
        <v>0.1</v>
      </c>
      <c r="AP389" s="28" t="n">
        <f aca="false">IF(OR(N(AO389)&lt;=0,N(AG389)=0,N(L389)=0),"",MIN(L389,AG389/AO389))</f>
        <v>17.5</v>
      </c>
      <c r="AQ389" s="29" t="n">
        <f aca="false">IF(OR(AP389="",N(O389)=0),"",AP389/O389-1)</f>
        <v>0.00459242250287018</v>
      </c>
      <c r="AR389" s="29" t="n">
        <f aca="false">IF(OR(AQ389="",N(O389)=0),"",AQ389+AG389/O389)</f>
        <v>0.105051664753157</v>
      </c>
      <c r="AS389" s="32" t="n">
        <f aca="false">IF(OR(AR389="",N(AJ389)=0),"",AR389-AJ389)</f>
        <v>0</v>
      </c>
      <c r="AT389" s="28" t="n">
        <v>25</v>
      </c>
      <c r="AU389" s="28" t="n">
        <v>1.75</v>
      </c>
      <c r="AV389" s="28" t="n">
        <f aca="false">IF(N(AT389)&gt;0,AT389,L389)</f>
        <v>25</v>
      </c>
      <c r="AW389" s="28" t="n">
        <f aca="false">IF(AND(N(M389)&gt;0,N(AV389)&gt;0),M389*AV389,IF(N(AU389)&gt;0,AU389,N389))</f>
        <v>1.75</v>
      </c>
      <c r="AX389" s="29" t="n">
        <f aca="false">IF(N(AN389)=0,"",AN389+IF(I389="yes",AN389*Inputs!$B$10*Inputs!$B$9,0)+IFERROR(INDEX(Inputs!$B$13:$B$15,MATCH(G389,Inputs!$A$13:$A$15,0)),0)+IFERROR(INDEX(Inputs!$B$18:$B$24,MATCH(H389,Inputs!$A$18:$A$24,0)),0))</f>
        <v>0.1</v>
      </c>
      <c r="AY389" s="28" t="n">
        <f aca="false">IF(OR(N(AX389)&lt;=0,N(AW389)=0,N(AV389)=0),"",MIN(AV389,AW389/AX389))</f>
        <v>17.5</v>
      </c>
      <c r="AZ389" s="29" t="n">
        <f aca="false">IF(OR(AY389="",N(O389)=0),"",AY389/O389-1)</f>
        <v>0.00459242250287018</v>
      </c>
      <c r="BA389" s="29" t="n">
        <f aca="false">IF(OR(AZ389="",N(O389)=0),"",AZ389+AW389/O389)</f>
        <v>0.105051664753157</v>
      </c>
      <c r="BB389" s="32" t="n">
        <f aca="false">IF(OR(BA389="",N(AR389)=0),"",BA389-AR389)</f>
        <v>0</v>
      </c>
      <c r="BC389" s="35" t="n">
        <f aca="false">IF(OR(BA389="",N(U389)=0),"",BA389-U389)</f>
        <v>0</v>
      </c>
      <c r="BD389" s="37"/>
    </row>
    <row r="390" customFormat="false" ht="15" hidden="false" customHeight="false" outlineLevel="0" collapsed="false">
      <c r="A390" s="2" t="s">
        <v>768</v>
      </c>
      <c r="B390" s="2" t="n">
        <v>97</v>
      </c>
      <c r="C390" s="2" t="s">
        <v>838</v>
      </c>
      <c r="D390" s="2" t="s">
        <v>839</v>
      </c>
      <c r="E390" s="2" t="s">
        <v>840</v>
      </c>
      <c r="F390" s="27" t="n">
        <v>3000</v>
      </c>
      <c r="G390" s="2" t="s">
        <v>51</v>
      </c>
      <c r="H390" s="2" t="s">
        <v>58</v>
      </c>
      <c r="I390" s="2" t="s">
        <v>151</v>
      </c>
      <c r="J390" s="2" t="s">
        <v>145</v>
      </c>
      <c r="K390" s="2" t="n">
        <v>4</v>
      </c>
      <c r="L390" s="28" t="n">
        <v>25</v>
      </c>
      <c r="M390" s="29" t="n">
        <v>0.0575</v>
      </c>
      <c r="N390" s="28" t="n">
        <v>1.4375</v>
      </c>
      <c r="O390" s="28" t="n">
        <v>22.8</v>
      </c>
      <c r="P390" s="2" t="s">
        <v>223</v>
      </c>
      <c r="Q390" s="29" t="n">
        <v>0.08</v>
      </c>
      <c r="R390" s="30" t="n">
        <v>0.08</v>
      </c>
      <c r="S390" s="31" t="n">
        <v>17.96875</v>
      </c>
      <c r="T390" s="30" t="n">
        <v>-0.211896929824561</v>
      </c>
      <c r="U390" s="30" t="n">
        <v>-0.148848684210526</v>
      </c>
      <c r="V390" s="29" t="n">
        <v>0</v>
      </c>
      <c r="W390" s="29" t="n">
        <f aca="false">IF(N(Q390)=0,"",Q390+IF(I390="yes",Q390*Inputs!$B$10*Inputs!$B$9,0)+V390)</f>
        <v>0.076</v>
      </c>
      <c r="X390" s="28" t="n">
        <f aca="false">IF(OR(N(W390)&lt;=0,N(N390)=0,N(L390)=0),"",MIN(L390,N390/W390))</f>
        <v>18.9144736842105</v>
      </c>
      <c r="Y390" s="29" t="n">
        <f aca="false">IF(OR(X390="",N(O390)=0),"",X390/O390-1)</f>
        <v>-0.170417820867959</v>
      </c>
      <c r="Z390" s="29" t="n">
        <f aca="false">IF(OR(Y390="",N(O390)=0),"",Y390+N390/O390)</f>
        <v>-0.107369575253924</v>
      </c>
      <c r="AA390" s="32" t="n">
        <f aca="false">IF(OR(Z390="",N(U390)=0),"",Z390-U390)</f>
        <v>0.0414791089566021</v>
      </c>
      <c r="AB390" s="29" t="n">
        <f aca="false">IF(N(Q390)=0,"",Q390+IF(I390="yes",Q390*Inputs!$B$10*Inputs!$B$9,0)+IFERROR(INDEX(Inputs!$B$13:$B$15,MATCH(G390,Inputs!$A$13:$A$15,0)),0)+IFERROR(INDEX(Inputs!$B$18:$B$24,MATCH(H390,Inputs!$A$18:$A$24,0)),0))</f>
        <v>0.076</v>
      </c>
      <c r="AC390" s="28" t="n">
        <f aca="false">IF(OR(N(AB390)&lt;=0,N(N390)=0,N(L390)=0),"",MIN(L390,N390/AB390))</f>
        <v>18.9144736842105</v>
      </c>
      <c r="AD390" s="29" t="n">
        <f aca="false">IF(OR(AC390="",N(O390)=0),"",AC390/O390-1)</f>
        <v>-0.170417820867959</v>
      </c>
      <c r="AE390" s="29" t="n">
        <f aca="false">IF(OR(AD390="",N(O390)=0),"",AD390+N390/O390)</f>
        <v>-0.107369575253924</v>
      </c>
      <c r="AF390" s="32" t="n">
        <f aca="false">IF(OR(AE390="",N(Z390)=0),"",AE390-Z390)</f>
        <v>0</v>
      </c>
      <c r="AG390" s="28" t="n">
        <f aca="false">IF(AND(N(M390)&gt;0,N(L390)&gt;0),M390*L390,N390)</f>
        <v>1.4375</v>
      </c>
      <c r="AH390" s="28" t="n">
        <f aca="false">IF(OR(N(AB390)&lt;=0,N(AG390)=0,N(L390)=0),"",MIN(L390,AG390/AB390))</f>
        <v>18.9144736842105</v>
      </c>
      <c r="AI390" s="29" t="n">
        <f aca="false">IF(OR(AH390="",N(O390)=0),"",AH390/O390-1)</f>
        <v>-0.170417820867959</v>
      </c>
      <c r="AJ390" s="29" t="n">
        <f aca="false">IF(OR(AI390="",N(O390)=0),"",AI390+AG390/O390)</f>
        <v>-0.107369575253924</v>
      </c>
      <c r="AK390" s="32" t="n">
        <f aca="false">IF(OR(AJ390="",N(AE390)=0),"",AJ390-AE390)</f>
        <v>0</v>
      </c>
      <c r="AL390" s="33" t="n">
        <f aca="false">IF(N(F390)=0,"",INDEX(Inputs!$B$28:$B$32,IFERROR(MATCH(F390,Inputs!$A$28:$A$32,1),0)+1))</f>
        <v>0.085</v>
      </c>
      <c r="AM390" s="34"/>
      <c r="AN390" s="33" t="n">
        <f aca="false">IF(N(AM390)&gt;0,AM390,AL390)</f>
        <v>0.085</v>
      </c>
      <c r="AO390" s="29" t="n">
        <f aca="false">IF(N(AN390)=0,"",AN390+IF(I390="yes",AN390*Inputs!$B$10*Inputs!$B$9,0)+IFERROR(INDEX(Inputs!$B$13:$B$15,MATCH(G390,Inputs!$A$13:$A$15,0)),0)+IFERROR(INDEX(Inputs!$B$18:$B$24,MATCH(H390,Inputs!$A$18:$A$24,0)),0))</f>
        <v>0.08075</v>
      </c>
      <c r="AP390" s="28" t="n">
        <f aca="false">IF(OR(N(AO390)&lt;=0,N(AG390)=0,N(L390)=0),"",MIN(L390,AG390/AO390))</f>
        <v>17.8018575851393</v>
      </c>
      <c r="AQ390" s="29" t="n">
        <f aca="false">IF(OR(AP390="",N(O390)=0),"",AP390/O390-1)</f>
        <v>-0.219216772581609</v>
      </c>
      <c r="AR390" s="29" t="n">
        <f aca="false">IF(OR(AQ390="",N(O390)=0),"",AQ390+AG390/O390)</f>
        <v>-0.156168526967574</v>
      </c>
      <c r="AS390" s="32" t="n">
        <f aca="false">IF(OR(AR390="",N(AJ390)=0),"",AR390-AJ390)</f>
        <v>-0.0487989517136497</v>
      </c>
      <c r="AT390" s="28" t="n">
        <v>25</v>
      </c>
      <c r="AU390" s="28" t="n">
        <v>1.4375</v>
      </c>
      <c r="AV390" s="28" t="n">
        <f aca="false">IF(N(AT390)&gt;0,AT390,L390)</f>
        <v>25</v>
      </c>
      <c r="AW390" s="28" t="n">
        <f aca="false">IF(AND(N(M390)&gt;0,N(AV390)&gt;0),M390*AV390,IF(N(AU390)&gt;0,AU390,N390))</f>
        <v>1.4375</v>
      </c>
      <c r="AX390" s="29" t="n">
        <f aca="false">IF(N(AN390)=0,"",AN390+IF(I390="yes",AN390*Inputs!$B$10*Inputs!$B$9,0)+IFERROR(INDEX(Inputs!$B$13:$B$15,MATCH(G390,Inputs!$A$13:$A$15,0)),0)+IFERROR(INDEX(Inputs!$B$18:$B$24,MATCH(H390,Inputs!$A$18:$A$24,0)),0))</f>
        <v>0.08075</v>
      </c>
      <c r="AY390" s="28" t="n">
        <f aca="false">IF(OR(N(AX390)&lt;=0,N(AW390)=0,N(AV390)=0),"",MIN(AV390,AW390/AX390))</f>
        <v>17.8018575851393</v>
      </c>
      <c r="AZ390" s="29" t="n">
        <f aca="false">IF(OR(AY390="",N(O390)=0),"",AY390/O390-1)</f>
        <v>-0.219216772581609</v>
      </c>
      <c r="BA390" s="29" t="n">
        <f aca="false">IF(OR(AZ390="",N(O390)=0),"",AZ390+AW390/O390)</f>
        <v>-0.156168526967574</v>
      </c>
      <c r="BB390" s="32" t="n">
        <f aca="false">IF(OR(BA390="",N(AR390)=0),"",BA390-AR390)</f>
        <v>0</v>
      </c>
      <c r="BC390" s="35" t="n">
        <f aca="false">IF(OR(BA390="",N(U390)=0),"",BA390-U390)</f>
        <v>-0.00731984275704758</v>
      </c>
      <c r="BD390" s="36" t="s">
        <v>224</v>
      </c>
    </row>
    <row r="391" customFormat="false" ht="15" hidden="false" customHeight="false" outlineLevel="0" collapsed="false">
      <c r="A391" s="2" t="s">
        <v>768</v>
      </c>
      <c r="B391" s="2" t="n">
        <v>101</v>
      </c>
      <c r="C391" s="2" t="s">
        <v>841</v>
      </c>
      <c r="D391" s="2" t="s">
        <v>842</v>
      </c>
      <c r="E391" s="2" t="s">
        <v>143</v>
      </c>
      <c r="F391" s="27"/>
      <c r="G391" s="2" t="s">
        <v>52</v>
      </c>
      <c r="H391" s="2" t="s">
        <v>58</v>
      </c>
      <c r="I391" s="2" t="s">
        <v>144</v>
      </c>
      <c r="J391" s="2" t="s">
        <v>145</v>
      </c>
      <c r="K391" s="2" t="n">
        <v>4</v>
      </c>
      <c r="L391" s="28" t="n">
        <v>25</v>
      </c>
      <c r="M391" s="29" t="n">
        <v>0.085</v>
      </c>
      <c r="N391" s="28" t="n">
        <v>2.125</v>
      </c>
      <c r="O391" s="28" t="n">
        <v>24.7</v>
      </c>
      <c r="P391" s="2" t="s">
        <v>146</v>
      </c>
      <c r="Q391" s="29" t="n">
        <v>0</v>
      </c>
      <c r="R391" s="30" t="n">
        <v>-0.005</v>
      </c>
      <c r="S391" s="31" t="n">
        <v>-425</v>
      </c>
      <c r="T391" s="30" t="n">
        <v>-18.2064777327935</v>
      </c>
      <c r="U391" s="30" t="n">
        <v>-18.1204453441296</v>
      </c>
      <c r="V391" s="29" t="n">
        <v>-0.005</v>
      </c>
      <c r="W391" s="29" t="str">
        <f aca="false">IF(N(Q391)=0,"",Q391+IF(I391="yes",Q391*Inputs!$B$10*Inputs!$B$9,0)+V391)</f>
        <v/>
      </c>
      <c r="X391" s="28" t="str">
        <f aca="false">IF(OR(N(W391)&lt;=0,N(N391)=0,N(L391)=0),"",MIN(L391,N391/W391))</f>
        <v/>
      </c>
      <c r="Y391" s="29" t="str">
        <f aca="false">IF(OR(X391="",N(O391)=0),"",X391/O391-1)</f>
        <v/>
      </c>
      <c r="Z391" s="29" t="str">
        <f aca="false">IF(OR(Y391="",N(O391)=0),"",Y391+N391/O391)</f>
        <v/>
      </c>
      <c r="AA391" s="32" t="str">
        <f aca="false">IF(OR(Z391="",N(U391)=0),"",Z391-U391)</f>
        <v/>
      </c>
      <c r="AB391" s="29" t="str">
        <f aca="false">IF(N(Q391)=0,"",Q391+IF(I391="yes",Q391*Inputs!$B$10*Inputs!$B$9,0)+IFERROR(INDEX(Inputs!$B$13:$B$15,MATCH(G391,Inputs!$A$13:$A$15,0)),0)+IFERROR(INDEX(Inputs!$B$18:$B$24,MATCH(H391,Inputs!$A$18:$A$24,0)),0))</f>
        <v/>
      </c>
      <c r="AC391" s="28" t="str">
        <f aca="false">IF(OR(N(AB391)&lt;=0,N(N391)=0,N(L391)=0),"",MIN(L391,N391/AB391))</f>
        <v/>
      </c>
      <c r="AD391" s="29" t="str">
        <f aca="false">IF(OR(AC391="",N(O391)=0),"",AC391/O391-1)</f>
        <v/>
      </c>
      <c r="AE391" s="29" t="str">
        <f aca="false">IF(OR(AD391="",N(O391)=0),"",AD391+N391/O391)</f>
        <v/>
      </c>
      <c r="AF391" s="32" t="str">
        <f aca="false">IF(OR(AE391="",N(Z391)=0),"",AE391-Z391)</f>
        <v/>
      </c>
      <c r="AG391" s="28" t="n">
        <f aca="false">IF(AND(N(M391)&gt;0,N(L391)&gt;0),M391*L391,N391)</f>
        <v>2.125</v>
      </c>
      <c r="AH391" s="28" t="str">
        <f aca="false">IF(OR(N(AB391)&lt;=0,N(AG391)=0,N(L391)=0),"",MIN(L391,AG391/AB391))</f>
        <v/>
      </c>
      <c r="AI391" s="29" t="str">
        <f aca="false">IF(OR(AH391="",N(O391)=0),"",AH391/O391-1)</f>
        <v/>
      </c>
      <c r="AJ391" s="29" t="str">
        <f aca="false">IF(OR(AI391="",N(O391)=0),"",AI391+AG391/O391)</f>
        <v/>
      </c>
      <c r="AK391" s="32" t="str">
        <f aca="false">IF(OR(AJ391="",N(AE391)=0),"",AJ391-AE391)</f>
        <v/>
      </c>
      <c r="AL391" s="33" t="str">
        <f aca="false">IF(N(F391)=0,"",INDEX(Inputs!$B$28:$B$32,IFERROR(MATCH(F391,Inputs!$A$28:$A$32,1),0)+1))</f>
        <v/>
      </c>
      <c r="AM391" s="34"/>
      <c r="AN391" s="33" t="str">
        <f aca="false">IF(N(AM391)&gt;0,AM391,AL391)</f>
        <v/>
      </c>
      <c r="AO391" s="29" t="str">
        <f aca="false">IF(N(AN391)=0,"",AN391+IF(I391="yes",AN391*Inputs!$B$10*Inputs!$B$9,0)+IFERROR(INDEX(Inputs!$B$13:$B$15,MATCH(G391,Inputs!$A$13:$A$15,0)),0)+IFERROR(INDEX(Inputs!$B$18:$B$24,MATCH(H391,Inputs!$A$18:$A$24,0)),0))</f>
        <v/>
      </c>
      <c r="AP391" s="28" t="str">
        <f aca="false">IF(OR(N(AO391)&lt;=0,N(AG391)=0,N(L391)=0),"",MIN(L391,AG391/AO391))</f>
        <v/>
      </c>
      <c r="AQ391" s="29" t="str">
        <f aca="false">IF(OR(AP391="",N(O391)=0),"",AP391/O391-1)</f>
        <v/>
      </c>
      <c r="AR391" s="29" t="str">
        <f aca="false">IF(OR(AQ391="",N(O391)=0),"",AQ391+AG391/O391)</f>
        <v/>
      </c>
      <c r="AS391" s="32" t="str">
        <f aca="false">IF(OR(AR391="",N(AJ391)=0),"",AR391-AJ391)</f>
        <v/>
      </c>
      <c r="AT391" s="28" t="n">
        <v>25</v>
      </c>
      <c r="AU391" s="28" t="n">
        <v>2.125</v>
      </c>
      <c r="AV391" s="28" t="n">
        <f aca="false">IF(N(AT391)&gt;0,AT391,L391)</f>
        <v>25</v>
      </c>
      <c r="AW391" s="28" t="n">
        <f aca="false">IF(AND(N(M391)&gt;0,N(AV391)&gt;0),M391*AV391,IF(N(AU391)&gt;0,AU391,N391))</f>
        <v>2.125</v>
      </c>
      <c r="AX391" s="29" t="str">
        <f aca="false">IF(N(AN391)=0,"",AN391+IF(I391="yes",AN391*Inputs!$B$10*Inputs!$B$9,0)+IFERROR(INDEX(Inputs!$B$13:$B$15,MATCH(G391,Inputs!$A$13:$A$15,0)),0)+IFERROR(INDEX(Inputs!$B$18:$B$24,MATCH(H391,Inputs!$A$18:$A$24,0)),0))</f>
        <v/>
      </c>
      <c r="AY391" s="28" t="str">
        <f aca="false">IF(OR(N(AX391)&lt;=0,N(AW391)=0,N(AV391)=0),"",MIN(AV391,AW391/AX391))</f>
        <v/>
      </c>
      <c r="AZ391" s="29" t="str">
        <f aca="false">IF(OR(AY391="",N(O391)=0),"",AY391/O391-1)</f>
        <v/>
      </c>
      <c r="BA391" s="29" t="str">
        <f aca="false">IF(OR(AZ391="",N(O391)=0),"",AZ391+AW391/O391)</f>
        <v/>
      </c>
      <c r="BB391" s="32" t="str">
        <f aca="false">IF(OR(BA391="",N(AR391)=0),"",BA391-AR391)</f>
        <v/>
      </c>
      <c r="BC391" s="35" t="str">
        <f aca="false">IF(OR(BA391="",N(U391)=0),"",BA391-U391)</f>
        <v/>
      </c>
      <c r="BD391" s="36" t="s">
        <v>231</v>
      </c>
    </row>
    <row r="392" customFormat="false" ht="15" hidden="false" customHeight="false" outlineLevel="0" collapsed="false">
      <c r="A392" s="2" t="s">
        <v>768</v>
      </c>
      <c r="B392" s="2" t="n">
        <v>105</v>
      </c>
      <c r="C392" s="2" t="s">
        <v>843</v>
      </c>
      <c r="D392" s="2" t="s">
        <v>844</v>
      </c>
      <c r="E392" s="2" t="s">
        <v>845</v>
      </c>
      <c r="F392" s="27" t="n">
        <v>291700</v>
      </c>
      <c r="G392" s="2" t="s">
        <v>51</v>
      </c>
      <c r="H392" s="2" t="s">
        <v>58</v>
      </c>
      <c r="I392" s="2" t="s">
        <v>151</v>
      </c>
      <c r="J392" s="2" t="s">
        <v>145</v>
      </c>
      <c r="K392" s="2" t="n">
        <v>4</v>
      </c>
      <c r="L392" s="28" t="n">
        <v>25</v>
      </c>
      <c r="M392" s="29" t="n">
        <v>0.0375</v>
      </c>
      <c r="N392" s="28" t="n">
        <v>0.9375</v>
      </c>
      <c r="O392" s="28" t="n">
        <v>19.2</v>
      </c>
      <c r="P392" s="2" t="s">
        <v>146</v>
      </c>
      <c r="Q392" s="29" t="n">
        <v>0.08</v>
      </c>
      <c r="R392" s="30" t="n">
        <v>0.076</v>
      </c>
      <c r="S392" s="31" t="n">
        <v>12.3355263157895</v>
      </c>
      <c r="T392" s="30" t="n">
        <v>-0.357524671052632</v>
      </c>
      <c r="U392" s="30" t="n">
        <v>-0.308696546052632</v>
      </c>
      <c r="V392" s="29" t="n">
        <v>0</v>
      </c>
      <c r="W392" s="29" t="n">
        <f aca="false">IF(N(Q392)=0,"",Q392+IF(I392="yes",Q392*Inputs!$B$10*Inputs!$B$9,0)+V392)</f>
        <v>0.076</v>
      </c>
      <c r="X392" s="28" t="n">
        <f aca="false">IF(OR(N(W392)&lt;=0,N(N392)=0,N(L392)=0),"",MIN(L392,N392/W392))</f>
        <v>12.3355263157895</v>
      </c>
      <c r="Y392" s="29" t="n">
        <f aca="false">IF(OR(X392="",N(O392)=0),"",X392/O392-1)</f>
        <v>-0.357524671052632</v>
      </c>
      <c r="Z392" s="29" t="n">
        <f aca="false">IF(OR(Y392="",N(O392)=0),"",Y392+N392/O392)</f>
        <v>-0.308696546052632</v>
      </c>
      <c r="AA392" s="32" t="n">
        <f aca="false">IF(OR(Z392="",N(U392)=0),"",Z392-U392)</f>
        <v>0</v>
      </c>
      <c r="AB392" s="29" t="n">
        <f aca="false">IF(N(Q392)=0,"",Q392+IF(I392="yes",Q392*Inputs!$B$10*Inputs!$B$9,0)+IFERROR(INDEX(Inputs!$B$13:$B$15,MATCH(G392,Inputs!$A$13:$A$15,0)),0)+IFERROR(INDEX(Inputs!$B$18:$B$24,MATCH(H392,Inputs!$A$18:$A$24,0)),0))</f>
        <v>0.076</v>
      </c>
      <c r="AC392" s="28" t="n">
        <f aca="false">IF(OR(N(AB392)&lt;=0,N(N392)=0,N(L392)=0),"",MIN(L392,N392/AB392))</f>
        <v>12.3355263157895</v>
      </c>
      <c r="AD392" s="29" t="n">
        <f aca="false">IF(OR(AC392="",N(O392)=0),"",AC392/O392-1)</f>
        <v>-0.357524671052632</v>
      </c>
      <c r="AE392" s="29" t="n">
        <f aca="false">IF(OR(AD392="",N(O392)=0),"",AD392+N392/O392)</f>
        <v>-0.308696546052632</v>
      </c>
      <c r="AF392" s="32" t="n">
        <f aca="false">IF(OR(AE392="",N(Z392)=0),"",AE392-Z392)</f>
        <v>0</v>
      </c>
      <c r="AG392" s="28" t="n">
        <f aca="false">IF(AND(N(M392)&gt;0,N(L392)&gt;0),M392*L392,N392)</f>
        <v>0.9375</v>
      </c>
      <c r="AH392" s="28" t="n">
        <f aca="false">IF(OR(N(AB392)&lt;=0,N(AG392)=0,N(L392)=0),"",MIN(L392,AG392/AB392))</f>
        <v>12.3355263157895</v>
      </c>
      <c r="AI392" s="29" t="n">
        <f aca="false">IF(OR(AH392="",N(O392)=0),"",AH392/O392-1)</f>
        <v>-0.357524671052632</v>
      </c>
      <c r="AJ392" s="29" t="n">
        <f aca="false">IF(OR(AI392="",N(O392)=0),"",AI392+AG392/O392)</f>
        <v>-0.308696546052632</v>
      </c>
      <c r="AK392" s="32" t="n">
        <f aca="false">IF(OR(AJ392="",N(AE392)=0),"",AJ392-AE392)</f>
        <v>0</v>
      </c>
      <c r="AL392" s="33" t="n">
        <f aca="false">IF(N(F392)=0,"",INDEX(Inputs!$B$28:$B$32,IFERROR(MATCH(F392,Inputs!$A$28:$A$32,1),0)+1))</f>
        <v>0.075</v>
      </c>
      <c r="AM392" s="34"/>
      <c r="AN392" s="33" t="n">
        <f aca="false">IF(N(AM392)&gt;0,AM392,AL392)</f>
        <v>0.075</v>
      </c>
      <c r="AO392" s="29" t="n">
        <f aca="false">IF(N(AN392)=0,"",AN392+IF(I392="yes",AN392*Inputs!$B$10*Inputs!$B$9,0)+IFERROR(INDEX(Inputs!$B$13:$B$15,MATCH(G392,Inputs!$A$13:$A$15,0)),0)+IFERROR(INDEX(Inputs!$B$18:$B$24,MATCH(H392,Inputs!$A$18:$A$24,0)),0))</f>
        <v>0.07125</v>
      </c>
      <c r="AP392" s="28" t="n">
        <f aca="false">IF(OR(N(AO392)&lt;=0,N(AG392)=0,N(L392)=0),"",MIN(L392,AG392/AO392))</f>
        <v>13.1578947368421</v>
      </c>
      <c r="AQ392" s="29" t="n">
        <f aca="false">IF(OR(AP392="",N(O392)=0),"",AP392/O392-1)</f>
        <v>-0.31469298245614</v>
      </c>
      <c r="AR392" s="29" t="n">
        <f aca="false">IF(OR(AQ392="",N(O392)=0),"",AQ392+AG392/O392)</f>
        <v>-0.26586485745614</v>
      </c>
      <c r="AS392" s="32" t="n">
        <f aca="false">IF(OR(AR392="",N(AJ392)=0),"",AR392-AJ392)</f>
        <v>0.0428316885964912</v>
      </c>
      <c r="AT392" s="28" t="n">
        <v>25</v>
      </c>
      <c r="AU392" s="28"/>
      <c r="AV392" s="28" t="n">
        <f aca="false">IF(N(AT392)&gt;0,AT392,L392)</f>
        <v>25</v>
      </c>
      <c r="AW392" s="28" t="n">
        <f aca="false">IF(AND(N(M392)&gt;0,N(AV392)&gt;0),M392*AV392,IF(N(AU392)&gt;0,AU392,N392))</f>
        <v>0.9375</v>
      </c>
      <c r="AX392" s="29" t="n">
        <f aca="false">IF(N(AN392)=0,"",AN392+IF(I392="yes",AN392*Inputs!$B$10*Inputs!$B$9,0)+IFERROR(INDEX(Inputs!$B$13:$B$15,MATCH(G392,Inputs!$A$13:$A$15,0)),0)+IFERROR(INDEX(Inputs!$B$18:$B$24,MATCH(H392,Inputs!$A$18:$A$24,0)),0))</f>
        <v>0.07125</v>
      </c>
      <c r="AY392" s="28" t="n">
        <f aca="false">IF(OR(N(AX392)&lt;=0,N(AW392)=0,N(AV392)=0),"",MIN(AV392,AW392/AX392))</f>
        <v>13.1578947368421</v>
      </c>
      <c r="AZ392" s="29" t="n">
        <f aca="false">IF(OR(AY392="",N(O392)=0),"",AY392/O392-1)</f>
        <v>-0.31469298245614</v>
      </c>
      <c r="BA392" s="29" t="n">
        <f aca="false">IF(OR(AZ392="",N(O392)=0),"",AZ392+AW392/O392)</f>
        <v>-0.26586485745614</v>
      </c>
      <c r="BB392" s="32" t="n">
        <f aca="false">IF(OR(BA392="",N(AR392)=0),"",BA392-AR392)</f>
        <v>0</v>
      </c>
      <c r="BC392" s="35" t="n">
        <f aca="false">IF(OR(BA392="",N(U392)=0),"",BA392-U392)</f>
        <v>0.0428316885964912</v>
      </c>
      <c r="BD392" s="37"/>
    </row>
    <row r="393" customFormat="false" ht="15" hidden="false" customHeight="false" outlineLevel="0" collapsed="false">
      <c r="A393" s="2" t="s">
        <v>768</v>
      </c>
      <c r="B393" s="2" t="n">
        <v>106</v>
      </c>
      <c r="C393" s="2" t="s">
        <v>846</v>
      </c>
      <c r="D393" s="2" t="s">
        <v>844</v>
      </c>
      <c r="E393" s="2" t="s">
        <v>845</v>
      </c>
      <c r="F393" s="27" t="n">
        <v>291700</v>
      </c>
      <c r="G393" s="2" t="s">
        <v>51</v>
      </c>
      <c r="H393" s="2" t="s">
        <v>58</v>
      </c>
      <c r="I393" s="2" t="s">
        <v>151</v>
      </c>
      <c r="J393" s="2" t="s">
        <v>145</v>
      </c>
      <c r="K393" s="2" t="n">
        <v>4</v>
      </c>
      <c r="L393" s="28" t="n">
        <v>25</v>
      </c>
      <c r="M393" s="29" t="n">
        <v>0.04</v>
      </c>
      <c r="N393" s="28" t="n">
        <v>1</v>
      </c>
      <c r="O393" s="28" t="n">
        <v>19.15</v>
      </c>
      <c r="P393" s="2" t="s">
        <v>146</v>
      </c>
      <c r="Q393" s="29" t="n">
        <v>0.08</v>
      </c>
      <c r="R393" s="30" t="n">
        <v>0.076</v>
      </c>
      <c r="S393" s="31" t="n">
        <v>13.1578947368421</v>
      </c>
      <c r="T393" s="30" t="n">
        <v>-0.312903669094407</v>
      </c>
      <c r="U393" s="30" t="n">
        <v>-0.260684347945582</v>
      </c>
      <c r="V393" s="29" t="n">
        <v>0</v>
      </c>
      <c r="W393" s="29" t="n">
        <f aca="false">IF(N(Q393)=0,"",Q393+IF(I393="yes",Q393*Inputs!$B$10*Inputs!$B$9,0)+V393)</f>
        <v>0.076</v>
      </c>
      <c r="X393" s="28" t="n">
        <f aca="false">IF(OR(N(W393)&lt;=0,N(N393)=0,N(L393)=0),"",MIN(L393,N393/W393))</f>
        <v>13.1578947368421</v>
      </c>
      <c r="Y393" s="29" t="n">
        <f aca="false">IF(OR(X393="",N(O393)=0),"",X393/O393-1)</f>
        <v>-0.312903669094407</v>
      </c>
      <c r="Z393" s="29" t="n">
        <f aca="false">IF(OR(Y393="",N(O393)=0),"",Y393+N393/O393)</f>
        <v>-0.260684347945582</v>
      </c>
      <c r="AA393" s="32" t="n">
        <f aca="false">IF(OR(Z393="",N(U393)=0),"",Z393-U393)</f>
        <v>0</v>
      </c>
      <c r="AB393" s="29" t="n">
        <f aca="false">IF(N(Q393)=0,"",Q393+IF(I393="yes",Q393*Inputs!$B$10*Inputs!$B$9,0)+IFERROR(INDEX(Inputs!$B$13:$B$15,MATCH(G393,Inputs!$A$13:$A$15,0)),0)+IFERROR(INDEX(Inputs!$B$18:$B$24,MATCH(H393,Inputs!$A$18:$A$24,0)),0))</f>
        <v>0.076</v>
      </c>
      <c r="AC393" s="28" t="n">
        <f aca="false">IF(OR(N(AB393)&lt;=0,N(N393)=0,N(L393)=0),"",MIN(L393,N393/AB393))</f>
        <v>13.1578947368421</v>
      </c>
      <c r="AD393" s="29" t="n">
        <f aca="false">IF(OR(AC393="",N(O393)=0),"",AC393/O393-1)</f>
        <v>-0.312903669094407</v>
      </c>
      <c r="AE393" s="29" t="n">
        <f aca="false">IF(OR(AD393="",N(O393)=0),"",AD393+N393/O393)</f>
        <v>-0.260684347945582</v>
      </c>
      <c r="AF393" s="32" t="n">
        <f aca="false">IF(OR(AE393="",N(Z393)=0),"",AE393-Z393)</f>
        <v>0</v>
      </c>
      <c r="AG393" s="28" t="n">
        <f aca="false">IF(AND(N(M393)&gt;0,N(L393)&gt;0),M393*L393,N393)</f>
        <v>1</v>
      </c>
      <c r="AH393" s="28" t="n">
        <f aca="false">IF(OR(N(AB393)&lt;=0,N(AG393)=0,N(L393)=0),"",MIN(L393,AG393/AB393))</f>
        <v>13.1578947368421</v>
      </c>
      <c r="AI393" s="29" t="n">
        <f aca="false">IF(OR(AH393="",N(O393)=0),"",AH393/O393-1)</f>
        <v>-0.312903669094407</v>
      </c>
      <c r="AJ393" s="29" t="n">
        <f aca="false">IF(OR(AI393="",N(O393)=0),"",AI393+AG393/O393)</f>
        <v>-0.260684347945582</v>
      </c>
      <c r="AK393" s="32" t="n">
        <f aca="false">IF(OR(AJ393="",N(AE393)=0),"",AJ393-AE393)</f>
        <v>0</v>
      </c>
      <c r="AL393" s="33" t="n">
        <f aca="false">IF(N(F393)=0,"",INDEX(Inputs!$B$28:$B$32,IFERROR(MATCH(F393,Inputs!$A$28:$A$32,1),0)+1))</f>
        <v>0.075</v>
      </c>
      <c r="AM393" s="34"/>
      <c r="AN393" s="33" t="n">
        <f aca="false">IF(N(AM393)&gt;0,AM393,AL393)</f>
        <v>0.075</v>
      </c>
      <c r="AO393" s="29" t="n">
        <f aca="false">IF(N(AN393)=0,"",AN393+IF(I393="yes",AN393*Inputs!$B$10*Inputs!$B$9,0)+IFERROR(INDEX(Inputs!$B$13:$B$15,MATCH(G393,Inputs!$A$13:$A$15,0)),0)+IFERROR(INDEX(Inputs!$B$18:$B$24,MATCH(H393,Inputs!$A$18:$A$24,0)),0))</f>
        <v>0.07125</v>
      </c>
      <c r="AP393" s="28" t="n">
        <f aca="false">IF(OR(N(AO393)&lt;=0,N(AG393)=0,N(L393)=0),"",MIN(L393,AG393/AO393))</f>
        <v>14.0350877192982</v>
      </c>
      <c r="AQ393" s="29" t="n">
        <f aca="false">IF(OR(AP393="",N(O393)=0),"",AP393/O393-1)</f>
        <v>-0.267097247034034</v>
      </c>
      <c r="AR393" s="29" t="n">
        <f aca="false">IF(OR(AQ393="",N(O393)=0),"",AQ393+AG393/O393)</f>
        <v>-0.214877925885209</v>
      </c>
      <c r="AS393" s="32" t="n">
        <f aca="false">IF(OR(AR393="",N(AJ393)=0),"",AR393-AJ393)</f>
        <v>0.0458064220603729</v>
      </c>
      <c r="AT393" s="28" t="n">
        <v>25</v>
      </c>
      <c r="AU393" s="28"/>
      <c r="AV393" s="28" t="n">
        <f aca="false">IF(N(AT393)&gt;0,AT393,L393)</f>
        <v>25</v>
      </c>
      <c r="AW393" s="28" t="n">
        <f aca="false">IF(AND(N(M393)&gt;0,N(AV393)&gt;0),M393*AV393,IF(N(AU393)&gt;0,AU393,N393))</f>
        <v>1</v>
      </c>
      <c r="AX393" s="29" t="n">
        <f aca="false">IF(N(AN393)=0,"",AN393+IF(I393="yes",AN393*Inputs!$B$10*Inputs!$B$9,0)+IFERROR(INDEX(Inputs!$B$13:$B$15,MATCH(G393,Inputs!$A$13:$A$15,0)),0)+IFERROR(INDEX(Inputs!$B$18:$B$24,MATCH(H393,Inputs!$A$18:$A$24,0)),0))</f>
        <v>0.07125</v>
      </c>
      <c r="AY393" s="28" t="n">
        <f aca="false">IF(OR(N(AX393)&lt;=0,N(AW393)=0,N(AV393)=0),"",MIN(AV393,AW393/AX393))</f>
        <v>14.0350877192982</v>
      </c>
      <c r="AZ393" s="29" t="n">
        <f aca="false">IF(OR(AY393="",N(O393)=0),"",AY393/O393-1)</f>
        <v>-0.267097247034034</v>
      </c>
      <c r="BA393" s="29" t="n">
        <f aca="false">IF(OR(AZ393="",N(O393)=0),"",AZ393+AW393/O393)</f>
        <v>-0.214877925885209</v>
      </c>
      <c r="BB393" s="32" t="n">
        <f aca="false">IF(OR(BA393="",N(AR393)=0),"",BA393-AR393)</f>
        <v>0</v>
      </c>
      <c r="BC393" s="35" t="n">
        <f aca="false">IF(OR(BA393="",N(U393)=0),"",BA393-U393)</f>
        <v>0.045806422060373</v>
      </c>
      <c r="BD393" s="37"/>
    </row>
    <row r="394" customFormat="false" ht="15" hidden="false" customHeight="false" outlineLevel="0" collapsed="false">
      <c r="A394" s="2" t="s">
        <v>768</v>
      </c>
      <c r="B394" s="2" t="n">
        <v>107</v>
      </c>
      <c r="C394" s="2" t="s">
        <v>847</v>
      </c>
      <c r="D394" s="2" t="s">
        <v>844</v>
      </c>
      <c r="E394" s="2" t="s">
        <v>845</v>
      </c>
      <c r="F394" s="27" t="n">
        <v>291700</v>
      </c>
      <c r="G394" s="2" t="s">
        <v>51</v>
      </c>
      <c r="H394" s="2" t="s">
        <v>58</v>
      </c>
      <c r="I394" s="2" t="s">
        <v>151</v>
      </c>
      <c r="J394" s="2" t="s">
        <v>145</v>
      </c>
      <c r="K394" s="2" t="n">
        <v>4</v>
      </c>
      <c r="L394" s="28" t="n">
        <v>25</v>
      </c>
      <c r="M394" s="29" t="n">
        <v>0.04</v>
      </c>
      <c r="N394" s="28" t="n">
        <v>1</v>
      </c>
      <c r="O394" s="28" t="n">
        <v>18.78</v>
      </c>
      <c r="P394" s="2" t="s">
        <v>146</v>
      </c>
      <c r="Q394" s="29" t="n">
        <v>0.08</v>
      </c>
      <c r="R394" s="30" t="n">
        <v>0.076</v>
      </c>
      <c r="S394" s="31" t="n">
        <v>13.1578947368421</v>
      </c>
      <c r="T394" s="30" t="n">
        <v>-0.299366627431198</v>
      </c>
      <c r="U394" s="30" t="n">
        <v>-0.246118491115969</v>
      </c>
      <c r="V394" s="29" t="n">
        <v>0</v>
      </c>
      <c r="W394" s="29" t="n">
        <f aca="false">IF(N(Q394)=0,"",Q394+IF(I394="yes",Q394*Inputs!$B$10*Inputs!$B$9,0)+V394)</f>
        <v>0.076</v>
      </c>
      <c r="X394" s="28" t="n">
        <f aca="false">IF(OR(N(W394)&lt;=0,N(N394)=0,N(L394)=0),"",MIN(L394,N394/W394))</f>
        <v>13.1578947368421</v>
      </c>
      <c r="Y394" s="29" t="n">
        <f aca="false">IF(OR(X394="",N(O394)=0),"",X394/O394-1)</f>
        <v>-0.299366627431198</v>
      </c>
      <c r="Z394" s="29" t="n">
        <f aca="false">IF(OR(Y394="",N(O394)=0),"",Y394+N394/O394)</f>
        <v>-0.246118491115969</v>
      </c>
      <c r="AA394" s="32" t="n">
        <f aca="false">IF(OR(Z394="",N(U394)=0),"",Z394-U394)</f>
        <v>0</v>
      </c>
      <c r="AB394" s="29" t="n">
        <f aca="false">IF(N(Q394)=0,"",Q394+IF(I394="yes",Q394*Inputs!$B$10*Inputs!$B$9,0)+IFERROR(INDEX(Inputs!$B$13:$B$15,MATCH(G394,Inputs!$A$13:$A$15,0)),0)+IFERROR(INDEX(Inputs!$B$18:$B$24,MATCH(H394,Inputs!$A$18:$A$24,0)),0))</f>
        <v>0.076</v>
      </c>
      <c r="AC394" s="28" t="n">
        <f aca="false">IF(OR(N(AB394)&lt;=0,N(N394)=0,N(L394)=0),"",MIN(L394,N394/AB394))</f>
        <v>13.1578947368421</v>
      </c>
      <c r="AD394" s="29" t="n">
        <f aca="false">IF(OR(AC394="",N(O394)=0),"",AC394/O394-1)</f>
        <v>-0.299366627431198</v>
      </c>
      <c r="AE394" s="29" t="n">
        <f aca="false">IF(OR(AD394="",N(O394)=0),"",AD394+N394/O394)</f>
        <v>-0.246118491115969</v>
      </c>
      <c r="AF394" s="32" t="n">
        <f aca="false">IF(OR(AE394="",N(Z394)=0),"",AE394-Z394)</f>
        <v>0</v>
      </c>
      <c r="AG394" s="28" t="n">
        <f aca="false">IF(AND(N(M394)&gt;0,N(L394)&gt;0),M394*L394,N394)</f>
        <v>1</v>
      </c>
      <c r="AH394" s="28" t="n">
        <f aca="false">IF(OR(N(AB394)&lt;=0,N(AG394)=0,N(L394)=0),"",MIN(L394,AG394/AB394))</f>
        <v>13.1578947368421</v>
      </c>
      <c r="AI394" s="29" t="n">
        <f aca="false">IF(OR(AH394="",N(O394)=0),"",AH394/O394-1)</f>
        <v>-0.299366627431198</v>
      </c>
      <c r="AJ394" s="29" t="n">
        <f aca="false">IF(OR(AI394="",N(O394)=0),"",AI394+AG394/O394)</f>
        <v>-0.246118491115969</v>
      </c>
      <c r="AK394" s="32" t="n">
        <f aca="false">IF(OR(AJ394="",N(AE394)=0),"",AJ394-AE394)</f>
        <v>0</v>
      </c>
      <c r="AL394" s="33" t="n">
        <f aca="false">IF(N(F394)=0,"",INDEX(Inputs!$B$28:$B$32,IFERROR(MATCH(F394,Inputs!$A$28:$A$32,1),0)+1))</f>
        <v>0.075</v>
      </c>
      <c r="AM394" s="34"/>
      <c r="AN394" s="33" t="n">
        <f aca="false">IF(N(AM394)&gt;0,AM394,AL394)</f>
        <v>0.075</v>
      </c>
      <c r="AO394" s="29" t="n">
        <f aca="false">IF(N(AN394)=0,"",AN394+IF(I394="yes",AN394*Inputs!$B$10*Inputs!$B$9,0)+IFERROR(INDEX(Inputs!$B$13:$B$15,MATCH(G394,Inputs!$A$13:$A$15,0)),0)+IFERROR(INDEX(Inputs!$B$18:$B$24,MATCH(H394,Inputs!$A$18:$A$24,0)),0))</f>
        <v>0.07125</v>
      </c>
      <c r="AP394" s="28" t="n">
        <f aca="false">IF(OR(N(AO394)&lt;=0,N(AG394)=0,N(L394)=0),"",MIN(L394,AG394/AO394))</f>
        <v>14.0350877192982</v>
      </c>
      <c r="AQ394" s="29" t="n">
        <f aca="false">IF(OR(AP394="",N(O394)=0),"",AP394/O394-1)</f>
        <v>-0.252657735926611</v>
      </c>
      <c r="AR394" s="29" t="n">
        <f aca="false">IF(OR(AQ394="",N(O394)=0),"",AQ394+AG394/O394)</f>
        <v>-0.199409599611382</v>
      </c>
      <c r="AS394" s="32" t="n">
        <f aca="false">IF(OR(AR394="",N(AJ394)=0),"",AR394-AJ394)</f>
        <v>0.0467088915045868</v>
      </c>
      <c r="AT394" s="28" t="n">
        <v>25</v>
      </c>
      <c r="AU394" s="28"/>
      <c r="AV394" s="28" t="n">
        <f aca="false">IF(N(AT394)&gt;0,AT394,L394)</f>
        <v>25</v>
      </c>
      <c r="AW394" s="28" t="n">
        <f aca="false">IF(AND(N(M394)&gt;0,N(AV394)&gt;0),M394*AV394,IF(N(AU394)&gt;0,AU394,N394))</f>
        <v>1</v>
      </c>
      <c r="AX394" s="29" t="n">
        <f aca="false">IF(N(AN394)=0,"",AN394+IF(I394="yes",AN394*Inputs!$B$10*Inputs!$B$9,0)+IFERROR(INDEX(Inputs!$B$13:$B$15,MATCH(G394,Inputs!$A$13:$A$15,0)),0)+IFERROR(INDEX(Inputs!$B$18:$B$24,MATCH(H394,Inputs!$A$18:$A$24,0)),0))</f>
        <v>0.07125</v>
      </c>
      <c r="AY394" s="28" t="n">
        <f aca="false">IF(OR(N(AX394)&lt;=0,N(AW394)=0,N(AV394)=0),"",MIN(AV394,AW394/AX394))</f>
        <v>14.0350877192982</v>
      </c>
      <c r="AZ394" s="29" t="n">
        <f aca="false">IF(OR(AY394="",N(O394)=0),"",AY394/O394-1)</f>
        <v>-0.252657735926611</v>
      </c>
      <c r="BA394" s="29" t="n">
        <f aca="false">IF(OR(AZ394="",N(O394)=0),"",AZ394+AW394/O394)</f>
        <v>-0.199409599611382</v>
      </c>
      <c r="BB394" s="32" t="n">
        <f aca="false">IF(OR(BA394="",N(AR394)=0),"",BA394-AR394)</f>
        <v>0</v>
      </c>
      <c r="BC394" s="35" t="n">
        <f aca="false">IF(OR(BA394="",N(U394)=0),"",BA394-U394)</f>
        <v>0.0467088915045868</v>
      </c>
      <c r="BD394" s="37"/>
    </row>
    <row r="395" customFormat="false" ht="15" hidden="false" customHeight="false" outlineLevel="0" collapsed="false">
      <c r="A395" s="2" t="s">
        <v>768</v>
      </c>
      <c r="B395" s="2" t="n">
        <v>108</v>
      </c>
      <c r="C395" s="2" t="s">
        <v>848</v>
      </c>
      <c r="D395" s="2" t="s">
        <v>844</v>
      </c>
      <c r="E395" s="2" t="s">
        <v>845</v>
      </c>
      <c r="F395" s="27" t="n">
        <v>291700</v>
      </c>
      <c r="G395" s="2" t="s">
        <v>51</v>
      </c>
      <c r="H395" s="2" t="s">
        <v>60</v>
      </c>
      <c r="I395" s="2" t="s">
        <v>144</v>
      </c>
      <c r="J395" s="2" t="s">
        <v>541</v>
      </c>
      <c r="K395" s="2" t="n">
        <v>2</v>
      </c>
      <c r="L395" s="28" t="n">
        <v>25</v>
      </c>
      <c r="M395" s="29" t="n">
        <v>0.03</v>
      </c>
      <c r="N395" s="28" t="n">
        <v>0.75</v>
      </c>
      <c r="O395" s="28" t="n">
        <v>23.67</v>
      </c>
      <c r="P395" s="2" t="s">
        <v>146</v>
      </c>
      <c r="Q395" s="29" t="n">
        <v>0.08</v>
      </c>
      <c r="R395" s="30" t="n">
        <v>0.08</v>
      </c>
      <c r="S395" s="31" t="n">
        <v>9.375</v>
      </c>
      <c r="T395" s="30" t="n">
        <v>-0.603929024081115</v>
      </c>
      <c r="U395" s="30" t="n">
        <v>-0.572243346007605</v>
      </c>
      <c r="V395" s="29" t="n">
        <v>0</v>
      </c>
      <c r="W395" s="29" t="n">
        <f aca="false">IF(N(Q395)=0,"",Q395+IF(I395="yes",Q395*Inputs!$B$10*Inputs!$B$9,0)+V395)</f>
        <v>0.08</v>
      </c>
      <c r="X395" s="28" t="n">
        <f aca="false">IF(OR(N(W395)&lt;=0,N(N395)=0,N(L395)=0),"",MIN(L395,N395/W395))</f>
        <v>9.375</v>
      </c>
      <c r="Y395" s="29" t="n">
        <f aca="false">IF(OR(X395="",N(O395)=0),"",X395/O395-1)</f>
        <v>-0.603929024081115</v>
      </c>
      <c r="Z395" s="29" t="n">
        <f aca="false">IF(OR(Y395="",N(O395)=0),"",Y395+N395/O395)</f>
        <v>-0.572243346007605</v>
      </c>
      <c r="AA395" s="32" t="n">
        <f aca="false">IF(OR(Z395="",N(U395)=0),"",Z395-U395)</f>
        <v>0</v>
      </c>
      <c r="AB395" s="29" t="n">
        <f aca="false">IF(N(Q395)=0,"",Q395+IF(I395="yes",Q395*Inputs!$B$10*Inputs!$B$9,0)+IFERROR(INDEX(Inputs!$B$13:$B$15,MATCH(G395,Inputs!$A$13:$A$15,0)),0)+IFERROR(INDEX(Inputs!$B$18:$B$24,MATCH(H395,Inputs!$A$18:$A$24,0)),0))</f>
        <v>0.08</v>
      </c>
      <c r="AC395" s="28" t="n">
        <f aca="false">IF(OR(N(AB395)&lt;=0,N(N395)=0,N(L395)=0),"",MIN(L395,N395/AB395))</f>
        <v>9.375</v>
      </c>
      <c r="AD395" s="29" t="n">
        <f aca="false">IF(OR(AC395="",N(O395)=0),"",AC395/O395-1)</f>
        <v>-0.603929024081115</v>
      </c>
      <c r="AE395" s="29" t="n">
        <f aca="false">IF(OR(AD395="",N(O395)=0),"",AD395+N395/O395)</f>
        <v>-0.572243346007605</v>
      </c>
      <c r="AF395" s="32" t="n">
        <f aca="false">IF(OR(AE395="",N(Z395)=0),"",AE395-Z395)</f>
        <v>0</v>
      </c>
      <c r="AG395" s="28" t="n">
        <f aca="false">IF(AND(N(M395)&gt;0,N(L395)&gt;0),M395*L395,N395)</f>
        <v>0.75</v>
      </c>
      <c r="AH395" s="28" t="n">
        <f aca="false">IF(OR(N(AB395)&lt;=0,N(AG395)=0,N(L395)=0),"",MIN(L395,AG395/AB395))</f>
        <v>9.375</v>
      </c>
      <c r="AI395" s="29" t="n">
        <f aca="false">IF(OR(AH395="",N(O395)=0),"",AH395/O395-1)</f>
        <v>-0.603929024081115</v>
      </c>
      <c r="AJ395" s="29" t="n">
        <f aca="false">IF(OR(AI395="",N(O395)=0),"",AI395+AG395/O395)</f>
        <v>-0.572243346007605</v>
      </c>
      <c r="AK395" s="32" t="n">
        <f aca="false">IF(OR(AJ395="",N(AE395)=0),"",AJ395-AE395)</f>
        <v>0</v>
      </c>
      <c r="AL395" s="33" t="n">
        <f aca="false">IF(N(F395)=0,"",INDEX(Inputs!$B$28:$B$32,IFERROR(MATCH(F395,Inputs!$A$28:$A$32,1),0)+1))</f>
        <v>0.075</v>
      </c>
      <c r="AM395" s="34"/>
      <c r="AN395" s="33" t="n">
        <f aca="false">IF(N(AM395)&gt;0,AM395,AL395)</f>
        <v>0.075</v>
      </c>
      <c r="AO395" s="29" t="n">
        <f aca="false">IF(N(AN395)=0,"",AN395+IF(I395="yes",AN395*Inputs!$B$10*Inputs!$B$9,0)+IFERROR(INDEX(Inputs!$B$13:$B$15,MATCH(G395,Inputs!$A$13:$A$15,0)),0)+IFERROR(INDEX(Inputs!$B$18:$B$24,MATCH(H395,Inputs!$A$18:$A$24,0)),0))</f>
        <v>0.075</v>
      </c>
      <c r="AP395" s="28" t="n">
        <f aca="false">IF(OR(N(AO395)&lt;=0,N(AG395)=0,N(L395)=0),"",MIN(L395,AG395/AO395))</f>
        <v>10</v>
      </c>
      <c r="AQ395" s="29" t="n">
        <f aca="false">IF(OR(AP395="",N(O395)=0),"",AP395/O395-1)</f>
        <v>-0.57752429235319</v>
      </c>
      <c r="AR395" s="29" t="n">
        <f aca="false">IF(OR(AQ395="",N(O395)=0),"",AQ395+AG395/O395)</f>
        <v>-0.545838614279679</v>
      </c>
      <c r="AS395" s="32" t="n">
        <f aca="false">IF(OR(AR395="",N(AJ395)=0),"",AR395-AJ395)</f>
        <v>0.0264047317279257</v>
      </c>
      <c r="AT395" s="28" t="n">
        <v>25</v>
      </c>
      <c r="AU395" s="28"/>
      <c r="AV395" s="28" t="n">
        <f aca="false">IF(N(AT395)&gt;0,AT395,L395)</f>
        <v>25</v>
      </c>
      <c r="AW395" s="28" t="n">
        <f aca="false">IF(AND(N(M395)&gt;0,N(AV395)&gt;0),M395*AV395,IF(N(AU395)&gt;0,AU395,N395))</f>
        <v>0.75</v>
      </c>
      <c r="AX395" s="29" t="n">
        <f aca="false">IF(N(AN395)=0,"",AN395+IF(I395="yes",AN395*Inputs!$B$10*Inputs!$B$9,0)+IFERROR(INDEX(Inputs!$B$13:$B$15,MATCH(G395,Inputs!$A$13:$A$15,0)),0)+IFERROR(INDEX(Inputs!$B$18:$B$24,MATCH(H395,Inputs!$A$18:$A$24,0)),0))</f>
        <v>0.075</v>
      </c>
      <c r="AY395" s="28" t="n">
        <f aca="false">IF(OR(N(AX395)&lt;=0,N(AW395)=0,N(AV395)=0),"",MIN(AV395,AW395/AX395))</f>
        <v>10</v>
      </c>
      <c r="AZ395" s="29" t="n">
        <f aca="false">IF(OR(AY395="",N(O395)=0),"",AY395/O395-1)</f>
        <v>-0.57752429235319</v>
      </c>
      <c r="BA395" s="29" t="n">
        <f aca="false">IF(OR(AZ395="",N(O395)=0),"",AZ395+AW395/O395)</f>
        <v>-0.545838614279679</v>
      </c>
      <c r="BB395" s="32" t="n">
        <f aca="false">IF(OR(BA395="",N(AR395)=0),"",BA395-AR395)</f>
        <v>0</v>
      </c>
      <c r="BC395" s="35" t="n">
        <f aca="false">IF(OR(BA395="",N(U395)=0),"",BA395-U395)</f>
        <v>0.0264047317279257</v>
      </c>
      <c r="BD395" s="36" t="s">
        <v>340</v>
      </c>
    </row>
    <row r="396" customFormat="false" ht="15" hidden="false" customHeight="false" outlineLevel="0" collapsed="false">
      <c r="A396" s="2" t="s">
        <v>768</v>
      </c>
      <c r="B396" s="2" t="n">
        <v>109</v>
      </c>
      <c r="C396" s="2" t="s">
        <v>849</v>
      </c>
      <c r="D396" s="2" t="s">
        <v>844</v>
      </c>
      <c r="E396" s="2" t="s">
        <v>845</v>
      </c>
      <c r="F396" s="27" t="n">
        <v>291700</v>
      </c>
      <c r="G396" s="2" t="s">
        <v>51</v>
      </c>
      <c r="H396" s="2" t="s">
        <v>60</v>
      </c>
      <c r="I396" s="2" t="s">
        <v>144</v>
      </c>
      <c r="J396" s="2" t="s">
        <v>541</v>
      </c>
      <c r="K396" s="2" t="n">
        <v>2</v>
      </c>
      <c r="L396" s="28" t="n">
        <v>25</v>
      </c>
      <c r="M396" s="29" t="n">
        <v>0.06</v>
      </c>
      <c r="N396" s="28" t="n">
        <v>1.5</v>
      </c>
      <c r="O396" s="28" t="n">
        <v>25.8</v>
      </c>
      <c r="P396" s="2" t="s">
        <v>146</v>
      </c>
      <c r="Q396" s="29" t="n">
        <v>0.08</v>
      </c>
      <c r="R396" s="30" t="n">
        <v>0.08</v>
      </c>
      <c r="S396" s="31" t="n">
        <v>18.75</v>
      </c>
      <c r="T396" s="30" t="n">
        <v>-0.273255813953488</v>
      </c>
      <c r="U396" s="30" t="n">
        <v>-0.215116279069768</v>
      </c>
      <c r="V396" s="29" t="n">
        <v>0</v>
      </c>
      <c r="W396" s="29" t="n">
        <f aca="false">IF(N(Q396)=0,"",Q396+IF(I396="yes",Q396*Inputs!$B$10*Inputs!$B$9,0)+V396)</f>
        <v>0.08</v>
      </c>
      <c r="X396" s="28" t="n">
        <f aca="false">IF(OR(N(W396)&lt;=0,N(N396)=0,N(L396)=0),"",MIN(L396,N396/W396))</f>
        <v>18.75</v>
      </c>
      <c r="Y396" s="29" t="n">
        <f aca="false">IF(OR(X396="",N(O396)=0),"",X396/O396-1)</f>
        <v>-0.273255813953488</v>
      </c>
      <c r="Z396" s="29" t="n">
        <f aca="false">IF(OR(Y396="",N(O396)=0),"",Y396+N396/O396)</f>
        <v>-0.215116279069768</v>
      </c>
      <c r="AA396" s="32" t="n">
        <f aca="false">IF(OR(Z396="",N(U396)=0),"",Z396-U396)</f>
        <v>0</v>
      </c>
      <c r="AB396" s="29" t="n">
        <f aca="false">IF(N(Q396)=0,"",Q396+IF(I396="yes",Q396*Inputs!$B$10*Inputs!$B$9,0)+IFERROR(INDEX(Inputs!$B$13:$B$15,MATCH(G396,Inputs!$A$13:$A$15,0)),0)+IFERROR(INDEX(Inputs!$B$18:$B$24,MATCH(H396,Inputs!$A$18:$A$24,0)),0))</f>
        <v>0.08</v>
      </c>
      <c r="AC396" s="28" t="n">
        <f aca="false">IF(OR(N(AB396)&lt;=0,N(N396)=0,N(L396)=0),"",MIN(L396,N396/AB396))</f>
        <v>18.75</v>
      </c>
      <c r="AD396" s="29" t="n">
        <f aca="false">IF(OR(AC396="",N(O396)=0),"",AC396/O396-1)</f>
        <v>-0.273255813953488</v>
      </c>
      <c r="AE396" s="29" t="n">
        <f aca="false">IF(OR(AD396="",N(O396)=0),"",AD396+N396/O396)</f>
        <v>-0.215116279069768</v>
      </c>
      <c r="AF396" s="32" t="n">
        <f aca="false">IF(OR(AE396="",N(Z396)=0),"",AE396-Z396)</f>
        <v>0</v>
      </c>
      <c r="AG396" s="28" t="n">
        <f aca="false">IF(AND(N(M396)&gt;0,N(L396)&gt;0),M396*L396,N396)</f>
        <v>1.5</v>
      </c>
      <c r="AH396" s="28" t="n">
        <f aca="false">IF(OR(N(AB396)&lt;=0,N(AG396)=0,N(L396)=0),"",MIN(L396,AG396/AB396))</f>
        <v>18.75</v>
      </c>
      <c r="AI396" s="29" t="n">
        <f aca="false">IF(OR(AH396="",N(O396)=0),"",AH396/O396-1)</f>
        <v>-0.273255813953488</v>
      </c>
      <c r="AJ396" s="29" t="n">
        <f aca="false">IF(OR(AI396="",N(O396)=0),"",AI396+AG396/O396)</f>
        <v>-0.215116279069768</v>
      </c>
      <c r="AK396" s="32" t="n">
        <f aca="false">IF(OR(AJ396="",N(AE396)=0),"",AJ396-AE396)</f>
        <v>0</v>
      </c>
      <c r="AL396" s="33" t="n">
        <f aca="false">IF(N(F396)=0,"",INDEX(Inputs!$B$28:$B$32,IFERROR(MATCH(F396,Inputs!$A$28:$A$32,1),0)+1))</f>
        <v>0.075</v>
      </c>
      <c r="AM396" s="34"/>
      <c r="AN396" s="33" t="n">
        <f aca="false">IF(N(AM396)&gt;0,AM396,AL396)</f>
        <v>0.075</v>
      </c>
      <c r="AO396" s="29" t="n">
        <f aca="false">IF(N(AN396)=0,"",AN396+IF(I396="yes",AN396*Inputs!$B$10*Inputs!$B$9,0)+IFERROR(INDEX(Inputs!$B$13:$B$15,MATCH(G396,Inputs!$A$13:$A$15,0)),0)+IFERROR(INDEX(Inputs!$B$18:$B$24,MATCH(H396,Inputs!$A$18:$A$24,0)),0))</f>
        <v>0.075</v>
      </c>
      <c r="AP396" s="28" t="n">
        <f aca="false">IF(OR(N(AO396)&lt;=0,N(AG396)=0,N(L396)=0),"",MIN(L396,AG396/AO396))</f>
        <v>20</v>
      </c>
      <c r="AQ396" s="29" t="n">
        <f aca="false">IF(OR(AP396="",N(O396)=0),"",AP396/O396-1)</f>
        <v>-0.224806201550388</v>
      </c>
      <c r="AR396" s="29" t="n">
        <f aca="false">IF(OR(AQ396="",N(O396)=0),"",AQ396+AG396/O396)</f>
        <v>-0.166666666666667</v>
      </c>
      <c r="AS396" s="32" t="n">
        <f aca="false">IF(OR(AR396="",N(AJ396)=0),"",AR396-AJ396)</f>
        <v>0.0484496124031008</v>
      </c>
      <c r="AT396" s="28" t="n">
        <v>25</v>
      </c>
      <c r="AU396" s="28"/>
      <c r="AV396" s="28" t="n">
        <f aca="false">IF(N(AT396)&gt;0,AT396,L396)</f>
        <v>25</v>
      </c>
      <c r="AW396" s="28" t="n">
        <f aca="false">IF(AND(N(M396)&gt;0,N(AV396)&gt;0),M396*AV396,IF(N(AU396)&gt;0,AU396,N396))</f>
        <v>1.5</v>
      </c>
      <c r="AX396" s="29" t="n">
        <f aca="false">IF(N(AN396)=0,"",AN396+IF(I396="yes",AN396*Inputs!$B$10*Inputs!$B$9,0)+IFERROR(INDEX(Inputs!$B$13:$B$15,MATCH(G396,Inputs!$A$13:$A$15,0)),0)+IFERROR(INDEX(Inputs!$B$18:$B$24,MATCH(H396,Inputs!$A$18:$A$24,0)),0))</f>
        <v>0.075</v>
      </c>
      <c r="AY396" s="28" t="n">
        <f aca="false">IF(OR(N(AX396)&lt;=0,N(AW396)=0,N(AV396)=0),"",MIN(AV396,AW396/AX396))</f>
        <v>20</v>
      </c>
      <c r="AZ396" s="29" t="n">
        <f aca="false">IF(OR(AY396="",N(O396)=0),"",AY396/O396-1)</f>
        <v>-0.224806201550388</v>
      </c>
      <c r="BA396" s="29" t="n">
        <f aca="false">IF(OR(AZ396="",N(O396)=0),"",AZ396+AW396/O396)</f>
        <v>-0.166666666666667</v>
      </c>
      <c r="BB396" s="32" t="n">
        <f aca="false">IF(OR(BA396="",N(AR396)=0),"",BA396-AR396)</f>
        <v>0</v>
      </c>
      <c r="BC396" s="35" t="n">
        <f aca="false">IF(OR(BA396="",N(U396)=0),"",BA396-U396)</f>
        <v>0.0484496124031008</v>
      </c>
      <c r="BD396" s="36" t="s">
        <v>340</v>
      </c>
    </row>
    <row r="397" customFormat="false" ht="15" hidden="false" customHeight="false" outlineLevel="0" collapsed="false">
      <c r="A397" s="2" t="s">
        <v>768</v>
      </c>
      <c r="B397" s="2" t="n">
        <v>110</v>
      </c>
      <c r="C397" s="2" t="s">
        <v>850</v>
      </c>
      <c r="D397" s="2" t="s">
        <v>844</v>
      </c>
      <c r="E397" s="2" t="s">
        <v>845</v>
      </c>
      <c r="F397" s="27" t="n">
        <v>291700</v>
      </c>
      <c r="G397" s="2" t="s">
        <v>51</v>
      </c>
      <c r="H397" s="2" t="s">
        <v>60</v>
      </c>
      <c r="I397" s="2" t="s">
        <v>144</v>
      </c>
      <c r="J397" s="2" t="s">
        <v>168</v>
      </c>
      <c r="K397" s="2" t="n">
        <v>12</v>
      </c>
      <c r="L397" s="28" t="n">
        <v>25</v>
      </c>
      <c r="M397" s="29" t="n">
        <v>0.02352</v>
      </c>
      <c r="N397" s="28" t="n">
        <v>0.588</v>
      </c>
      <c r="O397" s="28" t="n">
        <v>23.47</v>
      </c>
      <c r="P397" s="2" t="s">
        <v>146</v>
      </c>
      <c r="Q397" s="29" t="n">
        <v>0.08</v>
      </c>
      <c r="R397" s="30" t="n">
        <v>0.08</v>
      </c>
      <c r="S397" s="31" t="n">
        <v>7.35</v>
      </c>
      <c r="T397" s="30" t="n">
        <v>-0.686834256497657</v>
      </c>
      <c r="U397" s="30" t="n">
        <v>-0.661780997017469</v>
      </c>
      <c r="V397" s="29" t="n">
        <v>0</v>
      </c>
      <c r="W397" s="29" t="n">
        <f aca="false">IF(N(Q397)=0,"",Q397+IF(I397="yes",Q397*Inputs!$B$10*Inputs!$B$9,0)+V397)</f>
        <v>0.08</v>
      </c>
      <c r="X397" s="28" t="n">
        <f aca="false">IF(OR(N(W397)&lt;=0,N(N397)=0,N(L397)=0),"",MIN(L397,N397/W397))</f>
        <v>7.35</v>
      </c>
      <c r="Y397" s="29" t="n">
        <f aca="false">IF(OR(X397="",N(O397)=0),"",X397/O397-1)</f>
        <v>-0.686834256497657</v>
      </c>
      <c r="Z397" s="29" t="n">
        <f aca="false">IF(OR(Y397="",N(O397)=0),"",Y397+N397/O397)</f>
        <v>-0.661780997017469</v>
      </c>
      <c r="AA397" s="32" t="n">
        <f aca="false">IF(OR(Z397="",N(U397)=0),"",Z397-U397)</f>
        <v>0</v>
      </c>
      <c r="AB397" s="29" t="n">
        <f aca="false">IF(N(Q397)=0,"",Q397+IF(I397="yes",Q397*Inputs!$B$10*Inputs!$B$9,0)+IFERROR(INDEX(Inputs!$B$13:$B$15,MATCH(G397,Inputs!$A$13:$A$15,0)),0)+IFERROR(INDEX(Inputs!$B$18:$B$24,MATCH(H397,Inputs!$A$18:$A$24,0)),0))</f>
        <v>0.08</v>
      </c>
      <c r="AC397" s="28" t="n">
        <f aca="false">IF(OR(N(AB397)&lt;=0,N(N397)=0,N(L397)=0),"",MIN(L397,N397/AB397))</f>
        <v>7.35</v>
      </c>
      <c r="AD397" s="29" t="n">
        <f aca="false">IF(OR(AC397="",N(O397)=0),"",AC397/O397-1)</f>
        <v>-0.686834256497657</v>
      </c>
      <c r="AE397" s="29" t="n">
        <f aca="false">IF(OR(AD397="",N(O397)=0),"",AD397+N397/O397)</f>
        <v>-0.661780997017469</v>
      </c>
      <c r="AF397" s="32" t="n">
        <f aca="false">IF(OR(AE397="",N(Z397)=0),"",AE397-Z397)</f>
        <v>0</v>
      </c>
      <c r="AG397" s="28" t="n">
        <f aca="false">IF(AND(N(M397)&gt;0,N(L397)&gt;0),M397*L397,N397)</f>
        <v>0.588</v>
      </c>
      <c r="AH397" s="28" t="n">
        <f aca="false">IF(OR(N(AB397)&lt;=0,N(AG397)=0,N(L397)=0),"",MIN(L397,AG397/AB397))</f>
        <v>7.35</v>
      </c>
      <c r="AI397" s="29" t="n">
        <f aca="false">IF(OR(AH397="",N(O397)=0),"",AH397/O397-1)</f>
        <v>-0.686834256497657</v>
      </c>
      <c r="AJ397" s="29" t="n">
        <f aca="false">IF(OR(AI397="",N(O397)=0),"",AI397+AG397/O397)</f>
        <v>-0.661780997017469</v>
      </c>
      <c r="AK397" s="32" t="n">
        <f aca="false">IF(OR(AJ397="",N(AE397)=0),"",AJ397-AE397)</f>
        <v>0</v>
      </c>
      <c r="AL397" s="33" t="n">
        <f aca="false">IF(N(F397)=0,"",INDEX(Inputs!$B$28:$B$32,IFERROR(MATCH(F397,Inputs!$A$28:$A$32,1),0)+1))</f>
        <v>0.075</v>
      </c>
      <c r="AM397" s="34"/>
      <c r="AN397" s="33" t="n">
        <f aca="false">IF(N(AM397)&gt;0,AM397,AL397)</f>
        <v>0.075</v>
      </c>
      <c r="AO397" s="29" t="n">
        <f aca="false">IF(N(AN397)=0,"",AN397+IF(I397="yes",AN397*Inputs!$B$10*Inputs!$B$9,0)+IFERROR(INDEX(Inputs!$B$13:$B$15,MATCH(G397,Inputs!$A$13:$A$15,0)),0)+IFERROR(INDEX(Inputs!$B$18:$B$24,MATCH(H397,Inputs!$A$18:$A$24,0)),0))</f>
        <v>0.075</v>
      </c>
      <c r="AP397" s="28" t="n">
        <f aca="false">IF(OR(N(AO397)&lt;=0,N(AG397)=0,N(L397)=0),"",MIN(L397,AG397/AO397))</f>
        <v>7.84</v>
      </c>
      <c r="AQ397" s="29" t="n">
        <f aca="false">IF(OR(AP397="",N(O397)=0),"",AP397/O397-1)</f>
        <v>-0.665956540264167</v>
      </c>
      <c r="AR397" s="29" t="n">
        <f aca="false">IF(OR(AQ397="",N(O397)=0),"",AQ397+AG397/O397)</f>
        <v>-0.64090328078398</v>
      </c>
      <c r="AS397" s="32" t="n">
        <f aca="false">IF(OR(AR397="",N(AJ397)=0),"",AR397-AJ397)</f>
        <v>0.0208777162334897</v>
      </c>
      <c r="AT397" s="28" t="n">
        <v>25</v>
      </c>
      <c r="AU397" s="28"/>
      <c r="AV397" s="28" t="n">
        <f aca="false">IF(N(AT397)&gt;0,AT397,L397)</f>
        <v>25</v>
      </c>
      <c r="AW397" s="28" t="n">
        <f aca="false">IF(AND(N(M397)&gt;0,N(AV397)&gt;0),M397*AV397,IF(N(AU397)&gt;0,AU397,N397))</f>
        <v>0.588</v>
      </c>
      <c r="AX397" s="29" t="n">
        <f aca="false">IF(N(AN397)=0,"",AN397+IF(I397="yes",AN397*Inputs!$B$10*Inputs!$B$9,0)+IFERROR(INDEX(Inputs!$B$13:$B$15,MATCH(G397,Inputs!$A$13:$A$15,0)),0)+IFERROR(INDEX(Inputs!$B$18:$B$24,MATCH(H397,Inputs!$A$18:$A$24,0)),0))</f>
        <v>0.075</v>
      </c>
      <c r="AY397" s="28" t="n">
        <f aca="false">IF(OR(N(AX397)&lt;=0,N(AW397)=0,N(AV397)=0),"",MIN(AV397,AW397/AX397))</f>
        <v>7.84</v>
      </c>
      <c r="AZ397" s="29" t="n">
        <f aca="false">IF(OR(AY397="",N(O397)=0),"",AY397/O397-1)</f>
        <v>-0.665956540264167</v>
      </c>
      <c r="BA397" s="29" t="n">
        <f aca="false">IF(OR(AZ397="",N(O397)=0),"",AZ397+AW397/O397)</f>
        <v>-0.64090328078398</v>
      </c>
      <c r="BB397" s="32" t="n">
        <f aca="false">IF(OR(BA397="",N(AR397)=0),"",BA397-AR397)</f>
        <v>0</v>
      </c>
      <c r="BC397" s="35" t="n">
        <f aca="false">IF(OR(BA397="",N(U397)=0),"",BA397-U397)</f>
        <v>0.0208777162334897</v>
      </c>
      <c r="BD397" s="36" t="s">
        <v>340</v>
      </c>
    </row>
    <row r="398" customFormat="false" ht="15" hidden="false" customHeight="false" outlineLevel="0" collapsed="false">
      <c r="A398" s="2" t="s">
        <v>768</v>
      </c>
      <c r="B398" s="2" t="n">
        <v>111</v>
      </c>
      <c r="C398" s="2" t="s">
        <v>851</v>
      </c>
      <c r="D398" s="2" t="s">
        <v>844</v>
      </c>
      <c r="E398" s="2" t="s">
        <v>845</v>
      </c>
      <c r="F398" s="27" t="n">
        <v>291700</v>
      </c>
      <c r="G398" s="2" t="s">
        <v>51</v>
      </c>
      <c r="H398" s="2" t="s">
        <v>59</v>
      </c>
      <c r="I398" s="2" t="s">
        <v>151</v>
      </c>
      <c r="J398" s="2" t="s">
        <v>145</v>
      </c>
      <c r="K398" s="2" t="n">
        <v>4</v>
      </c>
      <c r="L398" s="28" t="n">
        <v>25</v>
      </c>
      <c r="M398" s="29" t="n">
        <v>0.06375</v>
      </c>
      <c r="N398" s="28" t="n">
        <v>1.59375</v>
      </c>
      <c r="O398" s="28" t="n">
        <v>0</v>
      </c>
      <c r="P398" s="2" t="s">
        <v>146</v>
      </c>
      <c r="Q398" s="29" t="n">
        <v>0.08</v>
      </c>
      <c r="R398" s="30" t="n">
        <v>0.076</v>
      </c>
      <c r="S398" s="31" t="n">
        <v>20.9703947368421</v>
      </c>
      <c r="T398" s="30"/>
      <c r="U398" s="30"/>
      <c r="V398" s="29" t="n">
        <v>0</v>
      </c>
      <c r="W398" s="29" t="n">
        <f aca="false">IF(N(Q398)=0,"",Q398+IF(I398="yes",Q398*Inputs!$B$10*Inputs!$B$9,0)+V398)</f>
        <v>0.076</v>
      </c>
      <c r="X398" s="28" t="n">
        <f aca="false">IF(OR(N(W398)&lt;=0,N(N398)=0,N(L398)=0),"",MIN(L398,N398/W398))</f>
        <v>20.9703947368421</v>
      </c>
      <c r="Y398" s="29" t="str">
        <f aca="false">IF(OR(X398="",N(O398)=0),"",X398/O398-1)</f>
        <v/>
      </c>
      <c r="Z398" s="29" t="str">
        <f aca="false">IF(OR(Y398="",N(O398)=0),"",Y398+N398/O398)</f>
        <v/>
      </c>
      <c r="AA398" s="32" t="str">
        <f aca="false">IF(OR(Z398="",N(U398)=0),"",Z398-U398)</f>
        <v/>
      </c>
      <c r="AB398" s="29" t="n">
        <f aca="false">IF(N(Q398)=0,"",Q398+IF(I398="yes",Q398*Inputs!$B$10*Inputs!$B$9,0)+IFERROR(INDEX(Inputs!$B$13:$B$15,MATCH(G398,Inputs!$A$13:$A$15,0)),0)+IFERROR(INDEX(Inputs!$B$18:$B$24,MATCH(H398,Inputs!$A$18:$A$24,0)),0))</f>
        <v>0.076</v>
      </c>
      <c r="AC398" s="28" t="n">
        <f aca="false">IF(OR(N(AB398)&lt;=0,N(N398)=0,N(L398)=0),"",MIN(L398,N398/AB398))</f>
        <v>20.9703947368421</v>
      </c>
      <c r="AD398" s="29" t="str">
        <f aca="false">IF(OR(AC398="",N(O398)=0),"",AC398/O398-1)</f>
        <v/>
      </c>
      <c r="AE398" s="29" t="str">
        <f aca="false">IF(OR(AD398="",N(O398)=0),"",AD398+N398/O398)</f>
        <v/>
      </c>
      <c r="AF398" s="32" t="str">
        <f aca="false">IF(OR(AE398="",N(Z398)=0),"",AE398-Z398)</f>
        <v/>
      </c>
      <c r="AG398" s="28" t="n">
        <f aca="false">IF(AND(N(M398)&gt;0,N(L398)&gt;0),M398*L398,N398)</f>
        <v>1.59375</v>
      </c>
      <c r="AH398" s="28" t="n">
        <f aca="false">IF(OR(N(AB398)&lt;=0,N(AG398)=0,N(L398)=0),"",MIN(L398,AG398/AB398))</f>
        <v>20.9703947368421</v>
      </c>
      <c r="AI398" s="29" t="str">
        <f aca="false">IF(OR(AH398="",N(O398)=0),"",AH398/O398-1)</f>
        <v/>
      </c>
      <c r="AJ398" s="29" t="str">
        <f aca="false">IF(OR(AI398="",N(O398)=0),"",AI398+AG398/O398)</f>
        <v/>
      </c>
      <c r="AK398" s="32" t="str">
        <f aca="false">IF(OR(AJ398="",N(AE398)=0),"",AJ398-AE398)</f>
        <v/>
      </c>
      <c r="AL398" s="33" t="n">
        <f aca="false">IF(N(F398)=0,"",INDEX(Inputs!$B$28:$B$32,IFERROR(MATCH(F398,Inputs!$A$28:$A$32,1),0)+1))</f>
        <v>0.075</v>
      </c>
      <c r="AM398" s="34"/>
      <c r="AN398" s="33" t="n">
        <f aca="false">IF(N(AM398)&gt;0,AM398,AL398)</f>
        <v>0.075</v>
      </c>
      <c r="AO398" s="29" t="n">
        <f aca="false">IF(N(AN398)=0,"",AN398+IF(I398="yes",AN398*Inputs!$B$10*Inputs!$B$9,0)+IFERROR(INDEX(Inputs!$B$13:$B$15,MATCH(G398,Inputs!$A$13:$A$15,0)),0)+IFERROR(INDEX(Inputs!$B$18:$B$24,MATCH(H398,Inputs!$A$18:$A$24,0)),0))</f>
        <v>0.07125</v>
      </c>
      <c r="AP398" s="28" t="n">
        <f aca="false">IF(OR(N(AO398)&lt;=0,N(AG398)=0,N(L398)=0),"",MIN(L398,AG398/AO398))</f>
        <v>22.3684210526316</v>
      </c>
      <c r="AQ398" s="29" t="str">
        <f aca="false">IF(OR(AP398="",N(O398)=0),"",AP398/O398-1)</f>
        <v/>
      </c>
      <c r="AR398" s="29" t="str">
        <f aca="false">IF(OR(AQ398="",N(O398)=0),"",AQ398+AG398/O398)</f>
        <v/>
      </c>
      <c r="AS398" s="32" t="str">
        <f aca="false">IF(OR(AR398="",N(AJ398)=0),"",AR398-AJ398)</f>
        <v/>
      </c>
      <c r="AT398" s="28"/>
      <c r="AU398" s="28"/>
      <c r="AV398" s="28" t="n">
        <f aca="false">IF(N(AT398)&gt;0,AT398,L398)</f>
        <v>25</v>
      </c>
      <c r="AW398" s="28" t="n">
        <f aca="false">IF(AND(N(M398)&gt;0,N(AV398)&gt;0),M398*AV398,IF(N(AU398)&gt;0,AU398,N398))</f>
        <v>1.59375</v>
      </c>
      <c r="AX398" s="29" t="n">
        <f aca="false">IF(N(AN398)=0,"",AN398+IF(I398="yes",AN398*Inputs!$B$10*Inputs!$B$9,0)+IFERROR(INDEX(Inputs!$B$13:$B$15,MATCH(G398,Inputs!$A$13:$A$15,0)),0)+IFERROR(INDEX(Inputs!$B$18:$B$24,MATCH(H398,Inputs!$A$18:$A$24,0)),0))</f>
        <v>0.07125</v>
      </c>
      <c r="AY398" s="28" t="n">
        <f aca="false">IF(OR(N(AX398)&lt;=0,N(AW398)=0,N(AV398)=0),"",MIN(AV398,AW398/AX398))</f>
        <v>22.3684210526316</v>
      </c>
      <c r="AZ398" s="29" t="str">
        <f aca="false">IF(OR(AY398="",N(O398)=0),"",AY398/O398-1)</f>
        <v/>
      </c>
      <c r="BA398" s="29" t="str">
        <f aca="false">IF(OR(AZ398="",N(O398)=0),"",AZ398+AW398/O398)</f>
        <v/>
      </c>
      <c r="BB398" s="32" t="str">
        <f aca="false">IF(OR(BA398="",N(AR398)=0),"",BA398-AR398)</f>
        <v/>
      </c>
      <c r="BC398" s="35" t="str">
        <f aca="false">IF(OR(BA398="",N(U398)=0),"",BA398-U398)</f>
        <v/>
      </c>
      <c r="BD398" s="36" t="s">
        <v>198</v>
      </c>
    </row>
    <row r="399" customFormat="false" ht="15" hidden="false" customHeight="false" outlineLevel="0" collapsed="false">
      <c r="A399" s="2" t="s">
        <v>768</v>
      </c>
      <c r="B399" s="2" t="n">
        <v>114</v>
      </c>
      <c r="C399" s="2" t="s">
        <v>852</v>
      </c>
      <c r="D399" s="2" t="s">
        <v>853</v>
      </c>
      <c r="E399" s="2" t="s">
        <v>854</v>
      </c>
      <c r="F399" s="27" t="n">
        <v>1600</v>
      </c>
      <c r="G399" s="2" t="s">
        <v>51</v>
      </c>
      <c r="H399" s="2" t="s">
        <v>58</v>
      </c>
      <c r="I399" s="2" t="s">
        <v>151</v>
      </c>
      <c r="J399" s="2" t="s">
        <v>145</v>
      </c>
      <c r="K399" s="2" t="n">
        <v>4</v>
      </c>
      <c r="L399" s="28" t="n">
        <v>25</v>
      </c>
      <c r="M399" s="29" t="n">
        <v>0.0875</v>
      </c>
      <c r="N399" s="28" t="n">
        <v>2.1875</v>
      </c>
      <c r="O399" s="28" t="n">
        <v>26.78</v>
      </c>
      <c r="P399" s="2" t="s">
        <v>146</v>
      </c>
      <c r="Q399" s="29" t="n">
        <v>0.08</v>
      </c>
      <c r="R399" s="30" t="n">
        <v>0.076</v>
      </c>
      <c r="S399" s="31" t="n">
        <v>25</v>
      </c>
      <c r="T399" s="30" t="n">
        <v>-0.0664675130694549</v>
      </c>
      <c r="U399" s="30" t="n">
        <v>0.0152165795369678</v>
      </c>
      <c r="V399" s="29" t="n">
        <v>0</v>
      </c>
      <c r="W399" s="29" t="n">
        <f aca="false">IF(N(Q399)=0,"",Q399+IF(I399="yes",Q399*Inputs!$B$10*Inputs!$B$9,0)+V399)</f>
        <v>0.076</v>
      </c>
      <c r="X399" s="28" t="n">
        <f aca="false">IF(OR(N(W399)&lt;=0,N(N399)=0,N(L399)=0),"",MIN(L399,N399/W399))</f>
        <v>25</v>
      </c>
      <c r="Y399" s="29" t="n">
        <f aca="false">IF(OR(X399="",N(O399)=0),"",X399/O399-1)</f>
        <v>-0.0664675130694549</v>
      </c>
      <c r="Z399" s="29" t="n">
        <f aca="false">IF(OR(Y399="",N(O399)=0),"",Y399+N399/O399)</f>
        <v>0.0152165795369678</v>
      </c>
      <c r="AA399" s="32" t="n">
        <f aca="false">IF(OR(Z399="",N(U399)=0),"",Z399-U399)</f>
        <v>0</v>
      </c>
      <c r="AB399" s="29" t="n">
        <f aca="false">IF(N(Q399)=0,"",Q399+IF(I399="yes",Q399*Inputs!$B$10*Inputs!$B$9,0)+IFERROR(INDEX(Inputs!$B$13:$B$15,MATCH(G399,Inputs!$A$13:$A$15,0)),0)+IFERROR(INDEX(Inputs!$B$18:$B$24,MATCH(H399,Inputs!$A$18:$A$24,0)),0))</f>
        <v>0.076</v>
      </c>
      <c r="AC399" s="28" t="n">
        <f aca="false">IF(OR(N(AB399)&lt;=0,N(N399)=0,N(L399)=0),"",MIN(L399,N399/AB399))</f>
        <v>25</v>
      </c>
      <c r="AD399" s="29" t="n">
        <f aca="false">IF(OR(AC399="",N(O399)=0),"",AC399/O399-1)</f>
        <v>-0.0664675130694549</v>
      </c>
      <c r="AE399" s="29" t="n">
        <f aca="false">IF(OR(AD399="",N(O399)=0),"",AD399+N399/O399)</f>
        <v>0.0152165795369678</v>
      </c>
      <c r="AF399" s="32" t="n">
        <f aca="false">IF(OR(AE399="",N(Z399)=0),"",AE399-Z399)</f>
        <v>0</v>
      </c>
      <c r="AG399" s="28" t="n">
        <f aca="false">IF(AND(N(M399)&gt;0,N(L399)&gt;0),M399*L399,N399)</f>
        <v>2.1875</v>
      </c>
      <c r="AH399" s="28" t="n">
        <f aca="false">IF(OR(N(AB399)&lt;=0,N(AG399)=0,N(L399)=0),"",MIN(L399,AG399/AB399))</f>
        <v>25</v>
      </c>
      <c r="AI399" s="29" t="n">
        <f aca="false">IF(OR(AH399="",N(O399)=0),"",AH399/O399-1)</f>
        <v>-0.0664675130694549</v>
      </c>
      <c r="AJ399" s="29" t="n">
        <f aca="false">IF(OR(AI399="",N(O399)=0),"",AI399+AG399/O399)</f>
        <v>0.0152165795369678</v>
      </c>
      <c r="AK399" s="32" t="n">
        <f aca="false">IF(OR(AJ399="",N(AE399)=0),"",AJ399-AE399)</f>
        <v>0</v>
      </c>
      <c r="AL399" s="33" t="n">
        <f aca="false">IF(N(F399)=0,"",INDEX(Inputs!$B$28:$B$32,IFERROR(MATCH(F399,Inputs!$A$28:$A$32,1),0)+1))</f>
        <v>0.085</v>
      </c>
      <c r="AM399" s="34"/>
      <c r="AN399" s="33" t="n">
        <f aca="false">IF(N(AM399)&gt;0,AM399,AL399)</f>
        <v>0.085</v>
      </c>
      <c r="AO399" s="29" t="n">
        <f aca="false">IF(N(AN399)=0,"",AN399+IF(I399="yes",AN399*Inputs!$B$10*Inputs!$B$9,0)+IFERROR(INDEX(Inputs!$B$13:$B$15,MATCH(G399,Inputs!$A$13:$A$15,0)),0)+IFERROR(INDEX(Inputs!$B$18:$B$24,MATCH(H399,Inputs!$A$18:$A$24,0)),0))</f>
        <v>0.08075</v>
      </c>
      <c r="AP399" s="28" t="n">
        <f aca="false">IF(OR(N(AO399)&lt;=0,N(AG399)=0,N(L399)=0),"",MIN(L399,AG399/AO399))</f>
        <v>25</v>
      </c>
      <c r="AQ399" s="29" t="n">
        <f aca="false">IF(OR(AP399="",N(O399)=0),"",AP399/O399-1)</f>
        <v>-0.0664675130694549</v>
      </c>
      <c r="AR399" s="29" t="n">
        <f aca="false">IF(OR(AQ399="",N(O399)=0),"",AQ399+AG399/O399)</f>
        <v>0.0152165795369678</v>
      </c>
      <c r="AS399" s="32" t="n">
        <f aca="false">IF(OR(AR399="",N(AJ399)=0),"",AR399-AJ399)</f>
        <v>0</v>
      </c>
      <c r="AT399" s="28" t="n">
        <v>25</v>
      </c>
      <c r="AU399" s="28" t="n">
        <v>2.19</v>
      </c>
      <c r="AV399" s="28" t="n">
        <f aca="false">IF(N(AT399)&gt;0,AT399,L399)</f>
        <v>25</v>
      </c>
      <c r="AW399" s="28" t="n">
        <f aca="false">IF(AND(N(M399)&gt;0,N(AV399)&gt;0),M399*AV399,IF(N(AU399)&gt;0,AU399,N399))</f>
        <v>2.1875</v>
      </c>
      <c r="AX399" s="29" t="n">
        <f aca="false">IF(N(AN399)=0,"",AN399+IF(I399="yes",AN399*Inputs!$B$10*Inputs!$B$9,0)+IFERROR(INDEX(Inputs!$B$13:$B$15,MATCH(G399,Inputs!$A$13:$A$15,0)),0)+IFERROR(INDEX(Inputs!$B$18:$B$24,MATCH(H399,Inputs!$A$18:$A$24,0)),0))</f>
        <v>0.08075</v>
      </c>
      <c r="AY399" s="28" t="n">
        <f aca="false">IF(OR(N(AX399)&lt;=0,N(AW399)=0,N(AV399)=0),"",MIN(AV399,AW399/AX399))</f>
        <v>25</v>
      </c>
      <c r="AZ399" s="29" t="n">
        <f aca="false">IF(OR(AY399="",N(O399)=0),"",AY399/O399-1)</f>
        <v>-0.0664675130694549</v>
      </c>
      <c r="BA399" s="29" t="n">
        <f aca="false">IF(OR(AZ399="",N(O399)=0),"",AZ399+AW399/O399)</f>
        <v>0.0152165795369678</v>
      </c>
      <c r="BB399" s="32" t="n">
        <f aca="false">IF(OR(BA399="",N(AR399)=0),"",BA399-AR399)</f>
        <v>0</v>
      </c>
      <c r="BC399" s="35" t="n">
        <f aca="false">IF(OR(BA399="",N(U399)=0),"",BA399-U399)</f>
        <v>0</v>
      </c>
      <c r="BD399" s="37"/>
    </row>
    <row r="400" customFormat="false" ht="15" hidden="false" customHeight="false" outlineLevel="0" collapsed="false">
      <c r="A400" s="2" t="s">
        <v>768</v>
      </c>
      <c r="B400" s="2" t="n">
        <v>118</v>
      </c>
      <c r="C400" s="2" t="s">
        <v>855</v>
      </c>
      <c r="D400" s="2" t="s">
        <v>856</v>
      </c>
      <c r="E400" s="2" t="s">
        <v>143</v>
      </c>
      <c r="F400" s="27"/>
      <c r="G400" s="2" t="s">
        <v>51</v>
      </c>
      <c r="H400" s="2" t="s">
        <v>64</v>
      </c>
      <c r="I400" s="2" t="s">
        <v>144</v>
      </c>
      <c r="J400" s="2" t="s">
        <v>145</v>
      </c>
      <c r="K400" s="2" t="n">
        <v>4</v>
      </c>
      <c r="L400" s="28" t="n">
        <v>50</v>
      </c>
      <c r="M400" s="29" t="n">
        <v>0.0675</v>
      </c>
      <c r="N400" s="28" t="n">
        <v>3.375</v>
      </c>
      <c r="O400" s="28" t="n">
        <v>0</v>
      </c>
      <c r="P400" s="2" t="s">
        <v>223</v>
      </c>
      <c r="Q400" s="29" t="n">
        <v>0</v>
      </c>
      <c r="R400" s="30" t="n">
        <v>0</v>
      </c>
      <c r="S400" s="31"/>
      <c r="T400" s="30"/>
      <c r="U400" s="30"/>
      <c r="V400" s="29" t="n">
        <v>0</v>
      </c>
      <c r="W400" s="29" t="str">
        <f aca="false">IF(N(Q400)=0,"",Q400+IF(I400="yes",Q400*Inputs!$B$10*Inputs!$B$9,0)+V400)</f>
        <v/>
      </c>
      <c r="X400" s="28" t="str">
        <f aca="false">IF(OR(N(W400)&lt;=0,N(N400)=0,N(L400)=0),"",MIN(L400,N400/W400))</f>
        <v/>
      </c>
      <c r="Y400" s="29" t="str">
        <f aca="false">IF(OR(X400="",N(O400)=0),"",X400/O400-1)</f>
        <v/>
      </c>
      <c r="Z400" s="29" t="str">
        <f aca="false">IF(OR(Y400="",N(O400)=0),"",Y400+N400/O400)</f>
        <v/>
      </c>
      <c r="AA400" s="32" t="str">
        <f aca="false">IF(OR(Z400="",N(U400)=0),"",Z400-U400)</f>
        <v/>
      </c>
      <c r="AB400" s="29" t="str">
        <f aca="false">IF(N(Q400)=0,"",Q400+IF(I400="yes",Q400*Inputs!$B$10*Inputs!$B$9,0)+IFERROR(INDEX(Inputs!$B$13:$B$15,MATCH(G400,Inputs!$A$13:$A$15,0)),0)+IFERROR(INDEX(Inputs!$B$18:$B$24,MATCH(H400,Inputs!$A$18:$A$24,0)),0))</f>
        <v/>
      </c>
      <c r="AC400" s="28" t="str">
        <f aca="false">IF(OR(N(AB400)&lt;=0,N(N400)=0,N(L400)=0),"",MIN(L400,N400/AB400))</f>
        <v/>
      </c>
      <c r="AD400" s="29" t="str">
        <f aca="false">IF(OR(AC400="",N(O400)=0),"",AC400/O400-1)</f>
        <v/>
      </c>
      <c r="AE400" s="29" t="str">
        <f aca="false">IF(OR(AD400="",N(O400)=0),"",AD400+N400/O400)</f>
        <v/>
      </c>
      <c r="AF400" s="32" t="str">
        <f aca="false">IF(OR(AE400="",N(Z400)=0),"",AE400-Z400)</f>
        <v/>
      </c>
      <c r="AG400" s="28" t="n">
        <f aca="false">IF(AND(N(M400)&gt;0,N(L400)&gt;0),M400*L400,N400)</f>
        <v>3.375</v>
      </c>
      <c r="AH400" s="28" t="str">
        <f aca="false">IF(OR(N(AB400)&lt;=0,N(AG400)=0,N(L400)=0),"",MIN(L400,AG400/AB400))</f>
        <v/>
      </c>
      <c r="AI400" s="29" t="str">
        <f aca="false">IF(OR(AH400="",N(O400)=0),"",AH400/O400-1)</f>
        <v/>
      </c>
      <c r="AJ400" s="29" t="str">
        <f aca="false">IF(OR(AI400="",N(O400)=0),"",AI400+AG400/O400)</f>
        <v/>
      </c>
      <c r="AK400" s="32" t="str">
        <f aca="false">IF(OR(AJ400="",N(AE400)=0),"",AJ400-AE400)</f>
        <v/>
      </c>
      <c r="AL400" s="33" t="str">
        <f aca="false">IF(N(F400)=0,"",INDEX(Inputs!$B$28:$B$32,IFERROR(MATCH(F400,Inputs!$A$28:$A$32,1),0)+1))</f>
        <v/>
      </c>
      <c r="AM400" s="34"/>
      <c r="AN400" s="33" t="str">
        <f aca="false">IF(N(AM400)&gt;0,AM400,AL400)</f>
        <v/>
      </c>
      <c r="AO400" s="29" t="str">
        <f aca="false">IF(N(AN400)=0,"",AN400+IF(I400="yes",AN400*Inputs!$B$10*Inputs!$B$9,0)+IFERROR(INDEX(Inputs!$B$13:$B$15,MATCH(G400,Inputs!$A$13:$A$15,0)),0)+IFERROR(INDEX(Inputs!$B$18:$B$24,MATCH(H400,Inputs!$A$18:$A$24,0)),0))</f>
        <v/>
      </c>
      <c r="AP400" s="28" t="str">
        <f aca="false">IF(OR(N(AO400)&lt;=0,N(AG400)=0,N(L400)=0),"",MIN(L400,AG400/AO400))</f>
        <v/>
      </c>
      <c r="AQ400" s="29" t="str">
        <f aca="false">IF(OR(AP400="",N(O400)=0),"",AP400/O400-1)</f>
        <v/>
      </c>
      <c r="AR400" s="29" t="str">
        <f aca="false">IF(OR(AQ400="",N(O400)=0),"",AQ400+AG400/O400)</f>
        <v/>
      </c>
      <c r="AS400" s="32" t="str">
        <f aca="false">IF(OR(AR400="",N(AJ400)=0),"",AR400-AJ400)</f>
        <v/>
      </c>
      <c r="AT400" s="28" t="n">
        <v>50</v>
      </c>
      <c r="AU400" s="28" t="n">
        <v>3.375</v>
      </c>
      <c r="AV400" s="28" t="n">
        <f aca="false">IF(N(AT400)&gt;0,AT400,L400)</f>
        <v>50</v>
      </c>
      <c r="AW400" s="28" t="n">
        <f aca="false">IF(AND(N(M400)&gt;0,N(AV400)&gt;0),M400*AV400,IF(N(AU400)&gt;0,AU400,N400))</f>
        <v>3.375</v>
      </c>
      <c r="AX400" s="29" t="str">
        <f aca="false">IF(N(AN400)=0,"",AN400+IF(I400="yes",AN400*Inputs!$B$10*Inputs!$B$9,0)+IFERROR(INDEX(Inputs!$B$13:$B$15,MATCH(G400,Inputs!$A$13:$A$15,0)),0)+IFERROR(INDEX(Inputs!$B$18:$B$24,MATCH(H400,Inputs!$A$18:$A$24,0)),0))</f>
        <v/>
      </c>
      <c r="AY400" s="28" t="str">
        <f aca="false">IF(OR(N(AX400)&lt;=0,N(AW400)=0,N(AV400)=0),"",MIN(AV400,AW400/AX400))</f>
        <v/>
      </c>
      <c r="AZ400" s="29" t="str">
        <f aca="false">IF(OR(AY400="",N(O400)=0),"",AY400/O400-1)</f>
        <v/>
      </c>
      <c r="BA400" s="29" t="str">
        <f aca="false">IF(OR(AZ400="",N(O400)=0),"",AZ400+AW400/O400)</f>
        <v/>
      </c>
      <c r="BB400" s="32" t="str">
        <f aca="false">IF(OR(BA400="",N(AR400)=0),"",BA400-AR400)</f>
        <v/>
      </c>
      <c r="BC400" s="35" t="str">
        <f aca="false">IF(OR(BA400="",N(U400)=0),"",BA400-U400)</f>
        <v/>
      </c>
      <c r="BD400" s="36" t="s">
        <v>857</v>
      </c>
    </row>
    <row r="401" customFormat="false" ht="15" hidden="false" customHeight="false" outlineLevel="0" collapsed="false">
      <c r="A401" s="2" t="s">
        <v>768</v>
      </c>
      <c r="B401" s="2" t="n">
        <v>122</v>
      </c>
      <c r="C401" s="2" t="s">
        <v>858</v>
      </c>
      <c r="D401" s="2" t="s">
        <v>859</v>
      </c>
      <c r="E401" s="2" t="s">
        <v>860</v>
      </c>
      <c r="F401" s="27" t="n">
        <v>578</v>
      </c>
      <c r="G401" s="2" t="s">
        <v>51</v>
      </c>
      <c r="H401" s="2" t="s">
        <v>58</v>
      </c>
      <c r="I401" s="2" t="s">
        <v>151</v>
      </c>
      <c r="J401" s="2" t="s">
        <v>145</v>
      </c>
      <c r="K401" s="2" t="n">
        <v>4</v>
      </c>
      <c r="L401" s="28" t="n">
        <v>25</v>
      </c>
      <c r="M401" s="29" t="n">
        <v>0.05375</v>
      </c>
      <c r="N401" s="28" t="n">
        <v>1.34375</v>
      </c>
      <c r="O401" s="28" t="n">
        <v>20.59</v>
      </c>
      <c r="P401" s="2" t="s">
        <v>146</v>
      </c>
      <c r="Q401" s="29" t="n">
        <v>0.1</v>
      </c>
      <c r="R401" s="30" t="n">
        <v>0.095</v>
      </c>
      <c r="S401" s="31" t="n">
        <v>14.1447368421053</v>
      </c>
      <c r="T401" s="30" t="n">
        <v>-0.313028808057054</v>
      </c>
      <c r="U401" s="30" t="n">
        <v>-0.247766544822474</v>
      </c>
      <c r="V401" s="29" t="n">
        <v>0</v>
      </c>
      <c r="W401" s="29" t="n">
        <f aca="false">IF(N(Q401)=0,"",Q401+IF(I401="yes",Q401*Inputs!$B$10*Inputs!$B$9,0)+V401)</f>
        <v>0.095</v>
      </c>
      <c r="X401" s="28" t="n">
        <f aca="false">IF(OR(N(W401)&lt;=0,N(N401)=0,N(L401)=0),"",MIN(L401,N401/W401))</f>
        <v>14.1447368421053</v>
      </c>
      <c r="Y401" s="29" t="n">
        <f aca="false">IF(OR(X401="",N(O401)=0),"",X401/O401-1)</f>
        <v>-0.313028808057054</v>
      </c>
      <c r="Z401" s="29" t="n">
        <f aca="false">IF(OR(Y401="",N(O401)=0),"",Y401+N401/O401)</f>
        <v>-0.247766544822474</v>
      </c>
      <c r="AA401" s="32" t="n">
        <f aca="false">IF(OR(Z401="",N(U401)=0),"",Z401-U401)</f>
        <v>0</v>
      </c>
      <c r="AB401" s="29" t="n">
        <f aca="false">IF(N(Q401)=0,"",Q401+IF(I401="yes",Q401*Inputs!$B$10*Inputs!$B$9,0)+IFERROR(INDEX(Inputs!$B$13:$B$15,MATCH(G401,Inputs!$A$13:$A$15,0)),0)+IFERROR(INDEX(Inputs!$B$18:$B$24,MATCH(H401,Inputs!$A$18:$A$24,0)),0))</f>
        <v>0.095</v>
      </c>
      <c r="AC401" s="28" t="n">
        <f aca="false">IF(OR(N(AB401)&lt;=0,N(N401)=0,N(L401)=0),"",MIN(L401,N401/AB401))</f>
        <v>14.1447368421053</v>
      </c>
      <c r="AD401" s="29" t="n">
        <f aca="false">IF(OR(AC401="",N(O401)=0),"",AC401/O401-1)</f>
        <v>-0.313028808057054</v>
      </c>
      <c r="AE401" s="29" t="n">
        <f aca="false">IF(OR(AD401="",N(O401)=0),"",AD401+N401/O401)</f>
        <v>-0.247766544822474</v>
      </c>
      <c r="AF401" s="32" t="n">
        <f aca="false">IF(OR(AE401="",N(Z401)=0),"",AE401-Z401)</f>
        <v>0</v>
      </c>
      <c r="AG401" s="28" t="n">
        <f aca="false">IF(AND(N(M401)&gt;0,N(L401)&gt;0),M401*L401,N401)</f>
        <v>1.34375</v>
      </c>
      <c r="AH401" s="28" t="n">
        <f aca="false">IF(OR(N(AB401)&lt;=0,N(AG401)=0,N(L401)=0),"",MIN(L401,AG401/AB401))</f>
        <v>14.1447368421053</v>
      </c>
      <c r="AI401" s="29" t="n">
        <f aca="false">IF(OR(AH401="",N(O401)=0),"",AH401/O401-1)</f>
        <v>-0.313028808057054</v>
      </c>
      <c r="AJ401" s="29" t="n">
        <f aca="false">IF(OR(AI401="",N(O401)=0),"",AI401+AG401/O401)</f>
        <v>-0.247766544822474</v>
      </c>
      <c r="AK401" s="32" t="n">
        <f aca="false">IF(OR(AJ401="",N(AE401)=0),"",AJ401-AE401)</f>
        <v>0</v>
      </c>
      <c r="AL401" s="33" t="n">
        <f aca="false">IF(N(F401)=0,"",INDEX(Inputs!$B$28:$B$32,IFERROR(MATCH(F401,Inputs!$A$28:$A$32,1),0)+1))</f>
        <v>0.09</v>
      </c>
      <c r="AM401" s="34"/>
      <c r="AN401" s="33" t="n">
        <f aca="false">IF(N(AM401)&gt;0,AM401,AL401)</f>
        <v>0.09</v>
      </c>
      <c r="AO401" s="29" t="n">
        <f aca="false">IF(N(AN401)=0,"",AN401+IF(I401="yes",AN401*Inputs!$B$10*Inputs!$B$9,0)+IFERROR(INDEX(Inputs!$B$13:$B$15,MATCH(G401,Inputs!$A$13:$A$15,0)),0)+IFERROR(INDEX(Inputs!$B$18:$B$24,MATCH(H401,Inputs!$A$18:$A$24,0)),0))</f>
        <v>0.0855</v>
      </c>
      <c r="AP401" s="28" t="n">
        <f aca="false">IF(OR(N(AO401)&lt;=0,N(AG401)=0,N(L401)=0),"",MIN(L401,AG401/AO401))</f>
        <v>15.7163742690058</v>
      </c>
      <c r="AQ401" s="29" t="n">
        <f aca="false">IF(OR(AP401="",N(O401)=0),"",AP401/O401-1)</f>
        <v>-0.236698675618949</v>
      </c>
      <c r="AR401" s="29" t="n">
        <f aca="false">IF(OR(AQ401="",N(O401)=0),"",AQ401+AG401/O401)</f>
        <v>-0.171436412384369</v>
      </c>
      <c r="AS401" s="32" t="n">
        <f aca="false">IF(OR(AR401="",N(AJ401)=0),"",AR401-AJ401)</f>
        <v>0.0763301324381052</v>
      </c>
      <c r="AT401" s="28" t="n">
        <v>25</v>
      </c>
      <c r="AU401" s="28" t="n">
        <v>1.34</v>
      </c>
      <c r="AV401" s="28" t="n">
        <f aca="false">IF(N(AT401)&gt;0,AT401,L401)</f>
        <v>25</v>
      </c>
      <c r="AW401" s="28" t="n">
        <f aca="false">IF(AND(N(M401)&gt;0,N(AV401)&gt;0),M401*AV401,IF(N(AU401)&gt;0,AU401,N401))</f>
        <v>1.34375</v>
      </c>
      <c r="AX401" s="29" t="n">
        <f aca="false">IF(N(AN401)=0,"",AN401+IF(I401="yes",AN401*Inputs!$B$10*Inputs!$B$9,0)+IFERROR(INDEX(Inputs!$B$13:$B$15,MATCH(G401,Inputs!$A$13:$A$15,0)),0)+IFERROR(INDEX(Inputs!$B$18:$B$24,MATCH(H401,Inputs!$A$18:$A$24,0)),0))</f>
        <v>0.0855</v>
      </c>
      <c r="AY401" s="28" t="n">
        <f aca="false">IF(OR(N(AX401)&lt;=0,N(AW401)=0,N(AV401)=0),"",MIN(AV401,AW401/AX401))</f>
        <v>15.7163742690058</v>
      </c>
      <c r="AZ401" s="29" t="n">
        <f aca="false">IF(OR(AY401="",N(O401)=0),"",AY401/O401-1)</f>
        <v>-0.236698675618949</v>
      </c>
      <c r="BA401" s="29" t="n">
        <f aca="false">IF(OR(AZ401="",N(O401)=0),"",AZ401+AW401/O401)</f>
        <v>-0.171436412384369</v>
      </c>
      <c r="BB401" s="32" t="n">
        <f aca="false">IF(OR(BA401="",N(AR401)=0),"",BA401-AR401)</f>
        <v>0</v>
      </c>
      <c r="BC401" s="35" t="n">
        <f aca="false">IF(OR(BA401="",N(U401)=0),"",BA401-U401)</f>
        <v>0.0763301324381052</v>
      </c>
      <c r="BD401" s="37"/>
    </row>
    <row r="402" customFormat="false" ht="15" hidden="false" customHeight="false" outlineLevel="0" collapsed="false">
      <c r="A402" s="2" t="s">
        <v>768</v>
      </c>
      <c r="B402" s="2" t="n">
        <v>128</v>
      </c>
      <c r="C402" s="2" t="s">
        <v>861</v>
      </c>
      <c r="D402" s="2" t="s">
        <v>862</v>
      </c>
      <c r="E402" s="2" t="s">
        <v>863</v>
      </c>
      <c r="F402" s="27" t="n">
        <v>34400</v>
      </c>
      <c r="G402" s="2" t="s">
        <v>51</v>
      </c>
      <c r="H402" s="2" t="s">
        <v>58</v>
      </c>
      <c r="I402" s="2" t="s">
        <v>151</v>
      </c>
      <c r="J402" s="2" t="s">
        <v>145</v>
      </c>
      <c r="K402" s="2" t="n">
        <v>4</v>
      </c>
      <c r="L402" s="28" t="n">
        <v>25</v>
      </c>
      <c r="M402" s="29" t="n">
        <v>0.06875</v>
      </c>
      <c r="N402" s="28" t="n">
        <v>1.71875</v>
      </c>
      <c r="O402" s="28" t="n">
        <v>25.25</v>
      </c>
      <c r="P402" s="2" t="s">
        <v>223</v>
      </c>
      <c r="Q402" s="29" t="n">
        <v>0.085</v>
      </c>
      <c r="R402" s="30" t="n">
        <v>0.085</v>
      </c>
      <c r="S402" s="31" t="n">
        <v>20.2205882352941</v>
      </c>
      <c r="T402" s="30" t="n">
        <v>-0.199184624344787</v>
      </c>
      <c r="U402" s="30" t="n">
        <v>-0.131115317414094</v>
      </c>
      <c r="V402" s="29" t="n">
        <v>0</v>
      </c>
      <c r="W402" s="29" t="n">
        <f aca="false">IF(N(Q402)=0,"",Q402+IF(I402="yes",Q402*Inputs!$B$10*Inputs!$B$9,0)+V402)</f>
        <v>0.08075</v>
      </c>
      <c r="X402" s="28" t="n">
        <f aca="false">IF(OR(N(W402)&lt;=0,N(N402)=0,N(L402)=0),"",MIN(L402,N402/W402))</f>
        <v>21.2848297213622</v>
      </c>
      <c r="Y402" s="29" t="n">
        <f aca="false">IF(OR(X402="",N(O402)=0),"",X402/O402-1)</f>
        <v>-0.157036446678724</v>
      </c>
      <c r="Z402" s="29" t="n">
        <f aca="false">IF(OR(Y402="",N(O402)=0),"",Y402+N402/O402)</f>
        <v>-0.0889671397480306</v>
      </c>
      <c r="AA402" s="32" t="n">
        <f aca="false">IF(OR(Z402="",N(U402)=0),"",Z402-U402)</f>
        <v>0.0421481776660637</v>
      </c>
      <c r="AB402" s="29" t="n">
        <f aca="false">IF(N(Q402)=0,"",Q402+IF(I402="yes",Q402*Inputs!$B$10*Inputs!$B$9,0)+IFERROR(INDEX(Inputs!$B$13:$B$15,MATCH(G402,Inputs!$A$13:$A$15,0)),0)+IFERROR(INDEX(Inputs!$B$18:$B$24,MATCH(H402,Inputs!$A$18:$A$24,0)),0))</f>
        <v>0.08075</v>
      </c>
      <c r="AC402" s="28" t="n">
        <f aca="false">IF(OR(N(AB402)&lt;=0,N(N402)=0,N(L402)=0),"",MIN(L402,N402/AB402))</f>
        <v>21.2848297213622</v>
      </c>
      <c r="AD402" s="29" t="n">
        <f aca="false">IF(OR(AC402="",N(O402)=0),"",AC402/O402-1)</f>
        <v>-0.157036446678724</v>
      </c>
      <c r="AE402" s="29" t="n">
        <f aca="false">IF(OR(AD402="",N(O402)=0),"",AD402+N402/O402)</f>
        <v>-0.0889671397480306</v>
      </c>
      <c r="AF402" s="32" t="n">
        <f aca="false">IF(OR(AE402="",N(Z402)=0),"",AE402-Z402)</f>
        <v>0</v>
      </c>
      <c r="AG402" s="28" t="n">
        <f aca="false">IF(AND(N(M402)&gt;0,N(L402)&gt;0),M402*L402,N402)</f>
        <v>1.71875</v>
      </c>
      <c r="AH402" s="28" t="n">
        <f aca="false">IF(OR(N(AB402)&lt;=0,N(AG402)=0,N(L402)=0),"",MIN(L402,AG402/AB402))</f>
        <v>21.2848297213622</v>
      </c>
      <c r="AI402" s="29" t="n">
        <f aca="false">IF(OR(AH402="",N(O402)=0),"",AH402/O402-1)</f>
        <v>-0.157036446678724</v>
      </c>
      <c r="AJ402" s="29" t="n">
        <f aca="false">IF(OR(AI402="",N(O402)=0),"",AI402+AG402/O402)</f>
        <v>-0.0889671397480304</v>
      </c>
      <c r="AK402" s="32" t="n">
        <f aca="false">IF(OR(AJ402="",N(AE402)=0),"",AJ402-AE402)</f>
        <v>0</v>
      </c>
      <c r="AL402" s="33" t="n">
        <f aca="false">IF(N(F402)=0,"",INDEX(Inputs!$B$28:$B$32,IFERROR(MATCH(F402,Inputs!$A$28:$A$32,1),0)+1))</f>
        <v>0.075</v>
      </c>
      <c r="AM402" s="34"/>
      <c r="AN402" s="33" t="n">
        <f aca="false">IF(N(AM402)&gt;0,AM402,AL402)</f>
        <v>0.075</v>
      </c>
      <c r="AO402" s="29" t="n">
        <f aca="false">IF(N(AN402)=0,"",AN402+IF(I402="yes",AN402*Inputs!$B$10*Inputs!$B$9,0)+IFERROR(INDEX(Inputs!$B$13:$B$15,MATCH(G402,Inputs!$A$13:$A$15,0)),0)+IFERROR(INDEX(Inputs!$B$18:$B$24,MATCH(H402,Inputs!$A$18:$A$24,0)),0))</f>
        <v>0.07125</v>
      </c>
      <c r="AP402" s="28" t="n">
        <f aca="false">IF(OR(N(AO402)&lt;=0,N(AG402)=0,N(L402)=0),"",MIN(L402,AG402/AO402))</f>
        <v>24.1228070175439</v>
      </c>
      <c r="AQ402" s="29" t="n">
        <f aca="false">IF(OR(AP402="",N(O402)=0),"",AP402/O402-1)</f>
        <v>-0.0446413062358866</v>
      </c>
      <c r="AR402" s="29" t="n">
        <f aca="false">IF(OR(AQ402="",N(O402)=0),"",AQ402+AG402/O402)</f>
        <v>0.0234280006948065</v>
      </c>
      <c r="AS402" s="32" t="n">
        <f aca="false">IF(OR(AR402="",N(AJ402)=0),"",AR402-AJ402)</f>
        <v>0.112395140442837</v>
      </c>
      <c r="AT402" s="28" t="n">
        <v>25</v>
      </c>
      <c r="AU402" s="28" t="n">
        <v>1.71875</v>
      </c>
      <c r="AV402" s="28" t="n">
        <f aca="false">IF(N(AT402)&gt;0,AT402,L402)</f>
        <v>25</v>
      </c>
      <c r="AW402" s="28" t="n">
        <f aca="false">IF(AND(N(M402)&gt;0,N(AV402)&gt;0),M402*AV402,IF(N(AU402)&gt;0,AU402,N402))</f>
        <v>1.71875</v>
      </c>
      <c r="AX402" s="29" t="n">
        <f aca="false">IF(N(AN402)=0,"",AN402+IF(I402="yes",AN402*Inputs!$B$10*Inputs!$B$9,0)+IFERROR(INDEX(Inputs!$B$13:$B$15,MATCH(G402,Inputs!$A$13:$A$15,0)),0)+IFERROR(INDEX(Inputs!$B$18:$B$24,MATCH(H402,Inputs!$A$18:$A$24,0)),0))</f>
        <v>0.07125</v>
      </c>
      <c r="AY402" s="28" t="n">
        <f aca="false">IF(OR(N(AX402)&lt;=0,N(AW402)=0,N(AV402)=0),"",MIN(AV402,AW402/AX402))</f>
        <v>24.1228070175439</v>
      </c>
      <c r="AZ402" s="29" t="n">
        <f aca="false">IF(OR(AY402="",N(O402)=0),"",AY402/O402-1)</f>
        <v>-0.0446413062358866</v>
      </c>
      <c r="BA402" s="29" t="n">
        <f aca="false">IF(OR(AZ402="",N(O402)=0),"",AZ402+AW402/O402)</f>
        <v>0.0234280006948065</v>
      </c>
      <c r="BB402" s="32" t="n">
        <f aca="false">IF(OR(BA402="",N(AR402)=0),"",BA402-AR402)</f>
        <v>0</v>
      </c>
      <c r="BC402" s="35" t="n">
        <f aca="false">IF(OR(BA402="",N(U402)=0),"",BA402-U402)</f>
        <v>0.154543318108901</v>
      </c>
      <c r="BD402" s="36" t="s">
        <v>224</v>
      </c>
    </row>
    <row r="403" customFormat="false" ht="15" hidden="false" customHeight="false" outlineLevel="0" collapsed="false">
      <c r="A403" s="2" t="s">
        <v>768</v>
      </c>
      <c r="B403" s="2" t="n">
        <v>129</v>
      </c>
      <c r="C403" s="2" t="s">
        <v>864</v>
      </c>
      <c r="D403" s="2" t="s">
        <v>862</v>
      </c>
      <c r="E403" s="2" t="s">
        <v>863</v>
      </c>
      <c r="F403" s="27" t="n">
        <v>34400</v>
      </c>
      <c r="G403" s="2" t="s">
        <v>51</v>
      </c>
      <c r="H403" s="2" t="s">
        <v>58</v>
      </c>
      <c r="I403" s="2" t="s">
        <v>151</v>
      </c>
      <c r="J403" s="2" t="s">
        <v>145</v>
      </c>
      <c r="K403" s="2" t="n">
        <v>4</v>
      </c>
      <c r="L403" s="28" t="n">
        <v>25</v>
      </c>
      <c r="M403" s="29" t="n">
        <v>0.057</v>
      </c>
      <c r="N403" s="28" t="n">
        <v>1.425</v>
      </c>
      <c r="O403" s="28" t="n">
        <v>20.52</v>
      </c>
      <c r="P403" s="2" t="s">
        <v>146</v>
      </c>
      <c r="Q403" s="29" t="n">
        <v>0.085</v>
      </c>
      <c r="R403" s="30" t="n">
        <v>0.08075</v>
      </c>
      <c r="S403" s="31" t="n">
        <v>17.6470588235294</v>
      </c>
      <c r="T403" s="30" t="n">
        <v>-0.14000687994496</v>
      </c>
      <c r="U403" s="30" t="n">
        <v>-0.070562435500516</v>
      </c>
      <c r="V403" s="29" t="n">
        <v>0</v>
      </c>
      <c r="W403" s="29" t="n">
        <f aca="false">IF(N(Q403)=0,"",Q403+IF(I403="yes",Q403*Inputs!$B$10*Inputs!$B$9,0)+V403)</f>
        <v>0.08075</v>
      </c>
      <c r="X403" s="28" t="n">
        <f aca="false">IF(OR(N(W403)&lt;=0,N(N403)=0,N(L403)=0),"",MIN(L403,N403/W403))</f>
        <v>17.6470588235294</v>
      </c>
      <c r="Y403" s="29" t="n">
        <f aca="false">IF(OR(X403="",N(O403)=0),"",X403/O403-1)</f>
        <v>-0.14000687994496</v>
      </c>
      <c r="Z403" s="29" t="n">
        <f aca="false">IF(OR(Y403="",N(O403)=0),"",Y403+N403/O403)</f>
        <v>-0.070562435500516</v>
      </c>
      <c r="AA403" s="32" t="n">
        <f aca="false">IF(OR(Z403="",N(U403)=0),"",Z403-U403)</f>
        <v>0</v>
      </c>
      <c r="AB403" s="29" t="n">
        <f aca="false">IF(N(Q403)=0,"",Q403+IF(I403="yes",Q403*Inputs!$B$10*Inputs!$B$9,0)+IFERROR(INDEX(Inputs!$B$13:$B$15,MATCH(G403,Inputs!$A$13:$A$15,0)),0)+IFERROR(INDEX(Inputs!$B$18:$B$24,MATCH(H403,Inputs!$A$18:$A$24,0)),0))</f>
        <v>0.08075</v>
      </c>
      <c r="AC403" s="28" t="n">
        <f aca="false">IF(OR(N(AB403)&lt;=0,N(N403)=0,N(L403)=0),"",MIN(L403,N403/AB403))</f>
        <v>17.6470588235294</v>
      </c>
      <c r="AD403" s="29" t="n">
        <f aca="false">IF(OR(AC403="",N(O403)=0),"",AC403/O403-1)</f>
        <v>-0.14000687994496</v>
      </c>
      <c r="AE403" s="29" t="n">
        <f aca="false">IF(OR(AD403="",N(O403)=0),"",AD403+N403/O403)</f>
        <v>-0.070562435500516</v>
      </c>
      <c r="AF403" s="32" t="n">
        <f aca="false">IF(OR(AE403="",N(Z403)=0),"",AE403-Z403)</f>
        <v>0</v>
      </c>
      <c r="AG403" s="28" t="n">
        <f aca="false">IF(AND(N(M403)&gt;0,N(L403)&gt;0),M403*L403,N403)</f>
        <v>1.425</v>
      </c>
      <c r="AH403" s="28" t="n">
        <f aca="false">IF(OR(N(AB403)&lt;=0,N(AG403)=0,N(L403)=0),"",MIN(L403,AG403/AB403))</f>
        <v>17.6470588235294</v>
      </c>
      <c r="AI403" s="29" t="n">
        <f aca="false">IF(OR(AH403="",N(O403)=0),"",AH403/O403-1)</f>
        <v>-0.14000687994496</v>
      </c>
      <c r="AJ403" s="29" t="n">
        <f aca="false">IF(OR(AI403="",N(O403)=0),"",AI403+AG403/O403)</f>
        <v>-0.070562435500516</v>
      </c>
      <c r="AK403" s="32" t="n">
        <f aca="false">IF(OR(AJ403="",N(AE403)=0),"",AJ403-AE403)</f>
        <v>0</v>
      </c>
      <c r="AL403" s="33" t="n">
        <f aca="false">IF(N(F403)=0,"",INDEX(Inputs!$B$28:$B$32,IFERROR(MATCH(F403,Inputs!$A$28:$A$32,1),0)+1))</f>
        <v>0.075</v>
      </c>
      <c r="AM403" s="34"/>
      <c r="AN403" s="33" t="n">
        <f aca="false">IF(N(AM403)&gt;0,AM403,AL403)</f>
        <v>0.075</v>
      </c>
      <c r="AO403" s="29" t="n">
        <f aca="false">IF(N(AN403)=0,"",AN403+IF(I403="yes",AN403*Inputs!$B$10*Inputs!$B$9,0)+IFERROR(INDEX(Inputs!$B$13:$B$15,MATCH(G403,Inputs!$A$13:$A$15,0)),0)+IFERROR(INDEX(Inputs!$B$18:$B$24,MATCH(H403,Inputs!$A$18:$A$24,0)),0))</f>
        <v>0.07125</v>
      </c>
      <c r="AP403" s="28" t="n">
        <f aca="false">IF(OR(N(AO403)&lt;=0,N(AG403)=0,N(L403)=0),"",MIN(L403,AG403/AO403))</f>
        <v>20</v>
      </c>
      <c r="AQ403" s="29" t="n">
        <f aca="false">IF(OR(AP403="",N(O403)=0),"",AP403/O403-1)</f>
        <v>-0.0253411306042883</v>
      </c>
      <c r="AR403" s="29" t="n">
        <f aca="false">IF(OR(AQ403="",N(O403)=0),"",AQ403+AG403/O403)</f>
        <v>0.0441033138401561</v>
      </c>
      <c r="AS403" s="32" t="n">
        <f aca="false">IF(OR(AR403="",N(AJ403)=0),"",AR403-AJ403)</f>
        <v>0.114665749340672</v>
      </c>
      <c r="AT403" s="28" t="n">
        <v>25</v>
      </c>
      <c r="AU403" s="28" t="n">
        <v>1.43</v>
      </c>
      <c r="AV403" s="28" t="n">
        <f aca="false">IF(N(AT403)&gt;0,AT403,L403)</f>
        <v>25</v>
      </c>
      <c r="AW403" s="28" t="n">
        <f aca="false">IF(AND(N(M403)&gt;0,N(AV403)&gt;0),M403*AV403,IF(N(AU403)&gt;0,AU403,N403))</f>
        <v>1.425</v>
      </c>
      <c r="AX403" s="29" t="n">
        <f aca="false">IF(N(AN403)=0,"",AN403+IF(I403="yes",AN403*Inputs!$B$10*Inputs!$B$9,0)+IFERROR(INDEX(Inputs!$B$13:$B$15,MATCH(G403,Inputs!$A$13:$A$15,0)),0)+IFERROR(INDEX(Inputs!$B$18:$B$24,MATCH(H403,Inputs!$A$18:$A$24,0)),0))</f>
        <v>0.07125</v>
      </c>
      <c r="AY403" s="28" t="n">
        <f aca="false">IF(OR(N(AX403)&lt;=0,N(AW403)=0,N(AV403)=0),"",MIN(AV403,AW403/AX403))</f>
        <v>20</v>
      </c>
      <c r="AZ403" s="29" t="n">
        <f aca="false">IF(OR(AY403="",N(O403)=0),"",AY403/O403-1)</f>
        <v>-0.0253411306042883</v>
      </c>
      <c r="BA403" s="29" t="n">
        <f aca="false">IF(OR(AZ403="",N(O403)=0),"",AZ403+AW403/O403)</f>
        <v>0.0441033138401561</v>
      </c>
      <c r="BB403" s="32" t="n">
        <f aca="false">IF(OR(BA403="",N(AR403)=0),"",BA403-AR403)</f>
        <v>0</v>
      </c>
      <c r="BC403" s="35" t="n">
        <f aca="false">IF(OR(BA403="",N(U403)=0),"",BA403-U403)</f>
        <v>0.114665749340672</v>
      </c>
      <c r="BD403" s="37"/>
    </row>
    <row r="404" customFormat="false" ht="15" hidden="false" customHeight="false" outlineLevel="0" collapsed="false">
      <c r="A404" s="2" t="s">
        <v>768</v>
      </c>
      <c r="B404" s="2" t="n">
        <v>130</v>
      </c>
      <c r="C404" s="2" t="s">
        <v>865</v>
      </c>
      <c r="D404" s="2" t="s">
        <v>862</v>
      </c>
      <c r="E404" s="2" t="s">
        <v>863</v>
      </c>
      <c r="F404" s="27" t="n">
        <v>34400</v>
      </c>
      <c r="G404" s="2" t="s">
        <v>51</v>
      </c>
      <c r="H404" s="2" t="s">
        <v>58</v>
      </c>
      <c r="I404" s="2" t="s">
        <v>151</v>
      </c>
      <c r="J404" s="2" t="s">
        <v>145</v>
      </c>
      <c r="K404" s="2" t="n">
        <v>4</v>
      </c>
      <c r="L404" s="28" t="n">
        <v>25</v>
      </c>
      <c r="M404" s="29" t="n">
        <v>0.045</v>
      </c>
      <c r="N404" s="28" t="n">
        <v>1.125</v>
      </c>
      <c r="O404" s="28" t="n">
        <v>16.56</v>
      </c>
      <c r="P404" s="2" t="s">
        <v>146</v>
      </c>
      <c r="Q404" s="29" t="n">
        <v>0.085</v>
      </c>
      <c r="R404" s="30" t="n">
        <v>0.08075</v>
      </c>
      <c r="S404" s="31" t="n">
        <v>13.9318885448916</v>
      </c>
      <c r="T404" s="30" t="n">
        <v>-0.158702382554853</v>
      </c>
      <c r="U404" s="30" t="n">
        <v>-0.0907675999461569</v>
      </c>
      <c r="V404" s="29" t="n">
        <v>0</v>
      </c>
      <c r="W404" s="29" t="n">
        <f aca="false">IF(N(Q404)=0,"",Q404+IF(I404="yes",Q404*Inputs!$B$10*Inputs!$B$9,0)+V404)</f>
        <v>0.08075</v>
      </c>
      <c r="X404" s="28" t="n">
        <f aca="false">IF(OR(N(W404)&lt;=0,N(N404)=0,N(L404)=0),"",MIN(L404,N404/W404))</f>
        <v>13.9318885448916</v>
      </c>
      <c r="Y404" s="29" t="n">
        <f aca="false">IF(OR(X404="",N(O404)=0),"",X404/O404-1)</f>
        <v>-0.158702382554853</v>
      </c>
      <c r="Z404" s="29" t="n">
        <f aca="false">IF(OR(Y404="",N(O404)=0),"",Y404+N404/O404)</f>
        <v>-0.0907675999461569</v>
      </c>
      <c r="AA404" s="32" t="n">
        <f aca="false">IF(OR(Z404="",N(U404)=0),"",Z404-U404)</f>
        <v>0</v>
      </c>
      <c r="AB404" s="29" t="n">
        <f aca="false">IF(N(Q404)=0,"",Q404+IF(I404="yes",Q404*Inputs!$B$10*Inputs!$B$9,0)+IFERROR(INDEX(Inputs!$B$13:$B$15,MATCH(G404,Inputs!$A$13:$A$15,0)),0)+IFERROR(INDEX(Inputs!$B$18:$B$24,MATCH(H404,Inputs!$A$18:$A$24,0)),0))</f>
        <v>0.08075</v>
      </c>
      <c r="AC404" s="28" t="n">
        <f aca="false">IF(OR(N(AB404)&lt;=0,N(N404)=0,N(L404)=0),"",MIN(L404,N404/AB404))</f>
        <v>13.9318885448916</v>
      </c>
      <c r="AD404" s="29" t="n">
        <f aca="false">IF(OR(AC404="",N(O404)=0),"",AC404/O404-1)</f>
        <v>-0.158702382554853</v>
      </c>
      <c r="AE404" s="29" t="n">
        <f aca="false">IF(OR(AD404="",N(O404)=0),"",AD404+N404/O404)</f>
        <v>-0.0907675999461569</v>
      </c>
      <c r="AF404" s="32" t="n">
        <f aca="false">IF(OR(AE404="",N(Z404)=0),"",AE404-Z404)</f>
        <v>0</v>
      </c>
      <c r="AG404" s="28" t="n">
        <f aca="false">IF(AND(N(M404)&gt;0,N(L404)&gt;0),M404*L404,N404)</f>
        <v>1.125</v>
      </c>
      <c r="AH404" s="28" t="n">
        <f aca="false">IF(OR(N(AB404)&lt;=0,N(AG404)=0,N(L404)=0),"",MIN(L404,AG404/AB404))</f>
        <v>13.9318885448916</v>
      </c>
      <c r="AI404" s="29" t="n">
        <f aca="false">IF(OR(AH404="",N(O404)=0),"",AH404/O404-1)</f>
        <v>-0.158702382554853</v>
      </c>
      <c r="AJ404" s="29" t="n">
        <f aca="false">IF(OR(AI404="",N(O404)=0),"",AI404+AG404/O404)</f>
        <v>-0.0907675999461569</v>
      </c>
      <c r="AK404" s="32" t="n">
        <f aca="false">IF(OR(AJ404="",N(AE404)=0),"",AJ404-AE404)</f>
        <v>0</v>
      </c>
      <c r="AL404" s="33" t="n">
        <f aca="false">IF(N(F404)=0,"",INDEX(Inputs!$B$28:$B$32,IFERROR(MATCH(F404,Inputs!$A$28:$A$32,1),0)+1))</f>
        <v>0.075</v>
      </c>
      <c r="AM404" s="34"/>
      <c r="AN404" s="33" t="n">
        <f aca="false">IF(N(AM404)&gt;0,AM404,AL404)</f>
        <v>0.075</v>
      </c>
      <c r="AO404" s="29" t="n">
        <f aca="false">IF(N(AN404)=0,"",AN404+IF(I404="yes",AN404*Inputs!$B$10*Inputs!$B$9,0)+IFERROR(INDEX(Inputs!$B$13:$B$15,MATCH(G404,Inputs!$A$13:$A$15,0)),0)+IFERROR(INDEX(Inputs!$B$18:$B$24,MATCH(H404,Inputs!$A$18:$A$24,0)),0))</f>
        <v>0.07125</v>
      </c>
      <c r="AP404" s="28" t="n">
        <f aca="false">IF(OR(N(AO404)&lt;=0,N(AG404)=0,N(L404)=0),"",MIN(L404,AG404/AO404))</f>
        <v>15.7894736842105</v>
      </c>
      <c r="AQ404" s="29" t="n">
        <f aca="false">IF(OR(AP404="",N(O404)=0),"",AP404/O404-1)</f>
        <v>-0.0465293668954995</v>
      </c>
      <c r="AR404" s="29" t="n">
        <f aca="false">IF(OR(AQ404="",N(O404)=0),"",AQ404+AG404/O404)</f>
        <v>0.0214054157131962</v>
      </c>
      <c r="AS404" s="32" t="n">
        <f aca="false">IF(OR(AR404="",N(AJ404)=0),"",AR404-AJ404)</f>
        <v>0.112173015659353</v>
      </c>
      <c r="AT404" s="28" t="n">
        <v>25</v>
      </c>
      <c r="AU404" s="28" t="n">
        <v>1.125</v>
      </c>
      <c r="AV404" s="28" t="n">
        <f aca="false">IF(N(AT404)&gt;0,AT404,L404)</f>
        <v>25</v>
      </c>
      <c r="AW404" s="28" t="n">
        <f aca="false">IF(AND(N(M404)&gt;0,N(AV404)&gt;0),M404*AV404,IF(N(AU404)&gt;0,AU404,N404))</f>
        <v>1.125</v>
      </c>
      <c r="AX404" s="29" t="n">
        <f aca="false">IF(N(AN404)=0,"",AN404+IF(I404="yes",AN404*Inputs!$B$10*Inputs!$B$9,0)+IFERROR(INDEX(Inputs!$B$13:$B$15,MATCH(G404,Inputs!$A$13:$A$15,0)),0)+IFERROR(INDEX(Inputs!$B$18:$B$24,MATCH(H404,Inputs!$A$18:$A$24,0)),0))</f>
        <v>0.07125</v>
      </c>
      <c r="AY404" s="28" t="n">
        <f aca="false">IF(OR(N(AX404)&lt;=0,N(AW404)=0,N(AV404)=0),"",MIN(AV404,AW404/AX404))</f>
        <v>15.7894736842105</v>
      </c>
      <c r="AZ404" s="29" t="n">
        <f aca="false">IF(OR(AY404="",N(O404)=0),"",AY404/O404-1)</f>
        <v>-0.0465293668954995</v>
      </c>
      <c r="BA404" s="29" t="n">
        <f aca="false">IF(OR(AZ404="",N(O404)=0),"",AZ404+AW404/O404)</f>
        <v>0.0214054157131962</v>
      </c>
      <c r="BB404" s="32" t="n">
        <f aca="false">IF(OR(BA404="",N(AR404)=0),"",BA404-AR404)</f>
        <v>0</v>
      </c>
      <c r="BC404" s="35" t="n">
        <f aca="false">IF(OR(BA404="",N(U404)=0),"",BA404-U404)</f>
        <v>0.112173015659353</v>
      </c>
      <c r="BD404" s="37"/>
    </row>
    <row r="405" customFormat="false" ht="15" hidden="false" customHeight="false" outlineLevel="0" collapsed="false">
      <c r="A405" s="2" t="s">
        <v>768</v>
      </c>
      <c r="B405" s="2" t="n">
        <v>133</v>
      </c>
      <c r="C405" s="2" t="s">
        <v>866</v>
      </c>
      <c r="D405" s="2" t="s">
        <v>867</v>
      </c>
      <c r="E405" s="2" t="s">
        <v>143</v>
      </c>
      <c r="F405" s="27"/>
      <c r="G405" s="2" t="s">
        <v>51</v>
      </c>
      <c r="H405" s="2" t="s">
        <v>63</v>
      </c>
      <c r="I405" s="2" t="s">
        <v>151</v>
      </c>
      <c r="J405" s="2" t="s">
        <v>168</v>
      </c>
      <c r="K405" s="2" t="n">
        <v>12</v>
      </c>
      <c r="L405" s="28" t="n">
        <v>25</v>
      </c>
      <c r="M405" s="29" t="n">
        <v>0.08</v>
      </c>
      <c r="N405" s="28" t="n">
        <v>2</v>
      </c>
      <c r="O405" s="28" t="n">
        <v>0</v>
      </c>
      <c r="P405" s="2" t="s">
        <v>146</v>
      </c>
      <c r="Q405" s="29" t="n">
        <v>0</v>
      </c>
      <c r="R405" s="30" t="n">
        <v>0</v>
      </c>
      <c r="S405" s="31"/>
      <c r="T405" s="30"/>
      <c r="U405" s="30"/>
      <c r="V405" s="29" t="n">
        <v>0</v>
      </c>
      <c r="W405" s="29" t="str">
        <f aca="false">IF(N(Q405)=0,"",Q405+IF(I405="yes",Q405*Inputs!$B$10*Inputs!$B$9,0)+V405)</f>
        <v/>
      </c>
      <c r="X405" s="28" t="str">
        <f aca="false">IF(OR(N(W405)&lt;=0,N(N405)=0,N(L405)=0),"",MIN(L405,N405/W405))</f>
        <v/>
      </c>
      <c r="Y405" s="29" t="str">
        <f aca="false">IF(OR(X405="",N(O405)=0),"",X405/O405-1)</f>
        <v/>
      </c>
      <c r="Z405" s="29" t="str">
        <f aca="false">IF(OR(Y405="",N(O405)=0),"",Y405+N405/O405)</f>
        <v/>
      </c>
      <c r="AA405" s="32" t="str">
        <f aca="false">IF(OR(Z405="",N(U405)=0),"",Z405-U405)</f>
        <v/>
      </c>
      <c r="AB405" s="29" t="str">
        <f aca="false">IF(N(Q405)=0,"",Q405+IF(I405="yes",Q405*Inputs!$B$10*Inputs!$B$9,0)+IFERROR(INDEX(Inputs!$B$13:$B$15,MATCH(G405,Inputs!$A$13:$A$15,0)),0)+IFERROR(INDEX(Inputs!$B$18:$B$24,MATCH(H405,Inputs!$A$18:$A$24,0)),0))</f>
        <v/>
      </c>
      <c r="AC405" s="28" t="str">
        <f aca="false">IF(OR(N(AB405)&lt;=0,N(N405)=0,N(L405)=0),"",MIN(L405,N405/AB405))</f>
        <v/>
      </c>
      <c r="AD405" s="29" t="str">
        <f aca="false">IF(OR(AC405="",N(O405)=0),"",AC405/O405-1)</f>
        <v/>
      </c>
      <c r="AE405" s="29" t="str">
        <f aca="false">IF(OR(AD405="",N(O405)=0),"",AD405+N405/O405)</f>
        <v/>
      </c>
      <c r="AF405" s="32" t="str">
        <f aca="false">IF(OR(AE405="",N(Z405)=0),"",AE405-Z405)</f>
        <v/>
      </c>
      <c r="AG405" s="28" t="n">
        <f aca="false">IF(AND(N(M405)&gt;0,N(L405)&gt;0),M405*L405,N405)</f>
        <v>2</v>
      </c>
      <c r="AH405" s="28" t="str">
        <f aca="false">IF(OR(N(AB405)&lt;=0,N(AG405)=0,N(L405)=0),"",MIN(L405,AG405/AB405))</f>
        <v/>
      </c>
      <c r="AI405" s="29" t="str">
        <f aca="false">IF(OR(AH405="",N(O405)=0),"",AH405/O405-1)</f>
        <v/>
      </c>
      <c r="AJ405" s="29" t="str">
        <f aca="false">IF(OR(AI405="",N(O405)=0),"",AI405+AG405/O405)</f>
        <v/>
      </c>
      <c r="AK405" s="32" t="str">
        <f aca="false">IF(OR(AJ405="",N(AE405)=0),"",AJ405-AE405)</f>
        <v/>
      </c>
      <c r="AL405" s="33" t="str">
        <f aca="false">IF(N(F405)=0,"",INDEX(Inputs!$B$28:$B$32,IFERROR(MATCH(F405,Inputs!$A$28:$A$32,1),0)+1))</f>
        <v/>
      </c>
      <c r="AM405" s="34"/>
      <c r="AN405" s="33" t="str">
        <f aca="false">IF(N(AM405)&gt;0,AM405,AL405)</f>
        <v/>
      </c>
      <c r="AO405" s="29" t="str">
        <f aca="false">IF(N(AN405)=0,"",AN405+IF(I405="yes",AN405*Inputs!$B$10*Inputs!$B$9,0)+IFERROR(INDEX(Inputs!$B$13:$B$15,MATCH(G405,Inputs!$A$13:$A$15,0)),0)+IFERROR(INDEX(Inputs!$B$18:$B$24,MATCH(H405,Inputs!$A$18:$A$24,0)),0))</f>
        <v/>
      </c>
      <c r="AP405" s="28" t="str">
        <f aca="false">IF(OR(N(AO405)&lt;=0,N(AG405)=0,N(L405)=0),"",MIN(L405,AG405/AO405))</f>
        <v/>
      </c>
      <c r="AQ405" s="29" t="str">
        <f aca="false">IF(OR(AP405="",N(O405)=0),"",AP405/O405-1)</f>
        <v/>
      </c>
      <c r="AR405" s="29" t="str">
        <f aca="false">IF(OR(AQ405="",N(O405)=0),"",AQ405+AG405/O405)</f>
        <v/>
      </c>
      <c r="AS405" s="32" t="str">
        <f aca="false">IF(OR(AR405="",N(AJ405)=0),"",AR405-AJ405)</f>
        <v/>
      </c>
      <c r="AT405" s="28"/>
      <c r="AU405" s="28"/>
      <c r="AV405" s="28" t="n">
        <f aca="false">IF(N(AT405)&gt;0,AT405,L405)</f>
        <v>25</v>
      </c>
      <c r="AW405" s="28" t="n">
        <f aca="false">IF(AND(N(M405)&gt;0,N(AV405)&gt;0),M405*AV405,IF(N(AU405)&gt;0,AU405,N405))</f>
        <v>2</v>
      </c>
      <c r="AX405" s="29" t="str">
        <f aca="false">IF(N(AN405)=0,"",AN405+IF(I405="yes",AN405*Inputs!$B$10*Inputs!$B$9,0)+IFERROR(INDEX(Inputs!$B$13:$B$15,MATCH(G405,Inputs!$A$13:$A$15,0)),0)+IFERROR(INDEX(Inputs!$B$18:$B$24,MATCH(H405,Inputs!$A$18:$A$24,0)),0))</f>
        <v/>
      </c>
      <c r="AY405" s="28" t="str">
        <f aca="false">IF(OR(N(AX405)&lt;=0,N(AW405)=0,N(AV405)=0),"",MIN(AV405,AW405/AX405))</f>
        <v/>
      </c>
      <c r="AZ405" s="29" t="str">
        <f aca="false">IF(OR(AY405="",N(O405)=0),"",AY405/O405-1)</f>
        <v/>
      </c>
      <c r="BA405" s="29" t="str">
        <f aca="false">IF(OR(AZ405="",N(O405)=0),"",AZ405+AW405/O405)</f>
        <v/>
      </c>
      <c r="BB405" s="32" t="str">
        <f aca="false">IF(OR(BA405="",N(AR405)=0),"",BA405-AR405)</f>
        <v/>
      </c>
      <c r="BC405" s="35" t="str">
        <f aca="false">IF(OR(BA405="",N(U405)=0),"",BA405-U405)</f>
        <v/>
      </c>
      <c r="BD405" s="36" t="s">
        <v>147</v>
      </c>
    </row>
    <row r="406" customFormat="false" ht="15" hidden="false" customHeight="false" outlineLevel="0" collapsed="false">
      <c r="A406" s="2" t="s">
        <v>768</v>
      </c>
      <c r="B406" s="2" t="n">
        <v>137</v>
      </c>
      <c r="C406" s="2" t="s">
        <v>868</v>
      </c>
      <c r="D406" s="2" t="s">
        <v>869</v>
      </c>
      <c r="E406" s="2" t="s">
        <v>870</v>
      </c>
      <c r="F406" s="27" t="n">
        <v>2000</v>
      </c>
      <c r="G406" s="2" t="s">
        <v>51</v>
      </c>
      <c r="H406" s="2" t="s">
        <v>58</v>
      </c>
      <c r="I406" s="2" t="s">
        <v>151</v>
      </c>
      <c r="J406" s="2" t="s">
        <v>145</v>
      </c>
      <c r="K406" s="2" t="n">
        <v>4</v>
      </c>
      <c r="L406" s="28" t="n">
        <v>20</v>
      </c>
      <c r="M406" s="29" t="n">
        <v>0.05</v>
      </c>
      <c r="N406" s="28" t="n">
        <v>1</v>
      </c>
      <c r="O406" s="28" t="n">
        <v>0</v>
      </c>
      <c r="P406" s="2" t="s">
        <v>146</v>
      </c>
      <c r="Q406" s="29" t="n">
        <v>0.09</v>
      </c>
      <c r="R406" s="30" t="n">
        <v>0.0855</v>
      </c>
      <c r="S406" s="31" t="n">
        <v>11.6959064327485</v>
      </c>
      <c r="T406" s="30"/>
      <c r="U406" s="30"/>
      <c r="V406" s="29" t="n">
        <v>0</v>
      </c>
      <c r="W406" s="29" t="n">
        <f aca="false">IF(N(Q406)=0,"",Q406+IF(I406="yes",Q406*Inputs!$B$10*Inputs!$B$9,0)+V406)</f>
        <v>0.0855</v>
      </c>
      <c r="X406" s="28" t="n">
        <f aca="false">IF(OR(N(W406)&lt;=0,N(N406)=0,N(L406)=0),"",MIN(L406,N406/W406))</f>
        <v>11.6959064327485</v>
      </c>
      <c r="Y406" s="29" t="str">
        <f aca="false">IF(OR(X406="",N(O406)=0),"",X406/O406-1)</f>
        <v/>
      </c>
      <c r="Z406" s="29" t="str">
        <f aca="false">IF(OR(Y406="",N(O406)=0),"",Y406+N406/O406)</f>
        <v/>
      </c>
      <c r="AA406" s="32" t="str">
        <f aca="false">IF(OR(Z406="",N(U406)=0),"",Z406-U406)</f>
        <v/>
      </c>
      <c r="AB406" s="29" t="n">
        <f aca="false">IF(N(Q406)=0,"",Q406+IF(I406="yes",Q406*Inputs!$B$10*Inputs!$B$9,0)+IFERROR(INDEX(Inputs!$B$13:$B$15,MATCH(G406,Inputs!$A$13:$A$15,0)),0)+IFERROR(INDEX(Inputs!$B$18:$B$24,MATCH(H406,Inputs!$A$18:$A$24,0)),0))</f>
        <v>0.0855</v>
      </c>
      <c r="AC406" s="28" t="n">
        <f aca="false">IF(OR(N(AB406)&lt;=0,N(N406)=0,N(L406)=0),"",MIN(L406,N406/AB406))</f>
        <v>11.6959064327485</v>
      </c>
      <c r="AD406" s="29" t="str">
        <f aca="false">IF(OR(AC406="",N(O406)=0),"",AC406/O406-1)</f>
        <v/>
      </c>
      <c r="AE406" s="29" t="str">
        <f aca="false">IF(OR(AD406="",N(O406)=0),"",AD406+N406/O406)</f>
        <v/>
      </c>
      <c r="AF406" s="32" t="str">
        <f aca="false">IF(OR(AE406="",N(Z406)=0),"",AE406-Z406)</f>
        <v/>
      </c>
      <c r="AG406" s="28" t="n">
        <f aca="false">IF(AND(N(M406)&gt;0,N(L406)&gt;0),M406*L406,N406)</f>
        <v>1</v>
      </c>
      <c r="AH406" s="28" t="n">
        <f aca="false">IF(OR(N(AB406)&lt;=0,N(AG406)=0,N(L406)=0),"",MIN(L406,AG406/AB406))</f>
        <v>11.6959064327485</v>
      </c>
      <c r="AI406" s="29" t="str">
        <f aca="false">IF(OR(AH406="",N(O406)=0),"",AH406/O406-1)</f>
        <v/>
      </c>
      <c r="AJ406" s="29" t="str">
        <f aca="false">IF(OR(AI406="",N(O406)=0),"",AI406+AG406/O406)</f>
        <v/>
      </c>
      <c r="AK406" s="32" t="str">
        <f aca="false">IF(OR(AJ406="",N(AE406)=0),"",AJ406-AE406)</f>
        <v/>
      </c>
      <c r="AL406" s="33" t="n">
        <f aca="false">IF(N(F406)=0,"",INDEX(Inputs!$B$28:$B$32,IFERROR(MATCH(F406,Inputs!$A$28:$A$32,1),0)+1))</f>
        <v>0.085</v>
      </c>
      <c r="AM406" s="34"/>
      <c r="AN406" s="33" t="n">
        <f aca="false">IF(N(AM406)&gt;0,AM406,AL406)</f>
        <v>0.085</v>
      </c>
      <c r="AO406" s="29" t="n">
        <f aca="false">IF(N(AN406)=0,"",AN406+IF(I406="yes",AN406*Inputs!$B$10*Inputs!$B$9,0)+IFERROR(INDEX(Inputs!$B$13:$B$15,MATCH(G406,Inputs!$A$13:$A$15,0)),0)+IFERROR(INDEX(Inputs!$B$18:$B$24,MATCH(H406,Inputs!$A$18:$A$24,0)),0))</f>
        <v>0.08075</v>
      </c>
      <c r="AP406" s="28" t="n">
        <f aca="false">IF(OR(N(AO406)&lt;=0,N(AG406)=0,N(L406)=0),"",MIN(L406,AG406/AO406))</f>
        <v>12.3839009287926</v>
      </c>
      <c r="AQ406" s="29" t="str">
        <f aca="false">IF(OR(AP406="",N(O406)=0),"",AP406/O406-1)</f>
        <v/>
      </c>
      <c r="AR406" s="29" t="str">
        <f aca="false">IF(OR(AQ406="",N(O406)=0),"",AQ406+AG406/O406)</f>
        <v/>
      </c>
      <c r="AS406" s="32" t="str">
        <f aca="false">IF(OR(AR406="",N(AJ406)=0),"",AR406-AJ406)</f>
        <v/>
      </c>
      <c r="AT406" s="28"/>
      <c r="AU406" s="28"/>
      <c r="AV406" s="28" t="n">
        <f aca="false">IF(N(AT406)&gt;0,AT406,L406)</f>
        <v>20</v>
      </c>
      <c r="AW406" s="28" t="n">
        <f aca="false">IF(AND(N(M406)&gt;0,N(AV406)&gt;0),M406*AV406,IF(N(AU406)&gt;0,AU406,N406))</f>
        <v>1</v>
      </c>
      <c r="AX406" s="29" t="n">
        <f aca="false">IF(N(AN406)=0,"",AN406+IF(I406="yes",AN406*Inputs!$B$10*Inputs!$B$9,0)+IFERROR(INDEX(Inputs!$B$13:$B$15,MATCH(G406,Inputs!$A$13:$A$15,0)),0)+IFERROR(INDEX(Inputs!$B$18:$B$24,MATCH(H406,Inputs!$A$18:$A$24,0)),0))</f>
        <v>0.08075</v>
      </c>
      <c r="AY406" s="28" t="n">
        <f aca="false">IF(OR(N(AX406)&lt;=0,N(AW406)=0,N(AV406)=0),"",MIN(AV406,AW406/AX406))</f>
        <v>12.3839009287926</v>
      </c>
      <c r="AZ406" s="29" t="str">
        <f aca="false">IF(OR(AY406="",N(O406)=0),"",AY406/O406-1)</f>
        <v/>
      </c>
      <c r="BA406" s="29" t="str">
        <f aca="false">IF(OR(AZ406="",N(O406)=0),"",AZ406+AW406/O406)</f>
        <v/>
      </c>
      <c r="BB406" s="32" t="str">
        <f aca="false">IF(OR(BA406="",N(AR406)=0),"",BA406-AR406)</f>
        <v/>
      </c>
      <c r="BC406" s="35" t="str">
        <f aca="false">IF(OR(BA406="",N(U406)=0),"",BA406-U406)</f>
        <v/>
      </c>
      <c r="BD406" s="36" t="s">
        <v>198</v>
      </c>
    </row>
    <row r="407" customFormat="false" ht="15" hidden="false" customHeight="false" outlineLevel="0" collapsed="false">
      <c r="A407" s="2" t="s">
        <v>768</v>
      </c>
      <c r="B407" s="2" t="n">
        <v>138</v>
      </c>
      <c r="C407" s="2" t="s">
        <v>871</v>
      </c>
      <c r="D407" s="2" t="s">
        <v>869</v>
      </c>
      <c r="E407" s="2" t="s">
        <v>870</v>
      </c>
      <c r="F407" s="27" t="n">
        <v>2000</v>
      </c>
      <c r="G407" s="2" t="s">
        <v>51</v>
      </c>
      <c r="H407" s="2" t="s">
        <v>58</v>
      </c>
      <c r="I407" s="2" t="s">
        <v>151</v>
      </c>
      <c r="J407" s="2" t="s">
        <v>145</v>
      </c>
      <c r="K407" s="2" t="n">
        <v>4</v>
      </c>
      <c r="L407" s="28" t="n">
        <v>20</v>
      </c>
      <c r="M407" s="29" t="n">
        <v>0.05</v>
      </c>
      <c r="N407" s="28" t="n">
        <v>1</v>
      </c>
      <c r="O407" s="28" t="n">
        <v>0</v>
      </c>
      <c r="P407" s="2" t="s">
        <v>146</v>
      </c>
      <c r="Q407" s="29" t="n">
        <v>0.09</v>
      </c>
      <c r="R407" s="30" t="n">
        <v>0.0855</v>
      </c>
      <c r="S407" s="31" t="n">
        <v>11.6959064327485</v>
      </c>
      <c r="T407" s="30"/>
      <c r="U407" s="30"/>
      <c r="V407" s="29" t="n">
        <v>0</v>
      </c>
      <c r="W407" s="29" t="n">
        <f aca="false">IF(N(Q407)=0,"",Q407+IF(I407="yes",Q407*Inputs!$B$10*Inputs!$B$9,0)+V407)</f>
        <v>0.0855</v>
      </c>
      <c r="X407" s="28" t="n">
        <f aca="false">IF(OR(N(W407)&lt;=0,N(N407)=0,N(L407)=0),"",MIN(L407,N407/W407))</f>
        <v>11.6959064327485</v>
      </c>
      <c r="Y407" s="29" t="str">
        <f aca="false">IF(OR(X407="",N(O407)=0),"",X407/O407-1)</f>
        <v/>
      </c>
      <c r="Z407" s="29" t="str">
        <f aca="false">IF(OR(Y407="",N(O407)=0),"",Y407+N407/O407)</f>
        <v/>
      </c>
      <c r="AA407" s="32" t="str">
        <f aca="false">IF(OR(Z407="",N(U407)=0),"",Z407-U407)</f>
        <v/>
      </c>
      <c r="AB407" s="29" t="n">
        <f aca="false">IF(N(Q407)=0,"",Q407+IF(I407="yes",Q407*Inputs!$B$10*Inputs!$B$9,0)+IFERROR(INDEX(Inputs!$B$13:$B$15,MATCH(G407,Inputs!$A$13:$A$15,0)),0)+IFERROR(INDEX(Inputs!$B$18:$B$24,MATCH(H407,Inputs!$A$18:$A$24,0)),0))</f>
        <v>0.0855</v>
      </c>
      <c r="AC407" s="28" t="n">
        <f aca="false">IF(OR(N(AB407)&lt;=0,N(N407)=0,N(L407)=0),"",MIN(L407,N407/AB407))</f>
        <v>11.6959064327485</v>
      </c>
      <c r="AD407" s="29" t="str">
        <f aca="false">IF(OR(AC407="",N(O407)=0),"",AC407/O407-1)</f>
        <v/>
      </c>
      <c r="AE407" s="29" t="str">
        <f aca="false">IF(OR(AD407="",N(O407)=0),"",AD407+N407/O407)</f>
        <v/>
      </c>
      <c r="AF407" s="32" t="str">
        <f aca="false">IF(OR(AE407="",N(Z407)=0),"",AE407-Z407)</f>
        <v/>
      </c>
      <c r="AG407" s="28" t="n">
        <f aca="false">IF(AND(N(M407)&gt;0,N(L407)&gt;0),M407*L407,N407)</f>
        <v>1</v>
      </c>
      <c r="AH407" s="28" t="n">
        <f aca="false">IF(OR(N(AB407)&lt;=0,N(AG407)=0,N(L407)=0),"",MIN(L407,AG407/AB407))</f>
        <v>11.6959064327485</v>
      </c>
      <c r="AI407" s="29" t="str">
        <f aca="false">IF(OR(AH407="",N(O407)=0),"",AH407/O407-1)</f>
        <v/>
      </c>
      <c r="AJ407" s="29" t="str">
        <f aca="false">IF(OR(AI407="",N(O407)=0),"",AI407+AG407/O407)</f>
        <v/>
      </c>
      <c r="AK407" s="32" t="str">
        <f aca="false">IF(OR(AJ407="",N(AE407)=0),"",AJ407-AE407)</f>
        <v/>
      </c>
      <c r="AL407" s="33" t="n">
        <f aca="false">IF(N(F407)=0,"",INDEX(Inputs!$B$28:$B$32,IFERROR(MATCH(F407,Inputs!$A$28:$A$32,1),0)+1))</f>
        <v>0.085</v>
      </c>
      <c r="AM407" s="34"/>
      <c r="AN407" s="33" t="n">
        <f aca="false">IF(N(AM407)&gt;0,AM407,AL407)</f>
        <v>0.085</v>
      </c>
      <c r="AO407" s="29" t="n">
        <f aca="false">IF(N(AN407)=0,"",AN407+IF(I407="yes",AN407*Inputs!$B$10*Inputs!$B$9,0)+IFERROR(INDEX(Inputs!$B$13:$B$15,MATCH(G407,Inputs!$A$13:$A$15,0)),0)+IFERROR(INDEX(Inputs!$B$18:$B$24,MATCH(H407,Inputs!$A$18:$A$24,0)),0))</f>
        <v>0.08075</v>
      </c>
      <c r="AP407" s="28" t="n">
        <f aca="false">IF(OR(N(AO407)&lt;=0,N(AG407)=0,N(L407)=0),"",MIN(L407,AG407/AO407))</f>
        <v>12.3839009287926</v>
      </c>
      <c r="AQ407" s="29" t="str">
        <f aca="false">IF(OR(AP407="",N(O407)=0),"",AP407/O407-1)</f>
        <v/>
      </c>
      <c r="AR407" s="29" t="str">
        <f aca="false">IF(OR(AQ407="",N(O407)=0),"",AQ407+AG407/O407)</f>
        <v/>
      </c>
      <c r="AS407" s="32" t="str">
        <f aca="false">IF(OR(AR407="",N(AJ407)=0),"",AR407-AJ407)</f>
        <v/>
      </c>
      <c r="AT407" s="28"/>
      <c r="AU407" s="28"/>
      <c r="AV407" s="28" t="n">
        <f aca="false">IF(N(AT407)&gt;0,AT407,L407)</f>
        <v>20</v>
      </c>
      <c r="AW407" s="28" t="n">
        <f aca="false">IF(AND(N(M407)&gt;0,N(AV407)&gt;0),M407*AV407,IF(N(AU407)&gt;0,AU407,N407))</f>
        <v>1</v>
      </c>
      <c r="AX407" s="29" t="n">
        <f aca="false">IF(N(AN407)=0,"",AN407+IF(I407="yes",AN407*Inputs!$B$10*Inputs!$B$9,0)+IFERROR(INDEX(Inputs!$B$13:$B$15,MATCH(G407,Inputs!$A$13:$A$15,0)),0)+IFERROR(INDEX(Inputs!$B$18:$B$24,MATCH(H407,Inputs!$A$18:$A$24,0)),0))</f>
        <v>0.08075</v>
      </c>
      <c r="AY407" s="28" t="n">
        <f aca="false">IF(OR(N(AX407)&lt;=0,N(AW407)=0,N(AV407)=0),"",MIN(AV407,AW407/AX407))</f>
        <v>12.3839009287926</v>
      </c>
      <c r="AZ407" s="29" t="str">
        <f aca="false">IF(OR(AY407="",N(O407)=0),"",AY407/O407-1)</f>
        <v/>
      </c>
      <c r="BA407" s="29" t="str">
        <f aca="false">IF(OR(AZ407="",N(O407)=0),"",AZ407+AW407/O407)</f>
        <v/>
      </c>
      <c r="BB407" s="32" t="str">
        <f aca="false">IF(OR(BA407="",N(AR407)=0),"",BA407-AR407)</f>
        <v/>
      </c>
      <c r="BC407" s="35" t="str">
        <f aca="false">IF(OR(BA407="",N(U407)=0),"",BA407-U407)</f>
        <v/>
      </c>
      <c r="BD407" s="36" t="s">
        <v>198</v>
      </c>
    </row>
    <row r="408" customFormat="false" ht="15" hidden="false" customHeight="false" outlineLevel="0" collapsed="false">
      <c r="A408" s="2" t="s">
        <v>768</v>
      </c>
      <c r="B408" s="2" t="n">
        <v>139</v>
      </c>
      <c r="C408" s="2" t="s">
        <v>872</v>
      </c>
      <c r="D408" s="2" t="s">
        <v>869</v>
      </c>
      <c r="E408" s="2" t="s">
        <v>870</v>
      </c>
      <c r="F408" s="27" t="n">
        <v>2000</v>
      </c>
      <c r="G408" s="2" t="s">
        <v>51</v>
      </c>
      <c r="H408" s="2" t="s">
        <v>58</v>
      </c>
      <c r="I408" s="2" t="s">
        <v>151</v>
      </c>
      <c r="J408" s="2" t="s">
        <v>145</v>
      </c>
      <c r="K408" s="2" t="n">
        <v>4</v>
      </c>
      <c r="L408" s="28" t="n">
        <v>20</v>
      </c>
      <c r="M408" s="29" t="n">
        <v>0.0425</v>
      </c>
      <c r="N408" s="28" t="n">
        <v>0.85</v>
      </c>
      <c r="O408" s="28" t="n">
        <v>0</v>
      </c>
      <c r="P408" s="2" t="s">
        <v>146</v>
      </c>
      <c r="Q408" s="29" t="n">
        <v>0.09</v>
      </c>
      <c r="R408" s="30" t="n">
        <v>0.0855</v>
      </c>
      <c r="S408" s="31" t="n">
        <v>9.94152046783626</v>
      </c>
      <c r="T408" s="30"/>
      <c r="U408" s="30"/>
      <c r="V408" s="29" t="n">
        <v>0</v>
      </c>
      <c r="W408" s="29" t="n">
        <f aca="false">IF(N(Q408)=0,"",Q408+IF(I408="yes",Q408*Inputs!$B$10*Inputs!$B$9,0)+V408)</f>
        <v>0.0855</v>
      </c>
      <c r="X408" s="28" t="n">
        <f aca="false">IF(OR(N(W408)&lt;=0,N(N408)=0,N(L408)=0),"",MIN(L408,N408/W408))</f>
        <v>9.94152046783626</v>
      </c>
      <c r="Y408" s="29" t="str">
        <f aca="false">IF(OR(X408="",N(O408)=0),"",X408/O408-1)</f>
        <v/>
      </c>
      <c r="Z408" s="29" t="str">
        <f aca="false">IF(OR(Y408="",N(O408)=0),"",Y408+N408/O408)</f>
        <v/>
      </c>
      <c r="AA408" s="32" t="str">
        <f aca="false">IF(OR(Z408="",N(U408)=0),"",Z408-U408)</f>
        <v/>
      </c>
      <c r="AB408" s="29" t="n">
        <f aca="false">IF(N(Q408)=0,"",Q408+IF(I408="yes",Q408*Inputs!$B$10*Inputs!$B$9,0)+IFERROR(INDEX(Inputs!$B$13:$B$15,MATCH(G408,Inputs!$A$13:$A$15,0)),0)+IFERROR(INDEX(Inputs!$B$18:$B$24,MATCH(H408,Inputs!$A$18:$A$24,0)),0))</f>
        <v>0.0855</v>
      </c>
      <c r="AC408" s="28" t="n">
        <f aca="false">IF(OR(N(AB408)&lt;=0,N(N408)=0,N(L408)=0),"",MIN(L408,N408/AB408))</f>
        <v>9.94152046783626</v>
      </c>
      <c r="AD408" s="29" t="str">
        <f aca="false">IF(OR(AC408="",N(O408)=0),"",AC408/O408-1)</f>
        <v/>
      </c>
      <c r="AE408" s="29" t="str">
        <f aca="false">IF(OR(AD408="",N(O408)=0),"",AD408+N408/O408)</f>
        <v/>
      </c>
      <c r="AF408" s="32" t="str">
        <f aca="false">IF(OR(AE408="",N(Z408)=0),"",AE408-Z408)</f>
        <v/>
      </c>
      <c r="AG408" s="28" t="n">
        <f aca="false">IF(AND(N(M408)&gt;0,N(L408)&gt;0),M408*L408,N408)</f>
        <v>0.85</v>
      </c>
      <c r="AH408" s="28" t="n">
        <f aca="false">IF(OR(N(AB408)&lt;=0,N(AG408)=0,N(L408)=0),"",MIN(L408,AG408/AB408))</f>
        <v>9.94152046783626</v>
      </c>
      <c r="AI408" s="29" t="str">
        <f aca="false">IF(OR(AH408="",N(O408)=0),"",AH408/O408-1)</f>
        <v/>
      </c>
      <c r="AJ408" s="29" t="str">
        <f aca="false">IF(OR(AI408="",N(O408)=0),"",AI408+AG408/O408)</f>
        <v/>
      </c>
      <c r="AK408" s="32" t="str">
        <f aca="false">IF(OR(AJ408="",N(AE408)=0),"",AJ408-AE408)</f>
        <v/>
      </c>
      <c r="AL408" s="33" t="n">
        <f aca="false">IF(N(F408)=0,"",INDEX(Inputs!$B$28:$B$32,IFERROR(MATCH(F408,Inputs!$A$28:$A$32,1),0)+1))</f>
        <v>0.085</v>
      </c>
      <c r="AM408" s="34"/>
      <c r="AN408" s="33" t="n">
        <f aca="false">IF(N(AM408)&gt;0,AM408,AL408)</f>
        <v>0.085</v>
      </c>
      <c r="AO408" s="29" t="n">
        <f aca="false">IF(N(AN408)=0,"",AN408+IF(I408="yes",AN408*Inputs!$B$10*Inputs!$B$9,0)+IFERROR(INDEX(Inputs!$B$13:$B$15,MATCH(G408,Inputs!$A$13:$A$15,0)),0)+IFERROR(INDEX(Inputs!$B$18:$B$24,MATCH(H408,Inputs!$A$18:$A$24,0)),0))</f>
        <v>0.08075</v>
      </c>
      <c r="AP408" s="28" t="n">
        <f aca="false">IF(OR(N(AO408)&lt;=0,N(AG408)=0,N(L408)=0),"",MIN(L408,AG408/AO408))</f>
        <v>10.5263157894737</v>
      </c>
      <c r="AQ408" s="29" t="str">
        <f aca="false">IF(OR(AP408="",N(O408)=0),"",AP408/O408-1)</f>
        <v/>
      </c>
      <c r="AR408" s="29" t="str">
        <f aca="false">IF(OR(AQ408="",N(O408)=0),"",AQ408+AG408/O408)</f>
        <v/>
      </c>
      <c r="AS408" s="32" t="str">
        <f aca="false">IF(OR(AR408="",N(AJ408)=0),"",AR408-AJ408)</f>
        <v/>
      </c>
      <c r="AT408" s="28"/>
      <c r="AU408" s="28"/>
      <c r="AV408" s="28" t="n">
        <f aca="false">IF(N(AT408)&gt;0,AT408,L408)</f>
        <v>20</v>
      </c>
      <c r="AW408" s="28" t="n">
        <f aca="false">IF(AND(N(M408)&gt;0,N(AV408)&gt;0),M408*AV408,IF(N(AU408)&gt;0,AU408,N408))</f>
        <v>0.85</v>
      </c>
      <c r="AX408" s="29" t="n">
        <f aca="false">IF(N(AN408)=0,"",AN408+IF(I408="yes",AN408*Inputs!$B$10*Inputs!$B$9,0)+IFERROR(INDEX(Inputs!$B$13:$B$15,MATCH(G408,Inputs!$A$13:$A$15,0)),0)+IFERROR(INDEX(Inputs!$B$18:$B$24,MATCH(H408,Inputs!$A$18:$A$24,0)),0))</f>
        <v>0.08075</v>
      </c>
      <c r="AY408" s="28" t="n">
        <f aca="false">IF(OR(N(AX408)&lt;=0,N(AW408)=0,N(AV408)=0),"",MIN(AV408,AW408/AX408))</f>
        <v>10.5263157894737</v>
      </c>
      <c r="AZ408" s="29" t="str">
        <f aca="false">IF(OR(AY408="",N(O408)=0),"",AY408/O408-1)</f>
        <v/>
      </c>
      <c r="BA408" s="29" t="str">
        <f aca="false">IF(OR(AZ408="",N(O408)=0),"",AZ408+AW408/O408)</f>
        <v/>
      </c>
      <c r="BB408" s="32" t="str">
        <f aca="false">IF(OR(BA408="",N(AR408)=0),"",BA408-AR408)</f>
        <v/>
      </c>
      <c r="BC408" s="35" t="str">
        <f aca="false">IF(OR(BA408="",N(U408)=0),"",BA408-U408)</f>
        <v/>
      </c>
      <c r="BD408" s="36" t="s">
        <v>198</v>
      </c>
    </row>
    <row r="409" customFormat="false" ht="15" hidden="false" customHeight="false" outlineLevel="0" collapsed="false">
      <c r="A409" s="2" t="s">
        <v>768</v>
      </c>
      <c r="B409" s="2" t="n">
        <v>140</v>
      </c>
      <c r="C409" s="2" t="s">
        <v>873</v>
      </c>
      <c r="D409" s="2" t="s">
        <v>869</v>
      </c>
      <c r="E409" s="2" t="s">
        <v>870</v>
      </c>
      <c r="F409" s="27" t="n">
        <v>2000</v>
      </c>
      <c r="G409" s="2" t="s">
        <v>51</v>
      </c>
      <c r="H409" s="2" t="s">
        <v>58</v>
      </c>
      <c r="I409" s="2" t="s">
        <v>151</v>
      </c>
      <c r="J409" s="2" t="s">
        <v>145</v>
      </c>
      <c r="K409" s="2" t="n">
        <v>4</v>
      </c>
      <c r="L409" s="28" t="n">
        <v>20</v>
      </c>
      <c r="M409" s="29" t="n">
        <v>0.0475</v>
      </c>
      <c r="N409" s="28" t="n">
        <v>0.95</v>
      </c>
      <c r="O409" s="28" t="n">
        <v>0</v>
      </c>
      <c r="P409" s="2" t="s">
        <v>223</v>
      </c>
      <c r="Q409" s="29" t="n">
        <v>0.09</v>
      </c>
      <c r="R409" s="30" t="n">
        <v>0.09</v>
      </c>
      <c r="S409" s="31" t="n">
        <v>10.5555555555556</v>
      </c>
      <c r="T409" s="30"/>
      <c r="U409" s="30"/>
      <c r="V409" s="29" t="n">
        <v>0</v>
      </c>
      <c r="W409" s="29" t="n">
        <f aca="false">IF(N(Q409)=0,"",Q409+IF(I409="yes",Q409*Inputs!$B$10*Inputs!$B$9,0)+V409)</f>
        <v>0.0855</v>
      </c>
      <c r="X409" s="28" t="n">
        <f aca="false">IF(OR(N(W409)&lt;=0,N(N409)=0,N(L409)=0),"",MIN(L409,N409/W409))</f>
        <v>11.1111111111111</v>
      </c>
      <c r="Y409" s="29" t="str">
        <f aca="false">IF(OR(X409="",N(O409)=0),"",X409/O409-1)</f>
        <v/>
      </c>
      <c r="Z409" s="29" t="str">
        <f aca="false">IF(OR(Y409="",N(O409)=0),"",Y409+N409/O409)</f>
        <v/>
      </c>
      <c r="AA409" s="32" t="str">
        <f aca="false">IF(OR(Z409="",N(U409)=0),"",Z409-U409)</f>
        <v/>
      </c>
      <c r="AB409" s="29" t="n">
        <f aca="false">IF(N(Q409)=0,"",Q409+IF(I409="yes",Q409*Inputs!$B$10*Inputs!$B$9,0)+IFERROR(INDEX(Inputs!$B$13:$B$15,MATCH(G409,Inputs!$A$13:$A$15,0)),0)+IFERROR(INDEX(Inputs!$B$18:$B$24,MATCH(H409,Inputs!$A$18:$A$24,0)),0))</f>
        <v>0.0855</v>
      </c>
      <c r="AC409" s="28" t="n">
        <f aca="false">IF(OR(N(AB409)&lt;=0,N(N409)=0,N(L409)=0),"",MIN(L409,N409/AB409))</f>
        <v>11.1111111111111</v>
      </c>
      <c r="AD409" s="29" t="str">
        <f aca="false">IF(OR(AC409="",N(O409)=0),"",AC409/O409-1)</f>
        <v/>
      </c>
      <c r="AE409" s="29" t="str">
        <f aca="false">IF(OR(AD409="",N(O409)=0),"",AD409+N409/O409)</f>
        <v/>
      </c>
      <c r="AF409" s="32" t="str">
        <f aca="false">IF(OR(AE409="",N(Z409)=0),"",AE409-Z409)</f>
        <v/>
      </c>
      <c r="AG409" s="28" t="n">
        <f aca="false">IF(AND(N(M409)&gt;0,N(L409)&gt;0),M409*L409,N409)</f>
        <v>0.95</v>
      </c>
      <c r="AH409" s="28" t="n">
        <f aca="false">IF(OR(N(AB409)&lt;=0,N(AG409)=0,N(L409)=0),"",MIN(L409,AG409/AB409))</f>
        <v>11.1111111111111</v>
      </c>
      <c r="AI409" s="29" t="str">
        <f aca="false">IF(OR(AH409="",N(O409)=0),"",AH409/O409-1)</f>
        <v/>
      </c>
      <c r="AJ409" s="29" t="str">
        <f aca="false">IF(OR(AI409="",N(O409)=0),"",AI409+AG409/O409)</f>
        <v/>
      </c>
      <c r="AK409" s="32" t="str">
        <f aca="false">IF(OR(AJ409="",N(AE409)=0),"",AJ409-AE409)</f>
        <v/>
      </c>
      <c r="AL409" s="33" t="n">
        <f aca="false">IF(N(F409)=0,"",INDEX(Inputs!$B$28:$B$32,IFERROR(MATCH(F409,Inputs!$A$28:$A$32,1),0)+1))</f>
        <v>0.085</v>
      </c>
      <c r="AM409" s="34"/>
      <c r="AN409" s="33" t="n">
        <f aca="false">IF(N(AM409)&gt;0,AM409,AL409)</f>
        <v>0.085</v>
      </c>
      <c r="AO409" s="29" t="n">
        <f aca="false">IF(N(AN409)=0,"",AN409+IF(I409="yes",AN409*Inputs!$B$10*Inputs!$B$9,0)+IFERROR(INDEX(Inputs!$B$13:$B$15,MATCH(G409,Inputs!$A$13:$A$15,0)),0)+IFERROR(INDEX(Inputs!$B$18:$B$24,MATCH(H409,Inputs!$A$18:$A$24,0)),0))</f>
        <v>0.08075</v>
      </c>
      <c r="AP409" s="28" t="n">
        <f aca="false">IF(OR(N(AO409)&lt;=0,N(AG409)=0,N(L409)=0),"",MIN(L409,AG409/AO409))</f>
        <v>11.7647058823529</v>
      </c>
      <c r="AQ409" s="29" t="str">
        <f aca="false">IF(OR(AP409="",N(O409)=0),"",AP409/O409-1)</f>
        <v/>
      </c>
      <c r="AR409" s="29" t="str">
        <f aca="false">IF(OR(AQ409="",N(O409)=0),"",AQ409+AG409/O409)</f>
        <v/>
      </c>
      <c r="AS409" s="32" t="str">
        <f aca="false">IF(OR(AR409="",N(AJ409)=0),"",AR409-AJ409)</f>
        <v/>
      </c>
      <c r="AT409" s="28"/>
      <c r="AU409" s="28"/>
      <c r="AV409" s="28" t="n">
        <f aca="false">IF(N(AT409)&gt;0,AT409,L409)</f>
        <v>20</v>
      </c>
      <c r="AW409" s="28" t="n">
        <f aca="false">IF(AND(N(M409)&gt;0,N(AV409)&gt;0),M409*AV409,IF(N(AU409)&gt;0,AU409,N409))</f>
        <v>0.95</v>
      </c>
      <c r="AX409" s="29" t="n">
        <f aca="false">IF(N(AN409)=0,"",AN409+IF(I409="yes",AN409*Inputs!$B$10*Inputs!$B$9,0)+IFERROR(INDEX(Inputs!$B$13:$B$15,MATCH(G409,Inputs!$A$13:$A$15,0)),0)+IFERROR(INDEX(Inputs!$B$18:$B$24,MATCH(H409,Inputs!$A$18:$A$24,0)),0))</f>
        <v>0.08075</v>
      </c>
      <c r="AY409" s="28" t="n">
        <f aca="false">IF(OR(N(AX409)&lt;=0,N(AW409)=0,N(AV409)=0),"",MIN(AV409,AW409/AX409))</f>
        <v>11.7647058823529</v>
      </c>
      <c r="AZ409" s="29" t="str">
        <f aca="false">IF(OR(AY409="",N(O409)=0),"",AY409/O409-1)</f>
        <v/>
      </c>
      <c r="BA409" s="29" t="str">
        <f aca="false">IF(OR(AZ409="",N(O409)=0),"",AZ409+AW409/O409)</f>
        <v/>
      </c>
      <c r="BB409" s="32" t="str">
        <f aca="false">IF(OR(BA409="",N(AR409)=0),"",BA409-AR409)</f>
        <v/>
      </c>
      <c r="BC409" s="35" t="str">
        <f aca="false">IF(OR(BA409="",N(U409)=0),"",BA409-U409)</f>
        <v/>
      </c>
      <c r="BD409" s="36" t="s">
        <v>508</v>
      </c>
    </row>
    <row r="410" customFormat="false" ht="15" hidden="false" customHeight="false" outlineLevel="0" collapsed="false">
      <c r="A410" s="2" t="s">
        <v>768</v>
      </c>
      <c r="B410" s="2" t="n">
        <v>141</v>
      </c>
      <c r="C410" s="2" t="s">
        <v>874</v>
      </c>
      <c r="D410" s="2" t="s">
        <v>869</v>
      </c>
      <c r="E410" s="2" t="s">
        <v>870</v>
      </c>
      <c r="F410" s="27" t="n">
        <v>2000</v>
      </c>
      <c r="G410" s="2" t="s">
        <v>51</v>
      </c>
      <c r="H410" s="2" t="s">
        <v>58</v>
      </c>
      <c r="I410" s="2" t="s">
        <v>151</v>
      </c>
      <c r="J410" s="2" t="s">
        <v>145</v>
      </c>
      <c r="K410" s="2" t="n">
        <v>4</v>
      </c>
      <c r="L410" s="28" t="n">
        <v>20</v>
      </c>
      <c r="M410" s="29" t="n">
        <v>0.0465</v>
      </c>
      <c r="N410" s="28" t="n">
        <v>0.93</v>
      </c>
      <c r="O410" s="28" t="n">
        <v>0</v>
      </c>
      <c r="P410" s="2" t="s">
        <v>146</v>
      </c>
      <c r="Q410" s="29" t="n">
        <v>0.09</v>
      </c>
      <c r="R410" s="30" t="n">
        <v>0.0855</v>
      </c>
      <c r="S410" s="31" t="n">
        <v>10.8771929824561</v>
      </c>
      <c r="T410" s="30"/>
      <c r="U410" s="30"/>
      <c r="V410" s="29" t="n">
        <v>0</v>
      </c>
      <c r="W410" s="29" t="n">
        <f aca="false">IF(N(Q410)=0,"",Q410+IF(I410="yes",Q410*Inputs!$B$10*Inputs!$B$9,0)+V410)</f>
        <v>0.0855</v>
      </c>
      <c r="X410" s="28" t="n">
        <f aca="false">IF(OR(N(W410)&lt;=0,N(N410)=0,N(L410)=0),"",MIN(L410,N410/W410))</f>
        <v>10.8771929824561</v>
      </c>
      <c r="Y410" s="29" t="str">
        <f aca="false">IF(OR(X410="",N(O410)=0),"",X410/O410-1)</f>
        <v/>
      </c>
      <c r="Z410" s="29" t="str">
        <f aca="false">IF(OR(Y410="",N(O410)=0),"",Y410+N410/O410)</f>
        <v/>
      </c>
      <c r="AA410" s="32" t="str">
        <f aca="false">IF(OR(Z410="",N(U410)=0),"",Z410-U410)</f>
        <v/>
      </c>
      <c r="AB410" s="29" t="n">
        <f aca="false">IF(N(Q410)=0,"",Q410+IF(I410="yes",Q410*Inputs!$B$10*Inputs!$B$9,0)+IFERROR(INDEX(Inputs!$B$13:$B$15,MATCH(G410,Inputs!$A$13:$A$15,0)),0)+IFERROR(INDEX(Inputs!$B$18:$B$24,MATCH(H410,Inputs!$A$18:$A$24,0)),0))</f>
        <v>0.0855</v>
      </c>
      <c r="AC410" s="28" t="n">
        <f aca="false">IF(OR(N(AB410)&lt;=0,N(N410)=0,N(L410)=0),"",MIN(L410,N410/AB410))</f>
        <v>10.8771929824561</v>
      </c>
      <c r="AD410" s="29" t="str">
        <f aca="false">IF(OR(AC410="",N(O410)=0),"",AC410/O410-1)</f>
        <v/>
      </c>
      <c r="AE410" s="29" t="str">
        <f aca="false">IF(OR(AD410="",N(O410)=0),"",AD410+N410/O410)</f>
        <v/>
      </c>
      <c r="AF410" s="32" t="str">
        <f aca="false">IF(OR(AE410="",N(Z410)=0),"",AE410-Z410)</f>
        <v/>
      </c>
      <c r="AG410" s="28" t="n">
        <f aca="false">IF(AND(N(M410)&gt;0,N(L410)&gt;0),M410*L410,N410)</f>
        <v>0.93</v>
      </c>
      <c r="AH410" s="28" t="n">
        <f aca="false">IF(OR(N(AB410)&lt;=0,N(AG410)=0,N(L410)=0),"",MIN(L410,AG410/AB410))</f>
        <v>10.8771929824561</v>
      </c>
      <c r="AI410" s="29" t="str">
        <f aca="false">IF(OR(AH410="",N(O410)=0),"",AH410/O410-1)</f>
        <v/>
      </c>
      <c r="AJ410" s="29" t="str">
        <f aca="false">IF(OR(AI410="",N(O410)=0),"",AI410+AG410/O410)</f>
        <v/>
      </c>
      <c r="AK410" s="32" t="str">
        <f aca="false">IF(OR(AJ410="",N(AE410)=0),"",AJ410-AE410)</f>
        <v/>
      </c>
      <c r="AL410" s="33" t="n">
        <f aca="false">IF(N(F410)=0,"",INDEX(Inputs!$B$28:$B$32,IFERROR(MATCH(F410,Inputs!$A$28:$A$32,1),0)+1))</f>
        <v>0.085</v>
      </c>
      <c r="AM410" s="34"/>
      <c r="AN410" s="33" t="n">
        <f aca="false">IF(N(AM410)&gt;0,AM410,AL410)</f>
        <v>0.085</v>
      </c>
      <c r="AO410" s="29" t="n">
        <f aca="false">IF(N(AN410)=0,"",AN410+IF(I410="yes",AN410*Inputs!$B$10*Inputs!$B$9,0)+IFERROR(INDEX(Inputs!$B$13:$B$15,MATCH(G410,Inputs!$A$13:$A$15,0)),0)+IFERROR(INDEX(Inputs!$B$18:$B$24,MATCH(H410,Inputs!$A$18:$A$24,0)),0))</f>
        <v>0.08075</v>
      </c>
      <c r="AP410" s="28" t="n">
        <f aca="false">IF(OR(N(AO410)&lt;=0,N(AG410)=0,N(L410)=0),"",MIN(L410,AG410/AO410))</f>
        <v>11.5170278637771</v>
      </c>
      <c r="AQ410" s="29" t="str">
        <f aca="false">IF(OR(AP410="",N(O410)=0),"",AP410/O410-1)</f>
        <v/>
      </c>
      <c r="AR410" s="29" t="str">
        <f aca="false">IF(OR(AQ410="",N(O410)=0),"",AQ410+AG410/O410)</f>
        <v/>
      </c>
      <c r="AS410" s="32" t="str">
        <f aca="false">IF(OR(AR410="",N(AJ410)=0),"",AR410-AJ410)</f>
        <v/>
      </c>
      <c r="AT410" s="28"/>
      <c r="AU410" s="28"/>
      <c r="AV410" s="28" t="n">
        <f aca="false">IF(N(AT410)&gt;0,AT410,L410)</f>
        <v>20</v>
      </c>
      <c r="AW410" s="28" t="n">
        <f aca="false">IF(AND(N(M410)&gt;0,N(AV410)&gt;0),M410*AV410,IF(N(AU410)&gt;0,AU410,N410))</f>
        <v>0.93</v>
      </c>
      <c r="AX410" s="29" t="n">
        <f aca="false">IF(N(AN410)=0,"",AN410+IF(I410="yes",AN410*Inputs!$B$10*Inputs!$B$9,0)+IFERROR(INDEX(Inputs!$B$13:$B$15,MATCH(G410,Inputs!$A$13:$A$15,0)),0)+IFERROR(INDEX(Inputs!$B$18:$B$24,MATCH(H410,Inputs!$A$18:$A$24,0)),0))</f>
        <v>0.08075</v>
      </c>
      <c r="AY410" s="28" t="n">
        <f aca="false">IF(OR(N(AX410)&lt;=0,N(AW410)=0,N(AV410)=0),"",MIN(AV410,AW410/AX410))</f>
        <v>11.5170278637771</v>
      </c>
      <c r="AZ410" s="29" t="str">
        <f aca="false">IF(OR(AY410="",N(O410)=0),"",AY410/O410-1)</f>
        <v/>
      </c>
      <c r="BA410" s="29" t="str">
        <f aca="false">IF(OR(AZ410="",N(O410)=0),"",AZ410+AW410/O410)</f>
        <v/>
      </c>
      <c r="BB410" s="32" t="str">
        <f aca="false">IF(OR(BA410="",N(AR410)=0),"",BA410-AR410)</f>
        <v/>
      </c>
      <c r="BC410" s="35" t="str">
        <f aca="false">IF(OR(BA410="",N(U410)=0),"",BA410-U410)</f>
        <v/>
      </c>
      <c r="BD410" s="36" t="s">
        <v>198</v>
      </c>
    </row>
    <row r="411" customFormat="false" ht="15" hidden="false" customHeight="false" outlineLevel="0" collapsed="false">
      <c r="A411" s="2" t="s">
        <v>768</v>
      </c>
      <c r="B411" s="2" t="n">
        <v>142</v>
      </c>
      <c r="C411" s="2" t="s">
        <v>875</v>
      </c>
      <c r="D411" s="2" t="s">
        <v>869</v>
      </c>
      <c r="E411" s="2" t="s">
        <v>870</v>
      </c>
      <c r="F411" s="27" t="n">
        <v>2000</v>
      </c>
      <c r="G411" s="2" t="s">
        <v>51</v>
      </c>
      <c r="H411" s="2" t="s">
        <v>58</v>
      </c>
      <c r="I411" s="2" t="s">
        <v>151</v>
      </c>
      <c r="J411" s="2" t="s">
        <v>145</v>
      </c>
      <c r="K411" s="2" t="n">
        <v>4</v>
      </c>
      <c r="L411" s="28" t="n">
        <v>20</v>
      </c>
      <c r="M411" s="29" t="n">
        <v>0.0525</v>
      </c>
      <c r="N411" s="28" t="n">
        <v>1.05</v>
      </c>
      <c r="O411" s="28" t="n">
        <v>0</v>
      </c>
      <c r="P411" s="2" t="s">
        <v>223</v>
      </c>
      <c r="Q411" s="29" t="n">
        <v>0.09</v>
      </c>
      <c r="R411" s="30" t="n">
        <v>0.09</v>
      </c>
      <c r="S411" s="31" t="n">
        <v>11.6666666666667</v>
      </c>
      <c r="T411" s="30"/>
      <c r="U411" s="30"/>
      <c r="V411" s="29" t="n">
        <v>0</v>
      </c>
      <c r="W411" s="29" t="n">
        <f aca="false">IF(N(Q411)=0,"",Q411+IF(I411="yes",Q411*Inputs!$B$10*Inputs!$B$9,0)+V411)</f>
        <v>0.0855</v>
      </c>
      <c r="X411" s="28" t="n">
        <f aca="false">IF(OR(N(W411)&lt;=0,N(N411)=0,N(L411)=0),"",MIN(L411,N411/W411))</f>
        <v>12.280701754386</v>
      </c>
      <c r="Y411" s="29" t="str">
        <f aca="false">IF(OR(X411="",N(O411)=0),"",X411/O411-1)</f>
        <v/>
      </c>
      <c r="Z411" s="29" t="str">
        <f aca="false">IF(OR(Y411="",N(O411)=0),"",Y411+N411/O411)</f>
        <v/>
      </c>
      <c r="AA411" s="32" t="str">
        <f aca="false">IF(OR(Z411="",N(U411)=0),"",Z411-U411)</f>
        <v/>
      </c>
      <c r="AB411" s="29" t="n">
        <f aca="false">IF(N(Q411)=0,"",Q411+IF(I411="yes",Q411*Inputs!$B$10*Inputs!$B$9,0)+IFERROR(INDEX(Inputs!$B$13:$B$15,MATCH(G411,Inputs!$A$13:$A$15,0)),0)+IFERROR(INDEX(Inputs!$B$18:$B$24,MATCH(H411,Inputs!$A$18:$A$24,0)),0))</f>
        <v>0.0855</v>
      </c>
      <c r="AC411" s="28" t="n">
        <f aca="false">IF(OR(N(AB411)&lt;=0,N(N411)=0,N(L411)=0),"",MIN(L411,N411/AB411))</f>
        <v>12.280701754386</v>
      </c>
      <c r="AD411" s="29" t="str">
        <f aca="false">IF(OR(AC411="",N(O411)=0),"",AC411/O411-1)</f>
        <v/>
      </c>
      <c r="AE411" s="29" t="str">
        <f aca="false">IF(OR(AD411="",N(O411)=0),"",AD411+N411/O411)</f>
        <v/>
      </c>
      <c r="AF411" s="32" t="str">
        <f aca="false">IF(OR(AE411="",N(Z411)=0),"",AE411-Z411)</f>
        <v/>
      </c>
      <c r="AG411" s="28" t="n">
        <f aca="false">IF(AND(N(M411)&gt;0,N(L411)&gt;0),M411*L411,N411)</f>
        <v>1.05</v>
      </c>
      <c r="AH411" s="28" t="n">
        <f aca="false">IF(OR(N(AB411)&lt;=0,N(AG411)=0,N(L411)=0),"",MIN(L411,AG411/AB411))</f>
        <v>12.280701754386</v>
      </c>
      <c r="AI411" s="29" t="str">
        <f aca="false">IF(OR(AH411="",N(O411)=0),"",AH411/O411-1)</f>
        <v/>
      </c>
      <c r="AJ411" s="29" t="str">
        <f aca="false">IF(OR(AI411="",N(O411)=0),"",AI411+AG411/O411)</f>
        <v/>
      </c>
      <c r="AK411" s="32" t="str">
        <f aca="false">IF(OR(AJ411="",N(AE411)=0),"",AJ411-AE411)</f>
        <v/>
      </c>
      <c r="AL411" s="33" t="n">
        <f aca="false">IF(N(F411)=0,"",INDEX(Inputs!$B$28:$B$32,IFERROR(MATCH(F411,Inputs!$A$28:$A$32,1),0)+1))</f>
        <v>0.085</v>
      </c>
      <c r="AM411" s="34"/>
      <c r="AN411" s="33" t="n">
        <f aca="false">IF(N(AM411)&gt;0,AM411,AL411)</f>
        <v>0.085</v>
      </c>
      <c r="AO411" s="29" t="n">
        <f aca="false">IF(N(AN411)=0,"",AN411+IF(I411="yes",AN411*Inputs!$B$10*Inputs!$B$9,0)+IFERROR(INDEX(Inputs!$B$13:$B$15,MATCH(G411,Inputs!$A$13:$A$15,0)),0)+IFERROR(INDEX(Inputs!$B$18:$B$24,MATCH(H411,Inputs!$A$18:$A$24,0)),0))</f>
        <v>0.08075</v>
      </c>
      <c r="AP411" s="28" t="n">
        <f aca="false">IF(OR(N(AO411)&lt;=0,N(AG411)=0,N(L411)=0),"",MIN(L411,AG411/AO411))</f>
        <v>13.0030959752322</v>
      </c>
      <c r="AQ411" s="29" t="str">
        <f aca="false">IF(OR(AP411="",N(O411)=0),"",AP411/O411-1)</f>
        <v/>
      </c>
      <c r="AR411" s="29" t="str">
        <f aca="false">IF(OR(AQ411="",N(O411)=0),"",AQ411+AG411/O411)</f>
        <v/>
      </c>
      <c r="AS411" s="32" t="str">
        <f aca="false">IF(OR(AR411="",N(AJ411)=0),"",AR411-AJ411)</f>
        <v/>
      </c>
      <c r="AT411" s="28" t="n">
        <v>20</v>
      </c>
      <c r="AU411" s="28" t="n">
        <v>1.05</v>
      </c>
      <c r="AV411" s="28" t="n">
        <f aca="false">IF(N(AT411)&gt;0,AT411,L411)</f>
        <v>20</v>
      </c>
      <c r="AW411" s="28" t="n">
        <f aca="false">IF(AND(N(M411)&gt;0,N(AV411)&gt;0),M411*AV411,IF(N(AU411)&gt;0,AU411,N411))</f>
        <v>1.05</v>
      </c>
      <c r="AX411" s="29" t="n">
        <f aca="false">IF(N(AN411)=0,"",AN411+IF(I411="yes",AN411*Inputs!$B$10*Inputs!$B$9,0)+IFERROR(INDEX(Inputs!$B$13:$B$15,MATCH(G411,Inputs!$A$13:$A$15,0)),0)+IFERROR(INDEX(Inputs!$B$18:$B$24,MATCH(H411,Inputs!$A$18:$A$24,0)),0))</f>
        <v>0.08075</v>
      </c>
      <c r="AY411" s="28" t="n">
        <f aca="false">IF(OR(N(AX411)&lt;=0,N(AW411)=0,N(AV411)=0),"",MIN(AV411,AW411/AX411))</f>
        <v>13.0030959752322</v>
      </c>
      <c r="AZ411" s="29" t="str">
        <f aca="false">IF(OR(AY411="",N(O411)=0),"",AY411/O411-1)</f>
        <v/>
      </c>
      <c r="BA411" s="29" t="str">
        <f aca="false">IF(OR(AZ411="",N(O411)=0),"",AZ411+AW411/O411)</f>
        <v/>
      </c>
      <c r="BB411" s="32" t="str">
        <f aca="false">IF(OR(BA411="",N(AR411)=0),"",BA411-AR411)</f>
        <v/>
      </c>
      <c r="BC411" s="35" t="str">
        <f aca="false">IF(OR(BA411="",N(U411)=0),"",BA411-U411)</f>
        <v/>
      </c>
      <c r="BD411" s="36" t="s">
        <v>284</v>
      </c>
    </row>
    <row r="412" customFormat="false" ht="15" hidden="false" customHeight="false" outlineLevel="0" collapsed="false">
      <c r="A412" s="2" t="s">
        <v>768</v>
      </c>
      <c r="B412" s="2" t="n">
        <v>143</v>
      </c>
      <c r="C412" s="2" t="s">
        <v>876</v>
      </c>
      <c r="D412" s="2" t="s">
        <v>869</v>
      </c>
      <c r="E412" s="2" t="s">
        <v>870</v>
      </c>
      <c r="F412" s="27" t="n">
        <v>2000</v>
      </c>
      <c r="G412" s="2" t="s">
        <v>51</v>
      </c>
      <c r="H412" s="2" t="s">
        <v>58</v>
      </c>
      <c r="I412" s="2" t="s">
        <v>151</v>
      </c>
      <c r="J412" s="2" t="s">
        <v>145</v>
      </c>
      <c r="K412" s="2" t="n">
        <v>4</v>
      </c>
      <c r="L412" s="28" t="n">
        <v>20</v>
      </c>
      <c r="M412" s="29" t="n">
        <v>0.05</v>
      </c>
      <c r="N412" s="28" t="n">
        <v>1</v>
      </c>
      <c r="O412" s="28" t="n">
        <v>0</v>
      </c>
      <c r="P412" s="2" t="s">
        <v>146</v>
      </c>
      <c r="Q412" s="29" t="n">
        <v>0.09</v>
      </c>
      <c r="R412" s="30" t="n">
        <v>0.0855</v>
      </c>
      <c r="S412" s="31" t="n">
        <v>11.6959064327485</v>
      </c>
      <c r="T412" s="30"/>
      <c r="U412" s="30"/>
      <c r="V412" s="29" t="n">
        <v>0</v>
      </c>
      <c r="W412" s="29" t="n">
        <f aca="false">IF(N(Q412)=0,"",Q412+IF(I412="yes",Q412*Inputs!$B$10*Inputs!$B$9,0)+V412)</f>
        <v>0.0855</v>
      </c>
      <c r="X412" s="28" t="n">
        <f aca="false">IF(OR(N(W412)&lt;=0,N(N412)=0,N(L412)=0),"",MIN(L412,N412/W412))</f>
        <v>11.6959064327485</v>
      </c>
      <c r="Y412" s="29" t="str">
        <f aca="false">IF(OR(X412="",N(O412)=0),"",X412/O412-1)</f>
        <v/>
      </c>
      <c r="Z412" s="29" t="str">
        <f aca="false">IF(OR(Y412="",N(O412)=0),"",Y412+N412/O412)</f>
        <v/>
      </c>
      <c r="AA412" s="32" t="str">
        <f aca="false">IF(OR(Z412="",N(U412)=0),"",Z412-U412)</f>
        <v/>
      </c>
      <c r="AB412" s="29" t="n">
        <f aca="false">IF(N(Q412)=0,"",Q412+IF(I412="yes",Q412*Inputs!$B$10*Inputs!$B$9,0)+IFERROR(INDEX(Inputs!$B$13:$B$15,MATCH(G412,Inputs!$A$13:$A$15,0)),0)+IFERROR(INDEX(Inputs!$B$18:$B$24,MATCH(H412,Inputs!$A$18:$A$24,0)),0))</f>
        <v>0.0855</v>
      </c>
      <c r="AC412" s="28" t="n">
        <f aca="false">IF(OR(N(AB412)&lt;=0,N(N412)=0,N(L412)=0),"",MIN(L412,N412/AB412))</f>
        <v>11.6959064327485</v>
      </c>
      <c r="AD412" s="29" t="str">
        <f aca="false">IF(OR(AC412="",N(O412)=0),"",AC412/O412-1)</f>
        <v/>
      </c>
      <c r="AE412" s="29" t="str">
        <f aca="false">IF(OR(AD412="",N(O412)=0),"",AD412+N412/O412)</f>
        <v/>
      </c>
      <c r="AF412" s="32" t="str">
        <f aca="false">IF(OR(AE412="",N(Z412)=0),"",AE412-Z412)</f>
        <v/>
      </c>
      <c r="AG412" s="28" t="n">
        <f aca="false">IF(AND(N(M412)&gt;0,N(L412)&gt;0),M412*L412,N412)</f>
        <v>1</v>
      </c>
      <c r="AH412" s="28" t="n">
        <f aca="false">IF(OR(N(AB412)&lt;=0,N(AG412)=0,N(L412)=0),"",MIN(L412,AG412/AB412))</f>
        <v>11.6959064327485</v>
      </c>
      <c r="AI412" s="29" t="str">
        <f aca="false">IF(OR(AH412="",N(O412)=0),"",AH412/O412-1)</f>
        <v/>
      </c>
      <c r="AJ412" s="29" t="str">
        <f aca="false">IF(OR(AI412="",N(O412)=0),"",AI412+AG412/O412)</f>
        <v/>
      </c>
      <c r="AK412" s="32" t="str">
        <f aca="false">IF(OR(AJ412="",N(AE412)=0),"",AJ412-AE412)</f>
        <v/>
      </c>
      <c r="AL412" s="33" t="n">
        <f aca="false">IF(N(F412)=0,"",INDEX(Inputs!$B$28:$B$32,IFERROR(MATCH(F412,Inputs!$A$28:$A$32,1),0)+1))</f>
        <v>0.085</v>
      </c>
      <c r="AM412" s="34"/>
      <c r="AN412" s="33" t="n">
        <f aca="false">IF(N(AM412)&gt;0,AM412,AL412)</f>
        <v>0.085</v>
      </c>
      <c r="AO412" s="29" t="n">
        <f aca="false">IF(N(AN412)=0,"",AN412+IF(I412="yes",AN412*Inputs!$B$10*Inputs!$B$9,0)+IFERROR(INDEX(Inputs!$B$13:$B$15,MATCH(G412,Inputs!$A$13:$A$15,0)),0)+IFERROR(INDEX(Inputs!$B$18:$B$24,MATCH(H412,Inputs!$A$18:$A$24,0)),0))</f>
        <v>0.08075</v>
      </c>
      <c r="AP412" s="28" t="n">
        <f aca="false">IF(OR(N(AO412)&lt;=0,N(AG412)=0,N(L412)=0),"",MIN(L412,AG412/AO412))</f>
        <v>12.3839009287926</v>
      </c>
      <c r="AQ412" s="29" t="str">
        <f aca="false">IF(OR(AP412="",N(O412)=0),"",AP412/O412-1)</f>
        <v/>
      </c>
      <c r="AR412" s="29" t="str">
        <f aca="false">IF(OR(AQ412="",N(O412)=0),"",AQ412+AG412/O412)</f>
        <v/>
      </c>
      <c r="AS412" s="32" t="str">
        <f aca="false">IF(OR(AR412="",N(AJ412)=0),"",AR412-AJ412)</f>
        <v/>
      </c>
      <c r="AT412" s="28" t="n">
        <v>20</v>
      </c>
      <c r="AU412" s="28" t="n">
        <v>1</v>
      </c>
      <c r="AV412" s="28" t="n">
        <f aca="false">IF(N(AT412)&gt;0,AT412,L412)</f>
        <v>20</v>
      </c>
      <c r="AW412" s="28" t="n">
        <f aca="false">IF(AND(N(M412)&gt;0,N(AV412)&gt;0),M412*AV412,IF(N(AU412)&gt;0,AU412,N412))</f>
        <v>1</v>
      </c>
      <c r="AX412" s="29" t="n">
        <f aca="false">IF(N(AN412)=0,"",AN412+IF(I412="yes",AN412*Inputs!$B$10*Inputs!$B$9,0)+IFERROR(INDEX(Inputs!$B$13:$B$15,MATCH(G412,Inputs!$A$13:$A$15,0)),0)+IFERROR(INDEX(Inputs!$B$18:$B$24,MATCH(H412,Inputs!$A$18:$A$24,0)),0))</f>
        <v>0.08075</v>
      </c>
      <c r="AY412" s="28" t="n">
        <f aca="false">IF(OR(N(AX412)&lt;=0,N(AW412)=0,N(AV412)=0),"",MIN(AV412,AW412/AX412))</f>
        <v>12.3839009287926</v>
      </c>
      <c r="AZ412" s="29" t="str">
        <f aca="false">IF(OR(AY412="",N(O412)=0),"",AY412/O412-1)</f>
        <v/>
      </c>
      <c r="BA412" s="29" t="str">
        <f aca="false">IF(OR(AZ412="",N(O412)=0),"",AZ412+AW412/O412)</f>
        <v/>
      </c>
      <c r="BB412" s="32" t="str">
        <f aca="false">IF(OR(BA412="",N(AR412)=0),"",BA412-AR412)</f>
        <v/>
      </c>
      <c r="BC412" s="35" t="str">
        <f aca="false">IF(OR(BA412="",N(U412)=0),"",BA412-U412)</f>
        <v/>
      </c>
      <c r="BD412" s="36" t="s">
        <v>299</v>
      </c>
    </row>
    <row r="413" customFormat="false" ht="15" hidden="false" customHeight="false" outlineLevel="0" collapsed="false">
      <c r="A413" s="2" t="s">
        <v>768</v>
      </c>
      <c r="B413" s="2" t="n">
        <v>146</v>
      </c>
      <c r="C413" s="2" t="s">
        <v>877</v>
      </c>
      <c r="D413" s="2" t="s">
        <v>878</v>
      </c>
      <c r="E413" s="2" t="s">
        <v>879</v>
      </c>
      <c r="F413" s="27" t="n">
        <v>396</v>
      </c>
      <c r="G413" s="2" t="s">
        <v>51</v>
      </c>
      <c r="H413" s="2" t="s">
        <v>58</v>
      </c>
      <c r="I413" s="2" t="s">
        <v>151</v>
      </c>
      <c r="J413" s="2" t="s">
        <v>145</v>
      </c>
      <c r="K413" s="2" t="n">
        <v>4</v>
      </c>
      <c r="L413" s="28" t="n">
        <v>25</v>
      </c>
      <c r="M413" s="29" t="n">
        <v>0.05375</v>
      </c>
      <c r="N413" s="28" t="n">
        <v>1.34375</v>
      </c>
      <c r="O413" s="28" t="n">
        <v>16.4</v>
      </c>
      <c r="P413" s="2" t="s">
        <v>146</v>
      </c>
      <c r="Q413" s="29" t="n">
        <v>0.1</v>
      </c>
      <c r="R413" s="30" t="n">
        <v>0.095</v>
      </c>
      <c r="S413" s="31" t="n">
        <v>14.1447368421053</v>
      </c>
      <c r="T413" s="30" t="n">
        <v>-0.137516046213094</v>
      </c>
      <c r="U413" s="30" t="n">
        <v>-0.0555800706033374</v>
      </c>
      <c r="V413" s="29" t="n">
        <v>0</v>
      </c>
      <c r="W413" s="29" t="n">
        <f aca="false">IF(N(Q413)=0,"",Q413+IF(I413="yes",Q413*Inputs!$B$10*Inputs!$B$9,0)+V413)</f>
        <v>0.095</v>
      </c>
      <c r="X413" s="28" t="n">
        <f aca="false">IF(OR(N(W413)&lt;=0,N(N413)=0,N(L413)=0),"",MIN(L413,N413/W413))</f>
        <v>14.1447368421053</v>
      </c>
      <c r="Y413" s="29" t="n">
        <f aca="false">IF(OR(X413="",N(O413)=0),"",X413/O413-1)</f>
        <v>-0.137516046213094</v>
      </c>
      <c r="Z413" s="29" t="n">
        <f aca="false">IF(OR(Y413="",N(O413)=0),"",Y413+N413/O413)</f>
        <v>-0.0555800706033374</v>
      </c>
      <c r="AA413" s="32" t="n">
        <f aca="false">IF(OR(Z413="",N(U413)=0),"",Z413-U413)</f>
        <v>0</v>
      </c>
      <c r="AB413" s="29" t="n">
        <f aca="false">IF(N(Q413)=0,"",Q413+IF(I413="yes",Q413*Inputs!$B$10*Inputs!$B$9,0)+IFERROR(INDEX(Inputs!$B$13:$B$15,MATCH(G413,Inputs!$A$13:$A$15,0)),0)+IFERROR(INDEX(Inputs!$B$18:$B$24,MATCH(H413,Inputs!$A$18:$A$24,0)),0))</f>
        <v>0.095</v>
      </c>
      <c r="AC413" s="28" t="n">
        <f aca="false">IF(OR(N(AB413)&lt;=0,N(N413)=0,N(L413)=0),"",MIN(L413,N413/AB413))</f>
        <v>14.1447368421053</v>
      </c>
      <c r="AD413" s="29" t="n">
        <f aca="false">IF(OR(AC413="",N(O413)=0),"",AC413/O413-1)</f>
        <v>-0.137516046213094</v>
      </c>
      <c r="AE413" s="29" t="n">
        <f aca="false">IF(OR(AD413="",N(O413)=0),"",AD413+N413/O413)</f>
        <v>-0.0555800706033374</v>
      </c>
      <c r="AF413" s="32" t="n">
        <f aca="false">IF(OR(AE413="",N(Z413)=0),"",AE413-Z413)</f>
        <v>0</v>
      </c>
      <c r="AG413" s="28" t="n">
        <f aca="false">IF(AND(N(M413)&gt;0,N(L413)&gt;0),M413*L413,N413)</f>
        <v>1.34375</v>
      </c>
      <c r="AH413" s="28" t="n">
        <f aca="false">IF(OR(N(AB413)&lt;=0,N(AG413)=0,N(L413)=0),"",MIN(L413,AG413/AB413))</f>
        <v>14.1447368421053</v>
      </c>
      <c r="AI413" s="29" t="n">
        <f aca="false">IF(OR(AH413="",N(O413)=0),"",AH413/O413-1)</f>
        <v>-0.137516046213094</v>
      </c>
      <c r="AJ413" s="29" t="n">
        <f aca="false">IF(OR(AI413="",N(O413)=0),"",AI413+AG413/O413)</f>
        <v>-0.0555800706033374</v>
      </c>
      <c r="AK413" s="32" t="n">
        <f aca="false">IF(OR(AJ413="",N(AE413)=0),"",AJ413-AE413)</f>
        <v>0</v>
      </c>
      <c r="AL413" s="33" t="n">
        <f aca="false">IF(N(F413)=0,"",INDEX(Inputs!$B$28:$B$32,IFERROR(MATCH(F413,Inputs!$A$28:$A$32,1),0)+1))</f>
        <v>0.09</v>
      </c>
      <c r="AM413" s="34"/>
      <c r="AN413" s="33" t="n">
        <f aca="false">IF(N(AM413)&gt;0,AM413,AL413)</f>
        <v>0.09</v>
      </c>
      <c r="AO413" s="29" t="n">
        <f aca="false">IF(N(AN413)=0,"",AN413+IF(I413="yes",AN413*Inputs!$B$10*Inputs!$B$9,0)+IFERROR(INDEX(Inputs!$B$13:$B$15,MATCH(G413,Inputs!$A$13:$A$15,0)),0)+IFERROR(INDEX(Inputs!$B$18:$B$24,MATCH(H413,Inputs!$A$18:$A$24,0)),0))</f>
        <v>0.0855</v>
      </c>
      <c r="AP413" s="28" t="n">
        <f aca="false">IF(OR(N(AO413)&lt;=0,N(AG413)=0,N(L413)=0),"",MIN(L413,AG413/AO413))</f>
        <v>15.7163742690058</v>
      </c>
      <c r="AQ413" s="29" t="n">
        <f aca="false">IF(OR(AP413="",N(O413)=0),"",AP413/O413-1)</f>
        <v>-0.0416844957923263</v>
      </c>
      <c r="AR413" s="29" t="n">
        <f aca="false">IF(OR(AQ413="",N(O413)=0),"",AQ413+AG413/O413)</f>
        <v>0.0402514798174299</v>
      </c>
      <c r="AS413" s="32" t="n">
        <f aca="false">IF(OR(AR413="",N(AJ413)=0),"",AR413-AJ413)</f>
        <v>0.0958315504207673</v>
      </c>
      <c r="AT413" s="28" t="n">
        <v>25</v>
      </c>
      <c r="AU413" s="28" t="n">
        <v>1.34375</v>
      </c>
      <c r="AV413" s="28" t="n">
        <f aca="false">IF(N(AT413)&gt;0,AT413,L413)</f>
        <v>25</v>
      </c>
      <c r="AW413" s="28" t="n">
        <f aca="false">IF(AND(N(M413)&gt;0,N(AV413)&gt;0),M413*AV413,IF(N(AU413)&gt;0,AU413,N413))</f>
        <v>1.34375</v>
      </c>
      <c r="AX413" s="29" t="n">
        <f aca="false">IF(N(AN413)=0,"",AN413+IF(I413="yes",AN413*Inputs!$B$10*Inputs!$B$9,0)+IFERROR(INDEX(Inputs!$B$13:$B$15,MATCH(G413,Inputs!$A$13:$A$15,0)),0)+IFERROR(INDEX(Inputs!$B$18:$B$24,MATCH(H413,Inputs!$A$18:$A$24,0)),0))</f>
        <v>0.0855</v>
      </c>
      <c r="AY413" s="28" t="n">
        <f aca="false">IF(OR(N(AX413)&lt;=0,N(AW413)=0,N(AV413)=0),"",MIN(AV413,AW413/AX413))</f>
        <v>15.7163742690058</v>
      </c>
      <c r="AZ413" s="29" t="n">
        <f aca="false">IF(OR(AY413="",N(O413)=0),"",AY413/O413-1)</f>
        <v>-0.0416844957923263</v>
      </c>
      <c r="BA413" s="29" t="n">
        <f aca="false">IF(OR(AZ413="",N(O413)=0),"",AZ413+AW413/O413)</f>
        <v>0.0402514798174299</v>
      </c>
      <c r="BB413" s="32" t="n">
        <f aca="false">IF(OR(BA413="",N(AR413)=0),"",BA413-AR413)</f>
        <v>0</v>
      </c>
      <c r="BC413" s="35" t="n">
        <f aca="false">IF(OR(BA413="",N(U413)=0),"",BA413-U413)</f>
        <v>0.0958315504207673</v>
      </c>
      <c r="BD413" s="37"/>
    </row>
    <row r="414" customFormat="false" ht="15" hidden="false" customHeight="false" outlineLevel="0" collapsed="false">
      <c r="A414" s="2" t="s">
        <v>768</v>
      </c>
      <c r="B414" s="2" t="n">
        <v>150</v>
      </c>
      <c r="C414" s="2" t="s">
        <v>880</v>
      </c>
      <c r="D414" s="2" t="s">
        <v>881</v>
      </c>
      <c r="E414" s="2" t="s">
        <v>882</v>
      </c>
      <c r="F414" s="27" t="n">
        <v>37100</v>
      </c>
      <c r="G414" s="2" t="s">
        <v>51</v>
      </c>
      <c r="H414" s="2" t="s">
        <v>58</v>
      </c>
      <c r="I414" s="2" t="s">
        <v>151</v>
      </c>
      <c r="J414" s="2" t="s">
        <v>145</v>
      </c>
      <c r="K414" s="2" t="n">
        <v>4</v>
      </c>
      <c r="L414" s="28" t="n">
        <v>25</v>
      </c>
      <c r="M414" s="29" t="n">
        <v>0.06</v>
      </c>
      <c r="N414" s="28" t="n">
        <v>1.5</v>
      </c>
      <c r="O414" s="28" t="n">
        <v>24.37</v>
      </c>
      <c r="P414" s="2" t="s">
        <v>362</v>
      </c>
      <c r="Q414" s="29" t="n">
        <v>0.08</v>
      </c>
      <c r="R414" s="30"/>
      <c r="S414" s="31"/>
      <c r="T414" s="30"/>
      <c r="U414" s="30"/>
      <c r="V414" s="29" t="n">
        <v>0</v>
      </c>
      <c r="W414" s="29" t="n">
        <f aca="false">IF(N(Q414)=0,"",Q414+IF(I414="yes",Q414*Inputs!$B$10*Inputs!$B$9,0)+V414)</f>
        <v>0.076</v>
      </c>
      <c r="X414" s="28" t="n">
        <f aca="false">IF(OR(N(W414)&lt;=0,N(N414)=0,N(L414)=0),"",MIN(L414,N414/W414))</f>
        <v>19.7368421052632</v>
      </c>
      <c r="Y414" s="29" t="n">
        <f aca="false">IF(OR(X414="",N(O414)=0),"",X414/O414-1)</f>
        <v>-0.190117271019156</v>
      </c>
      <c r="Z414" s="29" t="n">
        <f aca="false">IF(OR(Y414="",N(O414)=0),"",Y414+N414/O414)</f>
        <v>-0.128566183616612</v>
      </c>
      <c r="AA414" s="32" t="str">
        <f aca="false">IF(OR(Z414="",N(U414)=0),"",Z414-U414)</f>
        <v/>
      </c>
      <c r="AB414" s="29" t="n">
        <f aca="false">IF(N(Q414)=0,"",Q414+IF(I414="yes",Q414*Inputs!$B$10*Inputs!$B$9,0)+IFERROR(INDEX(Inputs!$B$13:$B$15,MATCH(G414,Inputs!$A$13:$A$15,0)),0)+IFERROR(INDEX(Inputs!$B$18:$B$24,MATCH(H414,Inputs!$A$18:$A$24,0)),0))</f>
        <v>0.076</v>
      </c>
      <c r="AC414" s="28" t="n">
        <f aca="false">IF(OR(N(AB414)&lt;=0,N(N414)=0,N(L414)=0),"",MIN(L414,N414/AB414))</f>
        <v>19.7368421052632</v>
      </c>
      <c r="AD414" s="29" t="n">
        <f aca="false">IF(OR(AC414="",N(O414)=0),"",AC414/O414-1)</f>
        <v>-0.190117271019156</v>
      </c>
      <c r="AE414" s="29" t="n">
        <f aca="false">IF(OR(AD414="",N(O414)=0),"",AD414+N414/O414)</f>
        <v>-0.128566183616612</v>
      </c>
      <c r="AF414" s="32" t="n">
        <f aca="false">IF(OR(AE414="",N(Z414)=0),"",AE414-Z414)</f>
        <v>0</v>
      </c>
      <c r="AG414" s="28" t="n">
        <f aca="false">IF(AND(N(M414)&gt;0,N(L414)&gt;0),M414*L414,N414)</f>
        <v>1.5</v>
      </c>
      <c r="AH414" s="28" t="n">
        <f aca="false">IF(OR(N(AB414)&lt;=0,N(AG414)=0,N(L414)=0),"",MIN(L414,AG414/AB414))</f>
        <v>19.7368421052632</v>
      </c>
      <c r="AI414" s="29" t="n">
        <f aca="false">IF(OR(AH414="",N(O414)=0),"",AH414/O414-1)</f>
        <v>-0.190117271019156</v>
      </c>
      <c r="AJ414" s="29" t="n">
        <f aca="false">IF(OR(AI414="",N(O414)=0),"",AI414+AG414/O414)</f>
        <v>-0.128566183616612</v>
      </c>
      <c r="AK414" s="32" t="n">
        <f aca="false">IF(OR(AJ414="",N(AE414)=0),"",AJ414-AE414)</f>
        <v>0</v>
      </c>
      <c r="AL414" s="33" t="n">
        <f aca="false">IF(N(F414)=0,"",INDEX(Inputs!$B$28:$B$32,IFERROR(MATCH(F414,Inputs!$A$28:$A$32,1),0)+1))</f>
        <v>0.075</v>
      </c>
      <c r="AM414" s="34"/>
      <c r="AN414" s="33" t="n">
        <f aca="false">IF(N(AM414)&gt;0,AM414,AL414)</f>
        <v>0.075</v>
      </c>
      <c r="AO414" s="29" t="n">
        <f aca="false">IF(N(AN414)=0,"",AN414+IF(I414="yes",AN414*Inputs!$B$10*Inputs!$B$9,0)+IFERROR(INDEX(Inputs!$B$13:$B$15,MATCH(G414,Inputs!$A$13:$A$15,0)),0)+IFERROR(INDEX(Inputs!$B$18:$B$24,MATCH(H414,Inputs!$A$18:$A$24,0)),0))</f>
        <v>0.07125</v>
      </c>
      <c r="AP414" s="28" t="n">
        <f aca="false">IF(OR(N(AO414)&lt;=0,N(AG414)=0,N(L414)=0),"",MIN(L414,AG414/AO414))</f>
        <v>21.0526315789474</v>
      </c>
      <c r="AQ414" s="29" t="n">
        <f aca="false">IF(OR(AP414="",N(O414)=0),"",AP414/O414-1)</f>
        <v>-0.1361250890871</v>
      </c>
      <c r="AR414" s="29" t="n">
        <f aca="false">IF(OR(AQ414="",N(O414)=0),"",AQ414+AG414/O414)</f>
        <v>-0.0745740016845561</v>
      </c>
      <c r="AS414" s="32" t="n">
        <f aca="false">IF(OR(AR414="",N(AJ414)=0),"",AR414-AJ414)</f>
        <v>0.0539921819320562</v>
      </c>
      <c r="AT414" s="28" t="n">
        <v>25</v>
      </c>
      <c r="AU414" s="28" t="n">
        <v>1.5</v>
      </c>
      <c r="AV414" s="28" t="n">
        <f aca="false">IF(N(AT414)&gt;0,AT414,L414)</f>
        <v>25</v>
      </c>
      <c r="AW414" s="28" t="n">
        <f aca="false">IF(AND(N(M414)&gt;0,N(AV414)&gt;0),M414*AV414,IF(N(AU414)&gt;0,AU414,N414))</f>
        <v>1.5</v>
      </c>
      <c r="AX414" s="29" t="n">
        <f aca="false">IF(N(AN414)=0,"",AN414+IF(I414="yes",AN414*Inputs!$B$10*Inputs!$B$9,0)+IFERROR(INDEX(Inputs!$B$13:$B$15,MATCH(G414,Inputs!$A$13:$A$15,0)),0)+IFERROR(INDEX(Inputs!$B$18:$B$24,MATCH(H414,Inputs!$A$18:$A$24,0)),0))</f>
        <v>0.07125</v>
      </c>
      <c r="AY414" s="28" t="n">
        <f aca="false">IF(OR(N(AX414)&lt;=0,N(AW414)=0,N(AV414)=0),"",MIN(AV414,AW414/AX414))</f>
        <v>21.0526315789474</v>
      </c>
      <c r="AZ414" s="29" t="n">
        <f aca="false">IF(OR(AY414="",N(O414)=0),"",AY414/O414-1)</f>
        <v>-0.1361250890871</v>
      </c>
      <c r="BA414" s="29" t="n">
        <f aca="false">IF(OR(AZ414="",N(O414)=0),"",AZ414+AW414/O414)</f>
        <v>-0.0745740016845561</v>
      </c>
      <c r="BB414" s="32" t="n">
        <f aca="false">IF(OR(BA414="",N(AR414)=0),"",BA414-AR414)</f>
        <v>0</v>
      </c>
      <c r="BC414" s="35" t="str">
        <f aca="false">IF(OR(BA414="",N(U414)=0),"",BA414-U414)</f>
        <v/>
      </c>
      <c r="BD414" s="36" t="s">
        <v>577</v>
      </c>
    </row>
    <row r="415" customFormat="false" ht="15" hidden="false" customHeight="false" outlineLevel="0" collapsed="false">
      <c r="A415" s="2" t="s">
        <v>768</v>
      </c>
      <c r="B415" s="2" t="n">
        <v>154</v>
      </c>
      <c r="C415" s="2" t="s">
        <v>883</v>
      </c>
      <c r="D415" s="2" t="s">
        <v>884</v>
      </c>
      <c r="E415" s="2" t="s">
        <v>885</v>
      </c>
      <c r="F415" s="27" t="n">
        <v>14000</v>
      </c>
      <c r="G415" s="2" t="s">
        <v>51</v>
      </c>
      <c r="H415" s="2" t="s">
        <v>58</v>
      </c>
      <c r="I415" s="2" t="s">
        <v>151</v>
      </c>
      <c r="J415" s="2" t="s">
        <v>145</v>
      </c>
      <c r="K415" s="2" t="n">
        <v>4</v>
      </c>
      <c r="L415" s="28" t="n">
        <v>50</v>
      </c>
      <c r="M415" s="29" t="n">
        <v>0.07</v>
      </c>
      <c r="N415" s="28" t="n">
        <v>3.5</v>
      </c>
      <c r="O415" s="28" t="n">
        <v>77.01</v>
      </c>
      <c r="P415" s="2" t="s">
        <v>146</v>
      </c>
      <c r="Q415" s="29" t="n">
        <v>0.08</v>
      </c>
      <c r="R415" s="30" t="n">
        <v>0.076</v>
      </c>
      <c r="S415" s="31" t="n">
        <v>46.0526315789474</v>
      </c>
      <c r="T415" s="30" t="n">
        <v>-0.401991539034575</v>
      </c>
      <c r="U415" s="30" t="n">
        <v>-0.356542896001203</v>
      </c>
      <c r="V415" s="29" t="n">
        <v>0</v>
      </c>
      <c r="W415" s="29" t="n">
        <f aca="false">IF(N(Q415)=0,"",Q415+IF(I415="yes",Q415*Inputs!$B$10*Inputs!$B$9,0)+V415)</f>
        <v>0.076</v>
      </c>
      <c r="X415" s="28" t="n">
        <f aca="false">IF(OR(N(W415)&lt;=0,N(N415)=0,N(L415)=0),"",MIN(L415,N415/W415))</f>
        <v>46.0526315789474</v>
      </c>
      <c r="Y415" s="29" t="n">
        <f aca="false">IF(OR(X415="",N(O415)=0),"",X415/O415-1)</f>
        <v>-0.401991539034575</v>
      </c>
      <c r="Z415" s="29" t="n">
        <f aca="false">IF(OR(Y415="",N(O415)=0),"",Y415+N415/O415)</f>
        <v>-0.356542896001203</v>
      </c>
      <c r="AA415" s="32" t="n">
        <f aca="false">IF(OR(Z415="",N(U415)=0),"",Z415-U415)</f>
        <v>0</v>
      </c>
      <c r="AB415" s="29" t="n">
        <f aca="false">IF(N(Q415)=0,"",Q415+IF(I415="yes",Q415*Inputs!$B$10*Inputs!$B$9,0)+IFERROR(INDEX(Inputs!$B$13:$B$15,MATCH(G415,Inputs!$A$13:$A$15,0)),0)+IFERROR(INDEX(Inputs!$B$18:$B$24,MATCH(H415,Inputs!$A$18:$A$24,0)),0))</f>
        <v>0.076</v>
      </c>
      <c r="AC415" s="28" t="n">
        <f aca="false">IF(OR(N(AB415)&lt;=0,N(N415)=0,N(L415)=0),"",MIN(L415,N415/AB415))</f>
        <v>46.0526315789474</v>
      </c>
      <c r="AD415" s="29" t="n">
        <f aca="false">IF(OR(AC415="",N(O415)=0),"",AC415/O415-1)</f>
        <v>-0.401991539034575</v>
      </c>
      <c r="AE415" s="29" t="n">
        <f aca="false">IF(OR(AD415="",N(O415)=0),"",AD415+N415/O415)</f>
        <v>-0.356542896001203</v>
      </c>
      <c r="AF415" s="32" t="n">
        <f aca="false">IF(OR(AE415="",N(Z415)=0),"",AE415-Z415)</f>
        <v>0</v>
      </c>
      <c r="AG415" s="28" t="n">
        <f aca="false">IF(AND(N(M415)&gt;0,N(L415)&gt;0),M415*L415,N415)</f>
        <v>3.5</v>
      </c>
      <c r="AH415" s="28" t="n">
        <f aca="false">IF(OR(N(AB415)&lt;=0,N(AG415)=0,N(L415)=0),"",MIN(L415,AG415/AB415))</f>
        <v>46.0526315789474</v>
      </c>
      <c r="AI415" s="29" t="n">
        <f aca="false">IF(OR(AH415="",N(O415)=0),"",AH415/O415-1)</f>
        <v>-0.401991539034575</v>
      </c>
      <c r="AJ415" s="29" t="n">
        <f aca="false">IF(OR(AI415="",N(O415)=0),"",AI415+AG415/O415)</f>
        <v>-0.356542896001203</v>
      </c>
      <c r="AK415" s="32" t="n">
        <f aca="false">IF(OR(AJ415="",N(AE415)=0),"",AJ415-AE415)</f>
        <v>0</v>
      </c>
      <c r="AL415" s="33" t="n">
        <f aca="false">IF(N(F415)=0,"",INDEX(Inputs!$B$28:$B$32,IFERROR(MATCH(F415,Inputs!$A$28:$A$32,1),0)+1))</f>
        <v>0.08</v>
      </c>
      <c r="AM415" s="34"/>
      <c r="AN415" s="33" t="n">
        <f aca="false">IF(N(AM415)&gt;0,AM415,AL415)</f>
        <v>0.08</v>
      </c>
      <c r="AO415" s="29" t="n">
        <f aca="false">IF(N(AN415)=0,"",AN415+IF(I415="yes",AN415*Inputs!$B$10*Inputs!$B$9,0)+IFERROR(INDEX(Inputs!$B$13:$B$15,MATCH(G415,Inputs!$A$13:$A$15,0)),0)+IFERROR(INDEX(Inputs!$B$18:$B$24,MATCH(H415,Inputs!$A$18:$A$24,0)),0))</f>
        <v>0.076</v>
      </c>
      <c r="AP415" s="28" t="n">
        <f aca="false">IF(OR(N(AO415)&lt;=0,N(AG415)=0,N(L415)=0),"",MIN(L415,AG415/AO415))</f>
        <v>46.0526315789474</v>
      </c>
      <c r="AQ415" s="29" t="n">
        <f aca="false">IF(OR(AP415="",N(O415)=0),"",AP415/O415-1)</f>
        <v>-0.401991539034575</v>
      </c>
      <c r="AR415" s="29" t="n">
        <f aca="false">IF(OR(AQ415="",N(O415)=0),"",AQ415+AG415/O415)</f>
        <v>-0.356542896001203</v>
      </c>
      <c r="AS415" s="32" t="n">
        <f aca="false">IF(OR(AR415="",N(AJ415)=0),"",AR415-AJ415)</f>
        <v>0</v>
      </c>
      <c r="AT415" s="28" t="n">
        <v>50</v>
      </c>
      <c r="AU415" s="28" t="n">
        <v>3.5</v>
      </c>
      <c r="AV415" s="28" t="n">
        <f aca="false">IF(N(AT415)&gt;0,AT415,L415)</f>
        <v>50</v>
      </c>
      <c r="AW415" s="28" t="n">
        <f aca="false">IF(AND(N(M415)&gt;0,N(AV415)&gt;0),M415*AV415,IF(N(AU415)&gt;0,AU415,N415))</f>
        <v>3.5</v>
      </c>
      <c r="AX415" s="29" t="n">
        <f aca="false">IF(N(AN415)=0,"",AN415+IF(I415="yes",AN415*Inputs!$B$10*Inputs!$B$9,0)+IFERROR(INDEX(Inputs!$B$13:$B$15,MATCH(G415,Inputs!$A$13:$A$15,0)),0)+IFERROR(INDEX(Inputs!$B$18:$B$24,MATCH(H415,Inputs!$A$18:$A$24,0)),0))</f>
        <v>0.076</v>
      </c>
      <c r="AY415" s="28" t="n">
        <f aca="false">IF(OR(N(AX415)&lt;=0,N(AW415)=0,N(AV415)=0),"",MIN(AV415,AW415/AX415))</f>
        <v>46.0526315789474</v>
      </c>
      <c r="AZ415" s="29" t="n">
        <f aca="false">IF(OR(AY415="",N(O415)=0),"",AY415/O415-1)</f>
        <v>-0.401991539034575</v>
      </c>
      <c r="BA415" s="29" t="n">
        <f aca="false">IF(OR(AZ415="",N(O415)=0),"",AZ415+AW415/O415)</f>
        <v>-0.356542896001203</v>
      </c>
      <c r="BB415" s="32" t="n">
        <f aca="false">IF(OR(BA415="",N(AR415)=0),"",BA415-AR415)</f>
        <v>0</v>
      </c>
      <c r="BC415" s="35" t="n">
        <f aca="false">IF(OR(BA415="",N(U415)=0),"",BA415-U415)</f>
        <v>0</v>
      </c>
      <c r="BD415" s="37"/>
    </row>
    <row r="416" customFormat="false" ht="15" hidden="false" customHeight="false" outlineLevel="0" collapsed="false">
      <c r="A416" s="2" t="s">
        <v>768</v>
      </c>
      <c r="B416" s="2" t="n">
        <v>158</v>
      </c>
      <c r="C416" s="2" t="s">
        <v>886</v>
      </c>
      <c r="D416" s="2" t="s">
        <v>884</v>
      </c>
      <c r="E416" s="2" t="s">
        <v>885</v>
      </c>
      <c r="F416" s="27" t="n">
        <v>14000</v>
      </c>
      <c r="G416" s="2" t="s">
        <v>51</v>
      </c>
      <c r="H416" s="2" t="s">
        <v>58</v>
      </c>
      <c r="I416" s="2" t="s">
        <v>144</v>
      </c>
      <c r="J416" s="2" t="s">
        <v>145</v>
      </c>
      <c r="K416" s="2" t="n">
        <v>4</v>
      </c>
      <c r="L416" s="28" t="n">
        <v>25</v>
      </c>
      <c r="M416" s="29" t="n">
        <v>0.07125</v>
      </c>
      <c r="N416" s="28" t="n">
        <v>1.78125</v>
      </c>
      <c r="O416" s="28" t="n">
        <v>0</v>
      </c>
      <c r="P416" s="2" t="s">
        <v>146</v>
      </c>
      <c r="Q416" s="29" t="n">
        <v>0.1</v>
      </c>
      <c r="R416" s="30" t="n">
        <v>0.1</v>
      </c>
      <c r="S416" s="31" t="n">
        <v>17.8125</v>
      </c>
      <c r="T416" s="30"/>
      <c r="U416" s="30"/>
      <c r="V416" s="29" t="n">
        <v>0</v>
      </c>
      <c r="W416" s="29" t="n">
        <f aca="false">IF(N(Q416)=0,"",Q416+IF(I416="yes",Q416*Inputs!$B$10*Inputs!$B$9,0)+V416)</f>
        <v>0.1</v>
      </c>
      <c r="X416" s="28" t="n">
        <f aca="false">IF(OR(N(W416)&lt;=0,N(N416)=0,N(L416)=0),"",MIN(L416,N416/W416))</f>
        <v>17.8125</v>
      </c>
      <c r="Y416" s="29" t="str">
        <f aca="false">IF(OR(X416="",N(O416)=0),"",X416/O416-1)</f>
        <v/>
      </c>
      <c r="Z416" s="29" t="str">
        <f aca="false">IF(OR(Y416="",N(O416)=0),"",Y416+N416/O416)</f>
        <v/>
      </c>
      <c r="AA416" s="32" t="str">
        <f aca="false">IF(OR(Z416="",N(U416)=0),"",Z416-U416)</f>
        <v/>
      </c>
      <c r="AB416" s="29" t="n">
        <f aca="false">IF(N(Q416)=0,"",Q416+IF(I416="yes",Q416*Inputs!$B$10*Inputs!$B$9,0)+IFERROR(INDEX(Inputs!$B$13:$B$15,MATCH(G416,Inputs!$A$13:$A$15,0)),0)+IFERROR(INDEX(Inputs!$B$18:$B$24,MATCH(H416,Inputs!$A$18:$A$24,0)),0))</f>
        <v>0.1</v>
      </c>
      <c r="AC416" s="28" t="n">
        <f aca="false">IF(OR(N(AB416)&lt;=0,N(N416)=0,N(L416)=0),"",MIN(L416,N416/AB416))</f>
        <v>17.8125</v>
      </c>
      <c r="AD416" s="29" t="str">
        <f aca="false">IF(OR(AC416="",N(O416)=0),"",AC416/O416-1)</f>
        <v/>
      </c>
      <c r="AE416" s="29" t="str">
        <f aca="false">IF(OR(AD416="",N(O416)=0),"",AD416+N416/O416)</f>
        <v/>
      </c>
      <c r="AF416" s="32" t="str">
        <f aca="false">IF(OR(AE416="",N(Z416)=0),"",AE416-Z416)</f>
        <v/>
      </c>
      <c r="AG416" s="28" t="n">
        <f aca="false">IF(AND(N(M416)&gt;0,N(L416)&gt;0),M416*L416,N416)</f>
        <v>1.78125</v>
      </c>
      <c r="AH416" s="28" t="n">
        <f aca="false">IF(OR(N(AB416)&lt;=0,N(AG416)=0,N(L416)=0),"",MIN(L416,AG416/AB416))</f>
        <v>17.8125</v>
      </c>
      <c r="AI416" s="29" t="str">
        <f aca="false">IF(OR(AH416="",N(O416)=0),"",AH416/O416-1)</f>
        <v/>
      </c>
      <c r="AJ416" s="29" t="str">
        <f aca="false">IF(OR(AI416="",N(O416)=0),"",AI416+AG416/O416)</f>
        <v/>
      </c>
      <c r="AK416" s="32" t="str">
        <f aca="false">IF(OR(AJ416="",N(AE416)=0),"",AJ416-AE416)</f>
        <v/>
      </c>
      <c r="AL416" s="33" t="n">
        <f aca="false">IF(N(F416)=0,"",INDEX(Inputs!$B$28:$B$32,IFERROR(MATCH(F416,Inputs!$A$28:$A$32,1),0)+1))</f>
        <v>0.08</v>
      </c>
      <c r="AM416" s="34"/>
      <c r="AN416" s="33" t="n">
        <f aca="false">IF(N(AM416)&gt;0,AM416,AL416)</f>
        <v>0.08</v>
      </c>
      <c r="AO416" s="29" t="n">
        <f aca="false">IF(N(AN416)=0,"",AN416+IF(I416="yes",AN416*Inputs!$B$10*Inputs!$B$9,0)+IFERROR(INDEX(Inputs!$B$13:$B$15,MATCH(G416,Inputs!$A$13:$A$15,0)),0)+IFERROR(INDEX(Inputs!$B$18:$B$24,MATCH(H416,Inputs!$A$18:$A$24,0)),0))</f>
        <v>0.08</v>
      </c>
      <c r="AP416" s="28" t="n">
        <f aca="false">IF(OR(N(AO416)&lt;=0,N(AG416)=0,N(L416)=0),"",MIN(L416,AG416/AO416))</f>
        <v>22.265625</v>
      </c>
      <c r="AQ416" s="29" t="str">
        <f aca="false">IF(OR(AP416="",N(O416)=0),"",AP416/O416-1)</f>
        <v/>
      </c>
      <c r="AR416" s="29" t="str">
        <f aca="false">IF(OR(AQ416="",N(O416)=0),"",AQ416+AG416/O416)</f>
        <v/>
      </c>
      <c r="AS416" s="32" t="str">
        <f aca="false">IF(OR(AR416="",N(AJ416)=0),"",AR416-AJ416)</f>
        <v/>
      </c>
      <c r="AT416" s="28"/>
      <c r="AU416" s="28"/>
      <c r="AV416" s="28" t="n">
        <f aca="false">IF(N(AT416)&gt;0,AT416,L416)</f>
        <v>25</v>
      </c>
      <c r="AW416" s="28" t="n">
        <f aca="false">IF(AND(N(M416)&gt;0,N(AV416)&gt;0),M416*AV416,IF(N(AU416)&gt;0,AU416,N416))</f>
        <v>1.78125</v>
      </c>
      <c r="AX416" s="29" t="n">
        <f aca="false">IF(N(AN416)=0,"",AN416+IF(I416="yes",AN416*Inputs!$B$10*Inputs!$B$9,0)+IFERROR(INDEX(Inputs!$B$13:$B$15,MATCH(G416,Inputs!$A$13:$A$15,0)),0)+IFERROR(INDEX(Inputs!$B$18:$B$24,MATCH(H416,Inputs!$A$18:$A$24,0)),0))</f>
        <v>0.08</v>
      </c>
      <c r="AY416" s="28" t="n">
        <f aca="false">IF(OR(N(AX416)&lt;=0,N(AW416)=0,N(AV416)=0),"",MIN(AV416,AW416/AX416))</f>
        <v>22.265625</v>
      </c>
      <c r="AZ416" s="29" t="str">
        <f aca="false">IF(OR(AY416="",N(O416)=0),"",AY416/O416-1)</f>
        <v/>
      </c>
      <c r="BA416" s="29" t="str">
        <f aca="false">IF(OR(AZ416="",N(O416)=0),"",AZ416+AW416/O416)</f>
        <v/>
      </c>
      <c r="BB416" s="32" t="str">
        <f aca="false">IF(OR(BA416="",N(AR416)=0),"",BA416-AR416)</f>
        <v/>
      </c>
      <c r="BC416" s="35" t="str">
        <f aca="false">IF(OR(BA416="",N(U416)=0),"",BA416-U416)</f>
        <v/>
      </c>
      <c r="BD416" s="36" t="s">
        <v>198</v>
      </c>
    </row>
    <row r="417" customFormat="false" ht="15" hidden="false" customHeight="false" outlineLevel="0" collapsed="false">
      <c r="A417" s="2" t="s">
        <v>768</v>
      </c>
      <c r="B417" s="2" t="n">
        <v>162</v>
      </c>
      <c r="C417" s="2" t="s">
        <v>887</v>
      </c>
      <c r="D417" s="2" t="s">
        <v>888</v>
      </c>
      <c r="E417" s="2" t="s">
        <v>889</v>
      </c>
      <c r="F417" s="27" t="n">
        <v>78</v>
      </c>
      <c r="G417" s="2" t="s">
        <v>52</v>
      </c>
      <c r="H417" s="2" t="s">
        <v>58</v>
      </c>
      <c r="I417" s="2" t="s">
        <v>144</v>
      </c>
      <c r="J417" s="2" t="s">
        <v>145</v>
      </c>
      <c r="K417" s="2" t="n">
        <v>4</v>
      </c>
      <c r="L417" s="28" t="n">
        <v>25</v>
      </c>
      <c r="M417" s="29" t="n">
        <v>0.04875</v>
      </c>
      <c r="N417" s="28" t="n">
        <v>1.21875</v>
      </c>
      <c r="O417" s="28"/>
      <c r="P417" s="2" t="s">
        <v>146</v>
      </c>
      <c r="Q417" s="29" t="n">
        <v>0.1</v>
      </c>
      <c r="R417" s="30" t="n">
        <v>0.095</v>
      </c>
      <c r="S417" s="31" t="n">
        <v>12.8289473684211</v>
      </c>
      <c r="T417" s="30"/>
      <c r="U417" s="30"/>
      <c r="V417" s="29" t="n">
        <v>-0.005</v>
      </c>
      <c r="W417" s="29" t="n">
        <f aca="false">IF(N(Q417)=0,"",Q417+IF(I417="yes",Q417*Inputs!$B$10*Inputs!$B$9,0)+V417)</f>
        <v>0.095</v>
      </c>
      <c r="X417" s="28" t="n">
        <f aca="false">IF(OR(N(W417)&lt;=0,N(N417)=0,N(L417)=0),"",MIN(L417,N417/W417))</f>
        <v>12.8289473684211</v>
      </c>
      <c r="Y417" s="29" t="str">
        <f aca="false">IF(OR(X417="",N(O417)=0),"",X417/O417-1)</f>
        <v/>
      </c>
      <c r="Z417" s="29" t="str">
        <f aca="false">IF(OR(Y417="",N(O417)=0),"",Y417+N417/O417)</f>
        <v/>
      </c>
      <c r="AA417" s="32" t="str">
        <f aca="false">IF(OR(Z417="",N(U417)=0),"",Z417-U417)</f>
        <v/>
      </c>
      <c r="AB417" s="29" t="n">
        <f aca="false">IF(N(Q417)=0,"",Q417+IF(I417="yes",Q417*Inputs!$B$10*Inputs!$B$9,0)+IFERROR(INDEX(Inputs!$B$13:$B$15,MATCH(G417,Inputs!$A$13:$A$15,0)),0)+IFERROR(INDEX(Inputs!$B$18:$B$24,MATCH(H417,Inputs!$A$18:$A$24,0)),0))</f>
        <v>0.095</v>
      </c>
      <c r="AC417" s="28" t="n">
        <f aca="false">IF(OR(N(AB417)&lt;=0,N(N417)=0,N(L417)=0),"",MIN(L417,N417/AB417))</f>
        <v>12.8289473684211</v>
      </c>
      <c r="AD417" s="29" t="str">
        <f aca="false">IF(OR(AC417="",N(O417)=0),"",AC417/O417-1)</f>
        <v/>
      </c>
      <c r="AE417" s="29" t="str">
        <f aca="false">IF(OR(AD417="",N(O417)=0),"",AD417+N417/O417)</f>
        <v/>
      </c>
      <c r="AF417" s="32" t="str">
        <f aca="false">IF(OR(AE417="",N(Z417)=0),"",AE417-Z417)</f>
        <v/>
      </c>
      <c r="AG417" s="28" t="n">
        <f aca="false">IF(AND(N(M417)&gt;0,N(L417)&gt;0),M417*L417,N417)</f>
        <v>1.21875</v>
      </c>
      <c r="AH417" s="28" t="n">
        <f aca="false">IF(OR(N(AB417)&lt;=0,N(AG417)=0,N(L417)=0),"",MIN(L417,AG417/AB417))</f>
        <v>12.8289473684211</v>
      </c>
      <c r="AI417" s="29" t="str">
        <f aca="false">IF(OR(AH417="",N(O417)=0),"",AH417/O417-1)</f>
        <v/>
      </c>
      <c r="AJ417" s="29" t="str">
        <f aca="false">IF(OR(AI417="",N(O417)=0),"",AI417+AG417/O417)</f>
        <v/>
      </c>
      <c r="AK417" s="32" t="str">
        <f aca="false">IF(OR(AJ417="",N(AE417)=0),"",AJ417-AE417)</f>
        <v/>
      </c>
      <c r="AL417" s="33" t="n">
        <f aca="false">IF(N(F417)=0,"",INDEX(Inputs!$B$28:$B$32,IFERROR(MATCH(F417,Inputs!$A$28:$A$32,1),0)+1))</f>
        <v>0.1</v>
      </c>
      <c r="AM417" s="34"/>
      <c r="AN417" s="33" t="n">
        <f aca="false">IF(N(AM417)&gt;0,AM417,AL417)</f>
        <v>0.1</v>
      </c>
      <c r="AO417" s="29" t="n">
        <f aca="false">IF(N(AN417)=0,"",AN417+IF(I417="yes",AN417*Inputs!$B$10*Inputs!$B$9,0)+IFERROR(INDEX(Inputs!$B$13:$B$15,MATCH(G417,Inputs!$A$13:$A$15,0)),0)+IFERROR(INDEX(Inputs!$B$18:$B$24,MATCH(H417,Inputs!$A$18:$A$24,0)),0))</f>
        <v>0.095</v>
      </c>
      <c r="AP417" s="28" t="n">
        <f aca="false">IF(OR(N(AO417)&lt;=0,N(AG417)=0,N(L417)=0),"",MIN(L417,AG417/AO417))</f>
        <v>12.8289473684211</v>
      </c>
      <c r="AQ417" s="29" t="str">
        <f aca="false">IF(OR(AP417="",N(O417)=0),"",AP417/O417-1)</f>
        <v/>
      </c>
      <c r="AR417" s="29" t="str">
        <f aca="false">IF(OR(AQ417="",N(O417)=0),"",AQ417+AG417/O417)</f>
        <v/>
      </c>
      <c r="AS417" s="32" t="str">
        <f aca="false">IF(OR(AR417="",N(AJ417)=0),"",AR417-AJ417)</f>
        <v/>
      </c>
      <c r="AT417" s="28" t="n">
        <v>25</v>
      </c>
      <c r="AU417" s="28" t="n">
        <v>1.21875</v>
      </c>
      <c r="AV417" s="28" t="n">
        <f aca="false">IF(N(AT417)&gt;0,AT417,L417)</f>
        <v>25</v>
      </c>
      <c r="AW417" s="28" t="n">
        <f aca="false">IF(AND(N(M417)&gt;0,N(AV417)&gt;0),M417*AV417,IF(N(AU417)&gt;0,AU417,N417))</f>
        <v>1.21875</v>
      </c>
      <c r="AX417" s="29" t="n">
        <f aca="false">IF(N(AN417)=0,"",AN417+IF(I417="yes",AN417*Inputs!$B$10*Inputs!$B$9,0)+IFERROR(INDEX(Inputs!$B$13:$B$15,MATCH(G417,Inputs!$A$13:$A$15,0)),0)+IFERROR(INDEX(Inputs!$B$18:$B$24,MATCH(H417,Inputs!$A$18:$A$24,0)),0))</f>
        <v>0.095</v>
      </c>
      <c r="AY417" s="28" t="n">
        <f aca="false">IF(OR(N(AX417)&lt;=0,N(AW417)=0,N(AV417)=0),"",MIN(AV417,AW417/AX417))</f>
        <v>12.8289473684211</v>
      </c>
      <c r="AZ417" s="29" t="str">
        <f aca="false">IF(OR(AY417="",N(O417)=0),"",AY417/O417-1)</f>
        <v/>
      </c>
      <c r="BA417" s="29" t="str">
        <f aca="false">IF(OR(AZ417="",N(O417)=0),"",AZ417+AW417/O417)</f>
        <v/>
      </c>
      <c r="BB417" s="32" t="str">
        <f aca="false">IF(OR(BA417="",N(AR417)=0),"",BA417-AR417)</f>
        <v/>
      </c>
      <c r="BC417" s="35" t="str">
        <f aca="false">IF(OR(BA417="",N(U417)=0),"",BA417-U417)</f>
        <v/>
      </c>
      <c r="BD417" s="36" t="s">
        <v>299</v>
      </c>
    </row>
    <row r="418" customFormat="false" ht="15" hidden="false" customHeight="false" outlineLevel="0" collapsed="false">
      <c r="A418" s="2" t="s">
        <v>768</v>
      </c>
      <c r="B418" s="2" t="n">
        <v>166</v>
      </c>
      <c r="C418" s="2" t="s">
        <v>890</v>
      </c>
      <c r="D418" s="2" t="s">
        <v>891</v>
      </c>
      <c r="E418" s="2" t="s">
        <v>143</v>
      </c>
      <c r="F418" s="27"/>
      <c r="G418" s="2" t="s">
        <v>51</v>
      </c>
      <c r="H418" s="2" t="s">
        <v>58</v>
      </c>
      <c r="I418" s="2" t="s">
        <v>151</v>
      </c>
      <c r="J418" s="2" t="s">
        <v>145</v>
      </c>
      <c r="K418" s="2" t="n">
        <v>4</v>
      </c>
      <c r="L418" s="28" t="n">
        <v>25</v>
      </c>
      <c r="M418" s="29" t="n">
        <v>0.0876</v>
      </c>
      <c r="N418" s="28" t="n">
        <v>2.19</v>
      </c>
      <c r="O418" s="28" t="n">
        <v>20.75</v>
      </c>
      <c r="P418" s="2" t="s">
        <v>223</v>
      </c>
      <c r="Q418" s="29" t="n">
        <v>0</v>
      </c>
      <c r="R418" s="30" t="n">
        <v>0</v>
      </c>
      <c r="S418" s="31"/>
      <c r="T418" s="30"/>
      <c r="U418" s="30"/>
      <c r="V418" s="29" t="n">
        <v>0</v>
      </c>
      <c r="W418" s="29" t="str">
        <f aca="false">IF(N(Q418)=0,"",Q418+IF(I418="yes",Q418*Inputs!$B$10*Inputs!$B$9,0)+V418)</f>
        <v/>
      </c>
      <c r="X418" s="28" t="str">
        <f aca="false">IF(OR(N(W418)&lt;=0,N(N418)=0,N(L418)=0),"",MIN(L418,N418/W418))</f>
        <v/>
      </c>
      <c r="Y418" s="29" t="str">
        <f aca="false">IF(OR(X418="",N(O418)=0),"",X418/O418-1)</f>
        <v/>
      </c>
      <c r="Z418" s="29" t="str">
        <f aca="false">IF(OR(Y418="",N(O418)=0),"",Y418+N418/O418)</f>
        <v/>
      </c>
      <c r="AA418" s="32" t="str">
        <f aca="false">IF(OR(Z418="",N(U418)=0),"",Z418-U418)</f>
        <v/>
      </c>
      <c r="AB418" s="29" t="str">
        <f aca="false">IF(N(Q418)=0,"",Q418+IF(I418="yes",Q418*Inputs!$B$10*Inputs!$B$9,0)+IFERROR(INDEX(Inputs!$B$13:$B$15,MATCH(G418,Inputs!$A$13:$A$15,0)),0)+IFERROR(INDEX(Inputs!$B$18:$B$24,MATCH(H418,Inputs!$A$18:$A$24,0)),0))</f>
        <v/>
      </c>
      <c r="AC418" s="28" t="str">
        <f aca="false">IF(OR(N(AB418)&lt;=0,N(N418)=0,N(L418)=0),"",MIN(L418,N418/AB418))</f>
        <v/>
      </c>
      <c r="AD418" s="29" t="str">
        <f aca="false">IF(OR(AC418="",N(O418)=0),"",AC418/O418-1)</f>
        <v/>
      </c>
      <c r="AE418" s="29" t="str">
        <f aca="false">IF(OR(AD418="",N(O418)=0),"",AD418+N418/O418)</f>
        <v/>
      </c>
      <c r="AF418" s="32" t="str">
        <f aca="false">IF(OR(AE418="",N(Z418)=0),"",AE418-Z418)</f>
        <v/>
      </c>
      <c r="AG418" s="28" t="n">
        <f aca="false">IF(AND(N(M418)&gt;0,N(L418)&gt;0),M418*L418,N418)</f>
        <v>2.19</v>
      </c>
      <c r="AH418" s="28" t="str">
        <f aca="false">IF(OR(N(AB418)&lt;=0,N(AG418)=0,N(L418)=0),"",MIN(L418,AG418/AB418))</f>
        <v/>
      </c>
      <c r="AI418" s="29" t="str">
        <f aca="false">IF(OR(AH418="",N(O418)=0),"",AH418/O418-1)</f>
        <v/>
      </c>
      <c r="AJ418" s="29" t="str">
        <f aca="false">IF(OR(AI418="",N(O418)=0),"",AI418+AG418/O418)</f>
        <v/>
      </c>
      <c r="AK418" s="32" t="str">
        <f aca="false">IF(OR(AJ418="",N(AE418)=0),"",AJ418-AE418)</f>
        <v/>
      </c>
      <c r="AL418" s="33" t="str">
        <f aca="false">IF(N(F418)=0,"",INDEX(Inputs!$B$28:$B$32,IFERROR(MATCH(F418,Inputs!$A$28:$A$32,1),0)+1))</f>
        <v/>
      </c>
      <c r="AM418" s="34"/>
      <c r="AN418" s="33" t="str">
        <f aca="false">IF(N(AM418)&gt;0,AM418,AL418)</f>
        <v/>
      </c>
      <c r="AO418" s="29" t="str">
        <f aca="false">IF(N(AN418)=0,"",AN418+IF(I418="yes",AN418*Inputs!$B$10*Inputs!$B$9,0)+IFERROR(INDEX(Inputs!$B$13:$B$15,MATCH(G418,Inputs!$A$13:$A$15,0)),0)+IFERROR(INDEX(Inputs!$B$18:$B$24,MATCH(H418,Inputs!$A$18:$A$24,0)),0))</f>
        <v/>
      </c>
      <c r="AP418" s="28" t="str">
        <f aca="false">IF(OR(N(AO418)&lt;=0,N(AG418)=0,N(L418)=0),"",MIN(L418,AG418/AO418))</f>
        <v/>
      </c>
      <c r="AQ418" s="29" t="str">
        <f aca="false">IF(OR(AP418="",N(O418)=0),"",AP418/O418-1)</f>
        <v/>
      </c>
      <c r="AR418" s="29" t="str">
        <f aca="false">IF(OR(AQ418="",N(O418)=0),"",AQ418+AG418/O418)</f>
        <v/>
      </c>
      <c r="AS418" s="32" t="str">
        <f aca="false">IF(OR(AR418="",N(AJ418)=0),"",AR418-AJ418)</f>
        <v/>
      </c>
      <c r="AT418" s="28" t="n">
        <v>25</v>
      </c>
      <c r="AU418" s="28" t="n">
        <v>2.19</v>
      </c>
      <c r="AV418" s="28" t="n">
        <f aca="false">IF(N(AT418)&gt;0,AT418,L418)</f>
        <v>25</v>
      </c>
      <c r="AW418" s="28" t="n">
        <f aca="false">IF(AND(N(M418)&gt;0,N(AV418)&gt;0),M418*AV418,IF(N(AU418)&gt;0,AU418,N418))</f>
        <v>2.19</v>
      </c>
      <c r="AX418" s="29" t="str">
        <f aca="false">IF(N(AN418)=0,"",AN418+IF(I418="yes",AN418*Inputs!$B$10*Inputs!$B$9,0)+IFERROR(INDEX(Inputs!$B$13:$B$15,MATCH(G418,Inputs!$A$13:$A$15,0)),0)+IFERROR(INDEX(Inputs!$B$18:$B$24,MATCH(H418,Inputs!$A$18:$A$24,0)),0))</f>
        <v/>
      </c>
      <c r="AY418" s="28" t="str">
        <f aca="false">IF(OR(N(AX418)&lt;=0,N(AW418)=0,N(AV418)=0),"",MIN(AV418,AW418/AX418))</f>
        <v/>
      </c>
      <c r="AZ418" s="29" t="str">
        <f aca="false">IF(OR(AY418="",N(O418)=0),"",AY418/O418-1)</f>
        <v/>
      </c>
      <c r="BA418" s="29" t="str">
        <f aca="false">IF(OR(AZ418="",N(O418)=0),"",AZ418+AW418/O418)</f>
        <v/>
      </c>
      <c r="BB418" s="32" t="str">
        <f aca="false">IF(OR(BA418="",N(AR418)=0),"",BA418-AR418)</f>
        <v/>
      </c>
      <c r="BC418" s="35" t="str">
        <f aca="false">IF(OR(BA418="",N(U418)=0),"",BA418-U418)</f>
        <v/>
      </c>
      <c r="BD418" s="36" t="s">
        <v>311</v>
      </c>
    </row>
    <row r="419" customFormat="false" ht="15" hidden="false" customHeight="false" outlineLevel="0" collapsed="false">
      <c r="A419" s="2" t="s">
        <v>768</v>
      </c>
      <c r="B419" s="2" t="n">
        <v>170</v>
      </c>
      <c r="C419" s="2" t="s">
        <v>892</v>
      </c>
      <c r="D419" s="2" t="s">
        <v>893</v>
      </c>
      <c r="E419" s="2" t="s">
        <v>894</v>
      </c>
      <c r="F419" s="27" t="n">
        <v>599</v>
      </c>
      <c r="G419" s="2" t="s">
        <v>51</v>
      </c>
      <c r="H419" s="2" t="s">
        <v>58</v>
      </c>
      <c r="I419" s="2" t="s">
        <v>151</v>
      </c>
      <c r="J419" s="2" t="s">
        <v>145</v>
      </c>
      <c r="K419" s="2" t="n">
        <v>4</v>
      </c>
      <c r="L419" s="28" t="n">
        <v>25</v>
      </c>
      <c r="M419" s="29" t="n">
        <v>0.07625</v>
      </c>
      <c r="N419" s="28" t="n">
        <v>1.90625</v>
      </c>
      <c r="O419" s="28" t="n">
        <v>19.58</v>
      </c>
      <c r="P419" s="2" t="s">
        <v>146</v>
      </c>
      <c r="Q419" s="29" t="n">
        <v>0.08</v>
      </c>
      <c r="R419" s="30" t="n">
        <v>0.076</v>
      </c>
      <c r="S419" s="31" t="n">
        <v>25</v>
      </c>
      <c r="T419" s="30" t="n">
        <v>0.276813074565883</v>
      </c>
      <c r="U419" s="30" t="n">
        <v>0.374170071501532</v>
      </c>
      <c r="V419" s="29" t="n">
        <v>0</v>
      </c>
      <c r="W419" s="29" t="n">
        <f aca="false">IF(N(Q419)=0,"",Q419+IF(I419="yes",Q419*Inputs!$B$10*Inputs!$B$9,0)+V419)</f>
        <v>0.076</v>
      </c>
      <c r="X419" s="28" t="n">
        <f aca="false">IF(OR(N(W419)&lt;=0,N(N419)=0,N(L419)=0),"",MIN(L419,N419/W419))</f>
        <v>25</v>
      </c>
      <c r="Y419" s="29" t="n">
        <f aca="false">IF(OR(X419="",N(O419)=0),"",X419/O419-1)</f>
        <v>0.276813074565884</v>
      </c>
      <c r="Z419" s="29" t="n">
        <f aca="false">IF(OR(Y419="",N(O419)=0),"",Y419+N419/O419)</f>
        <v>0.374170071501532</v>
      </c>
      <c r="AA419" s="32" t="n">
        <f aca="false">IF(OR(Z419="",N(U419)=0),"",Z419-U419)</f>
        <v>0</v>
      </c>
      <c r="AB419" s="29" t="n">
        <f aca="false">IF(N(Q419)=0,"",Q419+IF(I419="yes",Q419*Inputs!$B$10*Inputs!$B$9,0)+IFERROR(INDEX(Inputs!$B$13:$B$15,MATCH(G419,Inputs!$A$13:$A$15,0)),0)+IFERROR(INDEX(Inputs!$B$18:$B$24,MATCH(H419,Inputs!$A$18:$A$24,0)),0))</f>
        <v>0.076</v>
      </c>
      <c r="AC419" s="28" t="n">
        <f aca="false">IF(OR(N(AB419)&lt;=0,N(N419)=0,N(L419)=0),"",MIN(L419,N419/AB419))</f>
        <v>25</v>
      </c>
      <c r="AD419" s="29" t="n">
        <f aca="false">IF(OR(AC419="",N(O419)=0),"",AC419/O419-1)</f>
        <v>0.276813074565884</v>
      </c>
      <c r="AE419" s="29" t="n">
        <f aca="false">IF(OR(AD419="",N(O419)=0),"",AD419+N419/O419)</f>
        <v>0.374170071501532</v>
      </c>
      <c r="AF419" s="32" t="n">
        <f aca="false">IF(OR(AE419="",N(Z419)=0),"",AE419-Z419)</f>
        <v>0</v>
      </c>
      <c r="AG419" s="28" t="n">
        <f aca="false">IF(AND(N(M419)&gt;0,N(L419)&gt;0),M419*L419,N419)</f>
        <v>1.90625</v>
      </c>
      <c r="AH419" s="28" t="n">
        <f aca="false">IF(OR(N(AB419)&lt;=0,N(AG419)=0,N(L419)=0),"",MIN(L419,AG419/AB419))</f>
        <v>25</v>
      </c>
      <c r="AI419" s="29" t="n">
        <f aca="false">IF(OR(AH419="",N(O419)=0),"",AH419/O419-1)</f>
        <v>0.276813074565884</v>
      </c>
      <c r="AJ419" s="29" t="n">
        <f aca="false">IF(OR(AI419="",N(O419)=0),"",AI419+AG419/O419)</f>
        <v>0.374170071501532</v>
      </c>
      <c r="AK419" s="32" t="n">
        <f aca="false">IF(OR(AJ419="",N(AE419)=0),"",AJ419-AE419)</f>
        <v>0</v>
      </c>
      <c r="AL419" s="33" t="n">
        <f aca="false">IF(N(F419)=0,"",INDEX(Inputs!$B$28:$B$32,IFERROR(MATCH(F419,Inputs!$A$28:$A$32,1),0)+1))</f>
        <v>0.09</v>
      </c>
      <c r="AM419" s="34"/>
      <c r="AN419" s="33" t="n">
        <f aca="false">IF(N(AM419)&gt;0,AM419,AL419)</f>
        <v>0.09</v>
      </c>
      <c r="AO419" s="29" t="n">
        <f aca="false">IF(N(AN419)=0,"",AN419+IF(I419="yes",AN419*Inputs!$B$10*Inputs!$B$9,0)+IFERROR(INDEX(Inputs!$B$13:$B$15,MATCH(G419,Inputs!$A$13:$A$15,0)),0)+IFERROR(INDEX(Inputs!$B$18:$B$24,MATCH(H419,Inputs!$A$18:$A$24,0)),0))</f>
        <v>0.0855</v>
      </c>
      <c r="AP419" s="28" t="n">
        <f aca="false">IF(OR(N(AO419)&lt;=0,N(AG419)=0,N(L419)=0),"",MIN(L419,AG419/AO419))</f>
        <v>22.2953216374269</v>
      </c>
      <c r="AQ419" s="29" t="n">
        <f aca="false">IF(OR(AP419="",N(O419)=0),"",AP419/O419-1)</f>
        <v>0.138678326732733</v>
      </c>
      <c r="AR419" s="29" t="n">
        <f aca="false">IF(OR(AQ419="",N(O419)=0),"",AQ419+AG419/O419)</f>
        <v>0.236035323668381</v>
      </c>
      <c r="AS419" s="32" t="n">
        <f aca="false">IF(OR(AR419="",N(AJ419)=0),"",AR419-AJ419)</f>
        <v>-0.138134747833151</v>
      </c>
      <c r="AT419" s="28" t="n">
        <v>25</v>
      </c>
      <c r="AU419" s="28" t="n">
        <v>1.91</v>
      </c>
      <c r="AV419" s="28" t="n">
        <f aca="false">IF(N(AT419)&gt;0,AT419,L419)</f>
        <v>25</v>
      </c>
      <c r="AW419" s="28" t="n">
        <f aca="false">IF(AND(N(M419)&gt;0,N(AV419)&gt;0),M419*AV419,IF(N(AU419)&gt;0,AU419,N419))</f>
        <v>1.90625</v>
      </c>
      <c r="AX419" s="29" t="n">
        <f aca="false">IF(N(AN419)=0,"",AN419+IF(I419="yes",AN419*Inputs!$B$10*Inputs!$B$9,0)+IFERROR(INDEX(Inputs!$B$13:$B$15,MATCH(G419,Inputs!$A$13:$A$15,0)),0)+IFERROR(INDEX(Inputs!$B$18:$B$24,MATCH(H419,Inputs!$A$18:$A$24,0)),0))</f>
        <v>0.0855</v>
      </c>
      <c r="AY419" s="28" t="n">
        <f aca="false">IF(OR(N(AX419)&lt;=0,N(AW419)=0,N(AV419)=0),"",MIN(AV419,AW419/AX419))</f>
        <v>22.2953216374269</v>
      </c>
      <c r="AZ419" s="29" t="n">
        <f aca="false">IF(OR(AY419="",N(O419)=0),"",AY419/O419-1)</f>
        <v>0.138678326732733</v>
      </c>
      <c r="BA419" s="29" t="n">
        <f aca="false">IF(OR(AZ419="",N(O419)=0),"",AZ419+AW419/O419)</f>
        <v>0.236035323668381</v>
      </c>
      <c r="BB419" s="32" t="n">
        <f aca="false">IF(OR(BA419="",N(AR419)=0),"",BA419-AR419)</f>
        <v>0</v>
      </c>
      <c r="BC419" s="35" t="n">
        <f aca="false">IF(OR(BA419="",N(U419)=0),"",BA419-U419)</f>
        <v>-0.138134747833151</v>
      </c>
      <c r="BD419" s="37"/>
    </row>
    <row r="420" customFormat="false" ht="15" hidden="false" customHeight="false" outlineLevel="0" collapsed="false">
      <c r="A420" s="2" t="s">
        <v>768</v>
      </c>
      <c r="B420" s="2" t="n">
        <v>174</v>
      </c>
      <c r="C420" s="2" t="s">
        <v>895</v>
      </c>
      <c r="D420" s="2" t="s">
        <v>896</v>
      </c>
      <c r="E420" s="2" t="s">
        <v>897</v>
      </c>
      <c r="F420" s="27" t="n">
        <v>804</v>
      </c>
      <c r="G420" s="2" t="s">
        <v>51</v>
      </c>
      <c r="H420" s="2" t="s">
        <v>58</v>
      </c>
      <c r="I420" s="2" t="s">
        <v>144</v>
      </c>
      <c r="J420" s="2" t="s">
        <v>145</v>
      </c>
      <c r="K420" s="2" t="n">
        <v>4</v>
      </c>
      <c r="L420" s="28" t="n">
        <v>25</v>
      </c>
      <c r="M420" s="29" t="n">
        <v>0.0475</v>
      </c>
      <c r="N420" s="28" t="n">
        <v>1.1875</v>
      </c>
      <c r="O420" s="28" t="n">
        <v>14.16</v>
      </c>
      <c r="P420" s="2" t="s">
        <v>146</v>
      </c>
      <c r="Q420" s="29" t="n">
        <v>0.09</v>
      </c>
      <c r="R420" s="30" t="n">
        <v>0.09</v>
      </c>
      <c r="S420" s="31" t="n">
        <v>13.1944444444444</v>
      </c>
      <c r="T420" s="30" t="n">
        <v>-0.068188951663528</v>
      </c>
      <c r="U420" s="30" t="n">
        <v>0.0156740426867545</v>
      </c>
      <c r="V420" s="29" t="n">
        <v>0</v>
      </c>
      <c r="W420" s="29" t="n">
        <f aca="false">IF(N(Q420)=0,"",Q420+IF(I420="yes",Q420*Inputs!$B$10*Inputs!$B$9,0)+V420)</f>
        <v>0.09</v>
      </c>
      <c r="X420" s="28" t="n">
        <f aca="false">IF(OR(N(W420)&lt;=0,N(N420)=0,N(L420)=0),"",MIN(L420,N420/W420))</f>
        <v>13.1944444444444</v>
      </c>
      <c r="Y420" s="29" t="n">
        <f aca="false">IF(OR(X420="",N(O420)=0),"",X420/O420-1)</f>
        <v>-0.068188951663528</v>
      </c>
      <c r="Z420" s="29" t="n">
        <f aca="false">IF(OR(Y420="",N(O420)=0),"",Y420+N420/O420)</f>
        <v>0.0156740426867545</v>
      </c>
      <c r="AA420" s="32" t="n">
        <f aca="false">IF(OR(Z420="",N(U420)=0),"",Z420-U420)</f>
        <v>0</v>
      </c>
      <c r="AB420" s="29" t="n">
        <f aca="false">IF(N(Q420)=0,"",Q420+IF(I420="yes",Q420*Inputs!$B$10*Inputs!$B$9,0)+IFERROR(INDEX(Inputs!$B$13:$B$15,MATCH(G420,Inputs!$A$13:$A$15,0)),0)+IFERROR(INDEX(Inputs!$B$18:$B$24,MATCH(H420,Inputs!$A$18:$A$24,0)),0))</f>
        <v>0.09</v>
      </c>
      <c r="AC420" s="28" t="n">
        <f aca="false">IF(OR(N(AB420)&lt;=0,N(N420)=0,N(L420)=0),"",MIN(L420,N420/AB420))</f>
        <v>13.1944444444444</v>
      </c>
      <c r="AD420" s="29" t="n">
        <f aca="false">IF(OR(AC420="",N(O420)=0),"",AC420/O420-1)</f>
        <v>-0.068188951663528</v>
      </c>
      <c r="AE420" s="29" t="n">
        <f aca="false">IF(OR(AD420="",N(O420)=0),"",AD420+N420/O420)</f>
        <v>0.0156740426867545</v>
      </c>
      <c r="AF420" s="32" t="n">
        <f aca="false">IF(OR(AE420="",N(Z420)=0),"",AE420-Z420)</f>
        <v>0</v>
      </c>
      <c r="AG420" s="28" t="n">
        <f aca="false">IF(AND(N(M420)&gt;0,N(L420)&gt;0),M420*L420,N420)</f>
        <v>1.1875</v>
      </c>
      <c r="AH420" s="28" t="n">
        <f aca="false">IF(OR(N(AB420)&lt;=0,N(AG420)=0,N(L420)=0),"",MIN(L420,AG420/AB420))</f>
        <v>13.1944444444444</v>
      </c>
      <c r="AI420" s="29" t="n">
        <f aca="false">IF(OR(AH420="",N(O420)=0),"",AH420/O420-1)</f>
        <v>-0.068188951663528</v>
      </c>
      <c r="AJ420" s="29" t="n">
        <f aca="false">IF(OR(AI420="",N(O420)=0),"",AI420+AG420/O420)</f>
        <v>0.0156740426867545</v>
      </c>
      <c r="AK420" s="32" t="n">
        <f aca="false">IF(OR(AJ420="",N(AE420)=0),"",AJ420-AE420)</f>
        <v>0</v>
      </c>
      <c r="AL420" s="33" t="n">
        <f aca="false">IF(N(F420)=0,"",INDEX(Inputs!$B$28:$B$32,IFERROR(MATCH(F420,Inputs!$A$28:$A$32,1),0)+1))</f>
        <v>0.09</v>
      </c>
      <c r="AM420" s="34"/>
      <c r="AN420" s="33" t="n">
        <f aca="false">IF(N(AM420)&gt;0,AM420,AL420)</f>
        <v>0.09</v>
      </c>
      <c r="AO420" s="29" t="n">
        <f aca="false">IF(N(AN420)=0,"",AN420+IF(I420="yes",AN420*Inputs!$B$10*Inputs!$B$9,0)+IFERROR(INDEX(Inputs!$B$13:$B$15,MATCH(G420,Inputs!$A$13:$A$15,0)),0)+IFERROR(INDEX(Inputs!$B$18:$B$24,MATCH(H420,Inputs!$A$18:$A$24,0)),0))</f>
        <v>0.09</v>
      </c>
      <c r="AP420" s="28" t="n">
        <f aca="false">IF(OR(N(AO420)&lt;=0,N(AG420)=0,N(L420)=0),"",MIN(L420,AG420/AO420))</f>
        <v>13.1944444444444</v>
      </c>
      <c r="AQ420" s="29" t="n">
        <f aca="false">IF(OR(AP420="",N(O420)=0),"",AP420/O420-1)</f>
        <v>-0.0681889516635279</v>
      </c>
      <c r="AR420" s="29" t="n">
        <f aca="false">IF(OR(AQ420="",N(O420)=0),"",AQ420+AG420/O420)</f>
        <v>0.0156740426867546</v>
      </c>
      <c r="AS420" s="32" t="n">
        <f aca="false">IF(OR(AR420="",N(AJ420)=0),"",AR420-AJ420)</f>
        <v>1.11022302462516E-016</v>
      </c>
      <c r="AT420" s="28" t="n">
        <v>25</v>
      </c>
      <c r="AU420" s="28" t="n">
        <v>1.1875</v>
      </c>
      <c r="AV420" s="28" t="n">
        <f aca="false">IF(N(AT420)&gt;0,AT420,L420)</f>
        <v>25</v>
      </c>
      <c r="AW420" s="28" t="n">
        <f aca="false">IF(AND(N(M420)&gt;0,N(AV420)&gt;0),M420*AV420,IF(N(AU420)&gt;0,AU420,N420))</f>
        <v>1.1875</v>
      </c>
      <c r="AX420" s="29" t="n">
        <f aca="false">IF(N(AN420)=0,"",AN420+IF(I420="yes",AN420*Inputs!$B$10*Inputs!$B$9,0)+IFERROR(INDEX(Inputs!$B$13:$B$15,MATCH(G420,Inputs!$A$13:$A$15,0)),0)+IFERROR(INDEX(Inputs!$B$18:$B$24,MATCH(H420,Inputs!$A$18:$A$24,0)),0))</f>
        <v>0.09</v>
      </c>
      <c r="AY420" s="28" t="n">
        <f aca="false">IF(OR(N(AX420)&lt;=0,N(AW420)=0,N(AV420)=0),"",MIN(AV420,AW420/AX420))</f>
        <v>13.1944444444444</v>
      </c>
      <c r="AZ420" s="29" t="n">
        <f aca="false">IF(OR(AY420="",N(O420)=0),"",AY420/O420-1)</f>
        <v>-0.0681889516635279</v>
      </c>
      <c r="BA420" s="29" t="n">
        <f aca="false">IF(OR(AZ420="",N(O420)=0),"",AZ420+AW420/O420)</f>
        <v>0.0156740426867546</v>
      </c>
      <c r="BB420" s="32" t="n">
        <f aca="false">IF(OR(BA420="",N(AR420)=0),"",BA420-AR420)</f>
        <v>0</v>
      </c>
      <c r="BC420" s="35" t="n">
        <f aca="false">IF(OR(BA420="",N(U420)=0),"",BA420-U420)</f>
        <v>1.14491749414469E-016</v>
      </c>
      <c r="BD420" s="37"/>
    </row>
    <row r="421" customFormat="false" ht="15" hidden="false" customHeight="false" outlineLevel="0" collapsed="false">
      <c r="A421" s="2" t="s">
        <v>768</v>
      </c>
      <c r="B421" s="2" t="n">
        <v>178</v>
      </c>
      <c r="C421" s="2" t="s">
        <v>898</v>
      </c>
      <c r="D421" s="2" t="s">
        <v>899</v>
      </c>
      <c r="E421" s="2" t="s">
        <v>900</v>
      </c>
      <c r="F421" s="27" t="n">
        <v>1600</v>
      </c>
      <c r="G421" s="2" t="s">
        <v>52</v>
      </c>
      <c r="H421" s="2" t="s">
        <v>58</v>
      </c>
      <c r="I421" s="2" t="s">
        <v>144</v>
      </c>
      <c r="J421" s="2" t="s">
        <v>145</v>
      </c>
      <c r="K421" s="2" t="n">
        <v>4</v>
      </c>
      <c r="L421" s="28" t="n">
        <v>25</v>
      </c>
      <c r="M421" s="29" t="n">
        <v>0.08625</v>
      </c>
      <c r="N421" s="28" t="n">
        <v>2.15625</v>
      </c>
      <c r="O421" s="28" t="n">
        <v>0</v>
      </c>
      <c r="P421" s="2" t="s">
        <v>146</v>
      </c>
      <c r="Q421" s="29" t="n">
        <v>0.08</v>
      </c>
      <c r="R421" s="30" t="n">
        <v>0.075</v>
      </c>
      <c r="S421" s="31" t="n">
        <v>25</v>
      </c>
      <c r="T421" s="30"/>
      <c r="U421" s="30"/>
      <c r="V421" s="29" t="n">
        <v>-0.005</v>
      </c>
      <c r="W421" s="29" t="n">
        <f aca="false">IF(N(Q421)=0,"",Q421+IF(I421="yes",Q421*Inputs!$B$10*Inputs!$B$9,0)+V421)</f>
        <v>0.075</v>
      </c>
      <c r="X421" s="28" t="n">
        <f aca="false">IF(OR(N(W421)&lt;=0,N(N421)=0,N(L421)=0),"",MIN(L421,N421/W421))</f>
        <v>25</v>
      </c>
      <c r="Y421" s="29" t="str">
        <f aca="false">IF(OR(X421="",N(O421)=0),"",X421/O421-1)</f>
        <v/>
      </c>
      <c r="Z421" s="29" t="str">
        <f aca="false">IF(OR(Y421="",N(O421)=0),"",Y421+N421/O421)</f>
        <v/>
      </c>
      <c r="AA421" s="32" t="str">
        <f aca="false">IF(OR(Z421="",N(U421)=0),"",Z421-U421)</f>
        <v/>
      </c>
      <c r="AB421" s="29" t="n">
        <f aca="false">IF(N(Q421)=0,"",Q421+IF(I421="yes",Q421*Inputs!$B$10*Inputs!$B$9,0)+IFERROR(INDEX(Inputs!$B$13:$B$15,MATCH(G421,Inputs!$A$13:$A$15,0)),0)+IFERROR(INDEX(Inputs!$B$18:$B$24,MATCH(H421,Inputs!$A$18:$A$24,0)),0))</f>
        <v>0.075</v>
      </c>
      <c r="AC421" s="28" t="n">
        <f aca="false">IF(OR(N(AB421)&lt;=0,N(N421)=0,N(L421)=0),"",MIN(L421,N421/AB421))</f>
        <v>25</v>
      </c>
      <c r="AD421" s="29" t="str">
        <f aca="false">IF(OR(AC421="",N(O421)=0),"",AC421/O421-1)</f>
        <v/>
      </c>
      <c r="AE421" s="29" t="str">
        <f aca="false">IF(OR(AD421="",N(O421)=0),"",AD421+N421/O421)</f>
        <v/>
      </c>
      <c r="AF421" s="32" t="str">
        <f aca="false">IF(OR(AE421="",N(Z421)=0),"",AE421-Z421)</f>
        <v/>
      </c>
      <c r="AG421" s="28" t="n">
        <f aca="false">IF(AND(N(M421)&gt;0,N(L421)&gt;0),M421*L421,N421)</f>
        <v>2.15625</v>
      </c>
      <c r="AH421" s="28" t="n">
        <f aca="false">IF(OR(N(AB421)&lt;=0,N(AG421)=0,N(L421)=0),"",MIN(L421,AG421/AB421))</f>
        <v>25</v>
      </c>
      <c r="AI421" s="29" t="str">
        <f aca="false">IF(OR(AH421="",N(O421)=0),"",AH421/O421-1)</f>
        <v/>
      </c>
      <c r="AJ421" s="29" t="str">
        <f aca="false">IF(OR(AI421="",N(O421)=0),"",AI421+AG421/O421)</f>
        <v/>
      </c>
      <c r="AK421" s="32" t="str">
        <f aca="false">IF(OR(AJ421="",N(AE421)=0),"",AJ421-AE421)</f>
        <v/>
      </c>
      <c r="AL421" s="33" t="n">
        <f aca="false">IF(N(F421)=0,"",INDEX(Inputs!$B$28:$B$32,IFERROR(MATCH(F421,Inputs!$A$28:$A$32,1),0)+1))</f>
        <v>0.085</v>
      </c>
      <c r="AM421" s="34"/>
      <c r="AN421" s="33" t="n">
        <f aca="false">IF(N(AM421)&gt;0,AM421,AL421)</f>
        <v>0.085</v>
      </c>
      <c r="AO421" s="29" t="n">
        <f aca="false">IF(N(AN421)=0,"",AN421+IF(I421="yes",AN421*Inputs!$B$10*Inputs!$B$9,0)+IFERROR(INDEX(Inputs!$B$13:$B$15,MATCH(G421,Inputs!$A$13:$A$15,0)),0)+IFERROR(INDEX(Inputs!$B$18:$B$24,MATCH(H421,Inputs!$A$18:$A$24,0)),0))</f>
        <v>0.08</v>
      </c>
      <c r="AP421" s="28" t="n">
        <f aca="false">IF(OR(N(AO421)&lt;=0,N(AG421)=0,N(L421)=0),"",MIN(L421,AG421/AO421))</f>
        <v>25</v>
      </c>
      <c r="AQ421" s="29" t="str">
        <f aca="false">IF(OR(AP421="",N(O421)=0),"",AP421/O421-1)</f>
        <v/>
      </c>
      <c r="AR421" s="29" t="str">
        <f aca="false">IF(OR(AQ421="",N(O421)=0),"",AQ421+AG421/O421)</f>
        <v/>
      </c>
      <c r="AS421" s="32" t="str">
        <f aca="false">IF(OR(AR421="",N(AJ421)=0),"",AR421-AJ421)</f>
        <v/>
      </c>
      <c r="AT421" s="28"/>
      <c r="AU421" s="28"/>
      <c r="AV421" s="28" t="n">
        <f aca="false">IF(N(AT421)&gt;0,AT421,L421)</f>
        <v>25</v>
      </c>
      <c r="AW421" s="28" t="n">
        <f aca="false">IF(AND(N(M421)&gt;0,N(AV421)&gt;0),M421*AV421,IF(N(AU421)&gt;0,AU421,N421))</f>
        <v>2.15625</v>
      </c>
      <c r="AX421" s="29" t="n">
        <f aca="false">IF(N(AN421)=0,"",AN421+IF(I421="yes",AN421*Inputs!$B$10*Inputs!$B$9,0)+IFERROR(INDEX(Inputs!$B$13:$B$15,MATCH(G421,Inputs!$A$13:$A$15,0)),0)+IFERROR(INDEX(Inputs!$B$18:$B$24,MATCH(H421,Inputs!$A$18:$A$24,0)),0))</f>
        <v>0.08</v>
      </c>
      <c r="AY421" s="28" t="n">
        <f aca="false">IF(OR(N(AX421)&lt;=0,N(AW421)=0,N(AV421)=0),"",MIN(AV421,AW421/AX421))</f>
        <v>25</v>
      </c>
      <c r="AZ421" s="29" t="str">
        <f aca="false">IF(OR(AY421="",N(O421)=0),"",AY421/O421-1)</f>
        <v/>
      </c>
      <c r="BA421" s="29" t="str">
        <f aca="false">IF(OR(AZ421="",N(O421)=0),"",AZ421+AW421/O421)</f>
        <v/>
      </c>
      <c r="BB421" s="32" t="str">
        <f aca="false">IF(OR(BA421="",N(AR421)=0),"",BA421-AR421)</f>
        <v/>
      </c>
      <c r="BC421" s="35" t="str">
        <f aca="false">IF(OR(BA421="",N(U421)=0),"",BA421-U421)</f>
        <v/>
      </c>
      <c r="BD421" s="36" t="s">
        <v>198</v>
      </c>
    </row>
    <row r="422" customFormat="false" ht="15" hidden="false" customHeight="false" outlineLevel="0" collapsed="false">
      <c r="A422" s="2" t="s">
        <v>768</v>
      </c>
      <c r="B422" s="2" t="n">
        <v>179</v>
      </c>
      <c r="C422" s="2" t="s">
        <v>901</v>
      </c>
      <c r="D422" s="2" t="s">
        <v>899</v>
      </c>
      <c r="E422" s="2" t="s">
        <v>900</v>
      </c>
      <c r="F422" s="27" t="n">
        <v>1600</v>
      </c>
      <c r="G422" s="2" t="s">
        <v>52</v>
      </c>
      <c r="H422" s="2" t="s">
        <v>58</v>
      </c>
      <c r="I422" s="2" t="s">
        <v>144</v>
      </c>
      <c r="J422" s="2" t="s">
        <v>145</v>
      </c>
      <c r="K422" s="2" t="n">
        <v>4</v>
      </c>
      <c r="L422" s="28" t="n">
        <v>25</v>
      </c>
      <c r="M422" s="29" t="n">
        <v>0.11875</v>
      </c>
      <c r="N422" s="28" t="n">
        <v>2.96875</v>
      </c>
      <c r="O422" s="28" t="n">
        <v>0</v>
      </c>
      <c r="P422" s="2" t="s">
        <v>223</v>
      </c>
      <c r="Q422" s="29" t="n">
        <v>0.08</v>
      </c>
      <c r="R422" s="30" t="n">
        <v>0.08</v>
      </c>
      <c r="S422" s="31" t="n">
        <v>25</v>
      </c>
      <c r="T422" s="30"/>
      <c r="U422" s="30"/>
      <c r="V422" s="29" t="n">
        <v>-0.005</v>
      </c>
      <c r="W422" s="29" t="n">
        <f aca="false">IF(N(Q422)=0,"",Q422+IF(I422="yes",Q422*Inputs!$B$10*Inputs!$B$9,0)+V422)</f>
        <v>0.075</v>
      </c>
      <c r="X422" s="28" t="n">
        <f aca="false">IF(OR(N(W422)&lt;=0,N(N422)=0,N(L422)=0),"",MIN(L422,N422/W422))</f>
        <v>25</v>
      </c>
      <c r="Y422" s="29" t="str">
        <f aca="false">IF(OR(X422="",N(O422)=0),"",X422/O422-1)</f>
        <v/>
      </c>
      <c r="Z422" s="29" t="str">
        <f aca="false">IF(OR(Y422="",N(O422)=0),"",Y422+N422/O422)</f>
        <v/>
      </c>
      <c r="AA422" s="32" t="str">
        <f aca="false">IF(OR(Z422="",N(U422)=0),"",Z422-U422)</f>
        <v/>
      </c>
      <c r="AB422" s="29" t="n">
        <f aca="false">IF(N(Q422)=0,"",Q422+IF(I422="yes",Q422*Inputs!$B$10*Inputs!$B$9,0)+IFERROR(INDEX(Inputs!$B$13:$B$15,MATCH(G422,Inputs!$A$13:$A$15,0)),0)+IFERROR(INDEX(Inputs!$B$18:$B$24,MATCH(H422,Inputs!$A$18:$A$24,0)),0))</f>
        <v>0.075</v>
      </c>
      <c r="AC422" s="28" t="n">
        <f aca="false">IF(OR(N(AB422)&lt;=0,N(N422)=0,N(L422)=0),"",MIN(L422,N422/AB422))</f>
        <v>25</v>
      </c>
      <c r="AD422" s="29" t="str">
        <f aca="false">IF(OR(AC422="",N(O422)=0),"",AC422/O422-1)</f>
        <v/>
      </c>
      <c r="AE422" s="29" t="str">
        <f aca="false">IF(OR(AD422="",N(O422)=0),"",AD422+N422/O422)</f>
        <v/>
      </c>
      <c r="AF422" s="32" t="str">
        <f aca="false">IF(OR(AE422="",N(Z422)=0),"",AE422-Z422)</f>
        <v/>
      </c>
      <c r="AG422" s="28" t="n">
        <f aca="false">IF(AND(N(M422)&gt;0,N(L422)&gt;0),M422*L422,N422)</f>
        <v>2.96875</v>
      </c>
      <c r="AH422" s="28" t="n">
        <f aca="false">IF(OR(N(AB422)&lt;=0,N(AG422)=0,N(L422)=0),"",MIN(L422,AG422/AB422))</f>
        <v>25</v>
      </c>
      <c r="AI422" s="29" t="str">
        <f aca="false">IF(OR(AH422="",N(O422)=0),"",AH422/O422-1)</f>
        <v/>
      </c>
      <c r="AJ422" s="29" t="str">
        <f aca="false">IF(OR(AI422="",N(O422)=0),"",AI422+AG422/O422)</f>
        <v/>
      </c>
      <c r="AK422" s="32" t="str">
        <f aca="false">IF(OR(AJ422="",N(AE422)=0),"",AJ422-AE422)</f>
        <v/>
      </c>
      <c r="AL422" s="33" t="n">
        <f aca="false">IF(N(F422)=0,"",INDEX(Inputs!$B$28:$B$32,IFERROR(MATCH(F422,Inputs!$A$28:$A$32,1),0)+1))</f>
        <v>0.085</v>
      </c>
      <c r="AM422" s="34"/>
      <c r="AN422" s="33" t="n">
        <f aca="false">IF(N(AM422)&gt;0,AM422,AL422)</f>
        <v>0.085</v>
      </c>
      <c r="AO422" s="29" t="n">
        <f aca="false">IF(N(AN422)=0,"",AN422+IF(I422="yes",AN422*Inputs!$B$10*Inputs!$B$9,0)+IFERROR(INDEX(Inputs!$B$13:$B$15,MATCH(G422,Inputs!$A$13:$A$15,0)),0)+IFERROR(INDEX(Inputs!$B$18:$B$24,MATCH(H422,Inputs!$A$18:$A$24,0)),0))</f>
        <v>0.08</v>
      </c>
      <c r="AP422" s="28" t="n">
        <f aca="false">IF(OR(N(AO422)&lt;=0,N(AG422)=0,N(L422)=0),"",MIN(L422,AG422/AO422))</f>
        <v>25</v>
      </c>
      <c r="AQ422" s="29" t="str">
        <f aca="false">IF(OR(AP422="",N(O422)=0),"",AP422/O422-1)</f>
        <v/>
      </c>
      <c r="AR422" s="29" t="str">
        <f aca="false">IF(OR(AQ422="",N(O422)=0),"",AQ422+AG422/O422)</f>
        <v/>
      </c>
      <c r="AS422" s="32" t="str">
        <f aca="false">IF(OR(AR422="",N(AJ422)=0),"",AR422-AJ422)</f>
        <v/>
      </c>
      <c r="AT422" s="28" t="n">
        <v>25</v>
      </c>
      <c r="AU422" s="28" t="n">
        <v>2.96875</v>
      </c>
      <c r="AV422" s="28" t="n">
        <f aca="false">IF(N(AT422)&gt;0,AT422,L422)</f>
        <v>25</v>
      </c>
      <c r="AW422" s="28" t="n">
        <f aca="false">IF(AND(N(M422)&gt;0,N(AV422)&gt;0),M422*AV422,IF(N(AU422)&gt;0,AU422,N422))</f>
        <v>2.96875</v>
      </c>
      <c r="AX422" s="29" t="n">
        <f aca="false">IF(N(AN422)=0,"",AN422+IF(I422="yes",AN422*Inputs!$B$10*Inputs!$B$9,0)+IFERROR(INDEX(Inputs!$B$13:$B$15,MATCH(G422,Inputs!$A$13:$A$15,0)),0)+IFERROR(INDEX(Inputs!$B$18:$B$24,MATCH(H422,Inputs!$A$18:$A$24,0)),0))</f>
        <v>0.08</v>
      </c>
      <c r="AY422" s="28" t="n">
        <f aca="false">IF(OR(N(AX422)&lt;=0,N(AW422)=0,N(AV422)=0),"",MIN(AV422,AW422/AX422))</f>
        <v>25</v>
      </c>
      <c r="AZ422" s="29" t="str">
        <f aca="false">IF(OR(AY422="",N(O422)=0),"",AY422/O422-1)</f>
        <v/>
      </c>
      <c r="BA422" s="29" t="str">
        <f aca="false">IF(OR(AZ422="",N(O422)=0),"",AZ422+AW422/O422)</f>
        <v/>
      </c>
      <c r="BB422" s="32" t="str">
        <f aca="false">IF(OR(BA422="",N(AR422)=0),"",BA422-AR422)</f>
        <v/>
      </c>
      <c r="BC422" s="35" t="str">
        <f aca="false">IF(OR(BA422="",N(U422)=0),"",BA422-U422)</f>
        <v/>
      </c>
      <c r="BD422" s="36" t="s">
        <v>284</v>
      </c>
    </row>
    <row r="423" customFormat="false" ht="15" hidden="false" customHeight="false" outlineLevel="0" collapsed="false">
      <c r="A423" s="2" t="s">
        <v>768</v>
      </c>
      <c r="B423" s="2" t="n">
        <v>182</v>
      </c>
      <c r="C423" s="2" t="s">
        <v>902</v>
      </c>
      <c r="D423" s="2" t="s">
        <v>903</v>
      </c>
      <c r="E423" s="2" t="s">
        <v>904</v>
      </c>
      <c r="F423" s="27" t="n">
        <v>329</v>
      </c>
      <c r="G423" s="2" t="s">
        <v>52</v>
      </c>
      <c r="H423" s="2" t="s">
        <v>58</v>
      </c>
      <c r="I423" s="2" t="s">
        <v>144</v>
      </c>
      <c r="J423" s="2" t="s">
        <v>145</v>
      </c>
      <c r="K423" s="2" t="n">
        <v>4</v>
      </c>
      <c r="L423" s="28" t="n">
        <v>25</v>
      </c>
      <c r="M423" s="29" t="n">
        <v>0.0487</v>
      </c>
      <c r="N423" s="28" t="n">
        <v>1.2175</v>
      </c>
      <c r="O423" s="28" t="n">
        <v>0</v>
      </c>
      <c r="P423" s="2" t="s">
        <v>146</v>
      </c>
      <c r="Q423" s="29" t="n">
        <v>0.1</v>
      </c>
      <c r="R423" s="30" t="n">
        <v>0.095</v>
      </c>
      <c r="S423" s="31" t="n">
        <v>12.8157894736842</v>
      </c>
      <c r="T423" s="30"/>
      <c r="U423" s="30"/>
      <c r="V423" s="29" t="n">
        <v>-0.005</v>
      </c>
      <c r="W423" s="29" t="n">
        <f aca="false">IF(N(Q423)=0,"",Q423+IF(I423="yes",Q423*Inputs!$B$10*Inputs!$B$9,0)+V423)</f>
        <v>0.095</v>
      </c>
      <c r="X423" s="28" t="n">
        <f aca="false">IF(OR(N(W423)&lt;=0,N(N423)=0,N(L423)=0),"",MIN(L423,N423/W423))</f>
        <v>12.8157894736842</v>
      </c>
      <c r="Y423" s="29" t="str">
        <f aca="false">IF(OR(X423="",N(O423)=0),"",X423/O423-1)</f>
        <v/>
      </c>
      <c r="Z423" s="29" t="str">
        <f aca="false">IF(OR(Y423="",N(O423)=0),"",Y423+N423/O423)</f>
        <v/>
      </c>
      <c r="AA423" s="32" t="str">
        <f aca="false">IF(OR(Z423="",N(U423)=0),"",Z423-U423)</f>
        <v/>
      </c>
      <c r="AB423" s="29" t="n">
        <f aca="false">IF(N(Q423)=0,"",Q423+IF(I423="yes",Q423*Inputs!$B$10*Inputs!$B$9,0)+IFERROR(INDEX(Inputs!$B$13:$B$15,MATCH(G423,Inputs!$A$13:$A$15,0)),0)+IFERROR(INDEX(Inputs!$B$18:$B$24,MATCH(H423,Inputs!$A$18:$A$24,0)),0))</f>
        <v>0.095</v>
      </c>
      <c r="AC423" s="28" t="n">
        <f aca="false">IF(OR(N(AB423)&lt;=0,N(N423)=0,N(L423)=0),"",MIN(L423,N423/AB423))</f>
        <v>12.8157894736842</v>
      </c>
      <c r="AD423" s="29" t="str">
        <f aca="false">IF(OR(AC423="",N(O423)=0),"",AC423/O423-1)</f>
        <v/>
      </c>
      <c r="AE423" s="29" t="str">
        <f aca="false">IF(OR(AD423="",N(O423)=0),"",AD423+N423/O423)</f>
        <v/>
      </c>
      <c r="AF423" s="32" t="str">
        <f aca="false">IF(OR(AE423="",N(Z423)=0),"",AE423-Z423)</f>
        <v/>
      </c>
      <c r="AG423" s="28" t="n">
        <f aca="false">IF(AND(N(M423)&gt;0,N(L423)&gt;0),M423*L423,N423)</f>
        <v>1.2175</v>
      </c>
      <c r="AH423" s="28" t="n">
        <f aca="false">IF(OR(N(AB423)&lt;=0,N(AG423)=0,N(L423)=0),"",MIN(L423,AG423/AB423))</f>
        <v>12.8157894736842</v>
      </c>
      <c r="AI423" s="29" t="str">
        <f aca="false">IF(OR(AH423="",N(O423)=0),"",AH423/O423-1)</f>
        <v/>
      </c>
      <c r="AJ423" s="29" t="str">
        <f aca="false">IF(OR(AI423="",N(O423)=0),"",AI423+AG423/O423)</f>
        <v/>
      </c>
      <c r="AK423" s="32" t="str">
        <f aca="false">IF(OR(AJ423="",N(AE423)=0),"",AJ423-AE423)</f>
        <v/>
      </c>
      <c r="AL423" s="33" t="n">
        <f aca="false">IF(N(F423)=0,"",INDEX(Inputs!$B$28:$B$32,IFERROR(MATCH(F423,Inputs!$A$28:$A$32,1),0)+1))</f>
        <v>0.09</v>
      </c>
      <c r="AM423" s="34"/>
      <c r="AN423" s="33" t="n">
        <f aca="false">IF(N(AM423)&gt;0,AM423,AL423)</f>
        <v>0.09</v>
      </c>
      <c r="AO423" s="29" t="n">
        <f aca="false">IF(N(AN423)=0,"",AN423+IF(I423="yes",AN423*Inputs!$B$10*Inputs!$B$9,0)+IFERROR(INDEX(Inputs!$B$13:$B$15,MATCH(G423,Inputs!$A$13:$A$15,0)),0)+IFERROR(INDEX(Inputs!$B$18:$B$24,MATCH(H423,Inputs!$A$18:$A$24,0)),0))</f>
        <v>0.085</v>
      </c>
      <c r="AP423" s="28" t="n">
        <f aca="false">IF(OR(N(AO423)&lt;=0,N(AG423)=0,N(L423)=0),"",MIN(L423,AG423/AO423))</f>
        <v>14.3235294117647</v>
      </c>
      <c r="AQ423" s="29" t="str">
        <f aca="false">IF(OR(AP423="",N(O423)=0),"",AP423/O423-1)</f>
        <v/>
      </c>
      <c r="AR423" s="29" t="str">
        <f aca="false">IF(OR(AQ423="",N(O423)=0),"",AQ423+AG423/O423)</f>
        <v/>
      </c>
      <c r="AS423" s="32" t="str">
        <f aca="false">IF(OR(AR423="",N(AJ423)=0),"",AR423-AJ423)</f>
        <v/>
      </c>
      <c r="AT423" s="28" t="n">
        <v>25</v>
      </c>
      <c r="AU423" s="28" t="n">
        <v>1.21875</v>
      </c>
      <c r="AV423" s="28" t="n">
        <f aca="false">IF(N(AT423)&gt;0,AT423,L423)</f>
        <v>25</v>
      </c>
      <c r="AW423" s="28" t="n">
        <f aca="false">IF(AND(N(M423)&gt;0,N(AV423)&gt;0),M423*AV423,IF(N(AU423)&gt;0,AU423,N423))</f>
        <v>1.2175</v>
      </c>
      <c r="AX423" s="29" t="n">
        <f aca="false">IF(N(AN423)=0,"",AN423+IF(I423="yes",AN423*Inputs!$B$10*Inputs!$B$9,0)+IFERROR(INDEX(Inputs!$B$13:$B$15,MATCH(G423,Inputs!$A$13:$A$15,0)),0)+IFERROR(INDEX(Inputs!$B$18:$B$24,MATCH(H423,Inputs!$A$18:$A$24,0)),0))</f>
        <v>0.085</v>
      </c>
      <c r="AY423" s="28" t="n">
        <f aca="false">IF(OR(N(AX423)&lt;=0,N(AW423)=0,N(AV423)=0),"",MIN(AV423,AW423/AX423))</f>
        <v>14.3235294117647</v>
      </c>
      <c r="AZ423" s="29" t="str">
        <f aca="false">IF(OR(AY423="",N(O423)=0),"",AY423/O423-1)</f>
        <v/>
      </c>
      <c r="BA423" s="29" t="str">
        <f aca="false">IF(OR(AZ423="",N(O423)=0),"",AZ423+AW423/O423)</f>
        <v/>
      </c>
      <c r="BB423" s="32" t="str">
        <f aca="false">IF(OR(BA423="",N(AR423)=0),"",BA423-AR423)</f>
        <v/>
      </c>
      <c r="BC423" s="35" t="str">
        <f aca="false">IF(OR(BA423="",N(U423)=0),"",BA423-U423)</f>
        <v/>
      </c>
      <c r="BD423" s="36" t="s">
        <v>299</v>
      </c>
    </row>
    <row r="424" customFormat="false" ht="15" hidden="false" customHeight="false" outlineLevel="0" collapsed="false">
      <c r="A424" s="2" t="s">
        <v>768</v>
      </c>
      <c r="B424" s="2" t="n">
        <v>183</v>
      </c>
      <c r="C424" s="2" t="s">
        <v>905</v>
      </c>
      <c r="D424" s="2" t="s">
        <v>903</v>
      </c>
      <c r="E424" s="2" t="s">
        <v>904</v>
      </c>
      <c r="F424" s="27" t="n">
        <v>329</v>
      </c>
      <c r="G424" s="2" t="s">
        <v>52</v>
      </c>
      <c r="H424" s="2" t="s">
        <v>58</v>
      </c>
      <c r="I424" s="2" t="s">
        <v>144</v>
      </c>
      <c r="J424" s="2" t="s">
        <v>145</v>
      </c>
      <c r="K424" s="2" t="n">
        <v>4</v>
      </c>
      <c r="L424" s="28" t="n">
        <v>25</v>
      </c>
      <c r="M424" s="29" t="n">
        <v>0.0625</v>
      </c>
      <c r="N424" s="28" t="n">
        <v>1.5625</v>
      </c>
      <c r="O424" s="28" t="n">
        <v>24.97</v>
      </c>
      <c r="P424" s="2" t="s">
        <v>223</v>
      </c>
      <c r="Q424" s="29" t="n">
        <v>0.1</v>
      </c>
      <c r="R424" s="30" t="n">
        <v>0.1</v>
      </c>
      <c r="S424" s="31" t="n">
        <v>15.625</v>
      </c>
      <c r="T424" s="30" t="n">
        <v>-0.374249098918702</v>
      </c>
      <c r="U424" s="30" t="n">
        <v>-0.311674008810573</v>
      </c>
      <c r="V424" s="29" t="n">
        <v>-0.005</v>
      </c>
      <c r="W424" s="29" t="n">
        <f aca="false">IF(N(Q424)=0,"",Q424+IF(I424="yes",Q424*Inputs!$B$10*Inputs!$B$9,0)+V424)</f>
        <v>0.095</v>
      </c>
      <c r="X424" s="28" t="n">
        <f aca="false">IF(OR(N(W424)&lt;=0,N(N424)=0,N(L424)=0),"",MIN(L424,N424/W424))</f>
        <v>16.4473684210526</v>
      </c>
      <c r="Y424" s="29" t="n">
        <f aca="false">IF(OR(X424="",N(O424)=0),"",X424/O424-1)</f>
        <v>-0.341314840967055</v>
      </c>
      <c r="Z424" s="29" t="n">
        <f aca="false">IF(OR(Y424="",N(O424)=0),"",Y424+N424/O424)</f>
        <v>-0.278739750858925</v>
      </c>
      <c r="AA424" s="32" t="n">
        <f aca="false">IF(OR(Z424="",N(U424)=0),"",Z424-U424)</f>
        <v>0.0329342579516472</v>
      </c>
      <c r="AB424" s="29" t="n">
        <f aca="false">IF(N(Q424)=0,"",Q424+IF(I424="yes",Q424*Inputs!$B$10*Inputs!$B$9,0)+IFERROR(INDEX(Inputs!$B$13:$B$15,MATCH(G424,Inputs!$A$13:$A$15,0)),0)+IFERROR(INDEX(Inputs!$B$18:$B$24,MATCH(H424,Inputs!$A$18:$A$24,0)),0))</f>
        <v>0.095</v>
      </c>
      <c r="AC424" s="28" t="n">
        <f aca="false">IF(OR(N(AB424)&lt;=0,N(N424)=0,N(L424)=0),"",MIN(L424,N424/AB424))</f>
        <v>16.4473684210526</v>
      </c>
      <c r="AD424" s="29" t="n">
        <f aca="false">IF(OR(AC424="",N(O424)=0),"",AC424/O424-1)</f>
        <v>-0.341314840967055</v>
      </c>
      <c r="AE424" s="29" t="n">
        <f aca="false">IF(OR(AD424="",N(O424)=0),"",AD424+N424/O424)</f>
        <v>-0.278739750858925</v>
      </c>
      <c r="AF424" s="32" t="n">
        <f aca="false">IF(OR(AE424="",N(Z424)=0),"",AE424-Z424)</f>
        <v>0</v>
      </c>
      <c r="AG424" s="28" t="n">
        <f aca="false">IF(AND(N(M424)&gt;0,N(L424)&gt;0),M424*L424,N424)</f>
        <v>1.5625</v>
      </c>
      <c r="AH424" s="28" t="n">
        <f aca="false">IF(OR(N(AB424)&lt;=0,N(AG424)=0,N(L424)=0),"",MIN(L424,AG424/AB424))</f>
        <v>16.4473684210526</v>
      </c>
      <c r="AI424" s="29" t="n">
        <f aca="false">IF(OR(AH424="",N(O424)=0),"",AH424/O424-1)</f>
        <v>-0.341314840967055</v>
      </c>
      <c r="AJ424" s="29" t="n">
        <f aca="false">IF(OR(AI424="",N(O424)=0),"",AI424+AG424/O424)</f>
        <v>-0.278739750858925</v>
      </c>
      <c r="AK424" s="32" t="n">
        <f aca="false">IF(OR(AJ424="",N(AE424)=0),"",AJ424-AE424)</f>
        <v>0</v>
      </c>
      <c r="AL424" s="33" t="n">
        <f aca="false">IF(N(F424)=0,"",INDEX(Inputs!$B$28:$B$32,IFERROR(MATCH(F424,Inputs!$A$28:$A$32,1),0)+1))</f>
        <v>0.09</v>
      </c>
      <c r="AM424" s="34"/>
      <c r="AN424" s="33" t="n">
        <f aca="false">IF(N(AM424)&gt;0,AM424,AL424)</f>
        <v>0.09</v>
      </c>
      <c r="AO424" s="29" t="n">
        <f aca="false">IF(N(AN424)=0,"",AN424+IF(I424="yes",AN424*Inputs!$B$10*Inputs!$B$9,0)+IFERROR(INDEX(Inputs!$B$13:$B$15,MATCH(G424,Inputs!$A$13:$A$15,0)),0)+IFERROR(INDEX(Inputs!$B$18:$B$24,MATCH(H424,Inputs!$A$18:$A$24,0)),0))</f>
        <v>0.085</v>
      </c>
      <c r="AP424" s="28" t="n">
        <f aca="false">IF(OR(N(AO424)&lt;=0,N(AG424)=0,N(L424)=0),"",MIN(L424,AG424/AO424))</f>
        <v>18.3823529411765</v>
      </c>
      <c r="AQ424" s="29" t="n">
        <f aca="false">IF(OR(AP424="",N(O424)=0),"",AP424/O424-1)</f>
        <v>-0.263822469316121</v>
      </c>
      <c r="AR424" s="29" t="n">
        <f aca="false">IF(OR(AQ424="",N(O424)=0),"",AQ424+AG424/O424)</f>
        <v>-0.201247379207991</v>
      </c>
      <c r="AS424" s="32" t="n">
        <f aca="false">IF(OR(AR424="",N(AJ424)=0),"",AR424-AJ424)</f>
        <v>0.0774923716509347</v>
      </c>
      <c r="AT424" s="28" t="n">
        <v>25</v>
      </c>
      <c r="AU424" s="28" t="n">
        <v>1.5625</v>
      </c>
      <c r="AV424" s="28" t="n">
        <f aca="false">IF(N(AT424)&gt;0,AT424,L424)</f>
        <v>25</v>
      </c>
      <c r="AW424" s="28" t="n">
        <f aca="false">IF(AND(N(M424)&gt;0,N(AV424)&gt;0),M424*AV424,IF(N(AU424)&gt;0,AU424,N424))</f>
        <v>1.5625</v>
      </c>
      <c r="AX424" s="29" t="n">
        <f aca="false">IF(N(AN424)=0,"",AN424+IF(I424="yes",AN424*Inputs!$B$10*Inputs!$B$9,0)+IFERROR(INDEX(Inputs!$B$13:$B$15,MATCH(G424,Inputs!$A$13:$A$15,0)),0)+IFERROR(INDEX(Inputs!$B$18:$B$24,MATCH(H424,Inputs!$A$18:$A$24,0)),0))</f>
        <v>0.085</v>
      </c>
      <c r="AY424" s="28" t="n">
        <f aca="false">IF(OR(N(AX424)&lt;=0,N(AW424)=0,N(AV424)=0),"",MIN(AV424,AW424/AX424))</f>
        <v>18.3823529411765</v>
      </c>
      <c r="AZ424" s="29" t="n">
        <f aca="false">IF(OR(AY424="",N(O424)=0),"",AY424/O424-1)</f>
        <v>-0.263822469316121</v>
      </c>
      <c r="BA424" s="29" t="n">
        <f aca="false">IF(OR(AZ424="",N(O424)=0),"",AZ424+AW424/O424)</f>
        <v>-0.201247379207991</v>
      </c>
      <c r="BB424" s="32" t="n">
        <f aca="false">IF(OR(BA424="",N(AR424)=0),"",BA424-AR424)</f>
        <v>0</v>
      </c>
      <c r="BC424" s="35" t="n">
        <f aca="false">IF(OR(BA424="",N(U424)=0),"",BA424-U424)</f>
        <v>0.110426629602582</v>
      </c>
      <c r="BD424" s="36" t="s">
        <v>224</v>
      </c>
    </row>
    <row r="425" customFormat="false" ht="15" hidden="false" customHeight="false" outlineLevel="0" collapsed="false">
      <c r="A425" s="2" t="s">
        <v>768</v>
      </c>
      <c r="B425" s="2" t="n">
        <v>186</v>
      </c>
      <c r="C425" s="2" t="s">
        <v>906</v>
      </c>
      <c r="D425" s="2" t="s">
        <v>907</v>
      </c>
      <c r="E425" s="2" t="s">
        <v>143</v>
      </c>
      <c r="F425" s="27"/>
      <c r="G425" s="2" t="s">
        <v>51</v>
      </c>
      <c r="H425" s="2" t="s">
        <v>58</v>
      </c>
      <c r="I425" s="2" t="s">
        <v>144</v>
      </c>
      <c r="J425" s="2" t="s">
        <v>145</v>
      </c>
      <c r="K425" s="2" t="n">
        <v>4</v>
      </c>
      <c r="L425" s="28" t="n">
        <v>25</v>
      </c>
      <c r="M425" s="29" t="n">
        <v>0.06855</v>
      </c>
      <c r="N425" s="28" t="n">
        <v>1.71375</v>
      </c>
      <c r="O425" s="28" t="n">
        <v>0</v>
      </c>
      <c r="P425" s="2" t="s">
        <v>146</v>
      </c>
      <c r="Q425" s="29" t="n">
        <v>0</v>
      </c>
      <c r="R425" s="30" t="n">
        <v>0</v>
      </c>
      <c r="S425" s="31"/>
      <c r="T425" s="30"/>
      <c r="U425" s="30"/>
      <c r="V425" s="29" t="n">
        <v>0</v>
      </c>
      <c r="W425" s="29" t="str">
        <f aca="false">IF(N(Q425)=0,"",Q425+IF(I425="yes",Q425*Inputs!$B$10*Inputs!$B$9,0)+V425)</f>
        <v/>
      </c>
      <c r="X425" s="28" t="str">
        <f aca="false">IF(OR(N(W425)&lt;=0,N(N425)=0,N(L425)=0),"",MIN(L425,N425/W425))</f>
        <v/>
      </c>
      <c r="Y425" s="29" t="str">
        <f aca="false">IF(OR(X425="",N(O425)=0),"",X425/O425-1)</f>
        <v/>
      </c>
      <c r="Z425" s="29" t="str">
        <f aca="false">IF(OR(Y425="",N(O425)=0),"",Y425+N425/O425)</f>
        <v/>
      </c>
      <c r="AA425" s="32" t="str">
        <f aca="false">IF(OR(Z425="",N(U425)=0),"",Z425-U425)</f>
        <v/>
      </c>
      <c r="AB425" s="29" t="str">
        <f aca="false">IF(N(Q425)=0,"",Q425+IF(I425="yes",Q425*Inputs!$B$10*Inputs!$B$9,0)+IFERROR(INDEX(Inputs!$B$13:$B$15,MATCH(G425,Inputs!$A$13:$A$15,0)),0)+IFERROR(INDEX(Inputs!$B$18:$B$24,MATCH(H425,Inputs!$A$18:$A$24,0)),0))</f>
        <v/>
      </c>
      <c r="AC425" s="28" t="str">
        <f aca="false">IF(OR(N(AB425)&lt;=0,N(N425)=0,N(L425)=0),"",MIN(L425,N425/AB425))</f>
        <v/>
      </c>
      <c r="AD425" s="29" t="str">
        <f aca="false">IF(OR(AC425="",N(O425)=0),"",AC425/O425-1)</f>
        <v/>
      </c>
      <c r="AE425" s="29" t="str">
        <f aca="false">IF(OR(AD425="",N(O425)=0),"",AD425+N425/O425)</f>
        <v/>
      </c>
      <c r="AF425" s="32" t="str">
        <f aca="false">IF(OR(AE425="",N(Z425)=0),"",AE425-Z425)</f>
        <v/>
      </c>
      <c r="AG425" s="28" t="n">
        <f aca="false">IF(AND(N(M425)&gt;0,N(L425)&gt;0),M425*L425,N425)</f>
        <v>1.71375</v>
      </c>
      <c r="AH425" s="28" t="str">
        <f aca="false">IF(OR(N(AB425)&lt;=0,N(AG425)=0,N(L425)=0),"",MIN(L425,AG425/AB425))</f>
        <v/>
      </c>
      <c r="AI425" s="29" t="str">
        <f aca="false">IF(OR(AH425="",N(O425)=0),"",AH425/O425-1)</f>
        <v/>
      </c>
      <c r="AJ425" s="29" t="str">
        <f aca="false">IF(OR(AI425="",N(O425)=0),"",AI425+AG425/O425)</f>
        <v/>
      </c>
      <c r="AK425" s="32" t="str">
        <f aca="false">IF(OR(AJ425="",N(AE425)=0),"",AJ425-AE425)</f>
        <v/>
      </c>
      <c r="AL425" s="33" t="str">
        <f aca="false">IF(N(F425)=0,"",INDEX(Inputs!$B$28:$B$32,IFERROR(MATCH(F425,Inputs!$A$28:$A$32,1),0)+1))</f>
        <v/>
      </c>
      <c r="AM425" s="34"/>
      <c r="AN425" s="33" t="str">
        <f aca="false">IF(N(AM425)&gt;0,AM425,AL425)</f>
        <v/>
      </c>
      <c r="AO425" s="29" t="str">
        <f aca="false">IF(N(AN425)=0,"",AN425+IF(I425="yes",AN425*Inputs!$B$10*Inputs!$B$9,0)+IFERROR(INDEX(Inputs!$B$13:$B$15,MATCH(G425,Inputs!$A$13:$A$15,0)),0)+IFERROR(INDEX(Inputs!$B$18:$B$24,MATCH(H425,Inputs!$A$18:$A$24,0)),0))</f>
        <v/>
      </c>
      <c r="AP425" s="28" t="str">
        <f aca="false">IF(OR(N(AO425)&lt;=0,N(AG425)=0,N(L425)=0),"",MIN(L425,AG425/AO425))</f>
        <v/>
      </c>
      <c r="AQ425" s="29" t="str">
        <f aca="false">IF(OR(AP425="",N(O425)=0),"",AP425/O425-1)</f>
        <v/>
      </c>
      <c r="AR425" s="29" t="str">
        <f aca="false">IF(OR(AQ425="",N(O425)=0),"",AQ425+AG425/O425)</f>
        <v/>
      </c>
      <c r="AS425" s="32" t="str">
        <f aca="false">IF(OR(AR425="",N(AJ425)=0),"",AR425-AJ425)</f>
        <v/>
      </c>
      <c r="AT425" s="28"/>
      <c r="AU425" s="28"/>
      <c r="AV425" s="28" t="n">
        <f aca="false">IF(N(AT425)&gt;0,AT425,L425)</f>
        <v>25</v>
      </c>
      <c r="AW425" s="28" t="n">
        <f aca="false">IF(AND(N(M425)&gt;0,N(AV425)&gt;0),M425*AV425,IF(N(AU425)&gt;0,AU425,N425))</f>
        <v>1.71375</v>
      </c>
      <c r="AX425" s="29" t="str">
        <f aca="false">IF(N(AN425)=0,"",AN425+IF(I425="yes",AN425*Inputs!$B$10*Inputs!$B$9,0)+IFERROR(INDEX(Inputs!$B$13:$B$15,MATCH(G425,Inputs!$A$13:$A$15,0)),0)+IFERROR(INDEX(Inputs!$B$18:$B$24,MATCH(H425,Inputs!$A$18:$A$24,0)),0))</f>
        <v/>
      </c>
      <c r="AY425" s="28" t="str">
        <f aca="false">IF(OR(N(AX425)&lt;=0,N(AW425)=0,N(AV425)=0),"",MIN(AV425,AW425/AX425))</f>
        <v/>
      </c>
      <c r="AZ425" s="29" t="str">
        <f aca="false">IF(OR(AY425="",N(O425)=0),"",AY425/O425-1)</f>
        <v/>
      </c>
      <c r="BA425" s="29" t="str">
        <f aca="false">IF(OR(AZ425="",N(O425)=0),"",AZ425+AW425/O425)</f>
        <v/>
      </c>
      <c r="BB425" s="32" t="str">
        <f aca="false">IF(OR(BA425="",N(AR425)=0),"",BA425-AR425)</f>
        <v/>
      </c>
      <c r="BC425" s="35" t="str">
        <f aca="false">IF(OR(BA425="",N(U425)=0),"",BA425-U425)</f>
        <v/>
      </c>
      <c r="BD425" s="36" t="s">
        <v>147</v>
      </c>
    </row>
    <row r="426" customFormat="false" ht="15" hidden="false" customHeight="false" outlineLevel="0" collapsed="false">
      <c r="A426" s="2" t="s">
        <v>768</v>
      </c>
      <c r="B426" s="2" t="n">
        <v>187</v>
      </c>
      <c r="C426" s="2" t="s">
        <v>908</v>
      </c>
      <c r="D426" s="2" t="s">
        <v>907</v>
      </c>
      <c r="E426" s="2" t="s">
        <v>143</v>
      </c>
      <c r="F426" s="27"/>
      <c r="G426" s="2" t="s">
        <v>51</v>
      </c>
      <c r="H426" s="2" t="s">
        <v>58</v>
      </c>
      <c r="I426" s="2" t="s">
        <v>144</v>
      </c>
      <c r="J426" s="2" t="s">
        <v>145</v>
      </c>
      <c r="K426" s="2" t="n">
        <v>4</v>
      </c>
      <c r="L426" s="28" t="n">
        <v>25</v>
      </c>
      <c r="M426" s="29" t="n">
        <v>0.065</v>
      </c>
      <c r="N426" s="28" t="n">
        <v>1.625</v>
      </c>
      <c r="O426" s="28" t="n">
        <v>0</v>
      </c>
      <c r="P426" s="2" t="s">
        <v>146</v>
      </c>
      <c r="Q426" s="29" t="n">
        <v>0</v>
      </c>
      <c r="R426" s="30" t="n">
        <v>0</v>
      </c>
      <c r="S426" s="31"/>
      <c r="T426" s="30"/>
      <c r="U426" s="30"/>
      <c r="V426" s="29" t="n">
        <v>0</v>
      </c>
      <c r="W426" s="29" t="str">
        <f aca="false">IF(N(Q426)=0,"",Q426+IF(I426="yes",Q426*Inputs!$B$10*Inputs!$B$9,0)+V426)</f>
        <v/>
      </c>
      <c r="X426" s="28" t="str">
        <f aca="false">IF(OR(N(W426)&lt;=0,N(N426)=0,N(L426)=0),"",MIN(L426,N426/W426))</f>
        <v/>
      </c>
      <c r="Y426" s="29" t="str">
        <f aca="false">IF(OR(X426="",N(O426)=0),"",X426/O426-1)</f>
        <v/>
      </c>
      <c r="Z426" s="29" t="str">
        <f aca="false">IF(OR(Y426="",N(O426)=0),"",Y426+N426/O426)</f>
        <v/>
      </c>
      <c r="AA426" s="32" t="str">
        <f aca="false">IF(OR(Z426="",N(U426)=0),"",Z426-U426)</f>
        <v/>
      </c>
      <c r="AB426" s="29" t="str">
        <f aca="false">IF(N(Q426)=0,"",Q426+IF(I426="yes",Q426*Inputs!$B$10*Inputs!$B$9,0)+IFERROR(INDEX(Inputs!$B$13:$B$15,MATCH(G426,Inputs!$A$13:$A$15,0)),0)+IFERROR(INDEX(Inputs!$B$18:$B$24,MATCH(H426,Inputs!$A$18:$A$24,0)),0))</f>
        <v/>
      </c>
      <c r="AC426" s="28" t="str">
        <f aca="false">IF(OR(N(AB426)&lt;=0,N(N426)=0,N(L426)=0),"",MIN(L426,N426/AB426))</f>
        <v/>
      </c>
      <c r="AD426" s="29" t="str">
        <f aca="false">IF(OR(AC426="",N(O426)=0),"",AC426/O426-1)</f>
        <v/>
      </c>
      <c r="AE426" s="29" t="str">
        <f aca="false">IF(OR(AD426="",N(O426)=0),"",AD426+N426/O426)</f>
        <v/>
      </c>
      <c r="AF426" s="32" t="str">
        <f aca="false">IF(OR(AE426="",N(Z426)=0),"",AE426-Z426)</f>
        <v/>
      </c>
      <c r="AG426" s="28" t="n">
        <f aca="false">IF(AND(N(M426)&gt;0,N(L426)&gt;0),M426*L426,N426)</f>
        <v>1.625</v>
      </c>
      <c r="AH426" s="28" t="str">
        <f aca="false">IF(OR(N(AB426)&lt;=0,N(AG426)=0,N(L426)=0),"",MIN(L426,AG426/AB426))</f>
        <v/>
      </c>
      <c r="AI426" s="29" t="str">
        <f aca="false">IF(OR(AH426="",N(O426)=0),"",AH426/O426-1)</f>
        <v/>
      </c>
      <c r="AJ426" s="29" t="str">
        <f aca="false">IF(OR(AI426="",N(O426)=0),"",AI426+AG426/O426)</f>
        <v/>
      </c>
      <c r="AK426" s="32" t="str">
        <f aca="false">IF(OR(AJ426="",N(AE426)=0),"",AJ426-AE426)</f>
        <v/>
      </c>
      <c r="AL426" s="33" t="str">
        <f aca="false">IF(N(F426)=0,"",INDEX(Inputs!$B$28:$B$32,IFERROR(MATCH(F426,Inputs!$A$28:$A$32,1),0)+1))</f>
        <v/>
      </c>
      <c r="AM426" s="34"/>
      <c r="AN426" s="33" t="str">
        <f aca="false">IF(N(AM426)&gt;0,AM426,AL426)</f>
        <v/>
      </c>
      <c r="AO426" s="29" t="str">
        <f aca="false">IF(N(AN426)=0,"",AN426+IF(I426="yes",AN426*Inputs!$B$10*Inputs!$B$9,0)+IFERROR(INDEX(Inputs!$B$13:$B$15,MATCH(G426,Inputs!$A$13:$A$15,0)),0)+IFERROR(INDEX(Inputs!$B$18:$B$24,MATCH(H426,Inputs!$A$18:$A$24,0)),0))</f>
        <v/>
      </c>
      <c r="AP426" s="28" t="str">
        <f aca="false">IF(OR(N(AO426)&lt;=0,N(AG426)=0,N(L426)=0),"",MIN(L426,AG426/AO426))</f>
        <v/>
      </c>
      <c r="AQ426" s="29" t="str">
        <f aca="false">IF(OR(AP426="",N(O426)=0),"",AP426/O426-1)</f>
        <v/>
      </c>
      <c r="AR426" s="29" t="str">
        <f aca="false">IF(OR(AQ426="",N(O426)=0),"",AQ426+AG426/O426)</f>
        <v/>
      </c>
      <c r="AS426" s="32" t="str">
        <f aca="false">IF(OR(AR426="",N(AJ426)=0),"",AR426-AJ426)</f>
        <v/>
      </c>
      <c r="AT426" s="28"/>
      <c r="AU426" s="28"/>
      <c r="AV426" s="28" t="n">
        <f aca="false">IF(N(AT426)&gt;0,AT426,L426)</f>
        <v>25</v>
      </c>
      <c r="AW426" s="28" t="n">
        <f aca="false">IF(AND(N(M426)&gt;0,N(AV426)&gt;0),M426*AV426,IF(N(AU426)&gt;0,AU426,N426))</f>
        <v>1.625</v>
      </c>
      <c r="AX426" s="29" t="str">
        <f aca="false">IF(N(AN426)=0,"",AN426+IF(I426="yes",AN426*Inputs!$B$10*Inputs!$B$9,0)+IFERROR(INDEX(Inputs!$B$13:$B$15,MATCH(G426,Inputs!$A$13:$A$15,0)),0)+IFERROR(INDEX(Inputs!$B$18:$B$24,MATCH(H426,Inputs!$A$18:$A$24,0)),0))</f>
        <v/>
      </c>
      <c r="AY426" s="28" t="str">
        <f aca="false">IF(OR(N(AX426)&lt;=0,N(AW426)=0,N(AV426)=0),"",MIN(AV426,AW426/AX426))</f>
        <v/>
      </c>
      <c r="AZ426" s="29" t="str">
        <f aca="false">IF(OR(AY426="",N(O426)=0),"",AY426/O426-1)</f>
        <v/>
      </c>
      <c r="BA426" s="29" t="str">
        <f aca="false">IF(OR(AZ426="",N(O426)=0),"",AZ426+AW426/O426)</f>
        <v/>
      </c>
      <c r="BB426" s="32" t="str">
        <f aca="false">IF(OR(BA426="",N(AR426)=0),"",BA426-AR426)</f>
        <v/>
      </c>
      <c r="BC426" s="35" t="str">
        <f aca="false">IF(OR(BA426="",N(U426)=0),"",BA426-U426)</f>
        <v/>
      </c>
      <c r="BD426" s="36" t="s">
        <v>147</v>
      </c>
    </row>
    <row r="427" customFormat="false" ht="15" hidden="false" customHeight="false" outlineLevel="0" collapsed="false">
      <c r="A427" s="2" t="s">
        <v>768</v>
      </c>
      <c r="B427" s="2" t="n">
        <v>188</v>
      </c>
      <c r="C427" s="2" t="s">
        <v>909</v>
      </c>
      <c r="D427" s="2" t="s">
        <v>907</v>
      </c>
      <c r="E427" s="2" t="s">
        <v>143</v>
      </c>
      <c r="F427" s="27"/>
      <c r="G427" s="2" t="s">
        <v>51</v>
      </c>
      <c r="H427" s="2" t="s">
        <v>58</v>
      </c>
      <c r="I427" s="2" t="s">
        <v>144</v>
      </c>
      <c r="J427" s="2" t="s">
        <v>145</v>
      </c>
      <c r="K427" s="2" t="n">
        <v>4</v>
      </c>
      <c r="L427" s="28" t="n">
        <v>25</v>
      </c>
      <c r="M427" s="29" t="n">
        <v>0.065</v>
      </c>
      <c r="N427" s="28" t="n">
        <v>1.625</v>
      </c>
      <c r="O427" s="28" t="n">
        <v>0</v>
      </c>
      <c r="P427" s="2" t="s">
        <v>146</v>
      </c>
      <c r="Q427" s="29" t="n">
        <v>0</v>
      </c>
      <c r="R427" s="30" t="n">
        <v>0</v>
      </c>
      <c r="S427" s="31"/>
      <c r="T427" s="30"/>
      <c r="U427" s="30"/>
      <c r="V427" s="29" t="n">
        <v>0</v>
      </c>
      <c r="W427" s="29" t="str">
        <f aca="false">IF(N(Q427)=0,"",Q427+IF(I427="yes",Q427*Inputs!$B$10*Inputs!$B$9,0)+V427)</f>
        <v/>
      </c>
      <c r="X427" s="28" t="str">
        <f aca="false">IF(OR(N(W427)&lt;=0,N(N427)=0,N(L427)=0),"",MIN(L427,N427/W427))</f>
        <v/>
      </c>
      <c r="Y427" s="29" t="str">
        <f aca="false">IF(OR(X427="",N(O427)=0),"",X427/O427-1)</f>
        <v/>
      </c>
      <c r="Z427" s="29" t="str">
        <f aca="false">IF(OR(Y427="",N(O427)=0),"",Y427+N427/O427)</f>
        <v/>
      </c>
      <c r="AA427" s="32" t="str">
        <f aca="false">IF(OR(Z427="",N(U427)=0),"",Z427-U427)</f>
        <v/>
      </c>
      <c r="AB427" s="29" t="str">
        <f aca="false">IF(N(Q427)=0,"",Q427+IF(I427="yes",Q427*Inputs!$B$10*Inputs!$B$9,0)+IFERROR(INDEX(Inputs!$B$13:$B$15,MATCH(G427,Inputs!$A$13:$A$15,0)),0)+IFERROR(INDEX(Inputs!$B$18:$B$24,MATCH(H427,Inputs!$A$18:$A$24,0)),0))</f>
        <v/>
      </c>
      <c r="AC427" s="28" t="str">
        <f aca="false">IF(OR(N(AB427)&lt;=0,N(N427)=0,N(L427)=0),"",MIN(L427,N427/AB427))</f>
        <v/>
      </c>
      <c r="AD427" s="29" t="str">
        <f aca="false">IF(OR(AC427="",N(O427)=0),"",AC427/O427-1)</f>
        <v/>
      </c>
      <c r="AE427" s="29" t="str">
        <f aca="false">IF(OR(AD427="",N(O427)=0),"",AD427+N427/O427)</f>
        <v/>
      </c>
      <c r="AF427" s="32" t="str">
        <f aca="false">IF(OR(AE427="",N(Z427)=0),"",AE427-Z427)</f>
        <v/>
      </c>
      <c r="AG427" s="28" t="n">
        <f aca="false">IF(AND(N(M427)&gt;0,N(L427)&gt;0),M427*L427,N427)</f>
        <v>1.625</v>
      </c>
      <c r="AH427" s="28" t="str">
        <f aca="false">IF(OR(N(AB427)&lt;=0,N(AG427)=0,N(L427)=0),"",MIN(L427,AG427/AB427))</f>
        <v/>
      </c>
      <c r="AI427" s="29" t="str">
        <f aca="false">IF(OR(AH427="",N(O427)=0),"",AH427/O427-1)</f>
        <v/>
      </c>
      <c r="AJ427" s="29" t="str">
        <f aca="false">IF(OR(AI427="",N(O427)=0),"",AI427+AG427/O427)</f>
        <v/>
      </c>
      <c r="AK427" s="32" t="str">
        <f aca="false">IF(OR(AJ427="",N(AE427)=0),"",AJ427-AE427)</f>
        <v/>
      </c>
      <c r="AL427" s="33" t="str">
        <f aca="false">IF(N(F427)=0,"",INDEX(Inputs!$B$28:$B$32,IFERROR(MATCH(F427,Inputs!$A$28:$A$32,1),0)+1))</f>
        <v/>
      </c>
      <c r="AM427" s="34"/>
      <c r="AN427" s="33" t="str">
        <f aca="false">IF(N(AM427)&gt;0,AM427,AL427)</f>
        <v/>
      </c>
      <c r="AO427" s="29" t="str">
        <f aca="false">IF(N(AN427)=0,"",AN427+IF(I427="yes",AN427*Inputs!$B$10*Inputs!$B$9,0)+IFERROR(INDEX(Inputs!$B$13:$B$15,MATCH(G427,Inputs!$A$13:$A$15,0)),0)+IFERROR(INDEX(Inputs!$B$18:$B$24,MATCH(H427,Inputs!$A$18:$A$24,0)),0))</f>
        <v/>
      </c>
      <c r="AP427" s="28" t="str">
        <f aca="false">IF(OR(N(AO427)&lt;=0,N(AG427)=0,N(L427)=0),"",MIN(L427,AG427/AO427))</f>
        <v/>
      </c>
      <c r="AQ427" s="29" t="str">
        <f aca="false">IF(OR(AP427="",N(O427)=0),"",AP427/O427-1)</f>
        <v/>
      </c>
      <c r="AR427" s="29" t="str">
        <f aca="false">IF(OR(AQ427="",N(O427)=0),"",AQ427+AG427/O427)</f>
        <v/>
      </c>
      <c r="AS427" s="32" t="str">
        <f aca="false">IF(OR(AR427="",N(AJ427)=0),"",AR427-AJ427)</f>
        <v/>
      </c>
      <c r="AT427" s="28"/>
      <c r="AU427" s="28"/>
      <c r="AV427" s="28" t="n">
        <f aca="false">IF(N(AT427)&gt;0,AT427,L427)</f>
        <v>25</v>
      </c>
      <c r="AW427" s="28" t="n">
        <f aca="false">IF(AND(N(M427)&gt;0,N(AV427)&gt;0),M427*AV427,IF(N(AU427)&gt;0,AU427,N427))</f>
        <v>1.625</v>
      </c>
      <c r="AX427" s="29" t="str">
        <f aca="false">IF(N(AN427)=0,"",AN427+IF(I427="yes",AN427*Inputs!$B$10*Inputs!$B$9,0)+IFERROR(INDEX(Inputs!$B$13:$B$15,MATCH(G427,Inputs!$A$13:$A$15,0)),0)+IFERROR(INDEX(Inputs!$B$18:$B$24,MATCH(H427,Inputs!$A$18:$A$24,0)),0))</f>
        <v/>
      </c>
      <c r="AY427" s="28" t="str">
        <f aca="false">IF(OR(N(AX427)&lt;=0,N(AW427)=0,N(AV427)=0),"",MIN(AV427,AW427/AX427))</f>
        <v/>
      </c>
      <c r="AZ427" s="29" t="str">
        <f aca="false">IF(OR(AY427="",N(O427)=0),"",AY427/O427-1)</f>
        <v/>
      </c>
      <c r="BA427" s="29" t="str">
        <f aca="false">IF(OR(AZ427="",N(O427)=0),"",AZ427+AW427/O427)</f>
        <v/>
      </c>
      <c r="BB427" s="32" t="str">
        <f aca="false">IF(OR(BA427="",N(AR427)=0),"",BA427-AR427)</f>
        <v/>
      </c>
      <c r="BC427" s="35" t="str">
        <f aca="false">IF(OR(BA427="",N(U427)=0),"",BA427-U427)</f>
        <v/>
      </c>
      <c r="BD427" s="36" t="s">
        <v>147</v>
      </c>
    </row>
    <row r="428" customFormat="false" ht="15" hidden="false" customHeight="false" outlineLevel="0" collapsed="false">
      <c r="A428" s="2" t="s">
        <v>768</v>
      </c>
      <c r="B428" s="2" t="n">
        <v>191</v>
      </c>
      <c r="C428" s="2" t="s">
        <v>910</v>
      </c>
      <c r="D428" s="2" t="s">
        <v>911</v>
      </c>
      <c r="E428" s="2" t="s">
        <v>912</v>
      </c>
      <c r="F428" s="27" t="n">
        <v>3200</v>
      </c>
      <c r="G428" s="2" t="s">
        <v>52</v>
      </c>
      <c r="H428" s="2" t="s">
        <v>58</v>
      </c>
      <c r="I428" s="2" t="s">
        <v>144</v>
      </c>
      <c r="J428" s="2" t="s">
        <v>145</v>
      </c>
      <c r="K428" s="2" t="n">
        <v>4</v>
      </c>
      <c r="L428" s="28" t="n">
        <v>25</v>
      </c>
      <c r="M428" s="29" t="n">
        <v>0.0625</v>
      </c>
      <c r="N428" s="28" t="n">
        <v>1.5625</v>
      </c>
      <c r="O428" s="28" t="n">
        <v>24.86</v>
      </c>
      <c r="P428" s="2" t="s">
        <v>146</v>
      </c>
      <c r="Q428" s="29" t="n">
        <v>0.085</v>
      </c>
      <c r="R428" s="30" t="n">
        <v>0.08</v>
      </c>
      <c r="S428" s="31" t="n">
        <v>19.53125</v>
      </c>
      <c r="T428" s="30" t="n">
        <v>-0.214350362027353</v>
      </c>
      <c r="U428" s="30" t="n">
        <v>-0.151498390989541</v>
      </c>
      <c r="V428" s="29" t="n">
        <v>-0.005</v>
      </c>
      <c r="W428" s="29" t="n">
        <f aca="false">IF(N(Q428)=0,"",Q428+IF(I428="yes",Q428*Inputs!$B$10*Inputs!$B$9,0)+V428)</f>
        <v>0.08</v>
      </c>
      <c r="X428" s="28" t="n">
        <f aca="false">IF(OR(N(W428)&lt;=0,N(N428)=0,N(L428)=0),"",MIN(L428,N428/W428))</f>
        <v>19.53125</v>
      </c>
      <c r="Y428" s="29" t="n">
        <f aca="false">IF(OR(X428="",N(O428)=0),"",X428/O428-1)</f>
        <v>-0.214350362027353</v>
      </c>
      <c r="Z428" s="29" t="n">
        <f aca="false">IF(OR(Y428="",N(O428)=0),"",Y428+N428/O428)</f>
        <v>-0.151498390989541</v>
      </c>
      <c r="AA428" s="32" t="n">
        <f aca="false">IF(OR(Z428="",N(U428)=0),"",Z428-U428)</f>
        <v>0</v>
      </c>
      <c r="AB428" s="29" t="n">
        <f aca="false">IF(N(Q428)=0,"",Q428+IF(I428="yes",Q428*Inputs!$B$10*Inputs!$B$9,0)+IFERROR(INDEX(Inputs!$B$13:$B$15,MATCH(G428,Inputs!$A$13:$A$15,0)),0)+IFERROR(INDEX(Inputs!$B$18:$B$24,MATCH(H428,Inputs!$A$18:$A$24,0)),0))</f>
        <v>0.08</v>
      </c>
      <c r="AC428" s="28" t="n">
        <f aca="false">IF(OR(N(AB428)&lt;=0,N(N428)=0,N(L428)=0),"",MIN(L428,N428/AB428))</f>
        <v>19.53125</v>
      </c>
      <c r="AD428" s="29" t="n">
        <f aca="false">IF(OR(AC428="",N(O428)=0),"",AC428/O428-1)</f>
        <v>-0.214350362027353</v>
      </c>
      <c r="AE428" s="29" t="n">
        <f aca="false">IF(OR(AD428="",N(O428)=0),"",AD428+N428/O428)</f>
        <v>-0.151498390989541</v>
      </c>
      <c r="AF428" s="32" t="n">
        <f aca="false">IF(OR(AE428="",N(Z428)=0),"",AE428-Z428)</f>
        <v>0</v>
      </c>
      <c r="AG428" s="28" t="n">
        <f aca="false">IF(AND(N(M428)&gt;0,N(L428)&gt;0),M428*L428,N428)</f>
        <v>1.5625</v>
      </c>
      <c r="AH428" s="28" t="n">
        <f aca="false">IF(OR(N(AB428)&lt;=0,N(AG428)=0,N(L428)=0),"",MIN(L428,AG428/AB428))</f>
        <v>19.53125</v>
      </c>
      <c r="AI428" s="29" t="n">
        <f aca="false">IF(OR(AH428="",N(O428)=0),"",AH428/O428-1)</f>
        <v>-0.214350362027353</v>
      </c>
      <c r="AJ428" s="29" t="n">
        <f aca="false">IF(OR(AI428="",N(O428)=0),"",AI428+AG428/O428)</f>
        <v>-0.151498390989541</v>
      </c>
      <c r="AK428" s="32" t="n">
        <f aca="false">IF(OR(AJ428="",N(AE428)=0),"",AJ428-AE428)</f>
        <v>0</v>
      </c>
      <c r="AL428" s="33" t="n">
        <f aca="false">IF(N(F428)=0,"",INDEX(Inputs!$B$28:$B$32,IFERROR(MATCH(F428,Inputs!$A$28:$A$32,1),0)+1))</f>
        <v>0.085</v>
      </c>
      <c r="AM428" s="34"/>
      <c r="AN428" s="33" t="n">
        <f aca="false">IF(N(AM428)&gt;0,AM428,AL428)</f>
        <v>0.085</v>
      </c>
      <c r="AO428" s="29" t="n">
        <f aca="false">IF(N(AN428)=0,"",AN428+IF(I428="yes",AN428*Inputs!$B$10*Inputs!$B$9,0)+IFERROR(INDEX(Inputs!$B$13:$B$15,MATCH(G428,Inputs!$A$13:$A$15,0)),0)+IFERROR(INDEX(Inputs!$B$18:$B$24,MATCH(H428,Inputs!$A$18:$A$24,0)),0))</f>
        <v>0.08</v>
      </c>
      <c r="AP428" s="28" t="n">
        <f aca="false">IF(OR(N(AO428)&lt;=0,N(AG428)=0,N(L428)=0),"",MIN(L428,AG428/AO428))</f>
        <v>19.53125</v>
      </c>
      <c r="AQ428" s="29" t="n">
        <f aca="false">IF(OR(AP428="",N(O428)=0),"",AP428/O428-1)</f>
        <v>-0.214350362027353</v>
      </c>
      <c r="AR428" s="29" t="n">
        <f aca="false">IF(OR(AQ428="",N(O428)=0),"",AQ428+AG428/O428)</f>
        <v>-0.151498390989541</v>
      </c>
      <c r="AS428" s="32" t="n">
        <f aca="false">IF(OR(AR428="",N(AJ428)=0),"",AR428-AJ428)</f>
        <v>0</v>
      </c>
      <c r="AT428" s="28" t="n">
        <v>25</v>
      </c>
      <c r="AU428" s="28" t="n">
        <v>1.56</v>
      </c>
      <c r="AV428" s="28" t="n">
        <f aca="false">IF(N(AT428)&gt;0,AT428,L428)</f>
        <v>25</v>
      </c>
      <c r="AW428" s="28" t="n">
        <f aca="false">IF(AND(N(M428)&gt;0,N(AV428)&gt;0),M428*AV428,IF(N(AU428)&gt;0,AU428,N428))</f>
        <v>1.5625</v>
      </c>
      <c r="AX428" s="29" t="n">
        <f aca="false">IF(N(AN428)=0,"",AN428+IF(I428="yes",AN428*Inputs!$B$10*Inputs!$B$9,0)+IFERROR(INDEX(Inputs!$B$13:$B$15,MATCH(G428,Inputs!$A$13:$A$15,0)),0)+IFERROR(INDEX(Inputs!$B$18:$B$24,MATCH(H428,Inputs!$A$18:$A$24,0)),0))</f>
        <v>0.08</v>
      </c>
      <c r="AY428" s="28" t="n">
        <f aca="false">IF(OR(N(AX428)&lt;=0,N(AW428)=0,N(AV428)=0),"",MIN(AV428,AW428/AX428))</f>
        <v>19.53125</v>
      </c>
      <c r="AZ428" s="29" t="n">
        <f aca="false">IF(OR(AY428="",N(O428)=0),"",AY428/O428-1)</f>
        <v>-0.214350362027353</v>
      </c>
      <c r="BA428" s="29" t="n">
        <f aca="false">IF(OR(AZ428="",N(O428)=0),"",AZ428+AW428/O428)</f>
        <v>-0.151498390989541</v>
      </c>
      <c r="BB428" s="32" t="n">
        <f aca="false">IF(OR(BA428="",N(AR428)=0),"",BA428-AR428)</f>
        <v>0</v>
      </c>
      <c r="BC428" s="35" t="n">
        <f aca="false">IF(OR(BA428="",N(U428)=0),"",BA428-U428)</f>
        <v>0</v>
      </c>
      <c r="BD428" s="37"/>
    </row>
    <row r="429" customFormat="false" ht="15" hidden="false" customHeight="false" outlineLevel="0" collapsed="false">
      <c r="A429" s="2" t="s">
        <v>768</v>
      </c>
      <c r="B429" s="2" t="n">
        <v>195</v>
      </c>
      <c r="C429" s="2" t="s">
        <v>886</v>
      </c>
      <c r="D429" s="2" t="s">
        <v>886</v>
      </c>
      <c r="E429" s="2" t="s">
        <v>143</v>
      </c>
      <c r="F429" s="27"/>
      <c r="G429" s="2" t="s">
        <v>51</v>
      </c>
      <c r="H429" s="2" t="s">
        <v>58</v>
      </c>
      <c r="I429" s="2" t="s">
        <v>144</v>
      </c>
      <c r="J429" s="2" t="s">
        <v>145</v>
      </c>
      <c r="K429" s="2" t="n">
        <v>4</v>
      </c>
      <c r="L429" s="28" t="n">
        <v>25</v>
      </c>
      <c r="M429" s="29" t="n">
        <v>0.07375</v>
      </c>
      <c r="N429" s="28" t="n">
        <v>1.84375</v>
      </c>
      <c r="O429" s="28" t="n">
        <v>0</v>
      </c>
      <c r="P429" s="2" t="s">
        <v>146</v>
      </c>
      <c r="Q429" s="29" t="n">
        <v>0</v>
      </c>
      <c r="R429" s="30" t="n">
        <v>0</v>
      </c>
      <c r="S429" s="31"/>
      <c r="T429" s="30"/>
      <c r="U429" s="30"/>
      <c r="V429" s="29" t="n">
        <v>0</v>
      </c>
      <c r="W429" s="29" t="str">
        <f aca="false">IF(N(Q429)=0,"",Q429+IF(I429="yes",Q429*Inputs!$B$10*Inputs!$B$9,0)+V429)</f>
        <v/>
      </c>
      <c r="X429" s="28" t="str">
        <f aca="false">IF(OR(N(W429)&lt;=0,N(N429)=0,N(L429)=0),"",MIN(L429,N429/W429))</f>
        <v/>
      </c>
      <c r="Y429" s="29" t="str">
        <f aca="false">IF(OR(X429="",N(O429)=0),"",X429/O429-1)</f>
        <v/>
      </c>
      <c r="Z429" s="29" t="str">
        <f aca="false">IF(OR(Y429="",N(O429)=0),"",Y429+N429/O429)</f>
        <v/>
      </c>
      <c r="AA429" s="32" t="str">
        <f aca="false">IF(OR(Z429="",N(U429)=0),"",Z429-U429)</f>
        <v/>
      </c>
      <c r="AB429" s="29" t="str">
        <f aca="false">IF(N(Q429)=0,"",Q429+IF(I429="yes",Q429*Inputs!$B$10*Inputs!$B$9,0)+IFERROR(INDEX(Inputs!$B$13:$B$15,MATCH(G429,Inputs!$A$13:$A$15,0)),0)+IFERROR(INDEX(Inputs!$B$18:$B$24,MATCH(H429,Inputs!$A$18:$A$24,0)),0))</f>
        <v/>
      </c>
      <c r="AC429" s="28" t="str">
        <f aca="false">IF(OR(N(AB429)&lt;=0,N(N429)=0,N(L429)=0),"",MIN(L429,N429/AB429))</f>
        <v/>
      </c>
      <c r="AD429" s="29" t="str">
        <f aca="false">IF(OR(AC429="",N(O429)=0),"",AC429/O429-1)</f>
        <v/>
      </c>
      <c r="AE429" s="29" t="str">
        <f aca="false">IF(OR(AD429="",N(O429)=0),"",AD429+N429/O429)</f>
        <v/>
      </c>
      <c r="AF429" s="32" t="str">
        <f aca="false">IF(OR(AE429="",N(Z429)=0),"",AE429-Z429)</f>
        <v/>
      </c>
      <c r="AG429" s="28" t="n">
        <f aca="false">IF(AND(N(M429)&gt;0,N(L429)&gt;0),M429*L429,N429)</f>
        <v>1.84375</v>
      </c>
      <c r="AH429" s="28" t="str">
        <f aca="false">IF(OR(N(AB429)&lt;=0,N(AG429)=0,N(L429)=0),"",MIN(L429,AG429/AB429))</f>
        <v/>
      </c>
      <c r="AI429" s="29" t="str">
        <f aca="false">IF(OR(AH429="",N(O429)=0),"",AH429/O429-1)</f>
        <v/>
      </c>
      <c r="AJ429" s="29" t="str">
        <f aca="false">IF(OR(AI429="",N(O429)=0),"",AI429+AG429/O429)</f>
        <v/>
      </c>
      <c r="AK429" s="32" t="str">
        <f aca="false">IF(OR(AJ429="",N(AE429)=0),"",AJ429-AE429)</f>
        <v/>
      </c>
      <c r="AL429" s="33" t="str">
        <f aca="false">IF(N(F429)=0,"",INDEX(Inputs!$B$28:$B$32,IFERROR(MATCH(F429,Inputs!$A$28:$A$32,1),0)+1))</f>
        <v/>
      </c>
      <c r="AM429" s="34"/>
      <c r="AN429" s="33" t="str">
        <f aca="false">IF(N(AM429)&gt;0,AM429,AL429)</f>
        <v/>
      </c>
      <c r="AO429" s="29" t="str">
        <f aca="false">IF(N(AN429)=0,"",AN429+IF(I429="yes",AN429*Inputs!$B$10*Inputs!$B$9,0)+IFERROR(INDEX(Inputs!$B$13:$B$15,MATCH(G429,Inputs!$A$13:$A$15,0)),0)+IFERROR(INDEX(Inputs!$B$18:$B$24,MATCH(H429,Inputs!$A$18:$A$24,0)),0))</f>
        <v/>
      </c>
      <c r="AP429" s="28" t="str">
        <f aca="false">IF(OR(N(AO429)&lt;=0,N(AG429)=0,N(L429)=0),"",MIN(L429,AG429/AO429))</f>
        <v/>
      </c>
      <c r="AQ429" s="29" t="str">
        <f aca="false">IF(OR(AP429="",N(O429)=0),"",AP429/O429-1)</f>
        <v/>
      </c>
      <c r="AR429" s="29" t="str">
        <f aca="false">IF(OR(AQ429="",N(O429)=0),"",AQ429+AG429/O429)</f>
        <v/>
      </c>
      <c r="AS429" s="32" t="str">
        <f aca="false">IF(OR(AR429="",N(AJ429)=0),"",AR429-AJ429)</f>
        <v/>
      </c>
      <c r="AT429" s="28"/>
      <c r="AU429" s="28"/>
      <c r="AV429" s="28" t="n">
        <f aca="false">IF(N(AT429)&gt;0,AT429,L429)</f>
        <v>25</v>
      </c>
      <c r="AW429" s="28" t="n">
        <f aca="false">IF(AND(N(M429)&gt;0,N(AV429)&gt;0),M429*AV429,IF(N(AU429)&gt;0,AU429,N429))</f>
        <v>1.84375</v>
      </c>
      <c r="AX429" s="29" t="str">
        <f aca="false">IF(N(AN429)=0,"",AN429+IF(I429="yes",AN429*Inputs!$B$10*Inputs!$B$9,0)+IFERROR(INDEX(Inputs!$B$13:$B$15,MATCH(G429,Inputs!$A$13:$A$15,0)),0)+IFERROR(INDEX(Inputs!$B$18:$B$24,MATCH(H429,Inputs!$A$18:$A$24,0)),0))</f>
        <v/>
      </c>
      <c r="AY429" s="28" t="str">
        <f aca="false">IF(OR(N(AX429)&lt;=0,N(AW429)=0,N(AV429)=0),"",MIN(AV429,AW429/AX429))</f>
        <v/>
      </c>
      <c r="AZ429" s="29" t="str">
        <f aca="false">IF(OR(AY429="",N(O429)=0),"",AY429/O429-1)</f>
        <v/>
      </c>
      <c r="BA429" s="29" t="str">
        <f aca="false">IF(OR(AZ429="",N(O429)=0),"",AZ429+AW429/O429)</f>
        <v/>
      </c>
      <c r="BB429" s="32" t="str">
        <f aca="false">IF(OR(BA429="",N(AR429)=0),"",BA429-AR429)</f>
        <v/>
      </c>
      <c r="BC429" s="35" t="str">
        <f aca="false">IF(OR(BA429="",N(U429)=0),"",BA429-U429)</f>
        <v/>
      </c>
      <c r="BD429" s="36" t="s">
        <v>147</v>
      </c>
    </row>
    <row r="430" customFormat="false" ht="15" hidden="false" customHeight="false" outlineLevel="0" collapsed="false">
      <c r="A430" s="2" t="s">
        <v>768</v>
      </c>
      <c r="B430" s="2" t="n">
        <v>196</v>
      </c>
      <c r="C430" s="2" t="s">
        <v>913</v>
      </c>
      <c r="D430" s="2" t="s">
        <v>886</v>
      </c>
      <c r="E430" s="2" t="s">
        <v>143</v>
      </c>
      <c r="F430" s="27"/>
      <c r="G430" s="2" t="s">
        <v>51</v>
      </c>
      <c r="H430" s="2" t="s">
        <v>58</v>
      </c>
      <c r="I430" s="2" t="s">
        <v>144</v>
      </c>
      <c r="J430" s="2" t="s">
        <v>145</v>
      </c>
      <c r="K430" s="2" t="n">
        <v>4</v>
      </c>
      <c r="L430" s="28" t="n">
        <v>25</v>
      </c>
      <c r="M430" s="29" t="n">
        <v>0.07125</v>
      </c>
      <c r="N430" s="28" t="n">
        <v>1.78125</v>
      </c>
      <c r="O430" s="28" t="n">
        <v>0</v>
      </c>
      <c r="P430" s="2" t="s">
        <v>223</v>
      </c>
      <c r="Q430" s="29" t="n">
        <v>0</v>
      </c>
      <c r="R430" s="30" t="n">
        <v>0</v>
      </c>
      <c r="S430" s="31"/>
      <c r="T430" s="30"/>
      <c r="U430" s="30"/>
      <c r="V430" s="29" t="n">
        <v>0</v>
      </c>
      <c r="W430" s="29" t="str">
        <f aca="false">IF(N(Q430)=0,"",Q430+IF(I430="yes",Q430*Inputs!$B$10*Inputs!$B$9,0)+V430)</f>
        <v/>
      </c>
      <c r="X430" s="28" t="str">
        <f aca="false">IF(OR(N(W430)&lt;=0,N(N430)=0,N(L430)=0),"",MIN(L430,N430/W430))</f>
        <v/>
      </c>
      <c r="Y430" s="29" t="str">
        <f aca="false">IF(OR(X430="",N(O430)=0),"",X430/O430-1)</f>
        <v/>
      </c>
      <c r="Z430" s="29" t="str">
        <f aca="false">IF(OR(Y430="",N(O430)=0),"",Y430+N430/O430)</f>
        <v/>
      </c>
      <c r="AA430" s="32" t="str">
        <f aca="false">IF(OR(Z430="",N(U430)=0),"",Z430-U430)</f>
        <v/>
      </c>
      <c r="AB430" s="29" t="str">
        <f aca="false">IF(N(Q430)=0,"",Q430+IF(I430="yes",Q430*Inputs!$B$10*Inputs!$B$9,0)+IFERROR(INDEX(Inputs!$B$13:$B$15,MATCH(G430,Inputs!$A$13:$A$15,0)),0)+IFERROR(INDEX(Inputs!$B$18:$B$24,MATCH(H430,Inputs!$A$18:$A$24,0)),0))</f>
        <v/>
      </c>
      <c r="AC430" s="28" t="str">
        <f aca="false">IF(OR(N(AB430)&lt;=0,N(N430)=0,N(L430)=0),"",MIN(L430,N430/AB430))</f>
        <v/>
      </c>
      <c r="AD430" s="29" t="str">
        <f aca="false">IF(OR(AC430="",N(O430)=0),"",AC430/O430-1)</f>
        <v/>
      </c>
      <c r="AE430" s="29" t="str">
        <f aca="false">IF(OR(AD430="",N(O430)=0),"",AD430+N430/O430)</f>
        <v/>
      </c>
      <c r="AF430" s="32" t="str">
        <f aca="false">IF(OR(AE430="",N(Z430)=0),"",AE430-Z430)</f>
        <v/>
      </c>
      <c r="AG430" s="28" t="n">
        <f aca="false">IF(AND(N(M430)&gt;0,N(L430)&gt;0),M430*L430,N430)</f>
        <v>1.78125</v>
      </c>
      <c r="AH430" s="28" t="str">
        <f aca="false">IF(OR(N(AB430)&lt;=0,N(AG430)=0,N(L430)=0),"",MIN(L430,AG430/AB430))</f>
        <v/>
      </c>
      <c r="AI430" s="29" t="str">
        <f aca="false">IF(OR(AH430="",N(O430)=0),"",AH430/O430-1)</f>
        <v/>
      </c>
      <c r="AJ430" s="29" t="str">
        <f aca="false">IF(OR(AI430="",N(O430)=0),"",AI430+AG430/O430)</f>
        <v/>
      </c>
      <c r="AK430" s="32" t="str">
        <f aca="false">IF(OR(AJ430="",N(AE430)=0),"",AJ430-AE430)</f>
        <v/>
      </c>
      <c r="AL430" s="33" t="str">
        <f aca="false">IF(N(F430)=0,"",INDEX(Inputs!$B$28:$B$32,IFERROR(MATCH(F430,Inputs!$A$28:$A$32,1),0)+1))</f>
        <v/>
      </c>
      <c r="AM430" s="34"/>
      <c r="AN430" s="33" t="str">
        <f aca="false">IF(N(AM430)&gt;0,AM430,AL430)</f>
        <v/>
      </c>
      <c r="AO430" s="29" t="str">
        <f aca="false">IF(N(AN430)=0,"",AN430+IF(I430="yes",AN430*Inputs!$B$10*Inputs!$B$9,0)+IFERROR(INDEX(Inputs!$B$13:$B$15,MATCH(G430,Inputs!$A$13:$A$15,0)),0)+IFERROR(INDEX(Inputs!$B$18:$B$24,MATCH(H430,Inputs!$A$18:$A$24,0)),0))</f>
        <v/>
      </c>
      <c r="AP430" s="28" t="str">
        <f aca="false">IF(OR(N(AO430)&lt;=0,N(AG430)=0,N(L430)=0),"",MIN(L430,AG430/AO430))</f>
        <v/>
      </c>
      <c r="AQ430" s="29" t="str">
        <f aca="false">IF(OR(AP430="",N(O430)=0),"",AP430/O430-1)</f>
        <v/>
      </c>
      <c r="AR430" s="29" t="str">
        <f aca="false">IF(OR(AQ430="",N(O430)=0),"",AQ430+AG430/O430)</f>
        <v/>
      </c>
      <c r="AS430" s="32" t="str">
        <f aca="false">IF(OR(AR430="",N(AJ430)=0),"",AR430-AJ430)</f>
        <v/>
      </c>
      <c r="AT430" s="28"/>
      <c r="AU430" s="28"/>
      <c r="AV430" s="28" t="n">
        <f aca="false">IF(N(AT430)&gt;0,AT430,L430)</f>
        <v>25</v>
      </c>
      <c r="AW430" s="28" t="n">
        <f aca="false">IF(AND(N(M430)&gt;0,N(AV430)&gt;0),M430*AV430,IF(N(AU430)&gt;0,AU430,N430))</f>
        <v>1.78125</v>
      </c>
      <c r="AX430" s="29" t="str">
        <f aca="false">IF(N(AN430)=0,"",AN430+IF(I430="yes",AN430*Inputs!$B$10*Inputs!$B$9,0)+IFERROR(INDEX(Inputs!$B$13:$B$15,MATCH(G430,Inputs!$A$13:$A$15,0)),0)+IFERROR(INDEX(Inputs!$B$18:$B$24,MATCH(H430,Inputs!$A$18:$A$24,0)),0))</f>
        <v/>
      </c>
      <c r="AY430" s="28" t="str">
        <f aca="false">IF(OR(N(AX430)&lt;=0,N(AW430)=0,N(AV430)=0),"",MIN(AV430,AW430/AX430))</f>
        <v/>
      </c>
      <c r="AZ430" s="29" t="str">
        <f aca="false">IF(OR(AY430="",N(O430)=0),"",AY430/O430-1)</f>
        <v/>
      </c>
      <c r="BA430" s="29" t="str">
        <f aca="false">IF(OR(AZ430="",N(O430)=0),"",AZ430+AW430/O430)</f>
        <v/>
      </c>
      <c r="BB430" s="32" t="str">
        <f aca="false">IF(OR(BA430="",N(AR430)=0),"",BA430-AR430)</f>
        <v/>
      </c>
      <c r="BC430" s="35" t="str">
        <f aca="false">IF(OR(BA430="",N(U430)=0),"",BA430-U430)</f>
        <v/>
      </c>
      <c r="BD430" s="36" t="s">
        <v>328</v>
      </c>
    </row>
    <row r="431" customFormat="false" ht="15" hidden="false" customHeight="false" outlineLevel="0" collapsed="false">
      <c r="A431" s="2" t="s">
        <v>768</v>
      </c>
      <c r="B431" s="2" t="n">
        <v>199</v>
      </c>
      <c r="C431" s="2" t="s">
        <v>914</v>
      </c>
      <c r="D431" s="2" t="s">
        <v>915</v>
      </c>
      <c r="E431" s="2" t="s">
        <v>916</v>
      </c>
      <c r="F431" s="27" t="n">
        <v>6100</v>
      </c>
      <c r="G431" s="2" t="s">
        <v>52</v>
      </c>
      <c r="H431" s="2" t="s">
        <v>58</v>
      </c>
      <c r="I431" s="2" t="s">
        <v>144</v>
      </c>
      <c r="J431" s="2" t="s">
        <v>145</v>
      </c>
      <c r="K431" s="2" t="n">
        <v>4</v>
      </c>
      <c r="L431" s="28" t="n">
        <v>25</v>
      </c>
      <c r="M431" s="29" t="n">
        <v>0.0625</v>
      </c>
      <c r="N431" s="28" t="n">
        <v>1.5625</v>
      </c>
      <c r="O431" s="28" t="n">
        <v>22.17</v>
      </c>
      <c r="P431" s="2" t="s">
        <v>146</v>
      </c>
      <c r="Q431" s="29" t="n">
        <v>0.08</v>
      </c>
      <c r="R431" s="30" t="n">
        <v>0.075</v>
      </c>
      <c r="S431" s="31" t="n">
        <v>20.8333333333333</v>
      </c>
      <c r="T431" s="30" t="n">
        <v>-0.060291685460833</v>
      </c>
      <c r="U431" s="30" t="n">
        <v>0.0101864381296046</v>
      </c>
      <c r="V431" s="29" t="n">
        <v>-0.005</v>
      </c>
      <c r="W431" s="29" t="n">
        <f aca="false">IF(N(Q431)=0,"",Q431+IF(I431="yes",Q431*Inputs!$B$10*Inputs!$B$9,0)+V431)</f>
        <v>0.075</v>
      </c>
      <c r="X431" s="28" t="n">
        <f aca="false">IF(OR(N(W431)&lt;=0,N(N431)=0,N(L431)=0),"",MIN(L431,N431/W431))</f>
        <v>20.8333333333333</v>
      </c>
      <c r="Y431" s="29" t="n">
        <f aca="false">IF(OR(X431="",N(O431)=0),"",X431/O431-1)</f>
        <v>-0.060291685460833</v>
      </c>
      <c r="Z431" s="29" t="n">
        <f aca="false">IF(OR(Y431="",N(O431)=0),"",Y431+N431/O431)</f>
        <v>0.0101864381296046</v>
      </c>
      <c r="AA431" s="32" t="n">
        <f aca="false">IF(OR(Z431="",N(U431)=0),"",Z431-U431)</f>
        <v>0</v>
      </c>
      <c r="AB431" s="29" t="n">
        <f aca="false">IF(N(Q431)=0,"",Q431+IF(I431="yes",Q431*Inputs!$B$10*Inputs!$B$9,0)+IFERROR(INDEX(Inputs!$B$13:$B$15,MATCH(G431,Inputs!$A$13:$A$15,0)),0)+IFERROR(INDEX(Inputs!$B$18:$B$24,MATCH(H431,Inputs!$A$18:$A$24,0)),0))</f>
        <v>0.075</v>
      </c>
      <c r="AC431" s="28" t="n">
        <f aca="false">IF(OR(N(AB431)&lt;=0,N(N431)=0,N(L431)=0),"",MIN(L431,N431/AB431))</f>
        <v>20.8333333333333</v>
      </c>
      <c r="AD431" s="29" t="n">
        <f aca="false">IF(OR(AC431="",N(O431)=0),"",AC431/O431-1)</f>
        <v>-0.060291685460833</v>
      </c>
      <c r="AE431" s="29" t="n">
        <f aca="false">IF(OR(AD431="",N(O431)=0),"",AD431+N431/O431)</f>
        <v>0.0101864381296046</v>
      </c>
      <c r="AF431" s="32" t="n">
        <f aca="false">IF(OR(AE431="",N(Z431)=0),"",AE431-Z431)</f>
        <v>0</v>
      </c>
      <c r="AG431" s="28" t="n">
        <f aca="false">IF(AND(N(M431)&gt;0,N(L431)&gt;0),M431*L431,N431)</f>
        <v>1.5625</v>
      </c>
      <c r="AH431" s="28" t="n">
        <f aca="false">IF(OR(N(AB431)&lt;=0,N(AG431)=0,N(L431)=0),"",MIN(L431,AG431/AB431))</f>
        <v>20.8333333333333</v>
      </c>
      <c r="AI431" s="29" t="n">
        <f aca="false">IF(OR(AH431="",N(O431)=0),"",AH431/O431-1)</f>
        <v>-0.060291685460833</v>
      </c>
      <c r="AJ431" s="29" t="n">
        <f aca="false">IF(OR(AI431="",N(O431)=0),"",AI431+AG431/O431)</f>
        <v>0.0101864381296046</v>
      </c>
      <c r="AK431" s="32" t="n">
        <f aca="false">IF(OR(AJ431="",N(AE431)=0),"",AJ431-AE431)</f>
        <v>0</v>
      </c>
      <c r="AL431" s="33" t="n">
        <f aca="false">IF(N(F431)=0,"",INDEX(Inputs!$B$28:$B$32,IFERROR(MATCH(F431,Inputs!$A$28:$A$32,1),0)+1))</f>
        <v>0.08</v>
      </c>
      <c r="AM431" s="34"/>
      <c r="AN431" s="33" t="n">
        <f aca="false">IF(N(AM431)&gt;0,AM431,AL431)</f>
        <v>0.08</v>
      </c>
      <c r="AO431" s="29" t="n">
        <f aca="false">IF(N(AN431)=0,"",AN431+IF(I431="yes",AN431*Inputs!$B$10*Inputs!$B$9,0)+IFERROR(INDEX(Inputs!$B$13:$B$15,MATCH(G431,Inputs!$A$13:$A$15,0)),0)+IFERROR(INDEX(Inputs!$B$18:$B$24,MATCH(H431,Inputs!$A$18:$A$24,0)),0))</f>
        <v>0.075</v>
      </c>
      <c r="AP431" s="28" t="n">
        <f aca="false">IF(OR(N(AO431)&lt;=0,N(AG431)=0,N(L431)=0),"",MIN(L431,AG431/AO431))</f>
        <v>20.8333333333333</v>
      </c>
      <c r="AQ431" s="29" t="n">
        <f aca="false">IF(OR(AP431="",N(O431)=0),"",AP431/O431-1)</f>
        <v>-0.060291685460833</v>
      </c>
      <c r="AR431" s="29" t="n">
        <f aca="false">IF(OR(AQ431="",N(O431)=0),"",AQ431+AG431/O431)</f>
        <v>0.0101864381296046</v>
      </c>
      <c r="AS431" s="32" t="n">
        <f aca="false">IF(OR(AR431="",N(AJ431)=0),"",AR431-AJ431)</f>
        <v>0</v>
      </c>
      <c r="AT431" s="28" t="n">
        <v>25</v>
      </c>
      <c r="AU431" s="28" t="n">
        <v>1.5625</v>
      </c>
      <c r="AV431" s="28" t="n">
        <f aca="false">IF(N(AT431)&gt;0,AT431,L431)</f>
        <v>25</v>
      </c>
      <c r="AW431" s="28" t="n">
        <f aca="false">IF(AND(N(M431)&gt;0,N(AV431)&gt;0),M431*AV431,IF(N(AU431)&gt;0,AU431,N431))</f>
        <v>1.5625</v>
      </c>
      <c r="AX431" s="29" t="n">
        <f aca="false">IF(N(AN431)=0,"",AN431+IF(I431="yes",AN431*Inputs!$B$10*Inputs!$B$9,0)+IFERROR(INDEX(Inputs!$B$13:$B$15,MATCH(G431,Inputs!$A$13:$A$15,0)),0)+IFERROR(INDEX(Inputs!$B$18:$B$24,MATCH(H431,Inputs!$A$18:$A$24,0)),0))</f>
        <v>0.075</v>
      </c>
      <c r="AY431" s="28" t="n">
        <f aca="false">IF(OR(N(AX431)&lt;=0,N(AW431)=0,N(AV431)=0),"",MIN(AV431,AW431/AX431))</f>
        <v>20.8333333333333</v>
      </c>
      <c r="AZ431" s="29" t="n">
        <f aca="false">IF(OR(AY431="",N(O431)=0),"",AY431/O431-1)</f>
        <v>-0.060291685460833</v>
      </c>
      <c r="BA431" s="29" t="n">
        <f aca="false">IF(OR(AZ431="",N(O431)=0),"",AZ431+AW431/O431)</f>
        <v>0.0101864381296046</v>
      </c>
      <c r="BB431" s="32" t="n">
        <f aca="false">IF(OR(BA431="",N(AR431)=0),"",BA431-AR431)</f>
        <v>0</v>
      </c>
      <c r="BC431" s="35" t="n">
        <f aca="false">IF(OR(BA431="",N(U431)=0),"",BA431-U431)</f>
        <v>0</v>
      </c>
      <c r="BD431" s="37"/>
    </row>
    <row r="432" customFormat="false" ht="15" hidden="false" customHeight="false" outlineLevel="0" collapsed="false">
      <c r="A432" s="2" t="s">
        <v>768</v>
      </c>
      <c r="B432" s="2" t="n">
        <v>203</v>
      </c>
      <c r="C432" s="2" t="s">
        <v>917</v>
      </c>
      <c r="D432" s="2" t="s">
        <v>918</v>
      </c>
      <c r="E432" s="2" t="s">
        <v>919</v>
      </c>
      <c r="F432" s="27" t="n">
        <v>109100</v>
      </c>
      <c r="G432" s="2" t="s">
        <v>51</v>
      </c>
      <c r="H432" s="2" t="s">
        <v>58</v>
      </c>
      <c r="I432" s="2" t="s">
        <v>151</v>
      </c>
      <c r="J432" s="2" t="s">
        <v>145</v>
      </c>
      <c r="K432" s="2" t="n">
        <v>4</v>
      </c>
      <c r="L432" s="28" t="n">
        <v>100</v>
      </c>
      <c r="M432" s="29" t="n">
        <v>0.0375</v>
      </c>
      <c r="N432" s="28" t="n">
        <v>3.75</v>
      </c>
      <c r="O432" s="28" t="n">
        <v>0</v>
      </c>
      <c r="P432" s="2" t="s">
        <v>146</v>
      </c>
      <c r="Q432" s="29" t="n">
        <v>0.08</v>
      </c>
      <c r="R432" s="30" t="n">
        <v>0.076</v>
      </c>
      <c r="S432" s="31" t="n">
        <v>49.3421052631579</v>
      </c>
      <c r="T432" s="30"/>
      <c r="U432" s="30"/>
      <c r="V432" s="29" t="n">
        <v>0</v>
      </c>
      <c r="W432" s="29" t="n">
        <f aca="false">IF(N(Q432)=0,"",Q432+IF(I432="yes",Q432*Inputs!$B$10*Inputs!$B$9,0)+V432)</f>
        <v>0.076</v>
      </c>
      <c r="X432" s="28" t="n">
        <f aca="false">IF(OR(N(W432)&lt;=0,N(N432)=0,N(L432)=0),"",MIN(L432,N432/W432))</f>
        <v>49.3421052631579</v>
      </c>
      <c r="Y432" s="29" t="str">
        <f aca="false">IF(OR(X432="",N(O432)=0),"",X432/O432-1)</f>
        <v/>
      </c>
      <c r="Z432" s="29" t="str">
        <f aca="false">IF(OR(Y432="",N(O432)=0),"",Y432+N432/O432)</f>
        <v/>
      </c>
      <c r="AA432" s="32" t="str">
        <f aca="false">IF(OR(Z432="",N(U432)=0),"",Z432-U432)</f>
        <v/>
      </c>
      <c r="AB432" s="29" t="n">
        <f aca="false">IF(N(Q432)=0,"",Q432+IF(I432="yes",Q432*Inputs!$B$10*Inputs!$B$9,0)+IFERROR(INDEX(Inputs!$B$13:$B$15,MATCH(G432,Inputs!$A$13:$A$15,0)),0)+IFERROR(INDEX(Inputs!$B$18:$B$24,MATCH(H432,Inputs!$A$18:$A$24,0)),0))</f>
        <v>0.076</v>
      </c>
      <c r="AC432" s="28" t="n">
        <f aca="false">IF(OR(N(AB432)&lt;=0,N(N432)=0,N(L432)=0),"",MIN(L432,N432/AB432))</f>
        <v>49.3421052631579</v>
      </c>
      <c r="AD432" s="29" t="str">
        <f aca="false">IF(OR(AC432="",N(O432)=0),"",AC432/O432-1)</f>
        <v/>
      </c>
      <c r="AE432" s="29" t="str">
        <f aca="false">IF(OR(AD432="",N(O432)=0),"",AD432+N432/O432)</f>
        <v/>
      </c>
      <c r="AF432" s="32" t="str">
        <f aca="false">IF(OR(AE432="",N(Z432)=0),"",AE432-Z432)</f>
        <v/>
      </c>
      <c r="AG432" s="28" t="n">
        <f aca="false">IF(AND(N(M432)&gt;0,N(L432)&gt;0),M432*L432,N432)</f>
        <v>3.75</v>
      </c>
      <c r="AH432" s="28" t="n">
        <f aca="false">IF(OR(N(AB432)&lt;=0,N(AG432)=0,N(L432)=0),"",MIN(L432,AG432/AB432))</f>
        <v>49.3421052631579</v>
      </c>
      <c r="AI432" s="29" t="str">
        <f aca="false">IF(OR(AH432="",N(O432)=0),"",AH432/O432-1)</f>
        <v/>
      </c>
      <c r="AJ432" s="29" t="str">
        <f aca="false">IF(OR(AI432="",N(O432)=0),"",AI432+AG432/O432)</f>
        <v/>
      </c>
      <c r="AK432" s="32" t="str">
        <f aca="false">IF(OR(AJ432="",N(AE432)=0),"",AJ432-AE432)</f>
        <v/>
      </c>
      <c r="AL432" s="33" t="n">
        <f aca="false">IF(N(F432)=0,"",INDEX(Inputs!$B$28:$B$32,IFERROR(MATCH(F432,Inputs!$A$28:$A$32,1),0)+1))</f>
        <v>0.075</v>
      </c>
      <c r="AM432" s="34"/>
      <c r="AN432" s="33" t="n">
        <f aca="false">IF(N(AM432)&gt;0,AM432,AL432)</f>
        <v>0.075</v>
      </c>
      <c r="AO432" s="29" t="n">
        <f aca="false">IF(N(AN432)=0,"",AN432+IF(I432="yes",AN432*Inputs!$B$10*Inputs!$B$9,0)+IFERROR(INDEX(Inputs!$B$13:$B$15,MATCH(G432,Inputs!$A$13:$A$15,0)),0)+IFERROR(INDEX(Inputs!$B$18:$B$24,MATCH(H432,Inputs!$A$18:$A$24,0)),0))</f>
        <v>0.07125</v>
      </c>
      <c r="AP432" s="28" t="n">
        <f aca="false">IF(OR(N(AO432)&lt;=0,N(AG432)=0,N(L432)=0),"",MIN(L432,AG432/AO432))</f>
        <v>52.6315789473684</v>
      </c>
      <c r="AQ432" s="29" t="str">
        <f aca="false">IF(OR(AP432="",N(O432)=0),"",AP432/O432-1)</f>
        <v/>
      </c>
      <c r="AR432" s="29" t="str">
        <f aca="false">IF(OR(AQ432="",N(O432)=0),"",AQ432+AG432/O432)</f>
        <v/>
      </c>
      <c r="AS432" s="32" t="str">
        <f aca="false">IF(OR(AR432="",N(AJ432)=0),"",AR432-AJ432)</f>
        <v/>
      </c>
      <c r="AT432" s="28" t="n">
        <v>100</v>
      </c>
      <c r="AU432" s="28" t="n">
        <v>3.75</v>
      </c>
      <c r="AV432" s="28" t="n">
        <f aca="false">IF(N(AT432)&gt;0,AT432,L432)</f>
        <v>100</v>
      </c>
      <c r="AW432" s="28" t="n">
        <f aca="false">IF(AND(N(M432)&gt;0,N(AV432)&gt;0),M432*AV432,IF(N(AU432)&gt;0,AU432,N432))</f>
        <v>3.75</v>
      </c>
      <c r="AX432" s="29" t="n">
        <f aca="false">IF(N(AN432)=0,"",AN432+IF(I432="yes",AN432*Inputs!$B$10*Inputs!$B$9,0)+IFERROR(INDEX(Inputs!$B$13:$B$15,MATCH(G432,Inputs!$A$13:$A$15,0)),0)+IFERROR(INDEX(Inputs!$B$18:$B$24,MATCH(H432,Inputs!$A$18:$A$24,0)),0))</f>
        <v>0.07125</v>
      </c>
      <c r="AY432" s="28" t="n">
        <f aca="false">IF(OR(N(AX432)&lt;=0,N(AW432)=0,N(AV432)=0),"",MIN(AV432,AW432/AX432))</f>
        <v>52.6315789473684</v>
      </c>
      <c r="AZ432" s="29" t="str">
        <f aca="false">IF(OR(AY432="",N(O432)=0),"",AY432/O432-1)</f>
        <v/>
      </c>
      <c r="BA432" s="29" t="str">
        <f aca="false">IF(OR(AZ432="",N(O432)=0),"",AZ432+AW432/O432)</f>
        <v/>
      </c>
      <c r="BB432" s="32" t="str">
        <f aca="false">IF(OR(BA432="",N(AR432)=0),"",BA432-AR432)</f>
        <v/>
      </c>
      <c r="BC432" s="35" t="str">
        <f aca="false">IF(OR(BA432="",N(U432)=0),"",BA432-U432)</f>
        <v/>
      </c>
      <c r="BD432" s="36" t="s">
        <v>299</v>
      </c>
    </row>
    <row r="433" customFormat="false" ht="15" hidden="false" customHeight="false" outlineLevel="0" collapsed="false">
      <c r="A433" s="2" t="s">
        <v>768</v>
      </c>
      <c r="B433" s="2" t="n">
        <v>209</v>
      </c>
      <c r="C433" s="2" t="s">
        <v>920</v>
      </c>
      <c r="D433" s="2" t="s">
        <v>918</v>
      </c>
      <c r="E433" s="2" t="s">
        <v>919</v>
      </c>
      <c r="F433" s="27" t="n">
        <v>109100</v>
      </c>
      <c r="G433" s="2" t="s">
        <v>51</v>
      </c>
      <c r="H433" s="2" t="s">
        <v>58</v>
      </c>
      <c r="I433" s="2" t="s">
        <v>144</v>
      </c>
      <c r="J433" s="2" t="s">
        <v>145</v>
      </c>
      <c r="K433" s="2" t="n">
        <v>4</v>
      </c>
      <c r="L433" s="28" t="n">
        <v>25</v>
      </c>
      <c r="M433" s="29" t="n">
        <v>0.0675</v>
      </c>
      <c r="N433" s="28" t="n">
        <v>1.6875</v>
      </c>
      <c r="O433" s="28" t="n">
        <v>23.5</v>
      </c>
      <c r="P433" s="2" t="s">
        <v>146</v>
      </c>
      <c r="Q433" s="29" t="n">
        <v>0.1</v>
      </c>
      <c r="R433" s="30" t="n">
        <v>0.1</v>
      </c>
      <c r="S433" s="31" t="n">
        <v>16.875</v>
      </c>
      <c r="T433" s="30" t="n">
        <v>-0.281914893617021</v>
      </c>
      <c r="U433" s="30" t="n">
        <v>-0.210106382978723</v>
      </c>
      <c r="V433" s="29" t="n">
        <v>0</v>
      </c>
      <c r="W433" s="29" t="n">
        <f aca="false">IF(N(Q433)=0,"",Q433+IF(I433="yes",Q433*Inputs!$B$10*Inputs!$B$9,0)+V433)</f>
        <v>0.1</v>
      </c>
      <c r="X433" s="28" t="n">
        <f aca="false">IF(OR(N(W433)&lt;=0,N(N433)=0,N(L433)=0),"",MIN(L433,N433/W433))</f>
        <v>16.875</v>
      </c>
      <c r="Y433" s="29" t="n">
        <f aca="false">IF(OR(X433="",N(O433)=0),"",X433/O433-1)</f>
        <v>-0.281914893617021</v>
      </c>
      <c r="Z433" s="29" t="n">
        <f aca="false">IF(OR(Y433="",N(O433)=0),"",Y433+N433/O433)</f>
        <v>-0.210106382978723</v>
      </c>
      <c r="AA433" s="32" t="n">
        <f aca="false">IF(OR(Z433="",N(U433)=0),"",Z433-U433)</f>
        <v>0</v>
      </c>
      <c r="AB433" s="29" t="n">
        <f aca="false">IF(N(Q433)=0,"",Q433+IF(I433="yes",Q433*Inputs!$B$10*Inputs!$B$9,0)+IFERROR(INDEX(Inputs!$B$13:$B$15,MATCH(G433,Inputs!$A$13:$A$15,0)),0)+IFERROR(INDEX(Inputs!$B$18:$B$24,MATCH(H433,Inputs!$A$18:$A$24,0)),0))</f>
        <v>0.1</v>
      </c>
      <c r="AC433" s="28" t="n">
        <f aca="false">IF(OR(N(AB433)&lt;=0,N(N433)=0,N(L433)=0),"",MIN(L433,N433/AB433))</f>
        <v>16.875</v>
      </c>
      <c r="AD433" s="29" t="n">
        <f aca="false">IF(OR(AC433="",N(O433)=0),"",AC433/O433-1)</f>
        <v>-0.281914893617021</v>
      </c>
      <c r="AE433" s="29" t="n">
        <f aca="false">IF(OR(AD433="",N(O433)=0),"",AD433+N433/O433)</f>
        <v>-0.210106382978723</v>
      </c>
      <c r="AF433" s="32" t="n">
        <f aca="false">IF(OR(AE433="",N(Z433)=0),"",AE433-Z433)</f>
        <v>0</v>
      </c>
      <c r="AG433" s="28" t="n">
        <f aca="false">IF(AND(N(M433)&gt;0,N(L433)&gt;0),M433*L433,N433)</f>
        <v>1.6875</v>
      </c>
      <c r="AH433" s="28" t="n">
        <f aca="false">IF(OR(N(AB433)&lt;=0,N(AG433)=0,N(L433)=0),"",MIN(L433,AG433/AB433))</f>
        <v>16.875</v>
      </c>
      <c r="AI433" s="29" t="n">
        <f aca="false">IF(OR(AH433="",N(O433)=0),"",AH433/O433-1)</f>
        <v>-0.281914893617021</v>
      </c>
      <c r="AJ433" s="29" t="n">
        <f aca="false">IF(OR(AI433="",N(O433)=0),"",AI433+AG433/O433)</f>
        <v>-0.210106382978723</v>
      </c>
      <c r="AK433" s="32" t="n">
        <f aca="false">IF(OR(AJ433="",N(AE433)=0),"",AJ433-AE433)</f>
        <v>0</v>
      </c>
      <c r="AL433" s="33" t="n">
        <f aca="false">IF(N(F433)=0,"",INDEX(Inputs!$B$28:$B$32,IFERROR(MATCH(F433,Inputs!$A$28:$A$32,1),0)+1))</f>
        <v>0.075</v>
      </c>
      <c r="AM433" s="34"/>
      <c r="AN433" s="33" t="n">
        <f aca="false">IF(N(AM433)&gt;0,AM433,AL433)</f>
        <v>0.075</v>
      </c>
      <c r="AO433" s="29" t="n">
        <f aca="false">IF(N(AN433)=0,"",AN433+IF(I433="yes",AN433*Inputs!$B$10*Inputs!$B$9,0)+IFERROR(INDEX(Inputs!$B$13:$B$15,MATCH(G433,Inputs!$A$13:$A$15,0)),0)+IFERROR(INDEX(Inputs!$B$18:$B$24,MATCH(H433,Inputs!$A$18:$A$24,0)),0))</f>
        <v>0.075</v>
      </c>
      <c r="AP433" s="28" t="n">
        <f aca="false">IF(OR(N(AO433)&lt;=0,N(AG433)=0,N(L433)=0),"",MIN(L433,AG433/AO433))</f>
        <v>22.5</v>
      </c>
      <c r="AQ433" s="29" t="n">
        <f aca="false">IF(OR(AP433="",N(O433)=0),"",AP433/O433-1)</f>
        <v>-0.0425531914893617</v>
      </c>
      <c r="AR433" s="29" t="n">
        <f aca="false">IF(OR(AQ433="",N(O433)=0),"",AQ433+AG433/O433)</f>
        <v>0.0292553191489362</v>
      </c>
      <c r="AS433" s="32" t="n">
        <f aca="false">IF(OR(AR433="",N(AJ433)=0),"",AR433-AJ433)</f>
        <v>0.23936170212766</v>
      </c>
      <c r="AT433" s="28" t="n">
        <v>25</v>
      </c>
      <c r="AU433" s="28" t="n">
        <v>1.6875</v>
      </c>
      <c r="AV433" s="28" t="n">
        <f aca="false">IF(N(AT433)&gt;0,AT433,L433)</f>
        <v>25</v>
      </c>
      <c r="AW433" s="28" t="n">
        <f aca="false">IF(AND(N(M433)&gt;0,N(AV433)&gt;0),M433*AV433,IF(N(AU433)&gt;0,AU433,N433))</f>
        <v>1.6875</v>
      </c>
      <c r="AX433" s="29" t="n">
        <f aca="false">IF(N(AN433)=0,"",AN433+IF(I433="yes",AN433*Inputs!$B$10*Inputs!$B$9,0)+IFERROR(INDEX(Inputs!$B$13:$B$15,MATCH(G433,Inputs!$A$13:$A$15,0)),0)+IFERROR(INDEX(Inputs!$B$18:$B$24,MATCH(H433,Inputs!$A$18:$A$24,0)),0))</f>
        <v>0.075</v>
      </c>
      <c r="AY433" s="28" t="n">
        <f aca="false">IF(OR(N(AX433)&lt;=0,N(AW433)=0,N(AV433)=0),"",MIN(AV433,AW433/AX433))</f>
        <v>22.5</v>
      </c>
      <c r="AZ433" s="29" t="n">
        <f aca="false">IF(OR(AY433="",N(O433)=0),"",AY433/O433-1)</f>
        <v>-0.0425531914893617</v>
      </c>
      <c r="BA433" s="29" t="n">
        <f aca="false">IF(OR(AZ433="",N(O433)=0),"",AZ433+AW433/O433)</f>
        <v>0.0292553191489362</v>
      </c>
      <c r="BB433" s="32" t="n">
        <f aca="false">IF(OR(BA433="",N(AR433)=0),"",BA433-AR433)</f>
        <v>0</v>
      </c>
      <c r="BC433" s="35" t="n">
        <f aca="false">IF(OR(BA433="",N(U433)=0),"",BA433-U433)</f>
        <v>0.23936170212766</v>
      </c>
      <c r="BD433" s="37"/>
    </row>
    <row r="434" customFormat="false" ht="15" hidden="false" customHeight="false" outlineLevel="0" collapsed="false">
      <c r="A434" s="2" t="s">
        <v>768</v>
      </c>
      <c r="B434" s="2" t="n">
        <v>213</v>
      </c>
      <c r="C434" s="2" t="s">
        <v>921</v>
      </c>
      <c r="D434" s="2" t="s">
        <v>922</v>
      </c>
      <c r="E434" s="2" t="s">
        <v>923</v>
      </c>
      <c r="F434" s="27" t="n">
        <v>1600</v>
      </c>
      <c r="G434" s="2" t="s">
        <v>51</v>
      </c>
      <c r="H434" s="2" t="s">
        <v>58</v>
      </c>
      <c r="I434" s="2" t="s">
        <v>144</v>
      </c>
      <c r="J434" s="2" t="s">
        <v>145</v>
      </c>
      <c r="K434" s="2" t="n">
        <v>4</v>
      </c>
      <c r="L434" s="28" t="n">
        <v>25</v>
      </c>
      <c r="M434" s="29" t="n">
        <v>0.09</v>
      </c>
      <c r="N434" s="28" t="n">
        <v>2.25</v>
      </c>
      <c r="O434" s="28" t="n">
        <v>25.06</v>
      </c>
      <c r="P434" s="2" t="s">
        <v>146</v>
      </c>
      <c r="Q434" s="29" t="n">
        <v>0.08</v>
      </c>
      <c r="R434" s="30" t="n">
        <v>0.08</v>
      </c>
      <c r="S434" s="31" t="n">
        <v>25</v>
      </c>
      <c r="T434" s="30" t="n">
        <v>-0.00239425379090197</v>
      </c>
      <c r="U434" s="30" t="n">
        <v>0.0873902633679169</v>
      </c>
      <c r="V434" s="29" t="n">
        <v>0</v>
      </c>
      <c r="W434" s="29" t="n">
        <f aca="false">IF(N(Q434)=0,"",Q434+IF(I434="yes",Q434*Inputs!$B$10*Inputs!$B$9,0)+V434)</f>
        <v>0.08</v>
      </c>
      <c r="X434" s="28" t="n">
        <f aca="false">IF(OR(N(W434)&lt;=0,N(N434)=0,N(L434)=0),"",MIN(L434,N434/W434))</f>
        <v>25</v>
      </c>
      <c r="Y434" s="29" t="n">
        <f aca="false">IF(OR(X434="",N(O434)=0),"",X434/O434-1)</f>
        <v>-0.00239425379090175</v>
      </c>
      <c r="Z434" s="29" t="n">
        <f aca="false">IF(OR(Y434="",N(O434)=0),"",Y434+N434/O434)</f>
        <v>0.0873902633679171</v>
      </c>
      <c r="AA434" s="32" t="n">
        <f aca="false">IF(OR(Z434="",N(U434)=0),"",Z434-U434)</f>
        <v>0</v>
      </c>
      <c r="AB434" s="29" t="n">
        <f aca="false">IF(N(Q434)=0,"",Q434+IF(I434="yes",Q434*Inputs!$B$10*Inputs!$B$9,0)+IFERROR(INDEX(Inputs!$B$13:$B$15,MATCH(G434,Inputs!$A$13:$A$15,0)),0)+IFERROR(INDEX(Inputs!$B$18:$B$24,MATCH(H434,Inputs!$A$18:$A$24,0)),0))</f>
        <v>0.08</v>
      </c>
      <c r="AC434" s="28" t="n">
        <f aca="false">IF(OR(N(AB434)&lt;=0,N(N434)=0,N(L434)=0),"",MIN(L434,N434/AB434))</f>
        <v>25</v>
      </c>
      <c r="AD434" s="29" t="n">
        <f aca="false">IF(OR(AC434="",N(O434)=0),"",AC434/O434-1)</f>
        <v>-0.00239425379090175</v>
      </c>
      <c r="AE434" s="29" t="n">
        <f aca="false">IF(OR(AD434="",N(O434)=0),"",AD434+N434/O434)</f>
        <v>0.0873902633679171</v>
      </c>
      <c r="AF434" s="32" t="n">
        <f aca="false">IF(OR(AE434="",N(Z434)=0),"",AE434-Z434)</f>
        <v>0</v>
      </c>
      <c r="AG434" s="28" t="n">
        <f aca="false">IF(AND(N(M434)&gt;0,N(L434)&gt;0),M434*L434,N434)</f>
        <v>2.25</v>
      </c>
      <c r="AH434" s="28" t="n">
        <f aca="false">IF(OR(N(AB434)&lt;=0,N(AG434)=0,N(L434)=0),"",MIN(L434,AG434/AB434))</f>
        <v>25</v>
      </c>
      <c r="AI434" s="29" t="n">
        <f aca="false">IF(OR(AH434="",N(O434)=0),"",AH434/O434-1)</f>
        <v>-0.00239425379090175</v>
      </c>
      <c r="AJ434" s="29" t="n">
        <f aca="false">IF(OR(AI434="",N(O434)=0),"",AI434+AG434/O434)</f>
        <v>0.0873902633679171</v>
      </c>
      <c r="AK434" s="32" t="n">
        <f aca="false">IF(OR(AJ434="",N(AE434)=0),"",AJ434-AE434)</f>
        <v>0</v>
      </c>
      <c r="AL434" s="33" t="n">
        <f aca="false">IF(N(F434)=0,"",INDEX(Inputs!$B$28:$B$32,IFERROR(MATCH(F434,Inputs!$A$28:$A$32,1),0)+1))</f>
        <v>0.085</v>
      </c>
      <c r="AM434" s="34"/>
      <c r="AN434" s="33" t="n">
        <f aca="false">IF(N(AM434)&gt;0,AM434,AL434)</f>
        <v>0.085</v>
      </c>
      <c r="AO434" s="29" t="n">
        <f aca="false">IF(N(AN434)=0,"",AN434+IF(I434="yes",AN434*Inputs!$B$10*Inputs!$B$9,0)+IFERROR(INDEX(Inputs!$B$13:$B$15,MATCH(G434,Inputs!$A$13:$A$15,0)),0)+IFERROR(INDEX(Inputs!$B$18:$B$24,MATCH(H434,Inputs!$A$18:$A$24,0)),0))</f>
        <v>0.085</v>
      </c>
      <c r="AP434" s="28" t="n">
        <f aca="false">IF(OR(N(AO434)&lt;=0,N(AG434)=0,N(L434)=0),"",MIN(L434,AG434/AO434))</f>
        <v>25</v>
      </c>
      <c r="AQ434" s="29" t="n">
        <f aca="false">IF(OR(AP434="",N(O434)=0),"",AP434/O434-1)</f>
        <v>-0.00239425379090175</v>
      </c>
      <c r="AR434" s="29" t="n">
        <f aca="false">IF(OR(AQ434="",N(O434)=0),"",AQ434+AG434/O434)</f>
        <v>0.0873902633679171</v>
      </c>
      <c r="AS434" s="32" t="n">
        <f aca="false">IF(OR(AR434="",N(AJ434)=0),"",AR434-AJ434)</f>
        <v>0</v>
      </c>
      <c r="AT434" s="28" t="n">
        <v>25</v>
      </c>
      <c r="AU434" s="28" t="n">
        <v>2.25</v>
      </c>
      <c r="AV434" s="28" t="n">
        <f aca="false">IF(N(AT434)&gt;0,AT434,L434)</f>
        <v>25</v>
      </c>
      <c r="AW434" s="28" t="n">
        <f aca="false">IF(AND(N(M434)&gt;0,N(AV434)&gt;0),M434*AV434,IF(N(AU434)&gt;0,AU434,N434))</f>
        <v>2.25</v>
      </c>
      <c r="AX434" s="29" t="n">
        <f aca="false">IF(N(AN434)=0,"",AN434+IF(I434="yes",AN434*Inputs!$B$10*Inputs!$B$9,0)+IFERROR(INDEX(Inputs!$B$13:$B$15,MATCH(G434,Inputs!$A$13:$A$15,0)),0)+IFERROR(INDEX(Inputs!$B$18:$B$24,MATCH(H434,Inputs!$A$18:$A$24,0)),0))</f>
        <v>0.085</v>
      </c>
      <c r="AY434" s="28" t="n">
        <f aca="false">IF(OR(N(AX434)&lt;=0,N(AW434)=0,N(AV434)=0),"",MIN(AV434,AW434/AX434))</f>
        <v>25</v>
      </c>
      <c r="AZ434" s="29" t="n">
        <f aca="false">IF(OR(AY434="",N(O434)=0),"",AY434/O434-1)</f>
        <v>-0.00239425379090175</v>
      </c>
      <c r="BA434" s="29" t="n">
        <f aca="false">IF(OR(AZ434="",N(O434)=0),"",AZ434+AW434/O434)</f>
        <v>0.0873902633679171</v>
      </c>
      <c r="BB434" s="32" t="n">
        <f aca="false">IF(OR(BA434="",N(AR434)=0),"",BA434-AR434)</f>
        <v>0</v>
      </c>
      <c r="BC434" s="35" t="n">
        <f aca="false">IF(OR(BA434="",N(U434)=0),"",BA434-U434)</f>
        <v>0</v>
      </c>
      <c r="BD434" s="37"/>
    </row>
    <row r="435" customFormat="false" ht="15" hidden="false" customHeight="false" outlineLevel="0" collapsed="false">
      <c r="A435" s="2" t="s">
        <v>768</v>
      </c>
      <c r="B435" s="2" t="n">
        <v>217</v>
      </c>
      <c r="C435" s="2" t="s">
        <v>924</v>
      </c>
      <c r="D435" s="2" t="s">
        <v>925</v>
      </c>
      <c r="E435" s="2" t="s">
        <v>926</v>
      </c>
      <c r="F435" s="27" t="n">
        <v>227</v>
      </c>
      <c r="G435" s="2" t="s">
        <v>51</v>
      </c>
      <c r="H435" s="2" t="s">
        <v>58</v>
      </c>
      <c r="I435" s="2" t="s">
        <v>144</v>
      </c>
      <c r="J435" s="2" t="s">
        <v>145</v>
      </c>
      <c r="K435" s="2" t="n">
        <v>4</v>
      </c>
      <c r="L435" s="28" t="n">
        <v>25</v>
      </c>
      <c r="M435" s="29" t="n">
        <v>0.0875</v>
      </c>
      <c r="N435" s="28" t="n">
        <v>2.1875</v>
      </c>
      <c r="O435" s="28" t="n">
        <v>25.86</v>
      </c>
      <c r="P435" s="2" t="s">
        <v>223</v>
      </c>
      <c r="Q435" s="29" t="n">
        <v>0.1</v>
      </c>
      <c r="R435" s="30" t="n">
        <v>0.1</v>
      </c>
      <c r="S435" s="31" t="n">
        <v>21.875</v>
      </c>
      <c r="T435" s="30" t="n">
        <v>-0.154098994586234</v>
      </c>
      <c r="U435" s="30" t="n">
        <v>-0.0695088940448569</v>
      </c>
      <c r="V435" s="29" t="n">
        <v>0</v>
      </c>
      <c r="W435" s="29" t="n">
        <f aca="false">IF(N(Q435)=0,"",Q435+IF(I435="yes",Q435*Inputs!$B$10*Inputs!$B$9,0)+V435)</f>
        <v>0.1</v>
      </c>
      <c r="X435" s="28" t="n">
        <f aca="false">IF(OR(N(W435)&lt;=0,N(N435)=0,N(L435)=0),"",MIN(L435,N435/W435))</f>
        <v>21.875</v>
      </c>
      <c r="Y435" s="29" t="n">
        <f aca="false">IF(OR(X435="",N(O435)=0),"",X435/O435-1)</f>
        <v>-0.154098994586234</v>
      </c>
      <c r="Z435" s="29" t="n">
        <f aca="false">IF(OR(Y435="",N(O435)=0),"",Y435+N435/O435)</f>
        <v>-0.0695088940448569</v>
      </c>
      <c r="AA435" s="32" t="n">
        <f aca="false">IF(OR(Z435="",N(U435)=0),"",Z435-U435)</f>
        <v>0</v>
      </c>
      <c r="AB435" s="29" t="n">
        <f aca="false">IF(N(Q435)=0,"",Q435+IF(I435="yes",Q435*Inputs!$B$10*Inputs!$B$9,0)+IFERROR(INDEX(Inputs!$B$13:$B$15,MATCH(G435,Inputs!$A$13:$A$15,0)),0)+IFERROR(INDEX(Inputs!$B$18:$B$24,MATCH(H435,Inputs!$A$18:$A$24,0)),0))</f>
        <v>0.1</v>
      </c>
      <c r="AC435" s="28" t="n">
        <f aca="false">IF(OR(N(AB435)&lt;=0,N(N435)=0,N(L435)=0),"",MIN(L435,N435/AB435))</f>
        <v>21.875</v>
      </c>
      <c r="AD435" s="29" t="n">
        <f aca="false">IF(OR(AC435="",N(O435)=0),"",AC435/O435-1)</f>
        <v>-0.154098994586234</v>
      </c>
      <c r="AE435" s="29" t="n">
        <f aca="false">IF(OR(AD435="",N(O435)=0),"",AD435+N435/O435)</f>
        <v>-0.0695088940448569</v>
      </c>
      <c r="AF435" s="32" t="n">
        <f aca="false">IF(OR(AE435="",N(Z435)=0),"",AE435-Z435)</f>
        <v>0</v>
      </c>
      <c r="AG435" s="28" t="n">
        <f aca="false">IF(AND(N(M435)&gt;0,N(L435)&gt;0),M435*L435,N435)</f>
        <v>2.1875</v>
      </c>
      <c r="AH435" s="28" t="n">
        <f aca="false">IF(OR(N(AB435)&lt;=0,N(AG435)=0,N(L435)=0),"",MIN(L435,AG435/AB435))</f>
        <v>21.875</v>
      </c>
      <c r="AI435" s="29" t="n">
        <f aca="false">IF(OR(AH435="",N(O435)=0),"",AH435/O435-1)</f>
        <v>-0.154098994586234</v>
      </c>
      <c r="AJ435" s="29" t="n">
        <f aca="false">IF(OR(AI435="",N(O435)=0),"",AI435+AG435/O435)</f>
        <v>-0.0695088940448569</v>
      </c>
      <c r="AK435" s="32" t="n">
        <f aca="false">IF(OR(AJ435="",N(AE435)=0),"",AJ435-AE435)</f>
        <v>0</v>
      </c>
      <c r="AL435" s="33" t="n">
        <f aca="false">IF(N(F435)=0,"",INDEX(Inputs!$B$28:$B$32,IFERROR(MATCH(F435,Inputs!$A$28:$A$32,1),0)+1))</f>
        <v>0.1</v>
      </c>
      <c r="AM435" s="34"/>
      <c r="AN435" s="33" t="n">
        <f aca="false">IF(N(AM435)&gt;0,AM435,AL435)</f>
        <v>0.1</v>
      </c>
      <c r="AO435" s="29" t="n">
        <f aca="false">IF(N(AN435)=0,"",AN435+IF(I435="yes",AN435*Inputs!$B$10*Inputs!$B$9,0)+IFERROR(INDEX(Inputs!$B$13:$B$15,MATCH(G435,Inputs!$A$13:$A$15,0)),0)+IFERROR(INDEX(Inputs!$B$18:$B$24,MATCH(H435,Inputs!$A$18:$A$24,0)),0))</f>
        <v>0.1</v>
      </c>
      <c r="AP435" s="28" t="n">
        <f aca="false">IF(OR(N(AO435)&lt;=0,N(AG435)=0,N(L435)=0),"",MIN(L435,AG435/AO435))</f>
        <v>21.875</v>
      </c>
      <c r="AQ435" s="29" t="n">
        <f aca="false">IF(OR(AP435="",N(O435)=0),"",AP435/O435-1)</f>
        <v>-0.154098994586234</v>
      </c>
      <c r="AR435" s="29" t="n">
        <f aca="false">IF(OR(AQ435="",N(O435)=0),"",AQ435+AG435/O435)</f>
        <v>-0.0695088940448569</v>
      </c>
      <c r="AS435" s="32" t="n">
        <f aca="false">IF(OR(AR435="",N(AJ435)=0),"",AR435-AJ435)</f>
        <v>0</v>
      </c>
      <c r="AT435" s="28" t="n">
        <v>25</v>
      </c>
      <c r="AU435" s="28" t="n">
        <v>2.1875</v>
      </c>
      <c r="AV435" s="28" t="n">
        <f aca="false">IF(N(AT435)&gt;0,AT435,L435)</f>
        <v>25</v>
      </c>
      <c r="AW435" s="28" t="n">
        <f aca="false">IF(AND(N(M435)&gt;0,N(AV435)&gt;0),M435*AV435,IF(N(AU435)&gt;0,AU435,N435))</f>
        <v>2.1875</v>
      </c>
      <c r="AX435" s="29" t="n">
        <f aca="false">IF(N(AN435)=0,"",AN435+IF(I435="yes",AN435*Inputs!$B$10*Inputs!$B$9,0)+IFERROR(INDEX(Inputs!$B$13:$B$15,MATCH(G435,Inputs!$A$13:$A$15,0)),0)+IFERROR(INDEX(Inputs!$B$18:$B$24,MATCH(H435,Inputs!$A$18:$A$24,0)),0))</f>
        <v>0.1</v>
      </c>
      <c r="AY435" s="28" t="n">
        <f aca="false">IF(OR(N(AX435)&lt;=0,N(AW435)=0,N(AV435)=0),"",MIN(AV435,AW435/AX435))</f>
        <v>21.875</v>
      </c>
      <c r="AZ435" s="29" t="n">
        <f aca="false">IF(OR(AY435="",N(O435)=0),"",AY435/O435-1)</f>
        <v>-0.154098994586234</v>
      </c>
      <c r="BA435" s="29" t="n">
        <f aca="false">IF(OR(AZ435="",N(O435)=0),"",AZ435+AW435/O435)</f>
        <v>-0.0695088940448569</v>
      </c>
      <c r="BB435" s="32" t="n">
        <f aca="false">IF(OR(BA435="",N(AR435)=0),"",BA435-AR435)</f>
        <v>0</v>
      </c>
      <c r="BC435" s="35" t="n">
        <f aca="false">IF(OR(BA435="",N(U435)=0),"",BA435-U435)</f>
        <v>0</v>
      </c>
      <c r="BD435" s="36" t="s">
        <v>224</v>
      </c>
    </row>
    <row r="436" customFormat="false" ht="15" hidden="false" customHeight="false" outlineLevel="0" collapsed="false">
      <c r="A436" s="2" t="s">
        <v>768</v>
      </c>
      <c r="B436" s="2" t="n">
        <v>221</v>
      </c>
      <c r="C436" s="2" t="s">
        <v>927</v>
      </c>
      <c r="D436" s="2" t="s">
        <v>928</v>
      </c>
      <c r="E436" s="2" t="s">
        <v>929</v>
      </c>
      <c r="F436" s="27" t="n">
        <v>249</v>
      </c>
      <c r="G436" s="2" t="s">
        <v>52</v>
      </c>
      <c r="H436" s="2" t="s">
        <v>59</v>
      </c>
      <c r="I436" s="2" t="s">
        <v>144</v>
      </c>
      <c r="J436" s="2" t="s">
        <v>145</v>
      </c>
      <c r="K436" s="2" t="n">
        <v>4</v>
      </c>
      <c r="L436" s="28" t="n">
        <v>25</v>
      </c>
      <c r="M436" s="29" t="n">
        <v>0.06</v>
      </c>
      <c r="N436" s="28" t="n">
        <v>1.5</v>
      </c>
      <c r="O436" s="28" t="n">
        <v>25.2</v>
      </c>
      <c r="P436" s="2" t="s">
        <v>146</v>
      </c>
      <c r="Q436" s="29" t="n">
        <v>0.08</v>
      </c>
      <c r="R436" s="30" t="n">
        <v>0.08</v>
      </c>
      <c r="S436" s="31" t="n">
        <v>18.75</v>
      </c>
      <c r="T436" s="30" t="n">
        <v>-0.255952380952381</v>
      </c>
      <c r="U436" s="30" t="n">
        <v>-0.196428571428571</v>
      </c>
      <c r="V436" s="29" t="n">
        <v>-0.005</v>
      </c>
      <c r="W436" s="29" t="n">
        <f aca="false">IF(N(Q436)=0,"",Q436+IF(I436="yes",Q436*Inputs!$B$10*Inputs!$B$9,0)+V436)</f>
        <v>0.075</v>
      </c>
      <c r="X436" s="28" t="n">
        <f aca="false">IF(OR(N(W436)&lt;=0,N(N436)=0,N(L436)=0),"",MIN(L436,N436/W436))</f>
        <v>20</v>
      </c>
      <c r="Y436" s="29" t="n">
        <f aca="false">IF(OR(X436="",N(O436)=0),"",X436/O436-1)</f>
        <v>-0.206349206349206</v>
      </c>
      <c r="Z436" s="29" t="n">
        <f aca="false">IF(OR(Y436="",N(O436)=0),"",Y436+N436/O436)</f>
        <v>-0.146825396825397</v>
      </c>
      <c r="AA436" s="32" t="n">
        <f aca="false">IF(OR(Z436="",N(U436)=0),"",Z436-U436)</f>
        <v>0.0496031746031747</v>
      </c>
      <c r="AB436" s="29" t="n">
        <f aca="false">IF(N(Q436)=0,"",Q436+IF(I436="yes",Q436*Inputs!$B$10*Inputs!$B$9,0)+IFERROR(INDEX(Inputs!$B$13:$B$15,MATCH(G436,Inputs!$A$13:$A$15,0)),0)+IFERROR(INDEX(Inputs!$B$18:$B$24,MATCH(H436,Inputs!$A$18:$A$24,0)),0))</f>
        <v>0.075</v>
      </c>
      <c r="AC436" s="28" t="n">
        <f aca="false">IF(OR(N(AB436)&lt;=0,N(N436)=0,N(L436)=0),"",MIN(L436,N436/AB436))</f>
        <v>20</v>
      </c>
      <c r="AD436" s="29" t="n">
        <f aca="false">IF(OR(AC436="",N(O436)=0),"",AC436/O436-1)</f>
        <v>-0.206349206349206</v>
      </c>
      <c r="AE436" s="29" t="n">
        <f aca="false">IF(OR(AD436="",N(O436)=0),"",AD436+N436/O436)</f>
        <v>-0.146825396825397</v>
      </c>
      <c r="AF436" s="32" t="n">
        <f aca="false">IF(OR(AE436="",N(Z436)=0),"",AE436-Z436)</f>
        <v>0</v>
      </c>
      <c r="AG436" s="28" t="n">
        <f aca="false">IF(AND(N(M436)&gt;0,N(L436)&gt;0),M436*L436,N436)</f>
        <v>1.5</v>
      </c>
      <c r="AH436" s="28" t="n">
        <f aca="false">IF(OR(N(AB436)&lt;=0,N(AG436)=0,N(L436)=0),"",MIN(L436,AG436/AB436))</f>
        <v>20</v>
      </c>
      <c r="AI436" s="29" t="n">
        <f aca="false">IF(OR(AH436="",N(O436)=0),"",AH436/O436-1)</f>
        <v>-0.206349206349206</v>
      </c>
      <c r="AJ436" s="29" t="n">
        <f aca="false">IF(OR(AI436="",N(O436)=0),"",AI436+AG436/O436)</f>
        <v>-0.146825396825397</v>
      </c>
      <c r="AK436" s="32" t="n">
        <f aca="false">IF(OR(AJ436="",N(AE436)=0),"",AJ436-AE436)</f>
        <v>0</v>
      </c>
      <c r="AL436" s="33" t="n">
        <f aca="false">IF(N(F436)=0,"",INDEX(Inputs!$B$28:$B$32,IFERROR(MATCH(F436,Inputs!$A$28:$A$32,1),0)+1))</f>
        <v>0.1</v>
      </c>
      <c r="AM436" s="34"/>
      <c r="AN436" s="33" t="n">
        <f aca="false">IF(N(AM436)&gt;0,AM436,AL436)</f>
        <v>0.1</v>
      </c>
      <c r="AO436" s="29" t="n">
        <f aca="false">IF(N(AN436)=0,"",AN436+IF(I436="yes",AN436*Inputs!$B$10*Inputs!$B$9,0)+IFERROR(INDEX(Inputs!$B$13:$B$15,MATCH(G436,Inputs!$A$13:$A$15,0)),0)+IFERROR(INDEX(Inputs!$B$18:$B$24,MATCH(H436,Inputs!$A$18:$A$24,0)),0))</f>
        <v>0.095</v>
      </c>
      <c r="AP436" s="28" t="n">
        <f aca="false">IF(OR(N(AO436)&lt;=0,N(AG436)=0,N(L436)=0),"",MIN(L436,AG436/AO436))</f>
        <v>15.7894736842105</v>
      </c>
      <c r="AQ436" s="29" t="n">
        <f aca="false">IF(OR(AP436="",N(O436)=0),"",AP436/O436-1)</f>
        <v>-0.3734335839599</v>
      </c>
      <c r="AR436" s="29" t="n">
        <f aca="false">IF(OR(AQ436="",N(O436)=0),"",AQ436+AG436/O436)</f>
        <v>-0.31390977443609</v>
      </c>
      <c r="AS436" s="32" t="n">
        <f aca="false">IF(OR(AR436="",N(AJ436)=0),"",AR436-AJ436)</f>
        <v>-0.167084377610694</v>
      </c>
      <c r="AT436" s="28" t="n">
        <v>25</v>
      </c>
      <c r="AU436" s="28" t="n">
        <v>1.5</v>
      </c>
      <c r="AV436" s="28" t="n">
        <f aca="false">IF(N(AT436)&gt;0,AT436,L436)</f>
        <v>25</v>
      </c>
      <c r="AW436" s="28" t="n">
        <f aca="false">IF(AND(N(M436)&gt;0,N(AV436)&gt;0),M436*AV436,IF(N(AU436)&gt;0,AU436,N436))</f>
        <v>1.5</v>
      </c>
      <c r="AX436" s="29" t="n">
        <f aca="false">IF(N(AN436)=0,"",AN436+IF(I436="yes",AN436*Inputs!$B$10*Inputs!$B$9,0)+IFERROR(INDEX(Inputs!$B$13:$B$15,MATCH(G436,Inputs!$A$13:$A$15,0)),0)+IFERROR(INDEX(Inputs!$B$18:$B$24,MATCH(H436,Inputs!$A$18:$A$24,0)),0))</f>
        <v>0.095</v>
      </c>
      <c r="AY436" s="28" t="n">
        <f aca="false">IF(OR(N(AX436)&lt;=0,N(AW436)=0,N(AV436)=0),"",MIN(AV436,AW436/AX436))</f>
        <v>15.7894736842105</v>
      </c>
      <c r="AZ436" s="29" t="n">
        <f aca="false">IF(OR(AY436="",N(O436)=0),"",AY436/O436-1)</f>
        <v>-0.3734335839599</v>
      </c>
      <c r="BA436" s="29" t="n">
        <f aca="false">IF(OR(AZ436="",N(O436)=0),"",AZ436+AW436/O436)</f>
        <v>-0.31390977443609</v>
      </c>
      <c r="BB436" s="32" t="n">
        <f aca="false">IF(OR(BA436="",N(AR436)=0),"",BA436-AR436)</f>
        <v>0</v>
      </c>
      <c r="BC436" s="35" t="n">
        <f aca="false">IF(OR(BA436="",N(U436)=0),"",BA436-U436)</f>
        <v>-0.117481203007519</v>
      </c>
      <c r="BD436" s="37"/>
    </row>
    <row r="437" customFormat="false" ht="15" hidden="false" customHeight="false" outlineLevel="0" collapsed="false">
      <c r="A437" s="2" t="s">
        <v>768</v>
      </c>
      <c r="B437" s="2" t="n">
        <v>225</v>
      </c>
      <c r="C437" s="2" t="s">
        <v>930</v>
      </c>
      <c r="D437" s="2" t="s">
        <v>931</v>
      </c>
      <c r="E437" s="2" t="s">
        <v>932</v>
      </c>
      <c r="F437" s="27" t="n">
        <v>664</v>
      </c>
      <c r="G437" s="2" t="s">
        <v>51</v>
      </c>
      <c r="H437" s="2" t="s">
        <v>58</v>
      </c>
      <c r="I437" s="2" t="s">
        <v>144</v>
      </c>
      <c r="J437" s="2" t="s">
        <v>145</v>
      </c>
      <c r="K437" s="2" t="n">
        <v>4</v>
      </c>
      <c r="L437" s="28" t="n">
        <v>25</v>
      </c>
      <c r="M437" s="29" t="n">
        <v>0.0625</v>
      </c>
      <c r="N437" s="28" t="n">
        <v>1.5625</v>
      </c>
      <c r="O437" s="28" t="n">
        <v>17.95</v>
      </c>
      <c r="P437" s="2" t="s">
        <v>146</v>
      </c>
      <c r="Q437" s="29" t="n">
        <v>0.1</v>
      </c>
      <c r="R437" s="30" t="n">
        <v>0.1</v>
      </c>
      <c r="S437" s="31" t="n">
        <v>15.625</v>
      </c>
      <c r="T437" s="30" t="n">
        <v>-0.129526462395543</v>
      </c>
      <c r="U437" s="30" t="n">
        <v>-0.0424791086350974</v>
      </c>
      <c r="V437" s="29" t="n">
        <v>0</v>
      </c>
      <c r="W437" s="29" t="n">
        <f aca="false">IF(N(Q437)=0,"",Q437+IF(I437="yes",Q437*Inputs!$B$10*Inputs!$B$9,0)+V437)</f>
        <v>0.1</v>
      </c>
      <c r="X437" s="28" t="n">
        <f aca="false">IF(OR(N(W437)&lt;=0,N(N437)=0,N(L437)=0),"",MIN(L437,N437/W437))</f>
        <v>15.625</v>
      </c>
      <c r="Y437" s="29" t="n">
        <f aca="false">IF(OR(X437="",N(O437)=0),"",X437/O437-1)</f>
        <v>-0.129526462395543</v>
      </c>
      <c r="Z437" s="29" t="n">
        <f aca="false">IF(OR(Y437="",N(O437)=0),"",Y437+N437/O437)</f>
        <v>-0.0424791086350974</v>
      </c>
      <c r="AA437" s="32" t="n">
        <f aca="false">IF(OR(Z437="",N(U437)=0),"",Z437-U437)</f>
        <v>0</v>
      </c>
      <c r="AB437" s="29" t="n">
        <f aca="false">IF(N(Q437)=0,"",Q437+IF(I437="yes",Q437*Inputs!$B$10*Inputs!$B$9,0)+IFERROR(INDEX(Inputs!$B$13:$B$15,MATCH(G437,Inputs!$A$13:$A$15,0)),0)+IFERROR(INDEX(Inputs!$B$18:$B$24,MATCH(H437,Inputs!$A$18:$A$24,0)),0))</f>
        <v>0.1</v>
      </c>
      <c r="AC437" s="28" t="n">
        <f aca="false">IF(OR(N(AB437)&lt;=0,N(N437)=0,N(L437)=0),"",MIN(L437,N437/AB437))</f>
        <v>15.625</v>
      </c>
      <c r="AD437" s="29" t="n">
        <f aca="false">IF(OR(AC437="",N(O437)=0),"",AC437/O437-1)</f>
        <v>-0.129526462395543</v>
      </c>
      <c r="AE437" s="29" t="n">
        <f aca="false">IF(OR(AD437="",N(O437)=0),"",AD437+N437/O437)</f>
        <v>-0.0424791086350974</v>
      </c>
      <c r="AF437" s="32" t="n">
        <f aca="false">IF(OR(AE437="",N(Z437)=0),"",AE437-Z437)</f>
        <v>0</v>
      </c>
      <c r="AG437" s="28" t="n">
        <f aca="false">IF(AND(N(M437)&gt;0,N(L437)&gt;0),M437*L437,N437)</f>
        <v>1.5625</v>
      </c>
      <c r="AH437" s="28" t="n">
        <f aca="false">IF(OR(N(AB437)&lt;=0,N(AG437)=0,N(L437)=0),"",MIN(L437,AG437/AB437))</f>
        <v>15.625</v>
      </c>
      <c r="AI437" s="29" t="n">
        <f aca="false">IF(OR(AH437="",N(O437)=0),"",AH437/O437-1)</f>
        <v>-0.129526462395543</v>
      </c>
      <c r="AJ437" s="29" t="n">
        <f aca="false">IF(OR(AI437="",N(O437)=0),"",AI437+AG437/O437)</f>
        <v>-0.0424791086350974</v>
      </c>
      <c r="AK437" s="32" t="n">
        <f aca="false">IF(OR(AJ437="",N(AE437)=0),"",AJ437-AE437)</f>
        <v>0</v>
      </c>
      <c r="AL437" s="33" t="n">
        <f aca="false">IF(N(F437)=0,"",INDEX(Inputs!$B$28:$B$32,IFERROR(MATCH(F437,Inputs!$A$28:$A$32,1),0)+1))</f>
        <v>0.09</v>
      </c>
      <c r="AM437" s="34"/>
      <c r="AN437" s="33" t="n">
        <f aca="false">IF(N(AM437)&gt;0,AM437,AL437)</f>
        <v>0.09</v>
      </c>
      <c r="AO437" s="29" t="n">
        <f aca="false">IF(N(AN437)=0,"",AN437+IF(I437="yes",AN437*Inputs!$B$10*Inputs!$B$9,0)+IFERROR(INDEX(Inputs!$B$13:$B$15,MATCH(G437,Inputs!$A$13:$A$15,0)),0)+IFERROR(INDEX(Inputs!$B$18:$B$24,MATCH(H437,Inputs!$A$18:$A$24,0)),0))</f>
        <v>0.09</v>
      </c>
      <c r="AP437" s="28" t="n">
        <f aca="false">IF(OR(N(AO437)&lt;=0,N(AG437)=0,N(L437)=0),"",MIN(L437,AG437/AO437))</f>
        <v>17.3611111111111</v>
      </c>
      <c r="AQ437" s="29" t="n">
        <f aca="false">IF(OR(AP437="",N(O437)=0),"",AP437/O437-1)</f>
        <v>-0.0328071804394924</v>
      </c>
      <c r="AR437" s="29" t="n">
        <f aca="false">IF(OR(AQ437="",N(O437)=0),"",AQ437+AG437/O437)</f>
        <v>0.0542401733209533</v>
      </c>
      <c r="AS437" s="32" t="n">
        <f aca="false">IF(OR(AR437="",N(AJ437)=0),"",AR437-AJ437)</f>
        <v>0.0967192819560507</v>
      </c>
      <c r="AT437" s="28" t="n">
        <v>25</v>
      </c>
      <c r="AU437" s="28" t="n">
        <v>1.56</v>
      </c>
      <c r="AV437" s="28" t="n">
        <f aca="false">IF(N(AT437)&gt;0,AT437,L437)</f>
        <v>25</v>
      </c>
      <c r="AW437" s="28" t="n">
        <f aca="false">IF(AND(N(M437)&gt;0,N(AV437)&gt;0),M437*AV437,IF(N(AU437)&gt;0,AU437,N437))</f>
        <v>1.5625</v>
      </c>
      <c r="AX437" s="29" t="n">
        <f aca="false">IF(N(AN437)=0,"",AN437+IF(I437="yes",AN437*Inputs!$B$10*Inputs!$B$9,0)+IFERROR(INDEX(Inputs!$B$13:$B$15,MATCH(G437,Inputs!$A$13:$A$15,0)),0)+IFERROR(INDEX(Inputs!$B$18:$B$24,MATCH(H437,Inputs!$A$18:$A$24,0)),0))</f>
        <v>0.09</v>
      </c>
      <c r="AY437" s="28" t="n">
        <f aca="false">IF(OR(N(AX437)&lt;=0,N(AW437)=0,N(AV437)=0),"",MIN(AV437,AW437/AX437))</f>
        <v>17.3611111111111</v>
      </c>
      <c r="AZ437" s="29" t="n">
        <f aca="false">IF(OR(AY437="",N(O437)=0),"",AY437/O437-1)</f>
        <v>-0.0328071804394924</v>
      </c>
      <c r="BA437" s="29" t="n">
        <f aca="false">IF(OR(AZ437="",N(O437)=0),"",AZ437+AW437/O437)</f>
        <v>0.0542401733209533</v>
      </c>
      <c r="BB437" s="32" t="n">
        <f aca="false">IF(OR(BA437="",N(AR437)=0),"",BA437-AR437)</f>
        <v>0</v>
      </c>
      <c r="BC437" s="35" t="n">
        <f aca="false">IF(OR(BA437="",N(U437)=0),"",BA437-U437)</f>
        <v>0.0967192819560507</v>
      </c>
      <c r="BD437" s="37"/>
    </row>
    <row r="438" customFormat="false" ht="15" hidden="false" customHeight="false" outlineLevel="0" collapsed="false">
      <c r="A438" s="2" t="s">
        <v>768</v>
      </c>
      <c r="B438" s="2" t="n">
        <v>226</v>
      </c>
      <c r="C438" s="2" t="s">
        <v>933</v>
      </c>
      <c r="D438" s="2" t="s">
        <v>931</v>
      </c>
      <c r="E438" s="2" t="s">
        <v>932</v>
      </c>
      <c r="F438" s="27" t="n">
        <v>664</v>
      </c>
      <c r="G438" s="2" t="s">
        <v>51</v>
      </c>
      <c r="H438" s="2" t="s">
        <v>58</v>
      </c>
      <c r="I438" s="2" t="s">
        <v>144</v>
      </c>
      <c r="J438" s="2" t="s">
        <v>145</v>
      </c>
      <c r="K438" s="2" t="n">
        <v>4</v>
      </c>
      <c r="L438" s="28" t="n">
        <v>25</v>
      </c>
      <c r="M438" s="29" t="n">
        <v>0.05875</v>
      </c>
      <c r="N438" s="28" t="n">
        <v>1.46875</v>
      </c>
      <c r="O438" s="28" t="n">
        <v>17.08</v>
      </c>
      <c r="P438" s="2" t="s">
        <v>146</v>
      </c>
      <c r="Q438" s="29" t="n">
        <v>0.1</v>
      </c>
      <c r="R438" s="30" t="n">
        <v>0.1</v>
      </c>
      <c r="S438" s="31" t="n">
        <v>14.6875</v>
      </c>
      <c r="T438" s="30" t="n">
        <v>-0.140076112412178</v>
      </c>
      <c r="U438" s="30" t="n">
        <v>-0.0540837236533959</v>
      </c>
      <c r="V438" s="29" t="n">
        <v>0</v>
      </c>
      <c r="W438" s="29" t="n">
        <f aca="false">IF(N(Q438)=0,"",Q438+IF(I438="yes",Q438*Inputs!$B$10*Inputs!$B$9,0)+V438)</f>
        <v>0.1</v>
      </c>
      <c r="X438" s="28" t="n">
        <f aca="false">IF(OR(N(W438)&lt;=0,N(N438)=0,N(L438)=0),"",MIN(L438,N438/W438))</f>
        <v>14.6875</v>
      </c>
      <c r="Y438" s="29" t="n">
        <f aca="false">IF(OR(X438="",N(O438)=0),"",X438/O438-1)</f>
        <v>-0.140076112412178</v>
      </c>
      <c r="Z438" s="29" t="n">
        <f aca="false">IF(OR(Y438="",N(O438)=0),"",Y438+N438/O438)</f>
        <v>-0.0540837236533957</v>
      </c>
      <c r="AA438" s="32" t="n">
        <f aca="false">IF(OR(Z438="",N(U438)=0),"",Z438-U438)</f>
        <v>2.35922392732846E-016</v>
      </c>
      <c r="AB438" s="29" t="n">
        <f aca="false">IF(N(Q438)=0,"",Q438+IF(I438="yes",Q438*Inputs!$B$10*Inputs!$B$9,0)+IFERROR(INDEX(Inputs!$B$13:$B$15,MATCH(G438,Inputs!$A$13:$A$15,0)),0)+IFERROR(INDEX(Inputs!$B$18:$B$24,MATCH(H438,Inputs!$A$18:$A$24,0)),0))</f>
        <v>0.1</v>
      </c>
      <c r="AC438" s="28" t="n">
        <f aca="false">IF(OR(N(AB438)&lt;=0,N(N438)=0,N(L438)=0),"",MIN(L438,N438/AB438))</f>
        <v>14.6875</v>
      </c>
      <c r="AD438" s="29" t="n">
        <f aca="false">IF(OR(AC438="",N(O438)=0),"",AC438/O438-1)</f>
        <v>-0.140076112412178</v>
      </c>
      <c r="AE438" s="29" t="n">
        <f aca="false">IF(OR(AD438="",N(O438)=0),"",AD438+N438/O438)</f>
        <v>-0.0540837236533957</v>
      </c>
      <c r="AF438" s="32" t="n">
        <f aca="false">IF(OR(AE438="",N(Z438)=0),"",AE438-Z438)</f>
        <v>0</v>
      </c>
      <c r="AG438" s="28" t="n">
        <f aca="false">IF(AND(N(M438)&gt;0,N(L438)&gt;0),M438*L438,N438)</f>
        <v>1.46875</v>
      </c>
      <c r="AH438" s="28" t="n">
        <f aca="false">IF(OR(N(AB438)&lt;=0,N(AG438)=0,N(L438)=0),"",MIN(L438,AG438/AB438))</f>
        <v>14.6875</v>
      </c>
      <c r="AI438" s="29" t="n">
        <f aca="false">IF(OR(AH438="",N(O438)=0),"",AH438/O438-1)</f>
        <v>-0.140076112412178</v>
      </c>
      <c r="AJ438" s="29" t="n">
        <f aca="false">IF(OR(AI438="",N(O438)=0),"",AI438+AG438/O438)</f>
        <v>-0.0540837236533957</v>
      </c>
      <c r="AK438" s="32" t="n">
        <f aca="false">IF(OR(AJ438="",N(AE438)=0),"",AJ438-AE438)</f>
        <v>0</v>
      </c>
      <c r="AL438" s="33" t="n">
        <f aca="false">IF(N(F438)=0,"",INDEX(Inputs!$B$28:$B$32,IFERROR(MATCH(F438,Inputs!$A$28:$A$32,1),0)+1))</f>
        <v>0.09</v>
      </c>
      <c r="AM438" s="34"/>
      <c r="AN438" s="33" t="n">
        <f aca="false">IF(N(AM438)&gt;0,AM438,AL438)</f>
        <v>0.09</v>
      </c>
      <c r="AO438" s="29" t="n">
        <f aca="false">IF(N(AN438)=0,"",AN438+IF(I438="yes",AN438*Inputs!$B$10*Inputs!$B$9,0)+IFERROR(INDEX(Inputs!$B$13:$B$15,MATCH(G438,Inputs!$A$13:$A$15,0)),0)+IFERROR(INDEX(Inputs!$B$18:$B$24,MATCH(H438,Inputs!$A$18:$A$24,0)),0))</f>
        <v>0.09</v>
      </c>
      <c r="AP438" s="28" t="n">
        <f aca="false">IF(OR(N(AO438)&lt;=0,N(AG438)=0,N(L438)=0),"",MIN(L438,AG438/AO438))</f>
        <v>16.3194444444444</v>
      </c>
      <c r="AQ438" s="29" t="n">
        <f aca="false">IF(OR(AP438="",N(O438)=0),"",AP438/O438-1)</f>
        <v>-0.0445290137913087</v>
      </c>
      <c r="AR438" s="29" t="n">
        <f aca="false">IF(OR(AQ438="",N(O438)=0),"",AQ438+AG438/O438)</f>
        <v>0.0414633749674735</v>
      </c>
      <c r="AS438" s="32" t="n">
        <f aca="false">IF(OR(AR438="",N(AJ438)=0),"",AR438-AJ438)</f>
        <v>0.0955470986208692</v>
      </c>
      <c r="AT438" s="28" t="n">
        <v>25</v>
      </c>
      <c r="AU438" s="28" t="n">
        <v>1.46875</v>
      </c>
      <c r="AV438" s="28" t="n">
        <f aca="false">IF(N(AT438)&gt;0,AT438,L438)</f>
        <v>25</v>
      </c>
      <c r="AW438" s="28" t="n">
        <f aca="false">IF(AND(N(M438)&gt;0,N(AV438)&gt;0),M438*AV438,IF(N(AU438)&gt;0,AU438,N438))</f>
        <v>1.46875</v>
      </c>
      <c r="AX438" s="29" t="n">
        <f aca="false">IF(N(AN438)=0,"",AN438+IF(I438="yes",AN438*Inputs!$B$10*Inputs!$B$9,0)+IFERROR(INDEX(Inputs!$B$13:$B$15,MATCH(G438,Inputs!$A$13:$A$15,0)),0)+IFERROR(INDEX(Inputs!$B$18:$B$24,MATCH(H438,Inputs!$A$18:$A$24,0)),0))</f>
        <v>0.09</v>
      </c>
      <c r="AY438" s="28" t="n">
        <f aca="false">IF(OR(N(AX438)&lt;=0,N(AW438)=0,N(AV438)=0),"",MIN(AV438,AW438/AX438))</f>
        <v>16.3194444444444</v>
      </c>
      <c r="AZ438" s="29" t="n">
        <f aca="false">IF(OR(AY438="",N(O438)=0),"",AY438/O438-1)</f>
        <v>-0.0445290137913087</v>
      </c>
      <c r="BA438" s="29" t="n">
        <f aca="false">IF(OR(AZ438="",N(O438)=0),"",AZ438+AW438/O438)</f>
        <v>0.0414633749674735</v>
      </c>
      <c r="BB438" s="32" t="n">
        <f aca="false">IF(OR(BA438="",N(AR438)=0),"",BA438-AR438)</f>
        <v>0</v>
      </c>
      <c r="BC438" s="35" t="n">
        <f aca="false">IF(OR(BA438="",N(U438)=0),"",BA438-U438)</f>
        <v>0.0955470986208694</v>
      </c>
      <c r="BD438" s="37"/>
    </row>
    <row r="439" customFormat="false" ht="15" hidden="false" customHeight="false" outlineLevel="0" collapsed="false">
      <c r="A439" s="2" t="s">
        <v>768</v>
      </c>
      <c r="B439" s="2" t="n">
        <v>229</v>
      </c>
      <c r="C439" s="2" t="s">
        <v>934</v>
      </c>
      <c r="D439" s="2" t="s">
        <v>935</v>
      </c>
      <c r="E439" s="2" t="s">
        <v>936</v>
      </c>
      <c r="F439" s="27" t="n">
        <v>21400</v>
      </c>
      <c r="G439" s="2" t="s">
        <v>51</v>
      </c>
      <c r="H439" s="2" t="s">
        <v>58</v>
      </c>
      <c r="I439" s="2" t="s">
        <v>151</v>
      </c>
      <c r="J439" s="2" t="s">
        <v>145</v>
      </c>
      <c r="K439" s="2" t="n">
        <v>4</v>
      </c>
      <c r="L439" s="28" t="n">
        <v>100</v>
      </c>
      <c r="M439" s="29" t="n">
        <v>0.04</v>
      </c>
      <c r="N439" s="28" t="n">
        <v>4</v>
      </c>
      <c r="O439" s="28" t="n">
        <v>81.81</v>
      </c>
      <c r="P439" s="2" t="s">
        <v>146</v>
      </c>
      <c r="Q439" s="29" t="n">
        <v>0.08</v>
      </c>
      <c r="R439" s="30" t="n">
        <v>0.076</v>
      </c>
      <c r="S439" s="31" t="n">
        <v>52.6315789473684</v>
      </c>
      <c r="T439" s="30" t="n">
        <v>-0.356660812280058</v>
      </c>
      <c r="U439" s="30" t="n">
        <v>-0.307767034013343</v>
      </c>
      <c r="V439" s="29" t="n">
        <v>0</v>
      </c>
      <c r="W439" s="29" t="n">
        <f aca="false">IF(N(Q439)=0,"",Q439+IF(I439="yes",Q439*Inputs!$B$10*Inputs!$B$9,0)+V439)</f>
        <v>0.076</v>
      </c>
      <c r="X439" s="28" t="n">
        <f aca="false">IF(OR(N(W439)&lt;=0,N(N439)=0,N(L439)=0),"",MIN(L439,N439/W439))</f>
        <v>52.6315789473684</v>
      </c>
      <c r="Y439" s="29" t="n">
        <f aca="false">IF(OR(X439="",N(O439)=0),"",X439/O439-1)</f>
        <v>-0.356660812280058</v>
      </c>
      <c r="Z439" s="29" t="n">
        <f aca="false">IF(OR(Y439="",N(O439)=0),"",Y439+N439/O439)</f>
        <v>-0.307767034013343</v>
      </c>
      <c r="AA439" s="32" t="n">
        <f aca="false">IF(OR(Z439="",N(U439)=0),"",Z439-U439)</f>
        <v>0</v>
      </c>
      <c r="AB439" s="29" t="n">
        <f aca="false">IF(N(Q439)=0,"",Q439+IF(I439="yes",Q439*Inputs!$B$10*Inputs!$B$9,0)+IFERROR(INDEX(Inputs!$B$13:$B$15,MATCH(G439,Inputs!$A$13:$A$15,0)),0)+IFERROR(INDEX(Inputs!$B$18:$B$24,MATCH(H439,Inputs!$A$18:$A$24,0)),0))</f>
        <v>0.076</v>
      </c>
      <c r="AC439" s="28" t="n">
        <f aca="false">IF(OR(N(AB439)&lt;=0,N(N439)=0,N(L439)=0),"",MIN(L439,N439/AB439))</f>
        <v>52.6315789473684</v>
      </c>
      <c r="AD439" s="29" t="n">
        <f aca="false">IF(OR(AC439="",N(O439)=0),"",AC439/O439-1)</f>
        <v>-0.356660812280058</v>
      </c>
      <c r="AE439" s="29" t="n">
        <f aca="false">IF(OR(AD439="",N(O439)=0),"",AD439+N439/O439)</f>
        <v>-0.307767034013343</v>
      </c>
      <c r="AF439" s="32" t="n">
        <f aca="false">IF(OR(AE439="",N(Z439)=0),"",AE439-Z439)</f>
        <v>0</v>
      </c>
      <c r="AG439" s="28" t="n">
        <f aca="false">IF(AND(N(M439)&gt;0,N(L439)&gt;0),M439*L439,N439)</f>
        <v>4</v>
      </c>
      <c r="AH439" s="28" t="n">
        <f aca="false">IF(OR(N(AB439)&lt;=0,N(AG439)=0,N(L439)=0),"",MIN(L439,AG439/AB439))</f>
        <v>52.6315789473684</v>
      </c>
      <c r="AI439" s="29" t="n">
        <f aca="false">IF(OR(AH439="",N(O439)=0),"",AH439/O439-1)</f>
        <v>-0.356660812280058</v>
      </c>
      <c r="AJ439" s="29" t="n">
        <f aca="false">IF(OR(AI439="",N(O439)=0),"",AI439+AG439/O439)</f>
        <v>-0.307767034013343</v>
      </c>
      <c r="AK439" s="32" t="n">
        <f aca="false">IF(OR(AJ439="",N(AE439)=0),"",AJ439-AE439)</f>
        <v>0</v>
      </c>
      <c r="AL439" s="33" t="n">
        <f aca="false">IF(N(F439)=0,"",INDEX(Inputs!$B$28:$B$32,IFERROR(MATCH(F439,Inputs!$A$28:$A$32,1),0)+1))</f>
        <v>0.075</v>
      </c>
      <c r="AM439" s="34"/>
      <c r="AN439" s="33" t="n">
        <f aca="false">IF(N(AM439)&gt;0,AM439,AL439)</f>
        <v>0.075</v>
      </c>
      <c r="AO439" s="29" t="n">
        <f aca="false">IF(N(AN439)=0,"",AN439+IF(I439="yes",AN439*Inputs!$B$10*Inputs!$B$9,0)+IFERROR(INDEX(Inputs!$B$13:$B$15,MATCH(G439,Inputs!$A$13:$A$15,0)),0)+IFERROR(INDEX(Inputs!$B$18:$B$24,MATCH(H439,Inputs!$A$18:$A$24,0)),0))</f>
        <v>0.07125</v>
      </c>
      <c r="AP439" s="28" t="n">
        <f aca="false">IF(OR(N(AO439)&lt;=0,N(AG439)=0,N(L439)=0),"",MIN(L439,AG439/AO439))</f>
        <v>56.140350877193</v>
      </c>
      <c r="AQ439" s="29" t="n">
        <f aca="false">IF(OR(AP439="",N(O439)=0),"",AP439/O439-1)</f>
        <v>-0.313771533098729</v>
      </c>
      <c r="AR439" s="29" t="n">
        <f aca="false">IF(OR(AQ439="",N(O439)=0),"",AQ439+AG439/O439)</f>
        <v>-0.264877754832013</v>
      </c>
      <c r="AS439" s="32" t="n">
        <f aca="false">IF(OR(AR439="",N(AJ439)=0),"",AR439-AJ439)</f>
        <v>0.0428892791813295</v>
      </c>
      <c r="AT439" s="28" t="n">
        <v>100</v>
      </c>
      <c r="AU439" s="28" t="n">
        <v>4</v>
      </c>
      <c r="AV439" s="28" t="n">
        <f aca="false">IF(N(AT439)&gt;0,AT439,L439)</f>
        <v>100</v>
      </c>
      <c r="AW439" s="28" t="n">
        <f aca="false">IF(AND(N(M439)&gt;0,N(AV439)&gt;0),M439*AV439,IF(N(AU439)&gt;0,AU439,N439))</f>
        <v>4</v>
      </c>
      <c r="AX439" s="29" t="n">
        <f aca="false">IF(N(AN439)=0,"",AN439+IF(I439="yes",AN439*Inputs!$B$10*Inputs!$B$9,0)+IFERROR(INDEX(Inputs!$B$13:$B$15,MATCH(G439,Inputs!$A$13:$A$15,0)),0)+IFERROR(INDEX(Inputs!$B$18:$B$24,MATCH(H439,Inputs!$A$18:$A$24,0)),0))</f>
        <v>0.07125</v>
      </c>
      <c r="AY439" s="28" t="n">
        <f aca="false">IF(OR(N(AX439)&lt;=0,N(AW439)=0,N(AV439)=0),"",MIN(AV439,AW439/AX439))</f>
        <v>56.140350877193</v>
      </c>
      <c r="AZ439" s="29" t="n">
        <f aca="false">IF(OR(AY439="",N(O439)=0),"",AY439/O439-1)</f>
        <v>-0.313771533098729</v>
      </c>
      <c r="BA439" s="29" t="n">
        <f aca="false">IF(OR(AZ439="",N(O439)=0),"",AZ439+AW439/O439)</f>
        <v>-0.264877754832013</v>
      </c>
      <c r="BB439" s="32" t="n">
        <f aca="false">IF(OR(BA439="",N(AR439)=0),"",BA439-AR439)</f>
        <v>0</v>
      </c>
      <c r="BC439" s="35" t="n">
        <f aca="false">IF(OR(BA439="",N(U439)=0),"",BA439-U439)</f>
        <v>0.0428892791813295</v>
      </c>
      <c r="BD439" s="37"/>
    </row>
    <row r="440" customFormat="false" ht="15" hidden="false" customHeight="false" outlineLevel="0" collapsed="false">
      <c r="A440" s="2" t="s">
        <v>768</v>
      </c>
      <c r="B440" s="2" t="n">
        <v>233</v>
      </c>
      <c r="C440" s="2" t="s">
        <v>937</v>
      </c>
      <c r="D440" s="2" t="s">
        <v>938</v>
      </c>
      <c r="E440" s="2" t="s">
        <v>939</v>
      </c>
      <c r="F440" s="27" t="n">
        <v>812</v>
      </c>
      <c r="G440" s="2" t="s">
        <v>51</v>
      </c>
      <c r="H440" s="2" t="s">
        <v>58</v>
      </c>
      <c r="I440" s="2" t="s">
        <v>144</v>
      </c>
      <c r="J440" s="2" t="s">
        <v>145</v>
      </c>
      <c r="K440" s="2" t="n">
        <v>4</v>
      </c>
      <c r="L440" s="28" t="n">
        <v>25</v>
      </c>
      <c r="M440" s="29" t="n">
        <v>0.0775</v>
      </c>
      <c r="N440" s="28" t="n">
        <v>1.9375</v>
      </c>
      <c r="O440" s="28" t="n">
        <v>0</v>
      </c>
      <c r="P440" s="2" t="s">
        <v>146</v>
      </c>
      <c r="Q440" s="29" t="n">
        <v>0.1</v>
      </c>
      <c r="R440" s="30" t="n">
        <v>0.1</v>
      </c>
      <c r="S440" s="31" t="n">
        <v>19.375</v>
      </c>
      <c r="T440" s="30"/>
      <c r="U440" s="30"/>
      <c r="V440" s="29" t="n">
        <v>0</v>
      </c>
      <c r="W440" s="29" t="n">
        <f aca="false">IF(N(Q440)=0,"",Q440+IF(I440="yes",Q440*Inputs!$B$10*Inputs!$B$9,0)+V440)</f>
        <v>0.1</v>
      </c>
      <c r="X440" s="28" t="n">
        <f aca="false">IF(OR(N(W440)&lt;=0,N(N440)=0,N(L440)=0),"",MIN(L440,N440/W440))</f>
        <v>19.375</v>
      </c>
      <c r="Y440" s="29" t="str">
        <f aca="false">IF(OR(X440="",N(O440)=0),"",X440/O440-1)</f>
        <v/>
      </c>
      <c r="Z440" s="29" t="str">
        <f aca="false">IF(OR(Y440="",N(O440)=0),"",Y440+N440/O440)</f>
        <v/>
      </c>
      <c r="AA440" s="32" t="str">
        <f aca="false">IF(OR(Z440="",N(U440)=0),"",Z440-U440)</f>
        <v/>
      </c>
      <c r="AB440" s="29" t="n">
        <f aca="false">IF(N(Q440)=0,"",Q440+IF(I440="yes",Q440*Inputs!$B$10*Inputs!$B$9,0)+IFERROR(INDEX(Inputs!$B$13:$B$15,MATCH(G440,Inputs!$A$13:$A$15,0)),0)+IFERROR(INDEX(Inputs!$B$18:$B$24,MATCH(H440,Inputs!$A$18:$A$24,0)),0))</f>
        <v>0.1</v>
      </c>
      <c r="AC440" s="28" t="n">
        <f aca="false">IF(OR(N(AB440)&lt;=0,N(N440)=0,N(L440)=0),"",MIN(L440,N440/AB440))</f>
        <v>19.375</v>
      </c>
      <c r="AD440" s="29" t="str">
        <f aca="false">IF(OR(AC440="",N(O440)=0),"",AC440/O440-1)</f>
        <v/>
      </c>
      <c r="AE440" s="29" t="str">
        <f aca="false">IF(OR(AD440="",N(O440)=0),"",AD440+N440/O440)</f>
        <v/>
      </c>
      <c r="AF440" s="32" t="str">
        <f aca="false">IF(OR(AE440="",N(Z440)=0),"",AE440-Z440)</f>
        <v/>
      </c>
      <c r="AG440" s="28" t="n">
        <f aca="false">IF(AND(N(M440)&gt;0,N(L440)&gt;0),M440*L440,N440)</f>
        <v>1.9375</v>
      </c>
      <c r="AH440" s="28" t="n">
        <f aca="false">IF(OR(N(AB440)&lt;=0,N(AG440)=0,N(L440)=0),"",MIN(L440,AG440/AB440))</f>
        <v>19.375</v>
      </c>
      <c r="AI440" s="29" t="str">
        <f aca="false">IF(OR(AH440="",N(O440)=0),"",AH440/O440-1)</f>
        <v/>
      </c>
      <c r="AJ440" s="29" t="str">
        <f aca="false">IF(OR(AI440="",N(O440)=0),"",AI440+AG440/O440)</f>
        <v/>
      </c>
      <c r="AK440" s="32" t="str">
        <f aca="false">IF(OR(AJ440="",N(AE440)=0),"",AJ440-AE440)</f>
        <v/>
      </c>
      <c r="AL440" s="33" t="n">
        <f aca="false">IF(N(F440)=0,"",INDEX(Inputs!$B$28:$B$32,IFERROR(MATCH(F440,Inputs!$A$28:$A$32,1),0)+1))</f>
        <v>0.09</v>
      </c>
      <c r="AM440" s="34"/>
      <c r="AN440" s="33" t="n">
        <f aca="false">IF(N(AM440)&gt;0,AM440,AL440)</f>
        <v>0.09</v>
      </c>
      <c r="AO440" s="29" t="n">
        <f aca="false">IF(N(AN440)=0,"",AN440+IF(I440="yes",AN440*Inputs!$B$10*Inputs!$B$9,0)+IFERROR(INDEX(Inputs!$B$13:$B$15,MATCH(G440,Inputs!$A$13:$A$15,0)),0)+IFERROR(INDEX(Inputs!$B$18:$B$24,MATCH(H440,Inputs!$A$18:$A$24,0)),0))</f>
        <v>0.09</v>
      </c>
      <c r="AP440" s="28" t="n">
        <f aca="false">IF(OR(N(AO440)&lt;=0,N(AG440)=0,N(L440)=0),"",MIN(L440,AG440/AO440))</f>
        <v>21.5277777777778</v>
      </c>
      <c r="AQ440" s="29" t="str">
        <f aca="false">IF(OR(AP440="",N(O440)=0),"",AP440/O440-1)</f>
        <v/>
      </c>
      <c r="AR440" s="29" t="str">
        <f aca="false">IF(OR(AQ440="",N(O440)=0),"",AQ440+AG440/O440)</f>
        <v/>
      </c>
      <c r="AS440" s="32" t="str">
        <f aca="false">IF(OR(AR440="",N(AJ440)=0),"",AR440-AJ440)</f>
        <v/>
      </c>
      <c r="AT440" s="28"/>
      <c r="AU440" s="28"/>
      <c r="AV440" s="28" t="n">
        <f aca="false">IF(N(AT440)&gt;0,AT440,L440)</f>
        <v>25</v>
      </c>
      <c r="AW440" s="28" t="n">
        <f aca="false">IF(AND(N(M440)&gt;0,N(AV440)&gt;0),M440*AV440,IF(N(AU440)&gt;0,AU440,N440))</f>
        <v>1.9375</v>
      </c>
      <c r="AX440" s="29" t="n">
        <f aca="false">IF(N(AN440)=0,"",AN440+IF(I440="yes",AN440*Inputs!$B$10*Inputs!$B$9,0)+IFERROR(INDEX(Inputs!$B$13:$B$15,MATCH(G440,Inputs!$A$13:$A$15,0)),0)+IFERROR(INDEX(Inputs!$B$18:$B$24,MATCH(H440,Inputs!$A$18:$A$24,0)),0))</f>
        <v>0.09</v>
      </c>
      <c r="AY440" s="28" t="n">
        <f aca="false">IF(OR(N(AX440)&lt;=0,N(AW440)=0,N(AV440)=0),"",MIN(AV440,AW440/AX440))</f>
        <v>21.5277777777778</v>
      </c>
      <c r="AZ440" s="29" t="str">
        <f aca="false">IF(OR(AY440="",N(O440)=0),"",AY440/O440-1)</f>
        <v/>
      </c>
      <c r="BA440" s="29" t="str">
        <f aca="false">IF(OR(AZ440="",N(O440)=0),"",AZ440+AW440/O440)</f>
        <v/>
      </c>
      <c r="BB440" s="32" t="str">
        <f aca="false">IF(OR(BA440="",N(AR440)=0),"",BA440-AR440)</f>
        <v/>
      </c>
      <c r="BC440" s="35" t="str">
        <f aca="false">IF(OR(BA440="",N(U440)=0),"",BA440-U440)</f>
        <v/>
      </c>
      <c r="BD440" s="36" t="s">
        <v>198</v>
      </c>
    </row>
    <row r="441" customFormat="false" ht="15" hidden="false" customHeight="false" outlineLevel="0" collapsed="false">
      <c r="A441" s="2" t="s">
        <v>768</v>
      </c>
      <c r="B441" s="2" t="n">
        <v>234</v>
      </c>
      <c r="C441" s="2" t="s">
        <v>940</v>
      </c>
      <c r="D441" s="2" t="s">
        <v>938</v>
      </c>
      <c r="E441" s="2" t="s">
        <v>939</v>
      </c>
      <c r="F441" s="27" t="n">
        <v>812</v>
      </c>
      <c r="G441" s="2" t="s">
        <v>51</v>
      </c>
      <c r="H441" s="2" t="s">
        <v>58</v>
      </c>
      <c r="I441" s="2" t="s">
        <v>144</v>
      </c>
      <c r="J441" s="2" t="s">
        <v>145</v>
      </c>
      <c r="K441" s="2" t="n">
        <v>4</v>
      </c>
      <c r="L441" s="28" t="n">
        <v>25</v>
      </c>
      <c r="M441" s="29" t="n">
        <v>0.075</v>
      </c>
      <c r="N441" s="28" t="n">
        <v>1.875</v>
      </c>
      <c r="O441" s="28" t="n">
        <v>25.06</v>
      </c>
      <c r="P441" s="2" t="s">
        <v>146</v>
      </c>
      <c r="Q441" s="29" t="n">
        <v>0.1</v>
      </c>
      <c r="R441" s="30" t="n">
        <v>0.1</v>
      </c>
      <c r="S441" s="31" t="n">
        <v>18.75</v>
      </c>
      <c r="T441" s="30" t="n">
        <v>-0.251795690343176</v>
      </c>
      <c r="U441" s="30" t="n">
        <v>-0.176975259377494</v>
      </c>
      <c r="V441" s="29" t="n">
        <v>0</v>
      </c>
      <c r="W441" s="29" t="n">
        <f aca="false">IF(N(Q441)=0,"",Q441+IF(I441="yes",Q441*Inputs!$B$10*Inputs!$B$9,0)+V441)</f>
        <v>0.1</v>
      </c>
      <c r="X441" s="28" t="n">
        <f aca="false">IF(OR(N(W441)&lt;=0,N(N441)=0,N(L441)=0),"",MIN(L441,N441/W441))</f>
        <v>18.75</v>
      </c>
      <c r="Y441" s="29" t="n">
        <f aca="false">IF(OR(X441="",N(O441)=0),"",X441/O441-1)</f>
        <v>-0.251795690343176</v>
      </c>
      <c r="Z441" s="29" t="n">
        <f aca="false">IF(OR(Y441="",N(O441)=0),"",Y441+N441/O441)</f>
        <v>-0.176975259377494</v>
      </c>
      <c r="AA441" s="32" t="n">
        <f aca="false">IF(OR(Z441="",N(U441)=0),"",Z441-U441)</f>
        <v>0</v>
      </c>
      <c r="AB441" s="29" t="n">
        <f aca="false">IF(N(Q441)=0,"",Q441+IF(I441="yes",Q441*Inputs!$B$10*Inputs!$B$9,0)+IFERROR(INDEX(Inputs!$B$13:$B$15,MATCH(G441,Inputs!$A$13:$A$15,0)),0)+IFERROR(INDEX(Inputs!$B$18:$B$24,MATCH(H441,Inputs!$A$18:$A$24,0)),0))</f>
        <v>0.1</v>
      </c>
      <c r="AC441" s="28" t="n">
        <f aca="false">IF(OR(N(AB441)&lt;=0,N(N441)=0,N(L441)=0),"",MIN(L441,N441/AB441))</f>
        <v>18.75</v>
      </c>
      <c r="AD441" s="29" t="n">
        <f aca="false">IF(OR(AC441="",N(O441)=0),"",AC441/O441-1)</f>
        <v>-0.251795690343176</v>
      </c>
      <c r="AE441" s="29" t="n">
        <f aca="false">IF(OR(AD441="",N(O441)=0),"",AD441+N441/O441)</f>
        <v>-0.176975259377494</v>
      </c>
      <c r="AF441" s="32" t="n">
        <f aca="false">IF(OR(AE441="",N(Z441)=0),"",AE441-Z441)</f>
        <v>0</v>
      </c>
      <c r="AG441" s="28" t="n">
        <f aca="false">IF(AND(N(M441)&gt;0,N(L441)&gt;0),M441*L441,N441)</f>
        <v>1.875</v>
      </c>
      <c r="AH441" s="28" t="n">
        <f aca="false">IF(OR(N(AB441)&lt;=0,N(AG441)=0,N(L441)=0),"",MIN(L441,AG441/AB441))</f>
        <v>18.75</v>
      </c>
      <c r="AI441" s="29" t="n">
        <f aca="false">IF(OR(AH441="",N(O441)=0),"",AH441/O441-1)</f>
        <v>-0.251795690343176</v>
      </c>
      <c r="AJ441" s="29" t="n">
        <f aca="false">IF(OR(AI441="",N(O441)=0),"",AI441+AG441/O441)</f>
        <v>-0.176975259377494</v>
      </c>
      <c r="AK441" s="32" t="n">
        <f aca="false">IF(OR(AJ441="",N(AE441)=0),"",AJ441-AE441)</f>
        <v>0</v>
      </c>
      <c r="AL441" s="33" t="n">
        <f aca="false">IF(N(F441)=0,"",INDEX(Inputs!$B$28:$B$32,IFERROR(MATCH(F441,Inputs!$A$28:$A$32,1),0)+1))</f>
        <v>0.09</v>
      </c>
      <c r="AM441" s="34"/>
      <c r="AN441" s="33" t="n">
        <f aca="false">IF(N(AM441)&gt;0,AM441,AL441)</f>
        <v>0.09</v>
      </c>
      <c r="AO441" s="29" t="n">
        <f aca="false">IF(N(AN441)=0,"",AN441+IF(I441="yes",AN441*Inputs!$B$10*Inputs!$B$9,0)+IFERROR(INDEX(Inputs!$B$13:$B$15,MATCH(G441,Inputs!$A$13:$A$15,0)),0)+IFERROR(INDEX(Inputs!$B$18:$B$24,MATCH(H441,Inputs!$A$18:$A$24,0)),0))</f>
        <v>0.09</v>
      </c>
      <c r="AP441" s="28" t="n">
        <f aca="false">IF(OR(N(AO441)&lt;=0,N(AG441)=0,N(L441)=0),"",MIN(L441,AG441/AO441))</f>
        <v>20.8333333333333</v>
      </c>
      <c r="AQ441" s="29" t="n">
        <f aca="false">IF(OR(AP441="",N(O441)=0),"",AP441/O441-1)</f>
        <v>-0.168661878159085</v>
      </c>
      <c r="AR441" s="29" t="n">
        <f aca="false">IF(OR(AQ441="",N(O441)=0),"",AQ441+AG441/O441)</f>
        <v>-0.0938414471934024</v>
      </c>
      <c r="AS441" s="32" t="n">
        <f aca="false">IF(OR(AR441="",N(AJ441)=0),"",AR441-AJ441)</f>
        <v>0.0831338121840917</v>
      </c>
      <c r="AT441" s="28" t="n">
        <v>25</v>
      </c>
      <c r="AU441" s="28" t="n">
        <v>1.88</v>
      </c>
      <c r="AV441" s="28" t="n">
        <f aca="false">IF(N(AT441)&gt;0,AT441,L441)</f>
        <v>25</v>
      </c>
      <c r="AW441" s="28" t="n">
        <f aca="false">IF(AND(N(M441)&gt;0,N(AV441)&gt;0),M441*AV441,IF(N(AU441)&gt;0,AU441,N441))</f>
        <v>1.875</v>
      </c>
      <c r="AX441" s="29" t="n">
        <f aca="false">IF(N(AN441)=0,"",AN441+IF(I441="yes",AN441*Inputs!$B$10*Inputs!$B$9,0)+IFERROR(INDEX(Inputs!$B$13:$B$15,MATCH(G441,Inputs!$A$13:$A$15,0)),0)+IFERROR(INDEX(Inputs!$B$18:$B$24,MATCH(H441,Inputs!$A$18:$A$24,0)),0))</f>
        <v>0.09</v>
      </c>
      <c r="AY441" s="28" t="n">
        <f aca="false">IF(OR(N(AX441)&lt;=0,N(AW441)=0,N(AV441)=0),"",MIN(AV441,AW441/AX441))</f>
        <v>20.8333333333333</v>
      </c>
      <c r="AZ441" s="29" t="n">
        <f aca="false">IF(OR(AY441="",N(O441)=0),"",AY441/O441-1)</f>
        <v>-0.168661878159085</v>
      </c>
      <c r="BA441" s="29" t="n">
        <f aca="false">IF(OR(AZ441="",N(O441)=0),"",AZ441+AW441/O441)</f>
        <v>-0.0938414471934024</v>
      </c>
      <c r="BB441" s="32" t="n">
        <f aca="false">IF(OR(BA441="",N(AR441)=0),"",BA441-AR441)</f>
        <v>0</v>
      </c>
      <c r="BC441" s="35" t="n">
        <f aca="false">IF(OR(BA441="",N(U441)=0),"",BA441-U441)</f>
        <v>0.0831338121840916</v>
      </c>
      <c r="BD441" s="37"/>
    </row>
    <row r="442" customFormat="false" ht="15" hidden="false" customHeight="false" outlineLevel="0" collapsed="false">
      <c r="A442" s="2" t="s">
        <v>768</v>
      </c>
      <c r="B442" s="2" t="n">
        <v>239</v>
      </c>
      <c r="C442" s="2" t="s">
        <v>941</v>
      </c>
      <c r="D442" s="2" t="s">
        <v>942</v>
      </c>
      <c r="E442" s="2" t="s">
        <v>943</v>
      </c>
      <c r="F442" s="27" t="n">
        <v>934500</v>
      </c>
      <c r="G442" s="2" t="s">
        <v>51</v>
      </c>
      <c r="H442" s="2" t="s">
        <v>58</v>
      </c>
      <c r="I442" s="2" t="s">
        <v>151</v>
      </c>
      <c r="J442" s="2" t="s">
        <v>145</v>
      </c>
      <c r="K442" s="2" t="n">
        <v>4</v>
      </c>
      <c r="L442" s="28" t="n">
        <v>25</v>
      </c>
      <c r="M442" s="29" t="n">
        <v>0.06</v>
      </c>
      <c r="N442" s="28" t="n">
        <v>1.5</v>
      </c>
      <c r="O442" s="28" t="n">
        <v>24.69</v>
      </c>
      <c r="P442" s="2" t="s">
        <v>146</v>
      </c>
      <c r="Q442" s="29" t="n">
        <v>0.08</v>
      </c>
      <c r="R442" s="30" t="n">
        <v>0.076</v>
      </c>
      <c r="S442" s="31" t="n">
        <v>19.7368421052632</v>
      </c>
      <c r="T442" s="30" t="n">
        <v>-0.20061392850291</v>
      </c>
      <c r="U442" s="30" t="n">
        <v>-0.139860587069131</v>
      </c>
      <c r="V442" s="29" t="n">
        <v>0</v>
      </c>
      <c r="W442" s="29" t="n">
        <f aca="false">IF(N(Q442)=0,"",Q442+IF(I442="yes",Q442*Inputs!$B$10*Inputs!$B$9,0)+V442)</f>
        <v>0.076</v>
      </c>
      <c r="X442" s="28" t="n">
        <f aca="false">IF(OR(N(W442)&lt;=0,N(N442)=0,N(L442)=0),"",MIN(L442,N442/W442))</f>
        <v>19.7368421052632</v>
      </c>
      <c r="Y442" s="29" t="n">
        <f aca="false">IF(OR(X442="",N(O442)=0),"",X442/O442-1)</f>
        <v>-0.20061392850291</v>
      </c>
      <c r="Z442" s="29" t="n">
        <f aca="false">IF(OR(Y442="",N(O442)=0),"",Y442+N442/O442)</f>
        <v>-0.139860587069131</v>
      </c>
      <c r="AA442" s="32" t="n">
        <f aca="false">IF(OR(Z442="",N(U442)=0),"",Z442-U442)</f>
        <v>0</v>
      </c>
      <c r="AB442" s="29" t="n">
        <f aca="false">IF(N(Q442)=0,"",Q442+IF(I442="yes",Q442*Inputs!$B$10*Inputs!$B$9,0)+IFERROR(INDEX(Inputs!$B$13:$B$15,MATCH(G442,Inputs!$A$13:$A$15,0)),0)+IFERROR(INDEX(Inputs!$B$18:$B$24,MATCH(H442,Inputs!$A$18:$A$24,0)),0))</f>
        <v>0.076</v>
      </c>
      <c r="AC442" s="28" t="n">
        <f aca="false">IF(OR(N(AB442)&lt;=0,N(N442)=0,N(L442)=0),"",MIN(L442,N442/AB442))</f>
        <v>19.7368421052632</v>
      </c>
      <c r="AD442" s="29" t="n">
        <f aca="false">IF(OR(AC442="",N(O442)=0),"",AC442/O442-1)</f>
        <v>-0.20061392850291</v>
      </c>
      <c r="AE442" s="29" t="n">
        <f aca="false">IF(OR(AD442="",N(O442)=0),"",AD442+N442/O442)</f>
        <v>-0.139860587069131</v>
      </c>
      <c r="AF442" s="32" t="n">
        <f aca="false">IF(OR(AE442="",N(Z442)=0),"",AE442-Z442)</f>
        <v>0</v>
      </c>
      <c r="AG442" s="28" t="n">
        <f aca="false">IF(AND(N(M442)&gt;0,N(L442)&gt;0),M442*L442,N442)</f>
        <v>1.5</v>
      </c>
      <c r="AH442" s="28" t="n">
        <f aca="false">IF(OR(N(AB442)&lt;=0,N(AG442)=0,N(L442)=0),"",MIN(L442,AG442/AB442))</f>
        <v>19.7368421052632</v>
      </c>
      <c r="AI442" s="29" t="n">
        <f aca="false">IF(OR(AH442="",N(O442)=0),"",AH442/O442-1)</f>
        <v>-0.20061392850291</v>
      </c>
      <c r="AJ442" s="29" t="n">
        <f aca="false">IF(OR(AI442="",N(O442)=0),"",AI442+AG442/O442)</f>
        <v>-0.139860587069131</v>
      </c>
      <c r="AK442" s="32" t="n">
        <f aca="false">IF(OR(AJ442="",N(AE442)=0),"",AJ442-AE442)</f>
        <v>0</v>
      </c>
      <c r="AL442" s="33" t="n">
        <f aca="false">IF(N(F442)=0,"",INDEX(Inputs!$B$28:$B$32,IFERROR(MATCH(F442,Inputs!$A$28:$A$32,1),0)+1))</f>
        <v>0.075</v>
      </c>
      <c r="AM442" s="34"/>
      <c r="AN442" s="33" t="n">
        <f aca="false">IF(N(AM442)&gt;0,AM442,AL442)</f>
        <v>0.075</v>
      </c>
      <c r="AO442" s="29" t="n">
        <f aca="false">IF(N(AN442)=0,"",AN442+IF(I442="yes",AN442*Inputs!$B$10*Inputs!$B$9,0)+IFERROR(INDEX(Inputs!$B$13:$B$15,MATCH(G442,Inputs!$A$13:$A$15,0)),0)+IFERROR(INDEX(Inputs!$B$18:$B$24,MATCH(H442,Inputs!$A$18:$A$24,0)),0))</f>
        <v>0.07125</v>
      </c>
      <c r="AP442" s="28" t="n">
        <f aca="false">IF(OR(N(AO442)&lt;=0,N(AG442)=0,N(L442)=0),"",MIN(L442,AG442/AO442))</f>
        <v>21.0526315789474</v>
      </c>
      <c r="AQ442" s="29" t="n">
        <f aca="false">IF(OR(AP442="",N(O442)=0),"",AP442/O442-1)</f>
        <v>-0.147321523736437</v>
      </c>
      <c r="AR442" s="29" t="n">
        <f aca="false">IF(OR(AQ442="",N(O442)=0),"",AQ442+AG442/O442)</f>
        <v>-0.0865681823026582</v>
      </c>
      <c r="AS442" s="32" t="n">
        <f aca="false">IF(OR(AR442="",N(AJ442)=0),"",AR442-AJ442)</f>
        <v>0.0532924047664728</v>
      </c>
      <c r="AT442" s="28" t="n">
        <v>25</v>
      </c>
      <c r="AU442" s="28" t="n">
        <v>1.5</v>
      </c>
      <c r="AV442" s="28" t="n">
        <f aca="false">IF(N(AT442)&gt;0,AT442,L442)</f>
        <v>25</v>
      </c>
      <c r="AW442" s="28" t="n">
        <f aca="false">IF(AND(N(M442)&gt;0,N(AV442)&gt;0),M442*AV442,IF(N(AU442)&gt;0,AU442,N442))</f>
        <v>1.5</v>
      </c>
      <c r="AX442" s="29" t="n">
        <f aca="false">IF(N(AN442)=0,"",AN442+IF(I442="yes",AN442*Inputs!$B$10*Inputs!$B$9,0)+IFERROR(INDEX(Inputs!$B$13:$B$15,MATCH(G442,Inputs!$A$13:$A$15,0)),0)+IFERROR(INDEX(Inputs!$B$18:$B$24,MATCH(H442,Inputs!$A$18:$A$24,0)),0))</f>
        <v>0.07125</v>
      </c>
      <c r="AY442" s="28" t="n">
        <f aca="false">IF(OR(N(AX442)&lt;=0,N(AW442)=0,N(AV442)=0),"",MIN(AV442,AW442/AX442))</f>
        <v>21.0526315789474</v>
      </c>
      <c r="AZ442" s="29" t="n">
        <f aca="false">IF(OR(AY442="",N(O442)=0),"",AY442/O442-1)</f>
        <v>-0.147321523736437</v>
      </c>
      <c r="BA442" s="29" t="n">
        <f aca="false">IF(OR(AZ442="",N(O442)=0),"",AZ442+AW442/O442)</f>
        <v>-0.0865681823026582</v>
      </c>
      <c r="BB442" s="32" t="n">
        <f aca="false">IF(OR(BA442="",N(AR442)=0),"",BA442-AR442)</f>
        <v>0</v>
      </c>
      <c r="BC442" s="35" t="n">
        <f aca="false">IF(OR(BA442="",N(U442)=0),"",BA442-U442)</f>
        <v>0.0532924047664728</v>
      </c>
      <c r="BD442" s="37"/>
    </row>
    <row r="443" customFormat="false" ht="15" hidden="false" customHeight="false" outlineLevel="0" collapsed="false">
      <c r="A443" s="2" t="s">
        <v>768</v>
      </c>
      <c r="B443" s="2" t="n">
        <v>240</v>
      </c>
      <c r="C443" s="2" t="s">
        <v>944</v>
      </c>
      <c r="D443" s="2" t="s">
        <v>942</v>
      </c>
      <c r="E443" s="2" t="s">
        <v>943</v>
      </c>
      <c r="F443" s="27" t="n">
        <v>934500</v>
      </c>
      <c r="G443" s="2" t="s">
        <v>51</v>
      </c>
      <c r="H443" s="2" t="s">
        <v>58</v>
      </c>
      <c r="I443" s="2" t="s">
        <v>151</v>
      </c>
      <c r="J443" s="2" t="s">
        <v>145</v>
      </c>
      <c r="K443" s="2" t="n">
        <v>4</v>
      </c>
      <c r="L443" s="28" t="n">
        <v>25</v>
      </c>
      <c r="M443" s="29" t="n">
        <v>0.0575</v>
      </c>
      <c r="N443" s="28" t="n">
        <v>1.4375</v>
      </c>
      <c r="O443" s="28" t="n">
        <v>23.11</v>
      </c>
      <c r="P443" s="2" t="s">
        <v>362</v>
      </c>
      <c r="Q443" s="29" t="n">
        <v>0.08</v>
      </c>
      <c r="R443" s="30" t="n">
        <v>0.0607533414337789</v>
      </c>
      <c r="S443" s="31" t="n">
        <v>23.66125</v>
      </c>
      <c r="T443" s="30" t="n">
        <v>0.0238533102553009</v>
      </c>
      <c r="U443" s="30" t="n">
        <v>0.0860558199913459</v>
      </c>
      <c r="V443" s="29" t="n">
        <v>0</v>
      </c>
      <c r="W443" s="29" t="n">
        <f aca="false">IF(N(Q443)=0,"",Q443+IF(I443="yes",Q443*Inputs!$B$10*Inputs!$B$9,0)+V443)</f>
        <v>0.076</v>
      </c>
      <c r="X443" s="28" t="n">
        <f aca="false">IF(OR(N(W443)&lt;=0,N(N443)=0,N(L443)=0),"",MIN(L443,N443/W443))</f>
        <v>18.9144736842105</v>
      </c>
      <c r="Y443" s="29" t="n">
        <f aca="false">IF(OR(X443="",N(O443)=0),"",X443/O443-1)</f>
        <v>-0.181545924525724</v>
      </c>
      <c r="Z443" s="29" t="n">
        <f aca="false">IF(OR(Y443="",N(O443)=0),"",Y443+N443/O443)</f>
        <v>-0.119343414789679</v>
      </c>
      <c r="AA443" s="32" t="n">
        <f aca="false">IF(OR(Z443="",N(U443)=0),"",Z443-U443)</f>
        <v>-0.205399234781025</v>
      </c>
      <c r="AB443" s="29" t="n">
        <f aca="false">IF(N(Q443)=0,"",Q443+IF(I443="yes",Q443*Inputs!$B$10*Inputs!$B$9,0)+IFERROR(INDEX(Inputs!$B$13:$B$15,MATCH(G443,Inputs!$A$13:$A$15,0)),0)+IFERROR(INDEX(Inputs!$B$18:$B$24,MATCH(H443,Inputs!$A$18:$A$24,0)),0))</f>
        <v>0.076</v>
      </c>
      <c r="AC443" s="28" t="n">
        <f aca="false">IF(OR(N(AB443)&lt;=0,N(N443)=0,N(L443)=0),"",MIN(L443,N443/AB443))</f>
        <v>18.9144736842105</v>
      </c>
      <c r="AD443" s="29" t="n">
        <f aca="false">IF(OR(AC443="",N(O443)=0),"",AC443/O443-1)</f>
        <v>-0.181545924525724</v>
      </c>
      <c r="AE443" s="29" t="n">
        <f aca="false">IF(OR(AD443="",N(O443)=0),"",AD443+N443/O443)</f>
        <v>-0.119343414789679</v>
      </c>
      <c r="AF443" s="32" t="n">
        <f aca="false">IF(OR(AE443="",N(Z443)=0),"",AE443-Z443)</f>
        <v>0</v>
      </c>
      <c r="AG443" s="28" t="n">
        <f aca="false">IF(AND(N(M443)&gt;0,N(L443)&gt;0),M443*L443,N443)</f>
        <v>1.4375</v>
      </c>
      <c r="AH443" s="28" t="n">
        <f aca="false">IF(OR(N(AB443)&lt;=0,N(AG443)=0,N(L443)=0),"",MIN(L443,AG443/AB443))</f>
        <v>18.9144736842105</v>
      </c>
      <c r="AI443" s="29" t="n">
        <f aca="false">IF(OR(AH443="",N(O443)=0),"",AH443/O443-1)</f>
        <v>-0.181545924525724</v>
      </c>
      <c r="AJ443" s="29" t="n">
        <f aca="false">IF(OR(AI443="",N(O443)=0),"",AI443+AG443/O443)</f>
        <v>-0.119343414789679</v>
      </c>
      <c r="AK443" s="32" t="n">
        <f aca="false">IF(OR(AJ443="",N(AE443)=0),"",AJ443-AE443)</f>
        <v>0</v>
      </c>
      <c r="AL443" s="33" t="n">
        <f aca="false">IF(N(F443)=0,"",INDEX(Inputs!$B$28:$B$32,IFERROR(MATCH(F443,Inputs!$A$28:$A$32,1),0)+1))</f>
        <v>0.075</v>
      </c>
      <c r="AM443" s="34"/>
      <c r="AN443" s="33" t="n">
        <f aca="false">IF(N(AM443)&gt;0,AM443,AL443)</f>
        <v>0.075</v>
      </c>
      <c r="AO443" s="29" t="n">
        <f aca="false">IF(N(AN443)=0,"",AN443+IF(I443="yes",AN443*Inputs!$B$10*Inputs!$B$9,0)+IFERROR(INDEX(Inputs!$B$13:$B$15,MATCH(G443,Inputs!$A$13:$A$15,0)),0)+IFERROR(INDEX(Inputs!$B$18:$B$24,MATCH(H443,Inputs!$A$18:$A$24,0)),0))</f>
        <v>0.07125</v>
      </c>
      <c r="AP443" s="28" t="n">
        <f aca="false">IF(OR(N(AO443)&lt;=0,N(AG443)=0,N(L443)=0),"",MIN(L443,AG443/AO443))</f>
        <v>20.1754385964912</v>
      </c>
      <c r="AQ443" s="29" t="n">
        <f aca="false">IF(OR(AP443="",N(O443)=0),"",AP443/O443-1)</f>
        <v>-0.126982319494105</v>
      </c>
      <c r="AR443" s="29" t="n">
        <f aca="false">IF(OR(AQ443="",N(O443)=0),"",AQ443+AG443/O443)</f>
        <v>-0.0647798097580601</v>
      </c>
      <c r="AS443" s="32" t="n">
        <f aca="false">IF(OR(AR443="",N(AJ443)=0),"",AR443-AJ443)</f>
        <v>0.0545636050316185</v>
      </c>
      <c r="AT443" s="28" t="n">
        <v>25</v>
      </c>
      <c r="AU443" s="28" t="n">
        <v>1.44</v>
      </c>
      <c r="AV443" s="28" t="n">
        <f aca="false">IF(N(AT443)&gt;0,AT443,L443)</f>
        <v>25</v>
      </c>
      <c r="AW443" s="28" t="n">
        <f aca="false">IF(AND(N(M443)&gt;0,N(AV443)&gt;0),M443*AV443,IF(N(AU443)&gt;0,AU443,N443))</f>
        <v>1.4375</v>
      </c>
      <c r="AX443" s="29" t="n">
        <f aca="false">IF(N(AN443)=0,"",AN443+IF(I443="yes",AN443*Inputs!$B$10*Inputs!$B$9,0)+IFERROR(INDEX(Inputs!$B$13:$B$15,MATCH(G443,Inputs!$A$13:$A$15,0)),0)+IFERROR(INDEX(Inputs!$B$18:$B$24,MATCH(H443,Inputs!$A$18:$A$24,0)),0))</f>
        <v>0.07125</v>
      </c>
      <c r="AY443" s="28" t="n">
        <f aca="false">IF(OR(N(AX443)&lt;=0,N(AW443)=0,N(AV443)=0),"",MIN(AV443,AW443/AX443))</f>
        <v>20.1754385964912</v>
      </c>
      <c r="AZ443" s="29" t="n">
        <f aca="false">IF(OR(AY443="",N(O443)=0),"",AY443/O443-1)</f>
        <v>-0.126982319494105</v>
      </c>
      <c r="BA443" s="29" t="n">
        <f aca="false">IF(OR(AZ443="",N(O443)=0),"",AZ443+AW443/O443)</f>
        <v>-0.0647798097580601</v>
      </c>
      <c r="BB443" s="32" t="n">
        <f aca="false">IF(OR(BA443="",N(AR443)=0),"",BA443-AR443)</f>
        <v>0</v>
      </c>
      <c r="BC443" s="35" t="n">
        <f aca="false">IF(OR(BA443="",N(U443)=0),"",BA443-U443)</f>
        <v>-0.150835629749406</v>
      </c>
      <c r="BD443" s="36" t="s">
        <v>577</v>
      </c>
    </row>
    <row r="444" customFormat="false" ht="15" hidden="false" customHeight="false" outlineLevel="0" collapsed="false">
      <c r="A444" s="2" t="s">
        <v>768</v>
      </c>
      <c r="B444" s="2" t="n">
        <v>241</v>
      </c>
      <c r="C444" s="2" t="s">
        <v>945</v>
      </c>
      <c r="D444" s="2" t="s">
        <v>942</v>
      </c>
      <c r="E444" s="2" t="s">
        <v>943</v>
      </c>
      <c r="F444" s="27" t="n">
        <v>934500</v>
      </c>
      <c r="G444" s="2" t="s">
        <v>51</v>
      </c>
      <c r="H444" s="2" t="s">
        <v>58</v>
      </c>
      <c r="I444" s="2" t="s">
        <v>151</v>
      </c>
      <c r="J444" s="2" t="s">
        <v>145</v>
      </c>
      <c r="K444" s="2" t="n">
        <v>4</v>
      </c>
      <c r="L444" s="28" t="n">
        <v>25</v>
      </c>
      <c r="M444" s="29" t="n">
        <v>0.0475</v>
      </c>
      <c r="N444" s="28" t="n">
        <v>1.1875</v>
      </c>
      <c r="O444" s="28" t="n">
        <v>18.53</v>
      </c>
      <c r="P444" s="2" t="s">
        <v>146</v>
      </c>
      <c r="Q444" s="29" t="n">
        <v>0.08</v>
      </c>
      <c r="R444" s="30" t="n">
        <v>0.076</v>
      </c>
      <c r="S444" s="31" t="n">
        <v>15.625</v>
      </c>
      <c r="T444" s="30" t="n">
        <v>-0.156772800863465</v>
      </c>
      <c r="U444" s="30" t="n">
        <v>-0.092687533729088</v>
      </c>
      <c r="V444" s="29" t="n">
        <v>0</v>
      </c>
      <c r="W444" s="29" t="n">
        <f aca="false">IF(N(Q444)=0,"",Q444+IF(I444="yes",Q444*Inputs!$B$10*Inputs!$B$9,0)+V444)</f>
        <v>0.076</v>
      </c>
      <c r="X444" s="28" t="n">
        <f aca="false">IF(OR(N(W444)&lt;=0,N(N444)=0,N(L444)=0),"",MIN(L444,N444/W444))</f>
        <v>15.625</v>
      </c>
      <c r="Y444" s="29" t="n">
        <f aca="false">IF(OR(X444="",N(O444)=0),"",X444/O444-1)</f>
        <v>-0.156772800863465</v>
      </c>
      <c r="Z444" s="29" t="n">
        <f aca="false">IF(OR(Y444="",N(O444)=0),"",Y444+N444/O444)</f>
        <v>-0.092687533729088</v>
      </c>
      <c r="AA444" s="32" t="n">
        <f aca="false">IF(OR(Z444="",N(U444)=0),"",Z444-U444)</f>
        <v>0</v>
      </c>
      <c r="AB444" s="29" t="n">
        <f aca="false">IF(N(Q444)=0,"",Q444+IF(I444="yes",Q444*Inputs!$B$10*Inputs!$B$9,0)+IFERROR(INDEX(Inputs!$B$13:$B$15,MATCH(G444,Inputs!$A$13:$A$15,0)),0)+IFERROR(INDEX(Inputs!$B$18:$B$24,MATCH(H444,Inputs!$A$18:$A$24,0)),0))</f>
        <v>0.076</v>
      </c>
      <c r="AC444" s="28" t="n">
        <f aca="false">IF(OR(N(AB444)&lt;=0,N(N444)=0,N(L444)=0),"",MIN(L444,N444/AB444))</f>
        <v>15.625</v>
      </c>
      <c r="AD444" s="29" t="n">
        <f aca="false">IF(OR(AC444="",N(O444)=0),"",AC444/O444-1)</f>
        <v>-0.156772800863465</v>
      </c>
      <c r="AE444" s="29" t="n">
        <f aca="false">IF(OR(AD444="",N(O444)=0),"",AD444+N444/O444)</f>
        <v>-0.092687533729088</v>
      </c>
      <c r="AF444" s="32" t="n">
        <f aca="false">IF(OR(AE444="",N(Z444)=0),"",AE444-Z444)</f>
        <v>0</v>
      </c>
      <c r="AG444" s="28" t="n">
        <f aca="false">IF(AND(N(M444)&gt;0,N(L444)&gt;0),M444*L444,N444)</f>
        <v>1.1875</v>
      </c>
      <c r="AH444" s="28" t="n">
        <f aca="false">IF(OR(N(AB444)&lt;=0,N(AG444)=0,N(L444)=0),"",MIN(L444,AG444/AB444))</f>
        <v>15.625</v>
      </c>
      <c r="AI444" s="29" t="n">
        <f aca="false">IF(OR(AH444="",N(O444)=0),"",AH444/O444-1)</f>
        <v>-0.156772800863465</v>
      </c>
      <c r="AJ444" s="29" t="n">
        <f aca="false">IF(OR(AI444="",N(O444)=0),"",AI444+AG444/O444)</f>
        <v>-0.092687533729088</v>
      </c>
      <c r="AK444" s="32" t="n">
        <f aca="false">IF(OR(AJ444="",N(AE444)=0),"",AJ444-AE444)</f>
        <v>0</v>
      </c>
      <c r="AL444" s="33" t="n">
        <f aca="false">IF(N(F444)=0,"",INDEX(Inputs!$B$28:$B$32,IFERROR(MATCH(F444,Inputs!$A$28:$A$32,1),0)+1))</f>
        <v>0.075</v>
      </c>
      <c r="AM444" s="34"/>
      <c r="AN444" s="33" t="n">
        <f aca="false">IF(N(AM444)&gt;0,AM444,AL444)</f>
        <v>0.075</v>
      </c>
      <c r="AO444" s="29" t="n">
        <f aca="false">IF(N(AN444)=0,"",AN444+IF(I444="yes",AN444*Inputs!$B$10*Inputs!$B$9,0)+IFERROR(INDEX(Inputs!$B$13:$B$15,MATCH(G444,Inputs!$A$13:$A$15,0)),0)+IFERROR(INDEX(Inputs!$B$18:$B$24,MATCH(H444,Inputs!$A$18:$A$24,0)),0))</f>
        <v>0.07125</v>
      </c>
      <c r="AP444" s="28" t="n">
        <f aca="false">IF(OR(N(AO444)&lt;=0,N(AG444)=0,N(L444)=0),"",MIN(L444,AG444/AO444))</f>
        <v>16.6666666666667</v>
      </c>
      <c r="AQ444" s="29" t="n">
        <f aca="false">IF(OR(AP444="",N(O444)=0),"",AP444/O444-1)</f>
        <v>-0.100557654254362</v>
      </c>
      <c r="AR444" s="29" t="n">
        <f aca="false">IF(OR(AQ444="",N(O444)=0),"",AQ444+AG444/O444)</f>
        <v>-0.0364723871199856</v>
      </c>
      <c r="AS444" s="32" t="n">
        <f aca="false">IF(OR(AR444="",N(AJ444)=0),"",AR444-AJ444)</f>
        <v>0.0562151466091024</v>
      </c>
      <c r="AT444" s="28" t="n">
        <v>25</v>
      </c>
      <c r="AU444" s="28" t="n">
        <v>1.19</v>
      </c>
      <c r="AV444" s="28" t="n">
        <f aca="false">IF(N(AT444)&gt;0,AT444,L444)</f>
        <v>25</v>
      </c>
      <c r="AW444" s="28" t="n">
        <f aca="false">IF(AND(N(M444)&gt;0,N(AV444)&gt;0),M444*AV444,IF(N(AU444)&gt;0,AU444,N444))</f>
        <v>1.1875</v>
      </c>
      <c r="AX444" s="29" t="n">
        <f aca="false">IF(N(AN444)=0,"",AN444+IF(I444="yes",AN444*Inputs!$B$10*Inputs!$B$9,0)+IFERROR(INDEX(Inputs!$B$13:$B$15,MATCH(G444,Inputs!$A$13:$A$15,0)),0)+IFERROR(INDEX(Inputs!$B$18:$B$24,MATCH(H444,Inputs!$A$18:$A$24,0)),0))</f>
        <v>0.07125</v>
      </c>
      <c r="AY444" s="28" t="n">
        <f aca="false">IF(OR(N(AX444)&lt;=0,N(AW444)=0,N(AV444)=0),"",MIN(AV444,AW444/AX444))</f>
        <v>16.6666666666667</v>
      </c>
      <c r="AZ444" s="29" t="n">
        <f aca="false">IF(OR(AY444="",N(O444)=0),"",AY444/O444-1)</f>
        <v>-0.100557654254362</v>
      </c>
      <c r="BA444" s="29" t="n">
        <f aca="false">IF(OR(AZ444="",N(O444)=0),"",AZ444+AW444/O444)</f>
        <v>-0.0364723871199856</v>
      </c>
      <c r="BB444" s="32" t="n">
        <f aca="false">IF(OR(BA444="",N(AR444)=0),"",BA444-AR444)</f>
        <v>0</v>
      </c>
      <c r="BC444" s="35" t="n">
        <f aca="false">IF(OR(BA444="",N(U444)=0),"",BA444-U444)</f>
        <v>0.0562151466091024</v>
      </c>
      <c r="BD444" s="37"/>
    </row>
    <row r="445" customFormat="false" ht="15" hidden="false" customHeight="false" outlineLevel="0" collapsed="false">
      <c r="A445" s="2" t="s">
        <v>768</v>
      </c>
      <c r="B445" s="2" t="n">
        <v>242</v>
      </c>
      <c r="C445" s="2" t="s">
        <v>946</v>
      </c>
      <c r="D445" s="2" t="s">
        <v>942</v>
      </c>
      <c r="E445" s="2" t="s">
        <v>943</v>
      </c>
      <c r="F445" s="27" t="n">
        <v>934500</v>
      </c>
      <c r="G445" s="2" t="s">
        <v>51</v>
      </c>
      <c r="H445" s="2" t="s">
        <v>58</v>
      </c>
      <c r="I445" s="2" t="s">
        <v>151</v>
      </c>
      <c r="J445" s="2" t="s">
        <v>145</v>
      </c>
      <c r="K445" s="2" t="n">
        <v>4</v>
      </c>
      <c r="L445" s="28" t="n">
        <v>25</v>
      </c>
      <c r="M445" s="29" t="n">
        <v>0.0455</v>
      </c>
      <c r="N445" s="28" t="n">
        <v>1.1375</v>
      </c>
      <c r="O445" s="28" t="n">
        <v>17.7</v>
      </c>
      <c r="P445" s="2" t="s">
        <v>146</v>
      </c>
      <c r="Q445" s="29" t="n">
        <v>0.08</v>
      </c>
      <c r="R445" s="30" t="n">
        <v>0.076</v>
      </c>
      <c r="S445" s="31" t="n">
        <v>14.9671052631579</v>
      </c>
      <c r="T445" s="30" t="n">
        <v>-0.15440083258995</v>
      </c>
      <c r="U445" s="30" t="n">
        <v>-0.0901352958667857</v>
      </c>
      <c r="V445" s="29" t="n">
        <v>0</v>
      </c>
      <c r="W445" s="29" t="n">
        <f aca="false">IF(N(Q445)=0,"",Q445+IF(I445="yes",Q445*Inputs!$B$10*Inputs!$B$9,0)+V445)</f>
        <v>0.076</v>
      </c>
      <c r="X445" s="28" t="n">
        <f aca="false">IF(OR(N(W445)&lt;=0,N(N445)=0,N(L445)=0),"",MIN(L445,N445/W445))</f>
        <v>14.9671052631579</v>
      </c>
      <c r="Y445" s="29" t="n">
        <f aca="false">IF(OR(X445="",N(O445)=0),"",X445/O445-1)</f>
        <v>-0.15440083258995</v>
      </c>
      <c r="Z445" s="29" t="n">
        <f aca="false">IF(OR(Y445="",N(O445)=0),"",Y445+N445/O445)</f>
        <v>-0.0901352958667857</v>
      </c>
      <c r="AA445" s="32" t="n">
        <f aca="false">IF(OR(Z445="",N(U445)=0),"",Z445-U445)</f>
        <v>0</v>
      </c>
      <c r="AB445" s="29" t="n">
        <f aca="false">IF(N(Q445)=0,"",Q445+IF(I445="yes",Q445*Inputs!$B$10*Inputs!$B$9,0)+IFERROR(INDEX(Inputs!$B$13:$B$15,MATCH(G445,Inputs!$A$13:$A$15,0)),0)+IFERROR(INDEX(Inputs!$B$18:$B$24,MATCH(H445,Inputs!$A$18:$A$24,0)),0))</f>
        <v>0.076</v>
      </c>
      <c r="AC445" s="28" t="n">
        <f aca="false">IF(OR(N(AB445)&lt;=0,N(N445)=0,N(L445)=0),"",MIN(L445,N445/AB445))</f>
        <v>14.9671052631579</v>
      </c>
      <c r="AD445" s="29" t="n">
        <f aca="false">IF(OR(AC445="",N(O445)=0),"",AC445/O445-1)</f>
        <v>-0.15440083258995</v>
      </c>
      <c r="AE445" s="29" t="n">
        <f aca="false">IF(OR(AD445="",N(O445)=0),"",AD445+N445/O445)</f>
        <v>-0.0901352958667857</v>
      </c>
      <c r="AF445" s="32" t="n">
        <f aca="false">IF(OR(AE445="",N(Z445)=0),"",AE445-Z445)</f>
        <v>0</v>
      </c>
      <c r="AG445" s="28" t="n">
        <f aca="false">IF(AND(N(M445)&gt;0,N(L445)&gt;0),M445*L445,N445)</f>
        <v>1.1375</v>
      </c>
      <c r="AH445" s="28" t="n">
        <f aca="false">IF(OR(N(AB445)&lt;=0,N(AG445)=0,N(L445)=0),"",MIN(L445,AG445/AB445))</f>
        <v>14.9671052631579</v>
      </c>
      <c r="AI445" s="29" t="n">
        <f aca="false">IF(OR(AH445="",N(O445)=0),"",AH445/O445-1)</f>
        <v>-0.15440083258995</v>
      </c>
      <c r="AJ445" s="29" t="n">
        <f aca="false">IF(OR(AI445="",N(O445)=0),"",AI445+AG445/O445)</f>
        <v>-0.0901352958667857</v>
      </c>
      <c r="AK445" s="32" t="n">
        <f aca="false">IF(OR(AJ445="",N(AE445)=0),"",AJ445-AE445)</f>
        <v>0</v>
      </c>
      <c r="AL445" s="33" t="n">
        <f aca="false">IF(N(F445)=0,"",INDEX(Inputs!$B$28:$B$32,IFERROR(MATCH(F445,Inputs!$A$28:$A$32,1),0)+1))</f>
        <v>0.075</v>
      </c>
      <c r="AM445" s="34"/>
      <c r="AN445" s="33" t="n">
        <f aca="false">IF(N(AM445)&gt;0,AM445,AL445)</f>
        <v>0.075</v>
      </c>
      <c r="AO445" s="29" t="n">
        <f aca="false">IF(N(AN445)=0,"",AN445+IF(I445="yes",AN445*Inputs!$B$10*Inputs!$B$9,0)+IFERROR(INDEX(Inputs!$B$13:$B$15,MATCH(G445,Inputs!$A$13:$A$15,0)),0)+IFERROR(INDEX(Inputs!$B$18:$B$24,MATCH(H445,Inputs!$A$18:$A$24,0)),0))</f>
        <v>0.07125</v>
      </c>
      <c r="AP445" s="28" t="n">
        <f aca="false">IF(OR(N(AO445)&lt;=0,N(AG445)=0,N(L445)=0),"",MIN(L445,AG445/AO445))</f>
        <v>15.9649122807018</v>
      </c>
      <c r="AQ445" s="29" t="n">
        <f aca="false">IF(OR(AP445="",N(O445)=0),"",AP445/O445-1)</f>
        <v>-0.0980275547626127</v>
      </c>
      <c r="AR445" s="29" t="n">
        <f aca="false">IF(OR(AQ445="",N(O445)=0),"",AQ445+AG445/O445)</f>
        <v>-0.0337620180394489</v>
      </c>
      <c r="AS445" s="32" t="n">
        <f aca="false">IF(OR(AR445="",N(AJ445)=0),"",AR445-AJ445)</f>
        <v>0.0563732778273368</v>
      </c>
      <c r="AT445" s="28" t="n">
        <v>25</v>
      </c>
      <c r="AU445" s="28" t="n">
        <v>1.1375</v>
      </c>
      <c r="AV445" s="28" t="n">
        <f aca="false">IF(N(AT445)&gt;0,AT445,L445)</f>
        <v>25</v>
      </c>
      <c r="AW445" s="28" t="n">
        <f aca="false">IF(AND(N(M445)&gt;0,N(AV445)&gt;0),M445*AV445,IF(N(AU445)&gt;0,AU445,N445))</f>
        <v>1.1375</v>
      </c>
      <c r="AX445" s="29" t="n">
        <f aca="false">IF(N(AN445)=0,"",AN445+IF(I445="yes",AN445*Inputs!$B$10*Inputs!$B$9,0)+IFERROR(INDEX(Inputs!$B$13:$B$15,MATCH(G445,Inputs!$A$13:$A$15,0)),0)+IFERROR(INDEX(Inputs!$B$18:$B$24,MATCH(H445,Inputs!$A$18:$A$24,0)),0))</f>
        <v>0.07125</v>
      </c>
      <c r="AY445" s="28" t="n">
        <f aca="false">IF(OR(N(AX445)&lt;=0,N(AW445)=0,N(AV445)=0),"",MIN(AV445,AW445/AX445))</f>
        <v>15.9649122807018</v>
      </c>
      <c r="AZ445" s="29" t="n">
        <f aca="false">IF(OR(AY445="",N(O445)=0),"",AY445/O445-1)</f>
        <v>-0.0980275547626127</v>
      </c>
      <c r="BA445" s="29" t="n">
        <f aca="false">IF(OR(AZ445="",N(O445)=0),"",AZ445+AW445/O445)</f>
        <v>-0.0337620180394489</v>
      </c>
      <c r="BB445" s="32" t="n">
        <f aca="false">IF(OR(BA445="",N(AR445)=0),"",BA445-AR445)</f>
        <v>0</v>
      </c>
      <c r="BC445" s="35" t="n">
        <f aca="false">IF(OR(BA445="",N(U445)=0),"",BA445-U445)</f>
        <v>0.0563732778273368</v>
      </c>
      <c r="BD445" s="37"/>
    </row>
    <row r="446" customFormat="false" ht="15" hidden="false" customHeight="false" outlineLevel="0" collapsed="false">
      <c r="A446" s="2" t="s">
        <v>768</v>
      </c>
      <c r="B446" s="2" t="n">
        <v>243</v>
      </c>
      <c r="C446" s="2" t="s">
        <v>947</v>
      </c>
      <c r="D446" s="2" t="s">
        <v>942</v>
      </c>
      <c r="E446" s="2" t="s">
        <v>943</v>
      </c>
      <c r="F446" s="27" t="n">
        <v>934500</v>
      </c>
      <c r="G446" s="2" t="s">
        <v>51</v>
      </c>
      <c r="H446" s="2" t="s">
        <v>58</v>
      </c>
      <c r="I446" s="2" t="s">
        <v>151</v>
      </c>
      <c r="J446" s="2" t="s">
        <v>145</v>
      </c>
      <c r="K446" s="2" t="n">
        <v>4</v>
      </c>
      <c r="L446" s="28" t="n">
        <v>25</v>
      </c>
      <c r="M446" s="29" t="n">
        <v>0.04625</v>
      </c>
      <c r="N446" s="28" t="n">
        <v>1.15625</v>
      </c>
      <c r="O446" s="28" t="n">
        <v>17.97</v>
      </c>
      <c r="P446" s="2" t="s">
        <v>146</v>
      </c>
      <c r="Q446" s="29" t="n">
        <v>0.08</v>
      </c>
      <c r="R446" s="30" t="n">
        <v>0.076</v>
      </c>
      <c r="S446" s="31" t="n">
        <v>15.2138157894737</v>
      </c>
      <c r="T446" s="30" t="n">
        <v>-0.153376973318103</v>
      </c>
      <c r="U446" s="30" t="n">
        <v>-0.089033623290279</v>
      </c>
      <c r="V446" s="29" t="n">
        <v>0</v>
      </c>
      <c r="W446" s="29" t="n">
        <f aca="false">IF(N(Q446)=0,"",Q446+IF(I446="yes",Q446*Inputs!$B$10*Inputs!$B$9,0)+V446)</f>
        <v>0.076</v>
      </c>
      <c r="X446" s="28" t="n">
        <f aca="false">IF(OR(N(W446)&lt;=0,N(N446)=0,N(L446)=0),"",MIN(L446,N446/W446))</f>
        <v>15.2138157894737</v>
      </c>
      <c r="Y446" s="29" t="n">
        <f aca="false">IF(OR(X446="",N(O446)=0),"",X446/O446-1)</f>
        <v>-0.153376973318103</v>
      </c>
      <c r="Z446" s="29" t="n">
        <f aca="false">IF(OR(Y446="",N(O446)=0),"",Y446+N446/O446)</f>
        <v>-0.089033623290279</v>
      </c>
      <c r="AA446" s="32" t="n">
        <f aca="false">IF(OR(Z446="",N(U446)=0),"",Z446-U446)</f>
        <v>0</v>
      </c>
      <c r="AB446" s="29" t="n">
        <f aca="false">IF(N(Q446)=0,"",Q446+IF(I446="yes",Q446*Inputs!$B$10*Inputs!$B$9,0)+IFERROR(INDEX(Inputs!$B$13:$B$15,MATCH(G446,Inputs!$A$13:$A$15,0)),0)+IFERROR(INDEX(Inputs!$B$18:$B$24,MATCH(H446,Inputs!$A$18:$A$24,0)),0))</f>
        <v>0.076</v>
      </c>
      <c r="AC446" s="28" t="n">
        <f aca="false">IF(OR(N(AB446)&lt;=0,N(N446)=0,N(L446)=0),"",MIN(L446,N446/AB446))</f>
        <v>15.2138157894737</v>
      </c>
      <c r="AD446" s="29" t="n">
        <f aca="false">IF(OR(AC446="",N(O446)=0),"",AC446/O446-1)</f>
        <v>-0.153376973318103</v>
      </c>
      <c r="AE446" s="29" t="n">
        <f aca="false">IF(OR(AD446="",N(O446)=0),"",AD446+N446/O446)</f>
        <v>-0.089033623290279</v>
      </c>
      <c r="AF446" s="32" t="n">
        <f aca="false">IF(OR(AE446="",N(Z446)=0),"",AE446-Z446)</f>
        <v>0</v>
      </c>
      <c r="AG446" s="28" t="n">
        <f aca="false">IF(AND(N(M446)&gt;0,N(L446)&gt;0),M446*L446,N446)</f>
        <v>1.15625</v>
      </c>
      <c r="AH446" s="28" t="n">
        <f aca="false">IF(OR(N(AB446)&lt;=0,N(AG446)=0,N(L446)=0),"",MIN(L446,AG446/AB446))</f>
        <v>15.2138157894737</v>
      </c>
      <c r="AI446" s="29" t="n">
        <f aca="false">IF(OR(AH446="",N(O446)=0),"",AH446/O446-1)</f>
        <v>-0.153376973318103</v>
      </c>
      <c r="AJ446" s="29" t="n">
        <f aca="false">IF(OR(AI446="",N(O446)=0),"",AI446+AG446/O446)</f>
        <v>-0.089033623290279</v>
      </c>
      <c r="AK446" s="32" t="n">
        <f aca="false">IF(OR(AJ446="",N(AE446)=0),"",AJ446-AE446)</f>
        <v>0</v>
      </c>
      <c r="AL446" s="33" t="n">
        <f aca="false">IF(N(F446)=0,"",INDEX(Inputs!$B$28:$B$32,IFERROR(MATCH(F446,Inputs!$A$28:$A$32,1),0)+1))</f>
        <v>0.075</v>
      </c>
      <c r="AM446" s="34"/>
      <c r="AN446" s="33" t="n">
        <f aca="false">IF(N(AM446)&gt;0,AM446,AL446)</f>
        <v>0.075</v>
      </c>
      <c r="AO446" s="29" t="n">
        <f aca="false">IF(N(AN446)=0,"",AN446+IF(I446="yes",AN446*Inputs!$B$10*Inputs!$B$9,0)+IFERROR(INDEX(Inputs!$B$13:$B$15,MATCH(G446,Inputs!$A$13:$A$15,0)),0)+IFERROR(INDEX(Inputs!$B$18:$B$24,MATCH(H446,Inputs!$A$18:$A$24,0)),0))</f>
        <v>0.07125</v>
      </c>
      <c r="AP446" s="28" t="n">
        <f aca="false">IF(OR(N(AO446)&lt;=0,N(AG446)=0,N(L446)=0),"",MIN(L446,AG446/AO446))</f>
        <v>16.2280701754386</v>
      </c>
      <c r="AQ446" s="29" t="n">
        <f aca="false">IF(OR(AP446="",N(O446)=0),"",AP446/O446-1)</f>
        <v>-0.0969354382059766</v>
      </c>
      <c r="AR446" s="29" t="n">
        <f aca="false">IF(OR(AQ446="",N(O446)=0),"",AQ446+AG446/O446)</f>
        <v>-0.0325920881781525</v>
      </c>
      <c r="AS446" s="32" t="n">
        <f aca="false">IF(OR(AR446="",N(AJ446)=0),"",AR446-AJ446)</f>
        <v>0.0564415351121266</v>
      </c>
      <c r="AT446" s="28" t="n">
        <v>25</v>
      </c>
      <c r="AU446" s="28" t="n">
        <v>1.15625</v>
      </c>
      <c r="AV446" s="28" t="n">
        <f aca="false">IF(N(AT446)&gt;0,AT446,L446)</f>
        <v>25</v>
      </c>
      <c r="AW446" s="28" t="n">
        <f aca="false">IF(AND(N(M446)&gt;0,N(AV446)&gt;0),M446*AV446,IF(N(AU446)&gt;0,AU446,N446))</f>
        <v>1.15625</v>
      </c>
      <c r="AX446" s="29" t="n">
        <f aca="false">IF(N(AN446)=0,"",AN446+IF(I446="yes",AN446*Inputs!$B$10*Inputs!$B$9,0)+IFERROR(INDEX(Inputs!$B$13:$B$15,MATCH(G446,Inputs!$A$13:$A$15,0)),0)+IFERROR(INDEX(Inputs!$B$18:$B$24,MATCH(H446,Inputs!$A$18:$A$24,0)),0))</f>
        <v>0.07125</v>
      </c>
      <c r="AY446" s="28" t="n">
        <f aca="false">IF(OR(N(AX446)&lt;=0,N(AW446)=0,N(AV446)=0),"",MIN(AV446,AW446/AX446))</f>
        <v>16.2280701754386</v>
      </c>
      <c r="AZ446" s="29" t="n">
        <f aca="false">IF(OR(AY446="",N(O446)=0),"",AY446/O446-1)</f>
        <v>-0.0969354382059766</v>
      </c>
      <c r="BA446" s="29" t="n">
        <f aca="false">IF(OR(AZ446="",N(O446)=0),"",AZ446+AW446/O446)</f>
        <v>-0.0325920881781525</v>
      </c>
      <c r="BB446" s="32" t="n">
        <f aca="false">IF(OR(BA446="",N(AR446)=0),"",BA446-AR446)</f>
        <v>0</v>
      </c>
      <c r="BC446" s="35" t="n">
        <f aca="false">IF(OR(BA446="",N(U446)=0),"",BA446-U446)</f>
        <v>0.0564415351121266</v>
      </c>
      <c r="BD446" s="37"/>
    </row>
    <row r="447" customFormat="false" ht="15" hidden="false" customHeight="false" outlineLevel="0" collapsed="false">
      <c r="A447" s="2" t="s">
        <v>768</v>
      </c>
      <c r="B447" s="2" t="n">
        <v>244</v>
      </c>
      <c r="C447" s="2" t="s">
        <v>948</v>
      </c>
      <c r="D447" s="2" t="s">
        <v>942</v>
      </c>
      <c r="E447" s="2" t="s">
        <v>943</v>
      </c>
      <c r="F447" s="27" t="n">
        <v>934500</v>
      </c>
      <c r="G447" s="2" t="s">
        <v>51</v>
      </c>
      <c r="H447" s="2" t="s">
        <v>58</v>
      </c>
      <c r="I447" s="2" t="s">
        <v>151</v>
      </c>
      <c r="J447" s="2" t="s">
        <v>145</v>
      </c>
      <c r="K447" s="2" t="n">
        <v>4</v>
      </c>
      <c r="L447" s="28" t="n">
        <v>25</v>
      </c>
      <c r="M447" s="29" t="n">
        <v>0.042</v>
      </c>
      <c r="N447" s="28" t="n">
        <v>1.05</v>
      </c>
      <c r="O447" s="28" t="n">
        <v>16.37</v>
      </c>
      <c r="P447" s="2" t="s">
        <v>146</v>
      </c>
      <c r="Q447" s="29" t="n">
        <v>0.08</v>
      </c>
      <c r="R447" s="30" t="n">
        <v>0.076</v>
      </c>
      <c r="S447" s="31" t="n">
        <v>13.8157894736842</v>
      </c>
      <c r="T447" s="30" t="n">
        <v>-0.156029964955149</v>
      </c>
      <c r="U447" s="30" t="n">
        <v>-0.0918882422917404</v>
      </c>
      <c r="V447" s="29" t="n">
        <v>0</v>
      </c>
      <c r="W447" s="29" t="n">
        <f aca="false">IF(N(Q447)=0,"",Q447+IF(I447="yes",Q447*Inputs!$B$10*Inputs!$B$9,0)+V447)</f>
        <v>0.076</v>
      </c>
      <c r="X447" s="28" t="n">
        <f aca="false">IF(OR(N(W447)&lt;=0,N(N447)=0,N(L447)=0),"",MIN(L447,N447/W447))</f>
        <v>13.8157894736842</v>
      </c>
      <c r="Y447" s="29" t="n">
        <f aca="false">IF(OR(X447="",N(O447)=0),"",X447/O447-1)</f>
        <v>-0.156029964955149</v>
      </c>
      <c r="Z447" s="29" t="n">
        <f aca="false">IF(OR(Y447="",N(O447)=0),"",Y447+N447/O447)</f>
        <v>-0.0918882422917404</v>
      </c>
      <c r="AA447" s="32" t="n">
        <f aca="false">IF(OR(Z447="",N(U447)=0),"",Z447-U447)</f>
        <v>0</v>
      </c>
      <c r="AB447" s="29" t="n">
        <f aca="false">IF(N(Q447)=0,"",Q447+IF(I447="yes",Q447*Inputs!$B$10*Inputs!$B$9,0)+IFERROR(INDEX(Inputs!$B$13:$B$15,MATCH(G447,Inputs!$A$13:$A$15,0)),0)+IFERROR(INDEX(Inputs!$B$18:$B$24,MATCH(H447,Inputs!$A$18:$A$24,0)),0))</f>
        <v>0.076</v>
      </c>
      <c r="AC447" s="28" t="n">
        <f aca="false">IF(OR(N(AB447)&lt;=0,N(N447)=0,N(L447)=0),"",MIN(L447,N447/AB447))</f>
        <v>13.8157894736842</v>
      </c>
      <c r="AD447" s="29" t="n">
        <f aca="false">IF(OR(AC447="",N(O447)=0),"",AC447/O447-1)</f>
        <v>-0.156029964955149</v>
      </c>
      <c r="AE447" s="29" t="n">
        <f aca="false">IF(OR(AD447="",N(O447)=0),"",AD447+N447/O447)</f>
        <v>-0.0918882422917404</v>
      </c>
      <c r="AF447" s="32" t="n">
        <f aca="false">IF(OR(AE447="",N(Z447)=0),"",AE447-Z447)</f>
        <v>0</v>
      </c>
      <c r="AG447" s="28" t="n">
        <f aca="false">IF(AND(N(M447)&gt;0,N(L447)&gt;0),M447*L447,N447)</f>
        <v>1.05</v>
      </c>
      <c r="AH447" s="28" t="n">
        <f aca="false">IF(OR(N(AB447)&lt;=0,N(AG447)=0,N(L447)=0),"",MIN(L447,AG447/AB447))</f>
        <v>13.8157894736842</v>
      </c>
      <c r="AI447" s="29" t="n">
        <f aca="false">IF(OR(AH447="",N(O447)=0),"",AH447/O447-1)</f>
        <v>-0.156029964955149</v>
      </c>
      <c r="AJ447" s="29" t="n">
        <f aca="false">IF(OR(AI447="",N(O447)=0),"",AI447+AG447/O447)</f>
        <v>-0.0918882422917404</v>
      </c>
      <c r="AK447" s="32" t="n">
        <f aca="false">IF(OR(AJ447="",N(AE447)=0),"",AJ447-AE447)</f>
        <v>0</v>
      </c>
      <c r="AL447" s="33" t="n">
        <f aca="false">IF(N(F447)=0,"",INDEX(Inputs!$B$28:$B$32,IFERROR(MATCH(F447,Inputs!$A$28:$A$32,1),0)+1))</f>
        <v>0.075</v>
      </c>
      <c r="AM447" s="34"/>
      <c r="AN447" s="33" t="n">
        <f aca="false">IF(N(AM447)&gt;0,AM447,AL447)</f>
        <v>0.075</v>
      </c>
      <c r="AO447" s="29" t="n">
        <f aca="false">IF(N(AN447)=0,"",AN447+IF(I447="yes",AN447*Inputs!$B$10*Inputs!$B$9,0)+IFERROR(INDEX(Inputs!$B$13:$B$15,MATCH(G447,Inputs!$A$13:$A$15,0)),0)+IFERROR(INDEX(Inputs!$B$18:$B$24,MATCH(H447,Inputs!$A$18:$A$24,0)),0))</f>
        <v>0.07125</v>
      </c>
      <c r="AP447" s="28" t="n">
        <f aca="false">IF(OR(N(AO447)&lt;=0,N(AG447)=0,N(L447)=0),"",MIN(L447,AG447/AO447))</f>
        <v>14.7368421052632</v>
      </c>
      <c r="AQ447" s="29" t="n">
        <f aca="false">IF(OR(AP447="",N(O447)=0),"",AP447/O447-1)</f>
        <v>-0.0997652959521589</v>
      </c>
      <c r="AR447" s="29" t="n">
        <f aca="false">IF(OR(AQ447="",N(O447)=0),"",AQ447+AG447/O447)</f>
        <v>-0.0356235732887502</v>
      </c>
      <c r="AS447" s="32" t="n">
        <f aca="false">IF(OR(AR447="",N(AJ447)=0),"",AR447-AJ447)</f>
        <v>0.0562646690029902</v>
      </c>
      <c r="AT447" s="28" t="n">
        <v>25</v>
      </c>
      <c r="AU447" s="28" t="n">
        <v>1.05</v>
      </c>
      <c r="AV447" s="28" t="n">
        <f aca="false">IF(N(AT447)&gt;0,AT447,L447)</f>
        <v>25</v>
      </c>
      <c r="AW447" s="28" t="n">
        <f aca="false">IF(AND(N(M447)&gt;0,N(AV447)&gt;0),M447*AV447,IF(N(AU447)&gt;0,AU447,N447))</f>
        <v>1.05</v>
      </c>
      <c r="AX447" s="29" t="n">
        <f aca="false">IF(N(AN447)=0,"",AN447+IF(I447="yes",AN447*Inputs!$B$10*Inputs!$B$9,0)+IFERROR(INDEX(Inputs!$B$13:$B$15,MATCH(G447,Inputs!$A$13:$A$15,0)),0)+IFERROR(INDEX(Inputs!$B$18:$B$24,MATCH(H447,Inputs!$A$18:$A$24,0)),0))</f>
        <v>0.07125</v>
      </c>
      <c r="AY447" s="28" t="n">
        <f aca="false">IF(OR(N(AX447)&lt;=0,N(AW447)=0,N(AV447)=0),"",MIN(AV447,AW447/AX447))</f>
        <v>14.7368421052632</v>
      </c>
      <c r="AZ447" s="29" t="n">
        <f aca="false">IF(OR(AY447="",N(O447)=0),"",AY447/O447-1)</f>
        <v>-0.0997652959521589</v>
      </c>
      <c r="BA447" s="29" t="n">
        <f aca="false">IF(OR(AZ447="",N(O447)=0),"",AZ447+AW447/O447)</f>
        <v>-0.0356235732887502</v>
      </c>
      <c r="BB447" s="32" t="n">
        <f aca="false">IF(OR(BA447="",N(AR447)=0),"",BA447-AR447)</f>
        <v>0</v>
      </c>
      <c r="BC447" s="35" t="n">
        <f aca="false">IF(OR(BA447="",N(U447)=0),"",BA447-U447)</f>
        <v>0.0562646690029902</v>
      </c>
      <c r="BD447" s="37"/>
    </row>
    <row r="448" customFormat="false" ht="15" hidden="false" customHeight="false" outlineLevel="0" collapsed="false">
      <c r="A448" s="2" t="s">
        <v>768</v>
      </c>
      <c r="B448" s="2" t="n">
        <v>247</v>
      </c>
      <c r="C448" s="2" t="s">
        <v>949</v>
      </c>
      <c r="D448" s="2" t="s">
        <v>950</v>
      </c>
      <c r="E448" s="2" t="s">
        <v>951</v>
      </c>
      <c r="F448" s="27" t="n">
        <v>8700</v>
      </c>
      <c r="G448" s="2" t="s">
        <v>51</v>
      </c>
      <c r="H448" s="2" t="s">
        <v>58</v>
      </c>
      <c r="I448" s="2" t="s">
        <v>151</v>
      </c>
      <c r="J448" s="2" t="s">
        <v>145</v>
      </c>
      <c r="K448" s="2" t="n">
        <v>4</v>
      </c>
      <c r="L448" s="28" t="n">
        <v>25</v>
      </c>
      <c r="M448" s="29" t="n">
        <v>0.08</v>
      </c>
      <c r="N448" s="28" t="n">
        <v>2</v>
      </c>
      <c r="O448" s="28" t="n">
        <v>25.41</v>
      </c>
      <c r="P448" s="2" t="s">
        <v>223</v>
      </c>
      <c r="Q448" s="29" t="n">
        <v>0.08</v>
      </c>
      <c r="R448" s="30" t="n">
        <v>0.08</v>
      </c>
      <c r="S448" s="31" t="n">
        <v>25</v>
      </c>
      <c r="T448" s="30" t="n">
        <v>-0.0161353797717434</v>
      </c>
      <c r="U448" s="30" t="n">
        <v>0.0625737898465171</v>
      </c>
      <c r="V448" s="29" t="n">
        <v>0</v>
      </c>
      <c r="W448" s="29" t="n">
        <f aca="false">IF(N(Q448)=0,"",Q448+IF(I448="yes",Q448*Inputs!$B$10*Inputs!$B$9,0)+V448)</f>
        <v>0.076</v>
      </c>
      <c r="X448" s="28" t="n">
        <f aca="false">IF(OR(N(W448)&lt;=0,N(N448)=0,N(L448)=0),"",MIN(L448,N448/W448))</f>
        <v>25</v>
      </c>
      <c r="Y448" s="29" t="n">
        <f aca="false">IF(OR(X448="",N(O448)=0),"",X448/O448-1)</f>
        <v>-0.0161353797717434</v>
      </c>
      <c r="Z448" s="29" t="n">
        <f aca="false">IF(OR(Y448="",N(O448)=0),"",Y448+N448/O448)</f>
        <v>0.0625737898465171</v>
      </c>
      <c r="AA448" s="32" t="n">
        <f aca="false">IF(OR(Z448="",N(U448)=0),"",Z448-U448)</f>
        <v>0</v>
      </c>
      <c r="AB448" s="29" t="n">
        <f aca="false">IF(N(Q448)=0,"",Q448+IF(I448="yes",Q448*Inputs!$B$10*Inputs!$B$9,0)+IFERROR(INDEX(Inputs!$B$13:$B$15,MATCH(G448,Inputs!$A$13:$A$15,0)),0)+IFERROR(INDEX(Inputs!$B$18:$B$24,MATCH(H448,Inputs!$A$18:$A$24,0)),0))</f>
        <v>0.076</v>
      </c>
      <c r="AC448" s="28" t="n">
        <f aca="false">IF(OR(N(AB448)&lt;=0,N(N448)=0,N(L448)=0),"",MIN(L448,N448/AB448))</f>
        <v>25</v>
      </c>
      <c r="AD448" s="29" t="n">
        <f aca="false">IF(OR(AC448="",N(O448)=0),"",AC448/O448-1)</f>
        <v>-0.0161353797717434</v>
      </c>
      <c r="AE448" s="29" t="n">
        <f aca="false">IF(OR(AD448="",N(O448)=0),"",AD448+N448/O448)</f>
        <v>0.0625737898465171</v>
      </c>
      <c r="AF448" s="32" t="n">
        <f aca="false">IF(OR(AE448="",N(Z448)=0),"",AE448-Z448)</f>
        <v>0</v>
      </c>
      <c r="AG448" s="28" t="n">
        <f aca="false">IF(AND(N(M448)&gt;0,N(L448)&gt;0),M448*L448,N448)</f>
        <v>2</v>
      </c>
      <c r="AH448" s="28" t="n">
        <f aca="false">IF(OR(N(AB448)&lt;=0,N(AG448)=0,N(L448)=0),"",MIN(L448,AG448/AB448))</f>
        <v>25</v>
      </c>
      <c r="AI448" s="29" t="n">
        <f aca="false">IF(OR(AH448="",N(O448)=0),"",AH448/O448-1)</f>
        <v>-0.0161353797717434</v>
      </c>
      <c r="AJ448" s="29" t="n">
        <f aca="false">IF(OR(AI448="",N(O448)=0),"",AI448+AG448/O448)</f>
        <v>0.0625737898465171</v>
      </c>
      <c r="AK448" s="32" t="n">
        <f aca="false">IF(OR(AJ448="",N(AE448)=0),"",AJ448-AE448)</f>
        <v>0</v>
      </c>
      <c r="AL448" s="33" t="n">
        <f aca="false">IF(N(F448)=0,"",INDEX(Inputs!$B$28:$B$32,IFERROR(MATCH(F448,Inputs!$A$28:$A$32,1),0)+1))</f>
        <v>0.08</v>
      </c>
      <c r="AM448" s="34"/>
      <c r="AN448" s="33" t="n">
        <f aca="false">IF(N(AM448)&gt;0,AM448,AL448)</f>
        <v>0.08</v>
      </c>
      <c r="AO448" s="29" t="n">
        <f aca="false">IF(N(AN448)=0,"",AN448+IF(I448="yes",AN448*Inputs!$B$10*Inputs!$B$9,0)+IFERROR(INDEX(Inputs!$B$13:$B$15,MATCH(G448,Inputs!$A$13:$A$15,0)),0)+IFERROR(INDEX(Inputs!$B$18:$B$24,MATCH(H448,Inputs!$A$18:$A$24,0)),0))</f>
        <v>0.076</v>
      </c>
      <c r="AP448" s="28" t="n">
        <f aca="false">IF(OR(N(AO448)&lt;=0,N(AG448)=0,N(L448)=0),"",MIN(L448,AG448/AO448))</f>
        <v>25</v>
      </c>
      <c r="AQ448" s="29" t="n">
        <f aca="false">IF(OR(AP448="",N(O448)=0),"",AP448/O448-1)</f>
        <v>-0.0161353797717434</v>
      </c>
      <c r="AR448" s="29" t="n">
        <f aca="false">IF(OR(AQ448="",N(O448)=0),"",AQ448+AG448/O448)</f>
        <v>0.0625737898465171</v>
      </c>
      <c r="AS448" s="32" t="n">
        <f aca="false">IF(OR(AR448="",N(AJ448)=0),"",AR448-AJ448)</f>
        <v>0</v>
      </c>
      <c r="AT448" s="28" t="n">
        <v>25</v>
      </c>
      <c r="AU448" s="28"/>
      <c r="AV448" s="28" t="n">
        <f aca="false">IF(N(AT448)&gt;0,AT448,L448)</f>
        <v>25</v>
      </c>
      <c r="AW448" s="28" t="n">
        <f aca="false">IF(AND(N(M448)&gt;0,N(AV448)&gt;0),M448*AV448,IF(N(AU448)&gt;0,AU448,N448))</f>
        <v>2</v>
      </c>
      <c r="AX448" s="29" t="n">
        <f aca="false">IF(N(AN448)=0,"",AN448+IF(I448="yes",AN448*Inputs!$B$10*Inputs!$B$9,0)+IFERROR(INDEX(Inputs!$B$13:$B$15,MATCH(G448,Inputs!$A$13:$A$15,0)),0)+IFERROR(INDEX(Inputs!$B$18:$B$24,MATCH(H448,Inputs!$A$18:$A$24,0)),0))</f>
        <v>0.076</v>
      </c>
      <c r="AY448" s="28" t="n">
        <f aca="false">IF(OR(N(AX448)&lt;=0,N(AW448)=0,N(AV448)=0),"",MIN(AV448,AW448/AX448))</f>
        <v>25</v>
      </c>
      <c r="AZ448" s="29" t="n">
        <f aca="false">IF(OR(AY448="",N(O448)=0),"",AY448/O448-1)</f>
        <v>-0.0161353797717434</v>
      </c>
      <c r="BA448" s="29" t="n">
        <f aca="false">IF(OR(AZ448="",N(O448)=0),"",AZ448+AW448/O448)</f>
        <v>0.0625737898465171</v>
      </c>
      <c r="BB448" s="32" t="n">
        <f aca="false">IF(OR(BA448="",N(AR448)=0),"",BA448-AR448)</f>
        <v>0</v>
      </c>
      <c r="BC448" s="35" t="n">
        <f aca="false">IF(OR(BA448="",N(U448)=0),"",BA448-U448)</f>
        <v>0</v>
      </c>
      <c r="BD448" s="36" t="s">
        <v>224</v>
      </c>
    </row>
    <row r="449" customFormat="false" ht="15" hidden="false" customHeight="false" outlineLevel="0" collapsed="false">
      <c r="A449" s="2" t="s">
        <v>768</v>
      </c>
      <c r="B449" s="2" t="n">
        <v>253</v>
      </c>
      <c r="C449" s="2" t="s">
        <v>952</v>
      </c>
      <c r="D449" s="2" t="s">
        <v>953</v>
      </c>
      <c r="E449" s="2" t="s">
        <v>954</v>
      </c>
      <c r="F449" s="27" t="n">
        <v>23300</v>
      </c>
      <c r="G449" s="2" t="s">
        <v>51</v>
      </c>
      <c r="H449" s="2" t="s">
        <v>58</v>
      </c>
      <c r="I449" s="2" t="s">
        <v>151</v>
      </c>
      <c r="J449" s="2" t="s">
        <v>145</v>
      </c>
      <c r="K449" s="2" t="n">
        <v>4</v>
      </c>
      <c r="L449" s="28" t="n">
        <v>25</v>
      </c>
      <c r="M449" s="29" t="n">
        <v>0.06125</v>
      </c>
      <c r="N449" s="28" t="n">
        <v>1.53125</v>
      </c>
      <c r="O449" s="28" t="n">
        <v>25.29</v>
      </c>
      <c r="P449" s="2" t="s">
        <v>146</v>
      </c>
      <c r="Q449" s="29" t="n">
        <v>0.08</v>
      </c>
      <c r="R449" s="30" t="n">
        <v>0.076</v>
      </c>
      <c r="S449" s="31" t="n">
        <v>20.1480263157895</v>
      </c>
      <c r="T449" s="30" t="n">
        <v>-0.203320430376059</v>
      </c>
      <c r="U449" s="30" t="n">
        <v>-0.142772783084639</v>
      </c>
      <c r="V449" s="29" t="n">
        <v>0</v>
      </c>
      <c r="W449" s="29" t="n">
        <f aca="false">IF(N(Q449)=0,"",Q449+IF(I449="yes",Q449*Inputs!$B$10*Inputs!$B$9,0)+V449)</f>
        <v>0.076</v>
      </c>
      <c r="X449" s="28" t="n">
        <f aca="false">IF(OR(N(W449)&lt;=0,N(N449)=0,N(L449)=0),"",MIN(L449,N449/W449))</f>
        <v>20.1480263157895</v>
      </c>
      <c r="Y449" s="29" t="n">
        <f aca="false">IF(OR(X449="",N(O449)=0),"",X449/O449-1)</f>
        <v>-0.203320430376059</v>
      </c>
      <c r="Z449" s="29" t="n">
        <f aca="false">IF(OR(Y449="",N(O449)=0),"",Y449+N449/O449)</f>
        <v>-0.142772783084639</v>
      </c>
      <c r="AA449" s="32" t="n">
        <f aca="false">IF(OR(Z449="",N(U449)=0),"",Z449-U449)</f>
        <v>0</v>
      </c>
      <c r="AB449" s="29" t="n">
        <f aca="false">IF(N(Q449)=0,"",Q449+IF(I449="yes",Q449*Inputs!$B$10*Inputs!$B$9,0)+IFERROR(INDEX(Inputs!$B$13:$B$15,MATCH(G449,Inputs!$A$13:$A$15,0)),0)+IFERROR(INDEX(Inputs!$B$18:$B$24,MATCH(H449,Inputs!$A$18:$A$24,0)),0))</f>
        <v>0.076</v>
      </c>
      <c r="AC449" s="28" t="n">
        <f aca="false">IF(OR(N(AB449)&lt;=0,N(N449)=0,N(L449)=0),"",MIN(L449,N449/AB449))</f>
        <v>20.1480263157895</v>
      </c>
      <c r="AD449" s="29" t="n">
        <f aca="false">IF(OR(AC449="",N(O449)=0),"",AC449/O449-1)</f>
        <v>-0.203320430376059</v>
      </c>
      <c r="AE449" s="29" t="n">
        <f aca="false">IF(OR(AD449="",N(O449)=0),"",AD449+N449/O449)</f>
        <v>-0.142772783084639</v>
      </c>
      <c r="AF449" s="32" t="n">
        <f aca="false">IF(OR(AE449="",N(Z449)=0),"",AE449-Z449)</f>
        <v>0</v>
      </c>
      <c r="AG449" s="28" t="n">
        <f aca="false">IF(AND(N(M449)&gt;0,N(L449)&gt;0),M449*L449,N449)</f>
        <v>1.53125</v>
      </c>
      <c r="AH449" s="28" t="n">
        <f aca="false">IF(OR(N(AB449)&lt;=0,N(AG449)=0,N(L449)=0),"",MIN(L449,AG449/AB449))</f>
        <v>20.1480263157895</v>
      </c>
      <c r="AI449" s="29" t="n">
        <f aca="false">IF(OR(AH449="",N(O449)=0),"",AH449/O449-1)</f>
        <v>-0.203320430376059</v>
      </c>
      <c r="AJ449" s="29" t="n">
        <f aca="false">IF(OR(AI449="",N(O449)=0),"",AI449+AG449/O449)</f>
        <v>-0.142772783084639</v>
      </c>
      <c r="AK449" s="32" t="n">
        <f aca="false">IF(OR(AJ449="",N(AE449)=0),"",AJ449-AE449)</f>
        <v>0</v>
      </c>
      <c r="AL449" s="33" t="n">
        <f aca="false">IF(N(F449)=0,"",INDEX(Inputs!$B$28:$B$32,IFERROR(MATCH(F449,Inputs!$A$28:$A$32,1),0)+1))</f>
        <v>0.075</v>
      </c>
      <c r="AM449" s="34"/>
      <c r="AN449" s="33" t="n">
        <f aca="false">IF(N(AM449)&gt;0,AM449,AL449)</f>
        <v>0.075</v>
      </c>
      <c r="AO449" s="29" t="n">
        <f aca="false">IF(N(AN449)=0,"",AN449+IF(I449="yes",AN449*Inputs!$B$10*Inputs!$B$9,0)+IFERROR(INDEX(Inputs!$B$13:$B$15,MATCH(G449,Inputs!$A$13:$A$15,0)),0)+IFERROR(INDEX(Inputs!$B$18:$B$24,MATCH(H449,Inputs!$A$18:$A$24,0)),0))</f>
        <v>0.07125</v>
      </c>
      <c r="AP449" s="28" t="n">
        <f aca="false">IF(OR(N(AO449)&lt;=0,N(AG449)=0,N(L449)=0),"",MIN(L449,AG449/AO449))</f>
        <v>21.4912280701754</v>
      </c>
      <c r="AQ449" s="29" t="n">
        <f aca="false">IF(OR(AP449="",N(O449)=0),"",AP449/O449-1)</f>
        <v>-0.150208459067796</v>
      </c>
      <c r="AR449" s="29" t="n">
        <f aca="false">IF(OR(AQ449="",N(O449)=0),"",AQ449+AG449/O449)</f>
        <v>-0.0896608117763764</v>
      </c>
      <c r="AS449" s="32" t="n">
        <f aca="false">IF(OR(AR449="",N(AJ449)=0),"",AR449-AJ449)</f>
        <v>0.0531119713082628</v>
      </c>
      <c r="AT449" s="28" t="n">
        <v>25</v>
      </c>
      <c r="AU449" s="28" t="n">
        <v>1.53</v>
      </c>
      <c r="AV449" s="28" t="n">
        <f aca="false">IF(N(AT449)&gt;0,AT449,L449)</f>
        <v>25</v>
      </c>
      <c r="AW449" s="28" t="n">
        <f aca="false">IF(AND(N(M449)&gt;0,N(AV449)&gt;0),M449*AV449,IF(N(AU449)&gt;0,AU449,N449))</f>
        <v>1.53125</v>
      </c>
      <c r="AX449" s="29" t="n">
        <f aca="false">IF(N(AN449)=0,"",AN449+IF(I449="yes",AN449*Inputs!$B$10*Inputs!$B$9,0)+IFERROR(INDEX(Inputs!$B$13:$B$15,MATCH(G449,Inputs!$A$13:$A$15,0)),0)+IFERROR(INDEX(Inputs!$B$18:$B$24,MATCH(H449,Inputs!$A$18:$A$24,0)),0))</f>
        <v>0.07125</v>
      </c>
      <c r="AY449" s="28" t="n">
        <f aca="false">IF(OR(N(AX449)&lt;=0,N(AW449)=0,N(AV449)=0),"",MIN(AV449,AW449/AX449))</f>
        <v>21.4912280701754</v>
      </c>
      <c r="AZ449" s="29" t="n">
        <f aca="false">IF(OR(AY449="",N(O449)=0),"",AY449/O449-1)</f>
        <v>-0.150208459067796</v>
      </c>
      <c r="BA449" s="29" t="n">
        <f aca="false">IF(OR(AZ449="",N(O449)=0),"",AZ449+AW449/O449)</f>
        <v>-0.0896608117763764</v>
      </c>
      <c r="BB449" s="32" t="n">
        <f aca="false">IF(OR(BA449="",N(AR449)=0),"",BA449-AR449)</f>
        <v>0</v>
      </c>
      <c r="BC449" s="35" t="n">
        <f aca="false">IF(OR(BA449="",N(U449)=0),"",BA449-U449)</f>
        <v>0.0531119713082628</v>
      </c>
      <c r="BD449" s="37"/>
    </row>
    <row r="450" customFormat="false" ht="15" hidden="false" customHeight="false" outlineLevel="0" collapsed="false">
      <c r="A450" s="2" t="s">
        <v>768</v>
      </c>
      <c r="B450" s="2" t="n">
        <v>254</v>
      </c>
      <c r="C450" s="2" t="s">
        <v>955</v>
      </c>
      <c r="D450" s="2" t="s">
        <v>953</v>
      </c>
      <c r="E450" s="2" t="s">
        <v>954</v>
      </c>
      <c r="F450" s="27" t="n">
        <v>23300</v>
      </c>
      <c r="G450" s="2" t="s">
        <v>51</v>
      </c>
      <c r="H450" s="2" t="s">
        <v>58</v>
      </c>
      <c r="I450" s="2" t="s">
        <v>151</v>
      </c>
      <c r="J450" s="2" t="s">
        <v>145</v>
      </c>
      <c r="K450" s="2" t="n">
        <v>4</v>
      </c>
      <c r="L450" s="28" t="n">
        <v>25</v>
      </c>
      <c r="M450" s="29" t="n">
        <v>0.0565</v>
      </c>
      <c r="N450" s="28" t="n">
        <v>1.4125</v>
      </c>
      <c r="O450" s="28" t="n">
        <v>20.78</v>
      </c>
      <c r="P450" s="2" t="s">
        <v>146</v>
      </c>
      <c r="Q450" s="29" t="n">
        <v>0.08</v>
      </c>
      <c r="R450" s="30" t="n">
        <v>0.076</v>
      </c>
      <c r="S450" s="31" t="n">
        <v>18.5855263157895</v>
      </c>
      <c r="T450" s="30" t="n">
        <v>-0.105605085861912</v>
      </c>
      <c r="U450" s="30" t="n">
        <v>-0.0376310723874169</v>
      </c>
      <c r="V450" s="29" t="n">
        <v>0</v>
      </c>
      <c r="W450" s="29" t="n">
        <f aca="false">IF(N(Q450)=0,"",Q450+IF(I450="yes",Q450*Inputs!$B$10*Inputs!$B$9,0)+V450)</f>
        <v>0.076</v>
      </c>
      <c r="X450" s="28" t="n">
        <f aca="false">IF(OR(N(W450)&lt;=0,N(N450)=0,N(L450)=0),"",MIN(L450,N450/W450))</f>
        <v>18.5855263157895</v>
      </c>
      <c r="Y450" s="29" t="n">
        <f aca="false">IF(OR(X450="",N(O450)=0),"",X450/O450-1)</f>
        <v>-0.105605085861912</v>
      </c>
      <c r="Z450" s="29" t="n">
        <f aca="false">IF(OR(Y450="",N(O450)=0),"",Y450+N450/O450)</f>
        <v>-0.0376310723874169</v>
      </c>
      <c r="AA450" s="32" t="n">
        <f aca="false">IF(OR(Z450="",N(U450)=0),"",Z450-U450)</f>
        <v>0</v>
      </c>
      <c r="AB450" s="29" t="n">
        <f aca="false">IF(N(Q450)=0,"",Q450+IF(I450="yes",Q450*Inputs!$B$10*Inputs!$B$9,0)+IFERROR(INDEX(Inputs!$B$13:$B$15,MATCH(G450,Inputs!$A$13:$A$15,0)),0)+IFERROR(INDEX(Inputs!$B$18:$B$24,MATCH(H450,Inputs!$A$18:$A$24,0)),0))</f>
        <v>0.076</v>
      </c>
      <c r="AC450" s="28" t="n">
        <f aca="false">IF(OR(N(AB450)&lt;=0,N(N450)=0,N(L450)=0),"",MIN(L450,N450/AB450))</f>
        <v>18.5855263157895</v>
      </c>
      <c r="AD450" s="29" t="n">
        <f aca="false">IF(OR(AC450="",N(O450)=0),"",AC450/O450-1)</f>
        <v>-0.105605085861912</v>
      </c>
      <c r="AE450" s="29" t="n">
        <f aca="false">IF(OR(AD450="",N(O450)=0),"",AD450+N450/O450)</f>
        <v>-0.0376310723874169</v>
      </c>
      <c r="AF450" s="32" t="n">
        <f aca="false">IF(OR(AE450="",N(Z450)=0),"",AE450-Z450)</f>
        <v>0</v>
      </c>
      <c r="AG450" s="28" t="n">
        <f aca="false">IF(AND(N(M450)&gt;0,N(L450)&gt;0),M450*L450,N450)</f>
        <v>1.4125</v>
      </c>
      <c r="AH450" s="28" t="n">
        <f aca="false">IF(OR(N(AB450)&lt;=0,N(AG450)=0,N(L450)=0),"",MIN(L450,AG450/AB450))</f>
        <v>18.5855263157895</v>
      </c>
      <c r="AI450" s="29" t="n">
        <f aca="false">IF(OR(AH450="",N(O450)=0),"",AH450/O450-1)</f>
        <v>-0.105605085861912</v>
      </c>
      <c r="AJ450" s="29" t="n">
        <f aca="false">IF(OR(AI450="",N(O450)=0),"",AI450+AG450/O450)</f>
        <v>-0.0376310723874169</v>
      </c>
      <c r="AK450" s="32" t="n">
        <f aca="false">IF(OR(AJ450="",N(AE450)=0),"",AJ450-AE450)</f>
        <v>0</v>
      </c>
      <c r="AL450" s="33" t="n">
        <f aca="false">IF(N(F450)=0,"",INDEX(Inputs!$B$28:$B$32,IFERROR(MATCH(F450,Inputs!$A$28:$A$32,1),0)+1))</f>
        <v>0.075</v>
      </c>
      <c r="AM450" s="34"/>
      <c r="AN450" s="33" t="n">
        <f aca="false">IF(N(AM450)&gt;0,AM450,AL450)</f>
        <v>0.075</v>
      </c>
      <c r="AO450" s="29" t="n">
        <f aca="false">IF(N(AN450)=0,"",AN450+IF(I450="yes",AN450*Inputs!$B$10*Inputs!$B$9,0)+IFERROR(INDEX(Inputs!$B$13:$B$15,MATCH(G450,Inputs!$A$13:$A$15,0)),0)+IFERROR(INDEX(Inputs!$B$18:$B$24,MATCH(H450,Inputs!$A$18:$A$24,0)),0))</f>
        <v>0.07125</v>
      </c>
      <c r="AP450" s="28" t="n">
        <f aca="false">IF(OR(N(AO450)&lt;=0,N(AG450)=0,N(L450)=0),"",MIN(L450,AG450/AO450))</f>
        <v>19.8245614035088</v>
      </c>
      <c r="AQ450" s="29" t="n">
        <f aca="false">IF(OR(AP450="",N(O450)=0),"",AP450/O450-1)</f>
        <v>-0.0459787582527058</v>
      </c>
      <c r="AR450" s="29" t="n">
        <f aca="false">IF(OR(AQ450="",N(O450)=0),"",AQ450+AG450/O450)</f>
        <v>0.0219952552217889</v>
      </c>
      <c r="AS450" s="32" t="n">
        <f aca="false">IF(OR(AR450="",N(AJ450)=0),"",AR450-AJ450)</f>
        <v>0.0596263276092058</v>
      </c>
      <c r="AT450" s="28" t="n">
        <v>25</v>
      </c>
      <c r="AU450" s="28" t="n">
        <v>1.41</v>
      </c>
      <c r="AV450" s="28" t="n">
        <f aca="false">IF(N(AT450)&gt;0,AT450,L450)</f>
        <v>25</v>
      </c>
      <c r="AW450" s="28" t="n">
        <f aca="false">IF(AND(N(M450)&gt;0,N(AV450)&gt;0),M450*AV450,IF(N(AU450)&gt;0,AU450,N450))</f>
        <v>1.4125</v>
      </c>
      <c r="AX450" s="29" t="n">
        <f aca="false">IF(N(AN450)=0,"",AN450+IF(I450="yes",AN450*Inputs!$B$10*Inputs!$B$9,0)+IFERROR(INDEX(Inputs!$B$13:$B$15,MATCH(G450,Inputs!$A$13:$A$15,0)),0)+IFERROR(INDEX(Inputs!$B$18:$B$24,MATCH(H450,Inputs!$A$18:$A$24,0)),0))</f>
        <v>0.07125</v>
      </c>
      <c r="AY450" s="28" t="n">
        <f aca="false">IF(OR(N(AX450)&lt;=0,N(AW450)=0,N(AV450)=0),"",MIN(AV450,AW450/AX450))</f>
        <v>19.8245614035088</v>
      </c>
      <c r="AZ450" s="29" t="n">
        <f aca="false">IF(OR(AY450="",N(O450)=0),"",AY450/O450-1)</f>
        <v>-0.0459787582527058</v>
      </c>
      <c r="BA450" s="29" t="n">
        <f aca="false">IF(OR(AZ450="",N(O450)=0),"",AZ450+AW450/O450)</f>
        <v>0.0219952552217889</v>
      </c>
      <c r="BB450" s="32" t="n">
        <f aca="false">IF(OR(BA450="",N(AR450)=0),"",BA450-AR450)</f>
        <v>0</v>
      </c>
      <c r="BC450" s="35" t="n">
        <f aca="false">IF(OR(BA450="",N(U450)=0),"",BA450-U450)</f>
        <v>0.0596263276092058</v>
      </c>
      <c r="BD450" s="37"/>
    </row>
    <row r="451" customFormat="false" ht="15" hidden="false" customHeight="false" outlineLevel="0" collapsed="false">
      <c r="A451" s="2" t="s">
        <v>768</v>
      </c>
      <c r="B451" s="2" t="n">
        <v>255</v>
      </c>
      <c r="C451" s="2" t="s">
        <v>956</v>
      </c>
      <c r="D451" s="2" t="s">
        <v>953</v>
      </c>
      <c r="E451" s="2" t="s">
        <v>954</v>
      </c>
      <c r="F451" s="27" t="n">
        <v>23300</v>
      </c>
      <c r="G451" s="2" t="s">
        <v>51</v>
      </c>
      <c r="H451" s="2" t="s">
        <v>58</v>
      </c>
      <c r="I451" s="2" t="s">
        <v>151</v>
      </c>
      <c r="J451" s="2" t="s">
        <v>145</v>
      </c>
      <c r="K451" s="2" t="n">
        <v>4</v>
      </c>
      <c r="L451" s="28" t="n">
        <v>25</v>
      </c>
      <c r="M451" s="29" t="n">
        <v>0.05625</v>
      </c>
      <c r="N451" s="28" t="n">
        <v>1.40625</v>
      </c>
      <c r="O451" s="28" t="n">
        <v>20.54</v>
      </c>
      <c r="P451" s="2" t="s">
        <v>146</v>
      </c>
      <c r="Q451" s="29" t="n">
        <v>0.08</v>
      </c>
      <c r="R451" s="30" t="n">
        <v>0.076</v>
      </c>
      <c r="S451" s="31" t="n">
        <v>18.5032894736842</v>
      </c>
      <c r="T451" s="30" t="n">
        <v>-0.0991582534720441</v>
      </c>
      <c r="U451" s="30" t="n">
        <v>-0.0306942807359195</v>
      </c>
      <c r="V451" s="29" t="n">
        <v>0</v>
      </c>
      <c r="W451" s="29" t="n">
        <f aca="false">IF(N(Q451)=0,"",Q451+IF(I451="yes",Q451*Inputs!$B$10*Inputs!$B$9,0)+V451)</f>
        <v>0.076</v>
      </c>
      <c r="X451" s="28" t="n">
        <f aca="false">IF(OR(N(W451)&lt;=0,N(N451)=0,N(L451)=0),"",MIN(L451,N451/W451))</f>
        <v>18.5032894736842</v>
      </c>
      <c r="Y451" s="29" t="n">
        <f aca="false">IF(OR(X451="",N(O451)=0),"",X451/O451-1)</f>
        <v>-0.0991582534720441</v>
      </c>
      <c r="Z451" s="29" t="n">
        <f aca="false">IF(OR(Y451="",N(O451)=0),"",Y451+N451/O451)</f>
        <v>-0.0306942807359195</v>
      </c>
      <c r="AA451" s="32" t="n">
        <f aca="false">IF(OR(Z451="",N(U451)=0),"",Z451-U451)</f>
        <v>0</v>
      </c>
      <c r="AB451" s="29" t="n">
        <f aca="false">IF(N(Q451)=0,"",Q451+IF(I451="yes",Q451*Inputs!$B$10*Inputs!$B$9,0)+IFERROR(INDEX(Inputs!$B$13:$B$15,MATCH(G451,Inputs!$A$13:$A$15,0)),0)+IFERROR(INDEX(Inputs!$B$18:$B$24,MATCH(H451,Inputs!$A$18:$A$24,0)),0))</f>
        <v>0.076</v>
      </c>
      <c r="AC451" s="28" t="n">
        <f aca="false">IF(OR(N(AB451)&lt;=0,N(N451)=0,N(L451)=0),"",MIN(L451,N451/AB451))</f>
        <v>18.5032894736842</v>
      </c>
      <c r="AD451" s="29" t="n">
        <f aca="false">IF(OR(AC451="",N(O451)=0),"",AC451/O451-1)</f>
        <v>-0.0991582534720441</v>
      </c>
      <c r="AE451" s="29" t="n">
        <f aca="false">IF(OR(AD451="",N(O451)=0),"",AD451+N451/O451)</f>
        <v>-0.0306942807359195</v>
      </c>
      <c r="AF451" s="32" t="n">
        <f aca="false">IF(OR(AE451="",N(Z451)=0),"",AE451-Z451)</f>
        <v>0</v>
      </c>
      <c r="AG451" s="28" t="n">
        <f aca="false">IF(AND(N(M451)&gt;0,N(L451)&gt;0),M451*L451,N451)</f>
        <v>1.40625</v>
      </c>
      <c r="AH451" s="28" t="n">
        <f aca="false">IF(OR(N(AB451)&lt;=0,N(AG451)=0,N(L451)=0),"",MIN(L451,AG451/AB451))</f>
        <v>18.5032894736842</v>
      </c>
      <c r="AI451" s="29" t="n">
        <f aca="false">IF(OR(AH451="",N(O451)=0),"",AH451/O451-1)</f>
        <v>-0.0991582534720441</v>
      </c>
      <c r="AJ451" s="29" t="n">
        <f aca="false">IF(OR(AI451="",N(O451)=0),"",AI451+AG451/O451)</f>
        <v>-0.0306942807359195</v>
      </c>
      <c r="AK451" s="32" t="n">
        <f aca="false">IF(OR(AJ451="",N(AE451)=0),"",AJ451-AE451)</f>
        <v>0</v>
      </c>
      <c r="AL451" s="33" t="n">
        <f aca="false">IF(N(F451)=0,"",INDEX(Inputs!$B$28:$B$32,IFERROR(MATCH(F451,Inputs!$A$28:$A$32,1),0)+1))</f>
        <v>0.075</v>
      </c>
      <c r="AM451" s="34"/>
      <c r="AN451" s="33" t="n">
        <f aca="false">IF(N(AM451)&gt;0,AM451,AL451)</f>
        <v>0.075</v>
      </c>
      <c r="AO451" s="29" t="n">
        <f aca="false">IF(N(AN451)=0,"",AN451+IF(I451="yes",AN451*Inputs!$B$10*Inputs!$B$9,0)+IFERROR(INDEX(Inputs!$B$13:$B$15,MATCH(G451,Inputs!$A$13:$A$15,0)),0)+IFERROR(INDEX(Inputs!$B$18:$B$24,MATCH(H451,Inputs!$A$18:$A$24,0)),0))</f>
        <v>0.07125</v>
      </c>
      <c r="AP451" s="28" t="n">
        <f aca="false">IF(OR(N(AO451)&lt;=0,N(AG451)=0,N(L451)=0),"",MIN(L451,AG451/AO451))</f>
        <v>19.7368421052632</v>
      </c>
      <c r="AQ451" s="29" t="n">
        <f aca="false">IF(OR(AP451="",N(O451)=0),"",AP451/O451-1)</f>
        <v>-0.0391021370368471</v>
      </c>
      <c r="AR451" s="29" t="n">
        <f aca="false">IF(OR(AQ451="",N(O451)=0),"",AQ451+AG451/O451)</f>
        <v>0.0293618356992776</v>
      </c>
      <c r="AS451" s="32" t="n">
        <f aca="false">IF(OR(AR451="",N(AJ451)=0),"",AR451-AJ451)</f>
        <v>0.060056116435197</v>
      </c>
      <c r="AT451" s="28" t="n">
        <v>25</v>
      </c>
      <c r="AU451" s="28" t="n">
        <v>1.41</v>
      </c>
      <c r="AV451" s="28" t="n">
        <f aca="false">IF(N(AT451)&gt;0,AT451,L451)</f>
        <v>25</v>
      </c>
      <c r="AW451" s="28" t="n">
        <f aca="false">IF(AND(N(M451)&gt;0,N(AV451)&gt;0),M451*AV451,IF(N(AU451)&gt;0,AU451,N451))</f>
        <v>1.40625</v>
      </c>
      <c r="AX451" s="29" t="n">
        <f aca="false">IF(N(AN451)=0,"",AN451+IF(I451="yes",AN451*Inputs!$B$10*Inputs!$B$9,0)+IFERROR(INDEX(Inputs!$B$13:$B$15,MATCH(G451,Inputs!$A$13:$A$15,0)),0)+IFERROR(INDEX(Inputs!$B$18:$B$24,MATCH(H451,Inputs!$A$18:$A$24,0)),0))</f>
        <v>0.07125</v>
      </c>
      <c r="AY451" s="28" t="n">
        <f aca="false">IF(OR(N(AX451)&lt;=0,N(AW451)=0,N(AV451)=0),"",MIN(AV451,AW451/AX451))</f>
        <v>19.7368421052632</v>
      </c>
      <c r="AZ451" s="29" t="n">
        <f aca="false">IF(OR(AY451="",N(O451)=0),"",AY451/O451-1)</f>
        <v>-0.0391021370368471</v>
      </c>
      <c r="BA451" s="29" t="n">
        <f aca="false">IF(OR(AZ451="",N(O451)=0),"",AZ451+AW451/O451)</f>
        <v>0.0293618356992776</v>
      </c>
      <c r="BB451" s="32" t="n">
        <f aca="false">IF(OR(BA451="",N(AR451)=0),"",BA451-AR451)</f>
        <v>0</v>
      </c>
      <c r="BC451" s="35" t="n">
        <f aca="false">IF(OR(BA451="",N(U451)=0),"",BA451-U451)</f>
        <v>0.060056116435197</v>
      </c>
      <c r="BD451" s="37"/>
    </row>
    <row r="452" customFormat="false" ht="15" hidden="false" customHeight="false" outlineLevel="0" collapsed="false">
      <c r="A452" s="2" t="s">
        <v>768</v>
      </c>
      <c r="B452" s="2" t="n">
        <v>256</v>
      </c>
      <c r="C452" s="2" t="s">
        <v>957</v>
      </c>
      <c r="D452" s="2" t="s">
        <v>953</v>
      </c>
      <c r="E452" s="2" t="s">
        <v>954</v>
      </c>
      <c r="F452" s="27" t="n">
        <v>23300</v>
      </c>
      <c r="G452" s="2" t="s">
        <v>51</v>
      </c>
      <c r="H452" s="2" t="s">
        <v>59</v>
      </c>
      <c r="I452" s="2" t="s">
        <v>151</v>
      </c>
      <c r="J452" s="2" t="s">
        <v>145</v>
      </c>
      <c r="K452" s="2" t="n">
        <v>4</v>
      </c>
      <c r="L452" s="28" t="n">
        <v>25</v>
      </c>
      <c r="M452" s="29" t="n">
        <v>0.062</v>
      </c>
      <c r="N452" s="28" t="n">
        <v>1.55</v>
      </c>
      <c r="O452" s="28" t="n">
        <v>25.25</v>
      </c>
      <c r="P452" s="2" t="s">
        <v>223</v>
      </c>
      <c r="Q452" s="29" t="n">
        <v>0.08</v>
      </c>
      <c r="R452" s="30" t="n">
        <v>0.08</v>
      </c>
      <c r="S452" s="31" t="n">
        <v>19.375</v>
      </c>
      <c r="T452" s="30" t="n">
        <v>-0.232673267326733</v>
      </c>
      <c r="U452" s="30" t="n">
        <v>-0.171287128712871</v>
      </c>
      <c r="V452" s="29" t="n">
        <v>0</v>
      </c>
      <c r="W452" s="29" t="n">
        <f aca="false">IF(N(Q452)=0,"",Q452+IF(I452="yes",Q452*Inputs!$B$10*Inputs!$B$9,0)+V452)</f>
        <v>0.076</v>
      </c>
      <c r="X452" s="28" t="n">
        <f aca="false">IF(OR(N(W452)&lt;=0,N(N452)=0,N(L452)=0),"",MIN(L452,N452/W452))</f>
        <v>20.3947368421053</v>
      </c>
      <c r="Y452" s="29" t="n">
        <f aca="false">IF(OR(X452="",N(O452)=0),"",X452/O452-1)</f>
        <v>-0.192287649817613</v>
      </c>
      <c r="Z452" s="29" t="n">
        <f aca="false">IF(OR(Y452="",N(O452)=0),"",Y452+N452/O452)</f>
        <v>-0.130901511203752</v>
      </c>
      <c r="AA452" s="32" t="n">
        <f aca="false">IF(OR(Z452="",N(U452)=0),"",Z452-U452)</f>
        <v>0.0403856175091193</v>
      </c>
      <c r="AB452" s="29" t="n">
        <f aca="false">IF(N(Q452)=0,"",Q452+IF(I452="yes",Q452*Inputs!$B$10*Inputs!$B$9,0)+IFERROR(INDEX(Inputs!$B$13:$B$15,MATCH(G452,Inputs!$A$13:$A$15,0)),0)+IFERROR(INDEX(Inputs!$B$18:$B$24,MATCH(H452,Inputs!$A$18:$A$24,0)),0))</f>
        <v>0.076</v>
      </c>
      <c r="AC452" s="28" t="n">
        <f aca="false">IF(OR(N(AB452)&lt;=0,N(N452)=0,N(L452)=0),"",MIN(L452,N452/AB452))</f>
        <v>20.3947368421053</v>
      </c>
      <c r="AD452" s="29" t="n">
        <f aca="false">IF(OR(AC452="",N(O452)=0),"",AC452/O452-1)</f>
        <v>-0.192287649817613</v>
      </c>
      <c r="AE452" s="29" t="n">
        <f aca="false">IF(OR(AD452="",N(O452)=0),"",AD452+N452/O452)</f>
        <v>-0.130901511203752</v>
      </c>
      <c r="AF452" s="32" t="n">
        <f aca="false">IF(OR(AE452="",N(Z452)=0),"",AE452-Z452)</f>
        <v>0</v>
      </c>
      <c r="AG452" s="28" t="n">
        <f aca="false">IF(AND(N(M452)&gt;0,N(L452)&gt;0),M452*L452,N452)</f>
        <v>1.55</v>
      </c>
      <c r="AH452" s="28" t="n">
        <f aca="false">IF(OR(N(AB452)&lt;=0,N(AG452)=0,N(L452)=0),"",MIN(L452,AG452/AB452))</f>
        <v>20.3947368421053</v>
      </c>
      <c r="AI452" s="29" t="n">
        <f aca="false">IF(OR(AH452="",N(O452)=0),"",AH452/O452-1)</f>
        <v>-0.192287649817613</v>
      </c>
      <c r="AJ452" s="29" t="n">
        <f aca="false">IF(OR(AI452="",N(O452)=0),"",AI452+AG452/O452)</f>
        <v>-0.130901511203752</v>
      </c>
      <c r="AK452" s="32" t="n">
        <f aca="false">IF(OR(AJ452="",N(AE452)=0),"",AJ452-AE452)</f>
        <v>0</v>
      </c>
      <c r="AL452" s="33" t="n">
        <f aca="false">IF(N(F452)=0,"",INDEX(Inputs!$B$28:$B$32,IFERROR(MATCH(F452,Inputs!$A$28:$A$32,1),0)+1))</f>
        <v>0.075</v>
      </c>
      <c r="AM452" s="34"/>
      <c r="AN452" s="33" t="n">
        <f aca="false">IF(N(AM452)&gt;0,AM452,AL452)</f>
        <v>0.075</v>
      </c>
      <c r="AO452" s="29" t="n">
        <f aca="false">IF(N(AN452)=0,"",AN452+IF(I452="yes",AN452*Inputs!$B$10*Inputs!$B$9,0)+IFERROR(INDEX(Inputs!$B$13:$B$15,MATCH(G452,Inputs!$A$13:$A$15,0)),0)+IFERROR(INDEX(Inputs!$B$18:$B$24,MATCH(H452,Inputs!$A$18:$A$24,0)),0))</f>
        <v>0.07125</v>
      </c>
      <c r="AP452" s="28" t="n">
        <f aca="false">IF(OR(N(AO452)&lt;=0,N(AG452)=0,N(L452)=0),"",MIN(L452,AG452/AO452))</f>
        <v>21.7543859649123</v>
      </c>
      <c r="AQ452" s="29" t="n">
        <f aca="false">IF(OR(AP452="",N(O452)=0),"",AP452/O452-1)</f>
        <v>-0.138440159805454</v>
      </c>
      <c r="AR452" s="29" t="n">
        <f aca="false">IF(OR(AQ452="",N(O452)=0),"",AQ452+AG452/O452)</f>
        <v>-0.0770540211915927</v>
      </c>
      <c r="AS452" s="32" t="n">
        <f aca="false">IF(OR(AR452="",N(AJ452)=0),"",AR452-AJ452)</f>
        <v>0.0538474900121593</v>
      </c>
      <c r="AT452" s="28" t="n">
        <v>25</v>
      </c>
      <c r="AU452" s="28" t="n">
        <v>1.55</v>
      </c>
      <c r="AV452" s="28" t="n">
        <f aca="false">IF(N(AT452)&gt;0,AT452,L452)</f>
        <v>25</v>
      </c>
      <c r="AW452" s="28" t="n">
        <f aca="false">IF(AND(N(M452)&gt;0,N(AV452)&gt;0),M452*AV452,IF(N(AU452)&gt;0,AU452,N452))</f>
        <v>1.55</v>
      </c>
      <c r="AX452" s="29" t="n">
        <f aca="false">IF(N(AN452)=0,"",AN452+IF(I452="yes",AN452*Inputs!$B$10*Inputs!$B$9,0)+IFERROR(INDEX(Inputs!$B$13:$B$15,MATCH(G452,Inputs!$A$13:$A$15,0)),0)+IFERROR(INDEX(Inputs!$B$18:$B$24,MATCH(H452,Inputs!$A$18:$A$24,0)),0))</f>
        <v>0.07125</v>
      </c>
      <c r="AY452" s="28" t="n">
        <f aca="false">IF(OR(N(AX452)&lt;=0,N(AW452)=0,N(AV452)=0),"",MIN(AV452,AW452/AX452))</f>
        <v>21.7543859649123</v>
      </c>
      <c r="AZ452" s="29" t="n">
        <f aca="false">IF(OR(AY452="",N(O452)=0),"",AY452/O452-1)</f>
        <v>-0.138440159805454</v>
      </c>
      <c r="BA452" s="29" t="n">
        <f aca="false">IF(OR(AZ452="",N(O452)=0),"",AZ452+AW452/O452)</f>
        <v>-0.0770540211915927</v>
      </c>
      <c r="BB452" s="32" t="n">
        <f aca="false">IF(OR(BA452="",N(AR452)=0),"",BA452-AR452)</f>
        <v>0</v>
      </c>
      <c r="BC452" s="35" t="n">
        <f aca="false">IF(OR(BA452="",N(U452)=0),"",BA452-U452)</f>
        <v>0.0942331075212786</v>
      </c>
      <c r="BD452" s="36" t="s">
        <v>224</v>
      </c>
    </row>
    <row r="453" customFormat="false" ht="15" hidden="false" customHeight="false" outlineLevel="0" collapsed="false">
      <c r="A453" s="2" t="s">
        <v>768</v>
      </c>
      <c r="B453" s="2" t="n">
        <v>259</v>
      </c>
      <c r="C453" s="2" t="s">
        <v>958</v>
      </c>
      <c r="D453" s="2" t="s">
        <v>959</v>
      </c>
      <c r="E453" s="2" t="s">
        <v>960</v>
      </c>
      <c r="F453" s="27" t="n">
        <v>16200</v>
      </c>
      <c r="G453" s="2" t="s">
        <v>51</v>
      </c>
      <c r="H453" s="2" t="s">
        <v>58</v>
      </c>
      <c r="I453" s="2" t="s">
        <v>144</v>
      </c>
      <c r="J453" s="2" t="s">
        <v>145</v>
      </c>
      <c r="K453" s="2" t="n">
        <v>4</v>
      </c>
      <c r="L453" s="28" t="n">
        <v>25</v>
      </c>
      <c r="M453" s="29" t="n">
        <v>0.05125</v>
      </c>
      <c r="N453" s="28" t="n">
        <v>1.28125</v>
      </c>
      <c r="O453" s="28" t="n">
        <v>19.52</v>
      </c>
      <c r="P453" s="2" t="s">
        <v>146</v>
      </c>
      <c r="Q453" s="29" t="n">
        <v>0.08</v>
      </c>
      <c r="R453" s="30" t="n">
        <v>0.08</v>
      </c>
      <c r="S453" s="31" t="n">
        <v>16.015625</v>
      </c>
      <c r="T453" s="30" t="n">
        <v>-0.179527407786885</v>
      </c>
      <c r="U453" s="30" t="n">
        <v>-0.113889600409836</v>
      </c>
      <c r="V453" s="29" t="n">
        <v>0</v>
      </c>
      <c r="W453" s="29" t="n">
        <f aca="false">IF(N(Q453)=0,"",Q453+IF(I453="yes",Q453*Inputs!$B$10*Inputs!$B$9,0)+V453)</f>
        <v>0.08</v>
      </c>
      <c r="X453" s="28" t="n">
        <f aca="false">IF(OR(N(W453)&lt;=0,N(N453)=0,N(L453)=0),"",MIN(L453,N453/W453))</f>
        <v>16.015625</v>
      </c>
      <c r="Y453" s="29" t="n">
        <f aca="false">IF(OR(X453="",N(O453)=0),"",X453/O453-1)</f>
        <v>-0.179527407786885</v>
      </c>
      <c r="Z453" s="29" t="n">
        <f aca="false">IF(OR(Y453="",N(O453)=0),"",Y453+N453/O453)</f>
        <v>-0.113889600409836</v>
      </c>
      <c r="AA453" s="32" t="n">
        <f aca="false">IF(OR(Z453="",N(U453)=0),"",Z453-U453)</f>
        <v>0</v>
      </c>
      <c r="AB453" s="29" t="n">
        <f aca="false">IF(N(Q453)=0,"",Q453+IF(I453="yes",Q453*Inputs!$B$10*Inputs!$B$9,0)+IFERROR(INDEX(Inputs!$B$13:$B$15,MATCH(G453,Inputs!$A$13:$A$15,0)),0)+IFERROR(INDEX(Inputs!$B$18:$B$24,MATCH(H453,Inputs!$A$18:$A$24,0)),0))</f>
        <v>0.08</v>
      </c>
      <c r="AC453" s="28" t="n">
        <f aca="false">IF(OR(N(AB453)&lt;=0,N(N453)=0,N(L453)=0),"",MIN(L453,N453/AB453))</f>
        <v>16.015625</v>
      </c>
      <c r="AD453" s="29" t="n">
        <f aca="false">IF(OR(AC453="",N(O453)=0),"",AC453/O453-1)</f>
        <v>-0.179527407786885</v>
      </c>
      <c r="AE453" s="29" t="n">
        <f aca="false">IF(OR(AD453="",N(O453)=0),"",AD453+N453/O453)</f>
        <v>-0.113889600409836</v>
      </c>
      <c r="AF453" s="32" t="n">
        <f aca="false">IF(OR(AE453="",N(Z453)=0),"",AE453-Z453)</f>
        <v>0</v>
      </c>
      <c r="AG453" s="28" t="n">
        <f aca="false">IF(AND(N(M453)&gt;0,N(L453)&gt;0),M453*L453,N453)</f>
        <v>1.28125</v>
      </c>
      <c r="AH453" s="28" t="n">
        <f aca="false">IF(OR(N(AB453)&lt;=0,N(AG453)=0,N(L453)=0),"",MIN(L453,AG453/AB453))</f>
        <v>16.015625</v>
      </c>
      <c r="AI453" s="29" t="n">
        <f aca="false">IF(OR(AH453="",N(O453)=0),"",AH453/O453-1)</f>
        <v>-0.179527407786885</v>
      </c>
      <c r="AJ453" s="29" t="n">
        <f aca="false">IF(OR(AI453="",N(O453)=0),"",AI453+AG453/O453)</f>
        <v>-0.113889600409836</v>
      </c>
      <c r="AK453" s="32" t="n">
        <f aca="false">IF(OR(AJ453="",N(AE453)=0),"",AJ453-AE453)</f>
        <v>0</v>
      </c>
      <c r="AL453" s="33" t="n">
        <f aca="false">IF(N(F453)=0,"",INDEX(Inputs!$B$28:$B$32,IFERROR(MATCH(F453,Inputs!$A$28:$A$32,1),0)+1))</f>
        <v>0.08</v>
      </c>
      <c r="AM453" s="34"/>
      <c r="AN453" s="33" t="n">
        <f aca="false">IF(N(AM453)&gt;0,AM453,AL453)</f>
        <v>0.08</v>
      </c>
      <c r="AO453" s="29" t="n">
        <f aca="false">IF(N(AN453)=0,"",AN453+IF(I453="yes",AN453*Inputs!$B$10*Inputs!$B$9,0)+IFERROR(INDEX(Inputs!$B$13:$B$15,MATCH(G453,Inputs!$A$13:$A$15,0)),0)+IFERROR(INDEX(Inputs!$B$18:$B$24,MATCH(H453,Inputs!$A$18:$A$24,0)),0))</f>
        <v>0.08</v>
      </c>
      <c r="AP453" s="28" t="n">
        <f aca="false">IF(OR(N(AO453)&lt;=0,N(AG453)=0,N(L453)=0),"",MIN(L453,AG453/AO453))</f>
        <v>16.015625</v>
      </c>
      <c r="AQ453" s="29" t="n">
        <f aca="false">IF(OR(AP453="",N(O453)=0),"",AP453/O453-1)</f>
        <v>-0.179527407786885</v>
      </c>
      <c r="AR453" s="29" t="n">
        <f aca="false">IF(OR(AQ453="",N(O453)=0),"",AQ453+AG453/O453)</f>
        <v>-0.113889600409836</v>
      </c>
      <c r="AS453" s="32" t="n">
        <f aca="false">IF(OR(AR453="",N(AJ453)=0),"",AR453-AJ453)</f>
        <v>0</v>
      </c>
      <c r="AT453" s="28" t="n">
        <v>25</v>
      </c>
      <c r="AU453" s="28" t="n">
        <v>1.28</v>
      </c>
      <c r="AV453" s="28" t="n">
        <f aca="false">IF(N(AT453)&gt;0,AT453,L453)</f>
        <v>25</v>
      </c>
      <c r="AW453" s="28" t="n">
        <f aca="false">IF(AND(N(M453)&gt;0,N(AV453)&gt;0),M453*AV453,IF(N(AU453)&gt;0,AU453,N453))</f>
        <v>1.28125</v>
      </c>
      <c r="AX453" s="29" t="n">
        <f aca="false">IF(N(AN453)=0,"",AN453+IF(I453="yes",AN453*Inputs!$B$10*Inputs!$B$9,0)+IFERROR(INDEX(Inputs!$B$13:$B$15,MATCH(G453,Inputs!$A$13:$A$15,0)),0)+IFERROR(INDEX(Inputs!$B$18:$B$24,MATCH(H453,Inputs!$A$18:$A$24,0)),0))</f>
        <v>0.08</v>
      </c>
      <c r="AY453" s="28" t="n">
        <f aca="false">IF(OR(N(AX453)&lt;=0,N(AW453)=0,N(AV453)=0),"",MIN(AV453,AW453/AX453))</f>
        <v>16.015625</v>
      </c>
      <c r="AZ453" s="29" t="n">
        <f aca="false">IF(OR(AY453="",N(O453)=0),"",AY453/O453-1)</f>
        <v>-0.179527407786885</v>
      </c>
      <c r="BA453" s="29" t="n">
        <f aca="false">IF(OR(AZ453="",N(O453)=0),"",AZ453+AW453/O453)</f>
        <v>-0.113889600409836</v>
      </c>
      <c r="BB453" s="32" t="n">
        <f aca="false">IF(OR(BA453="",N(AR453)=0),"",BA453-AR453)</f>
        <v>0</v>
      </c>
      <c r="BC453" s="35" t="n">
        <f aca="false">IF(OR(BA453="",N(U453)=0),"",BA453-U453)</f>
        <v>0</v>
      </c>
      <c r="BD453" s="37"/>
    </row>
    <row r="454" customFormat="false" ht="15" hidden="false" customHeight="false" outlineLevel="0" collapsed="false">
      <c r="A454" s="2" t="s">
        <v>768</v>
      </c>
      <c r="B454" s="2" t="n">
        <v>260</v>
      </c>
      <c r="C454" s="2" t="s">
        <v>961</v>
      </c>
      <c r="D454" s="2" t="s">
        <v>959</v>
      </c>
      <c r="E454" s="2" t="s">
        <v>960</v>
      </c>
      <c r="F454" s="27" t="n">
        <v>16200</v>
      </c>
      <c r="G454" s="2" t="s">
        <v>51</v>
      </c>
      <c r="H454" s="2" t="s">
        <v>58</v>
      </c>
      <c r="I454" s="2" t="s">
        <v>144</v>
      </c>
      <c r="J454" s="2" t="s">
        <v>145</v>
      </c>
      <c r="K454" s="2" t="n">
        <v>4</v>
      </c>
      <c r="L454" s="28" t="n">
        <v>25</v>
      </c>
      <c r="M454" s="29" t="n">
        <v>0.0525</v>
      </c>
      <c r="N454" s="28" t="n">
        <v>1.3125</v>
      </c>
      <c r="O454" s="28" t="n">
        <v>19.93</v>
      </c>
      <c r="P454" s="2" t="s">
        <v>146</v>
      </c>
      <c r="Q454" s="29" t="n">
        <v>0.08</v>
      </c>
      <c r="R454" s="30" t="n">
        <v>0.08</v>
      </c>
      <c r="S454" s="31" t="n">
        <v>16.40625</v>
      </c>
      <c r="T454" s="30" t="n">
        <v>-0.176806322127446</v>
      </c>
      <c r="U454" s="30" t="n">
        <v>-0.110950827897642</v>
      </c>
      <c r="V454" s="29" t="n">
        <v>0</v>
      </c>
      <c r="W454" s="29" t="n">
        <f aca="false">IF(N(Q454)=0,"",Q454+IF(I454="yes",Q454*Inputs!$B$10*Inputs!$B$9,0)+V454)</f>
        <v>0.08</v>
      </c>
      <c r="X454" s="28" t="n">
        <f aca="false">IF(OR(N(W454)&lt;=0,N(N454)=0,N(L454)=0),"",MIN(L454,N454/W454))</f>
        <v>16.40625</v>
      </c>
      <c r="Y454" s="29" t="n">
        <f aca="false">IF(OR(X454="",N(O454)=0),"",X454/O454-1)</f>
        <v>-0.176806322127446</v>
      </c>
      <c r="Z454" s="29" t="n">
        <f aca="false">IF(OR(Y454="",N(O454)=0),"",Y454+N454/O454)</f>
        <v>-0.110950827897642</v>
      </c>
      <c r="AA454" s="32" t="n">
        <f aca="false">IF(OR(Z454="",N(U454)=0),"",Z454-U454)</f>
        <v>0</v>
      </c>
      <c r="AB454" s="29" t="n">
        <f aca="false">IF(N(Q454)=0,"",Q454+IF(I454="yes",Q454*Inputs!$B$10*Inputs!$B$9,0)+IFERROR(INDEX(Inputs!$B$13:$B$15,MATCH(G454,Inputs!$A$13:$A$15,0)),0)+IFERROR(INDEX(Inputs!$B$18:$B$24,MATCH(H454,Inputs!$A$18:$A$24,0)),0))</f>
        <v>0.08</v>
      </c>
      <c r="AC454" s="28" t="n">
        <f aca="false">IF(OR(N(AB454)&lt;=0,N(N454)=0,N(L454)=0),"",MIN(L454,N454/AB454))</f>
        <v>16.40625</v>
      </c>
      <c r="AD454" s="29" t="n">
        <f aca="false">IF(OR(AC454="",N(O454)=0),"",AC454/O454-1)</f>
        <v>-0.176806322127446</v>
      </c>
      <c r="AE454" s="29" t="n">
        <f aca="false">IF(OR(AD454="",N(O454)=0),"",AD454+N454/O454)</f>
        <v>-0.110950827897642</v>
      </c>
      <c r="AF454" s="32" t="n">
        <f aca="false">IF(OR(AE454="",N(Z454)=0),"",AE454-Z454)</f>
        <v>0</v>
      </c>
      <c r="AG454" s="28" t="n">
        <f aca="false">IF(AND(N(M454)&gt;0,N(L454)&gt;0),M454*L454,N454)</f>
        <v>1.3125</v>
      </c>
      <c r="AH454" s="28" t="n">
        <f aca="false">IF(OR(N(AB454)&lt;=0,N(AG454)=0,N(L454)=0),"",MIN(L454,AG454/AB454))</f>
        <v>16.40625</v>
      </c>
      <c r="AI454" s="29" t="n">
        <f aca="false">IF(OR(AH454="",N(O454)=0),"",AH454/O454-1)</f>
        <v>-0.176806322127446</v>
      </c>
      <c r="AJ454" s="29" t="n">
        <f aca="false">IF(OR(AI454="",N(O454)=0),"",AI454+AG454/O454)</f>
        <v>-0.110950827897642</v>
      </c>
      <c r="AK454" s="32" t="n">
        <f aca="false">IF(OR(AJ454="",N(AE454)=0),"",AJ454-AE454)</f>
        <v>0</v>
      </c>
      <c r="AL454" s="33" t="n">
        <f aca="false">IF(N(F454)=0,"",INDEX(Inputs!$B$28:$B$32,IFERROR(MATCH(F454,Inputs!$A$28:$A$32,1),0)+1))</f>
        <v>0.08</v>
      </c>
      <c r="AM454" s="34"/>
      <c r="AN454" s="33" t="n">
        <f aca="false">IF(N(AM454)&gt;0,AM454,AL454)</f>
        <v>0.08</v>
      </c>
      <c r="AO454" s="29" t="n">
        <f aca="false">IF(N(AN454)=0,"",AN454+IF(I454="yes",AN454*Inputs!$B$10*Inputs!$B$9,0)+IFERROR(INDEX(Inputs!$B$13:$B$15,MATCH(G454,Inputs!$A$13:$A$15,0)),0)+IFERROR(INDEX(Inputs!$B$18:$B$24,MATCH(H454,Inputs!$A$18:$A$24,0)),0))</f>
        <v>0.08</v>
      </c>
      <c r="AP454" s="28" t="n">
        <f aca="false">IF(OR(N(AO454)&lt;=0,N(AG454)=0,N(L454)=0),"",MIN(L454,AG454/AO454))</f>
        <v>16.40625</v>
      </c>
      <c r="AQ454" s="29" t="n">
        <f aca="false">IF(OR(AP454="",N(O454)=0),"",AP454/O454-1)</f>
        <v>-0.176806322127446</v>
      </c>
      <c r="AR454" s="29" t="n">
        <f aca="false">IF(OR(AQ454="",N(O454)=0),"",AQ454+AG454/O454)</f>
        <v>-0.110950827897642</v>
      </c>
      <c r="AS454" s="32" t="n">
        <f aca="false">IF(OR(AR454="",N(AJ454)=0),"",AR454-AJ454)</f>
        <v>0</v>
      </c>
      <c r="AT454" s="28" t="n">
        <v>25</v>
      </c>
      <c r="AU454" s="28" t="n">
        <v>1.31</v>
      </c>
      <c r="AV454" s="28" t="n">
        <f aca="false">IF(N(AT454)&gt;0,AT454,L454)</f>
        <v>25</v>
      </c>
      <c r="AW454" s="28" t="n">
        <f aca="false">IF(AND(N(M454)&gt;0,N(AV454)&gt;0),M454*AV454,IF(N(AU454)&gt;0,AU454,N454))</f>
        <v>1.3125</v>
      </c>
      <c r="AX454" s="29" t="n">
        <f aca="false">IF(N(AN454)=0,"",AN454+IF(I454="yes",AN454*Inputs!$B$10*Inputs!$B$9,0)+IFERROR(INDEX(Inputs!$B$13:$B$15,MATCH(G454,Inputs!$A$13:$A$15,0)),0)+IFERROR(INDEX(Inputs!$B$18:$B$24,MATCH(H454,Inputs!$A$18:$A$24,0)),0))</f>
        <v>0.08</v>
      </c>
      <c r="AY454" s="28" t="n">
        <f aca="false">IF(OR(N(AX454)&lt;=0,N(AW454)=0,N(AV454)=0),"",MIN(AV454,AW454/AX454))</f>
        <v>16.40625</v>
      </c>
      <c r="AZ454" s="29" t="n">
        <f aca="false">IF(OR(AY454="",N(O454)=0),"",AY454/O454-1)</f>
        <v>-0.176806322127446</v>
      </c>
      <c r="BA454" s="29" t="n">
        <f aca="false">IF(OR(AZ454="",N(O454)=0),"",AZ454+AW454/O454)</f>
        <v>-0.110950827897642</v>
      </c>
      <c r="BB454" s="32" t="n">
        <f aca="false">IF(OR(BA454="",N(AR454)=0),"",BA454-AR454)</f>
        <v>0</v>
      </c>
      <c r="BC454" s="35" t="n">
        <f aca="false">IF(OR(BA454="",N(U454)=0),"",BA454-U454)</f>
        <v>0</v>
      </c>
      <c r="BD454" s="37"/>
    </row>
    <row r="455" customFormat="false" ht="15" hidden="false" customHeight="false" outlineLevel="0" collapsed="false">
      <c r="A455" s="2" t="s">
        <v>768</v>
      </c>
      <c r="B455" s="2" t="n">
        <v>263</v>
      </c>
      <c r="C455" s="2" t="s">
        <v>962</v>
      </c>
      <c r="D455" s="2" t="s">
        <v>963</v>
      </c>
      <c r="E455" s="2" t="s">
        <v>964</v>
      </c>
      <c r="F455" s="27" t="n">
        <v>96100</v>
      </c>
      <c r="G455" s="2" t="s">
        <v>52</v>
      </c>
      <c r="H455" s="2" t="s">
        <v>58</v>
      </c>
      <c r="I455" s="2" t="s">
        <v>144</v>
      </c>
      <c r="J455" s="2" t="s">
        <v>145</v>
      </c>
      <c r="K455" s="2" t="n">
        <v>4</v>
      </c>
      <c r="L455" s="28" t="n">
        <v>25</v>
      </c>
      <c r="M455" s="29" t="n">
        <v>0.04625</v>
      </c>
      <c r="N455" s="28" t="n">
        <v>1.15625</v>
      </c>
      <c r="O455" s="28" t="n">
        <v>16.11</v>
      </c>
      <c r="P455" s="2" t="s">
        <v>146</v>
      </c>
      <c r="Q455" s="29" t="n">
        <v>0.08</v>
      </c>
      <c r="R455" s="30" t="n">
        <v>0.075</v>
      </c>
      <c r="S455" s="31" t="n">
        <v>15.4166666666667</v>
      </c>
      <c r="T455" s="30" t="n">
        <v>-0.0430374508586798</v>
      </c>
      <c r="U455" s="30" t="n">
        <v>0.0287347403269192</v>
      </c>
      <c r="V455" s="29" t="n">
        <v>-0.005</v>
      </c>
      <c r="W455" s="29" t="n">
        <f aca="false">IF(N(Q455)=0,"",Q455+IF(I455="yes",Q455*Inputs!$B$10*Inputs!$B$9,0)+V455)</f>
        <v>0.075</v>
      </c>
      <c r="X455" s="28" t="n">
        <f aca="false">IF(OR(N(W455)&lt;=0,N(N455)=0,N(L455)=0),"",MIN(L455,N455/W455))</f>
        <v>15.4166666666667</v>
      </c>
      <c r="Y455" s="29" t="n">
        <f aca="false">IF(OR(X455="",N(O455)=0),"",X455/O455-1)</f>
        <v>-0.0430374508586798</v>
      </c>
      <c r="Z455" s="29" t="n">
        <f aca="false">IF(OR(Y455="",N(O455)=0),"",Y455+N455/O455)</f>
        <v>0.0287347403269192</v>
      </c>
      <c r="AA455" s="32" t="n">
        <f aca="false">IF(OR(Z455="",N(U455)=0),"",Z455-U455)</f>
        <v>0</v>
      </c>
      <c r="AB455" s="29" t="n">
        <f aca="false">IF(N(Q455)=0,"",Q455+IF(I455="yes",Q455*Inputs!$B$10*Inputs!$B$9,0)+IFERROR(INDEX(Inputs!$B$13:$B$15,MATCH(G455,Inputs!$A$13:$A$15,0)),0)+IFERROR(INDEX(Inputs!$B$18:$B$24,MATCH(H455,Inputs!$A$18:$A$24,0)),0))</f>
        <v>0.075</v>
      </c>
      <c r="AC455" s="28" t="n">
        <f aca="false">IF(OR(N(AB455)&lt;=0,N(N455)=0,N(L455)=0),"",MIN(L455,N455/AB455))</f>
        <v>15.4166666666667</v>
      </c>
      <c r="AD455" s="29" t="n">
        <f aca="false">IF(OR(AC455="",N(O455)=0),"",AC455/O455-1)</f>
        <v>-0.0430374508586798</v>
      </c>
      <c r="AE455" s="29" t="n">
        <f aca="false">IF(OR(AD455="",N(O455)=0),"",AD455+N455/O455)</f>
        <v>0.0287347403269192</v>
      </c>
      <c r="AF455" s="32" t="n">
        <f aca="false">IF(OR(AE455="",N(Z455)=0),"",AE455-Z455)</f>
        <v>0</v>
      </c>
      <c r="AG455" s="28" t="n">
        <f aca="false">IF(AND(N(M455)&gt;0,N(L455)&gt;0),M455*L455,N455)</f>
        <v>1.15625</v>
      </c>
      <c r="AH455" s="28" t="n">
        <f aca="false">IF(OR(N(AB455)&lt;=0,N(AG455)=0,N(L455)=0),"",MIN(L455,AG455/AB455))</f>
        <v>15.4166666666667</v>
      </c>
      <c r="AI455" s="29" t="n">
        <f aca="false">IF(OR(AH455="",N(O455)=0),"",AH455/O455-1)</f>
        <v>-0.0430374508586798</v>
      </c>
      <c r="AJ455" s="29" t="n">
        <f aca="false">IF(OR(AI455="",N(O455)=0),"",AI455+AG455/O455)</f>
        <v>0.0287347403269192</v>
      </c>
      <c r="AK455" s="32" t="n">
        <f aca="false">IF(OR(AJ455="",N(AE455)=0),"",AJ455-AE455)</f>
        <v>0</v>
      </c>
      <c r="AL455" s="33" t="n">
        <f aca="false">IF(N(F455)=0,"",INDEX(Inputs!$B$28:$B$32,IFERROR(MATCH(F455,Inputs!$A$28:$A$32,1),0)+1))</f>
        <v>0.075</v>
      </c>
      <c r="AM455" s="34"/>
      <c r="AN455" s="33" t="n">
        <f aca="false">IF(N(AM455)&gt;0,AM455,AL455)</f>
        <v>0.075</v>
      </c>
      <c r="AO455" s="29" t="n">
        <f aca="false">IF(N(AN455)=0,"",AN455+IF(I455="yes",AN455*Inputs!$B$10*Inputs!$B$9,0)+IFERROR(INDEX(Inputs!$B$13:$B$15,MATCH(G455,Inputs!$A$13:$A$15,0)),0)+IFERROR(INDEX(Inputs!$B$18:$B$24,MATCH(H455,Inputs!$A$18:$A$24,0)),0))</f>
        <v>0.07</v>
      </c>
      <c r="AP455" s="28" t="n">
        <f aca="false">IF(OR(N(AO455)&lt;=0,N(AG455)=0,N(L455)=0),"",MIN(L455,AG455/AO455))</f>
        <v>16.5178571428571</v>
      </c>
      <c r="AQ455" s="29" t="n">
        <f aca="false">IF(OR(AP455="",N(O455)=0),"",AP455/O455-1)</f>
        <v>0.0253170169371288</v>
      </c>
      <c r="AR455" s="29" t="n">
        <f aca="false">IF(OR(AQ455="",N(O455)=0),"",AQ455+AG455/O455)</f>
        <v>0.0970892081227279</v>
      </c>
      <c r="AS455" s="32" t="n">
        <f aca="false">IF(OR(AR455="",N(AJ455)=0),"",AR455-AJ455)</f>
        <v>0.0683544677958087</v>
      </c>
      <c r="AT455" s="28" t="n">
        <v>25</v>
      </c>
      <c r="AU455" s="28" t="n">
        <v>1.15625</v>
      </c>
      <c r="AV455" s="28" t="n">
        <f aca="false">IF(N(AT455)&gt;0,AT455,L455)</f>
        <v>25</v>
      </c>
      <c r="AW455" s="28" t="n">
        <f aca="false">IF(AND(N(M455)&gt;0,N(AV455)&gt;0),M455*AV455,IF(N(AU455)&gt;0,AU455,N455))</f>
        <v>1.15625</v>
      </c>
      <c r="AX455" s="29" t="n">
        <f aca="false">IF(N(AN455)=0,"",AN455+IF(I455="yes",AN455*Inputs!$B$10*Inputs!$B$9,0)+IFERROR(INDEX(Inputs!$B$13:$B$15,MATCH(G455,Inputs!$A$13:$A$15,0)),0)+IFERROR(INDEX(Inputs!$B$18:$B$24,MATCH(H455,Inputs!$A$18:$A$24,0)),0))</f>
        <v>0.07</v>
      </c>
      <c r="AY455" s="28" t="n">
        <f aca="false">IF(OR(N(AX455)&lt;=0,N(AW455)=0,N(AV455)=0),"",MIN(AV455,AW455/AX455))</f>
        <v>16.5178571428571</v>
      </c>
      <c r="AZ455" s="29" t="n">
        <f aca="false">IF(OR(AY455="",N(O455)=0),"",AY455/O455-1)</f>
        <v>0.0253170169371288</v>
      </c>
      <c r="BA455" s="29" t="n">
        <f aca="false">IF(OR(AZ455="",N(O455)=0),"",AZ455+AW455/O455)</f>
        <v>0.0970892081227279</v>
      </c>
      <c r="BB455" s="32" t="n">
        <f aca="false">IF(OR(BA455="",N(AR455)=0),"",BA455-AR455)</f>
        <v>0</v>
      </c>
      <c r="BC455" s="35" t="n">
        <f aca="false">IF(OR(BA455="",N(U455)=0),"",BA455-U455)</f>
        <v>0.0683544677958087</v>
      </c>
      <c r="BD455" s="37"/>
    </row>
    <row r="456" customFormat="false" ht="15" hidden="false" customHeight="false" outlineLevel="0" collapsed="false">
      <c r="A456" s="2" t="s">
        <v>768</v>
      </c>
      <c r="B456" s="2" t="n">
        <v>267</v>
      </c>
      <c r="C456" s="2" t="s">
        <v>965</v>
      </c>
      <c r="D456" s="2" t="s">
        <v>966</v>
      </c>
      <c r="E456" s="2" t="s">
        <v>967</v>
      </c>
      <c r="F456" s="27" t="n">
        <v>70400</v>
      </c>
      <c r="G456" s="2" t="s">
        <v>51</v>
      </c>
      <c r="H456" s="2" t="s">
        <v>63</v>
      </c>
      <c r="I456" s="2" t="s">
        <v>144</v>
      </c>
      <c r="J456" s="2" t="s">
        <v>145</v>
      </c>
      <c r="K456" s="2" t="n">
        <v>4</v>
      </c>
      <c r="L456" s="28" t="n">
        <v>50</v>
      </c>
      <c r="M456" s="29" t="n">
        <v>0.0475</v>
      </c>
      <c r="N456" s="28" t="n">
        <v>2.375</v>
      </c>
      <c r="O456" s="28" t="n">
        <v>50.3</v>
      </c>
      <c r="P456" s="2" t="s">
        <v>146</v>
      </c>
      <c r="Q456" s="29" t="n">
        <v>0.08</v>
      </c>
      <c r="R456" s="30" t="n">
        <v>0.08</v>
      </c>
      <c r="S456" s="31" t="n">
        <v>29.6875</v>
      </c>
      <c r="T456" s="30" t="n">
        <v>-0.40979125248509</v>
      </c>
      <c r="U456" s="30" t="n">
        <v>-0.362574552683897</v>
      </c>
      <c r="V456" s="29" t="n">
        <v>0</v>
      </c>
      <c r="W456" s="29" t="n">
        <f aca="false">IF(N(Q456)=0,"",Q456+IF(I456="yes",Q456*Inputs!$B$10*Inputs!$B$9,0)+V456)</f>
        <v>0.08</v>
      </c>
      <c r="X456" s="28" t="n">
        <f aca="false">IF(OR(N(W456)&lt;=0,N(N456)=0,N(L456)=0),"",MIN(L456,N456/W456))</f>
        <v>29.6875</v>
      </c>
      <c r="Y456" s="29" t="n">
        <f aca="false">IF(OR(X456="",N(O456)=0),"",X456/O456-1)</f>
        <v>-0.409791252485089</v>
      </c>
      <c r="Z456" s="29" t="n">
        <f aca="false">IF(OR(Y456="",N(O456)=0),"",Y456+N456/O456)</f>
        <v>-0.362574552683897</v>
      </c>
      <c r="AA456" s="32" t="n">
        <f aca="false">IF(OR(Z456="",N(U456)=0),"",Z456-U456)</f>
        <v>0</v>
      </c>
      <c r="AB456" s="29" t="n">
        <f aca="false">IF(N(Q456)=0,"",Q456+IF(I456="yes",Q456*Inputs!$B$10*Inputs!$B$9,0)+IFERROR(INDEX(Inputs!$B$13:$B$15,MATCH(G456,Inputs!$A$13:$A$15,0)),0)+IFERROR(INDEX(Inputs!$B$18:$B$24,MATCH(H456,Inputs!$A$18:$A$24,0)),0))</f>
        <v>0.08</v>
      </c>
      <c r="AC456" s="28" t="n">
        <f aca="false">IF(OR(N(AB456)&lt;=0,N(N456)=0,N(L456)=0),"",MIN(L456,N456/AB456))</f>
        <v>29.6875</v>
      </c>
      <c r="AD456" s="29" t="n">
        <f aca="false">IF(OR(AC456="",N(O456)=0),"",AC456/O456-1)</f>
        <v>-0.409791252485089</v>
      </c>
      <c r="AE456" s="29" t="n">
        <f aca="false">IF(OR(AD456="",N(O456)=0),"",AD456+N456/O456)</f>
        <v>-0.362574552683897</v>
      </c>
      <c r="AF456" s="32" t="n">
        <f aca="false">IF(OR(AE456="",N(Z456)=0),"",AE456-Z456)</f>
        <v>0</v>
      </c>
      <c r="AG456" s="28" t="n">
        <f aca="false">IF(AND(N(M456)&gt;0,N(L456)&gt;0),M456*L456,N456)</f>
        <v>2.375</v>
      </c>
      <c r="AH456" s="28" t="n">
        <f aca="false">IF(OR(N(AB456)&lt;=0,N(AG456)=0,N(L456)=0),"",MIN(L456,AG456/AB456))</f>
        <v>29.6875</v>
      </c>
      <c r="AI456" s="29" t="n">
        <f aca="false">IF(OR(AH456="",N(O456)=0),"",AH456/O456-1)</f>
        <v>-0.409791252485089</v>
      </c>
      <c r="AJ456" s="29" t="n">
        <f aca="false">IF(OR(AI456="",N(O456)=0),"",AI456+AG456/O456)</f>
        <v>-0.362574552683897</v>
      </c>
      <c r="AK456" s="32" t="n">
        <f aca="false">IF(OR(AJ456="",N(AE456)=0),"",AJ456-AE456)</f>
        <v>0</v>
      </c>
      <c r="AL456" s="33" t="n">
        <f aca="false">IF(N(F456)=0,"",INDEX(Inputs!$B$28:$B$32,IFERROR(MATCH(F456,Inputs!$A$28:$A$32,1),0)+1))</f>
        <v>0.075</v>
      </c>
      <c r="AM456" s="34"/>
      <c r="AN456" s="33" t="n">
        <f aca="false">IF(N(AM456)&gt;0,AM456,AL456)</f>
        <v>0.075</v>
      </c>
      <c r="AO456" s="29" t="n">
        <f aca="false">IF(N(AN456)=0,"",AN456+IF(I456="yes",AN456*Inputs!$B$10*Inputs!$B$9,0)+IFERROR(INDEX(Inputs!$B$13:$B$15,MATCH(G456,Inputs!$A$13:$A$15,0)),0)+IFERROR(INDEX(Inputs!$B$18:$B$24,MATCH(H456,Inputs!$A$18:$A$24,0)),0))</f>
        <v>0.075</v>
      </c>
      <c r="AP456" s="28" t="n">
        <f aca="false">IF(OR(N(AO456)&lt;=0,N(AG456)=0,N(L456)=0),"",MIN(L456,AG456/AO456))</f>
        <v>31.6666666666667</v>
      </c>
      <c r="AQ456" s="29" t="n">
        <f aca="false">IF(OR(AP456="",N(O456)=0),"",AP456/O456-1)</f>
        <v>-0.370444002650762</v>
      </c>
      <c r="AR456" s="29" t="n">
        <f aca="false">IF(OR(AQ456="",N(O456)=0),"",AQ456+AG456/O456)</f>
        <v>-0.323227302849569</v>
      </c>
      <c r="AS456" s="32" t="n">
        <f aca="false">IF(OR(AR456="",N(AJ456)=0),"",AR456-AJ456)</f>
        <v>0.0393472498343274</v>
      </c>
      <c r="AT456" s="28" t="n">
        <v>50</v>
      </c>
      <c r="AU456" s="28" t="n">
        <v>2.38</v>
      </c>
      <c r="AV456" s="28" t="n">
        <f aca="false">IF(N(AT456)&gt;0,AT456,L456)</f>
        <v>50</v>
      </c>
      <c r="AW456" s="28" t="n">
        <f aca="false">IF(AND(N(M456)&gt;0,N(AV456)&gt;0),M456*AV456,IF(N(AU456)&gt;0,AU456,N456))</f>
        <v>2.375</v>
      </c>
      <c r="AX456" s="29" t="n">
        <f aca="false">IF(N(AN456)=0,"",AN456+IF(I456="yes",AN456*Inputs!$B$10*Inputs!$B$9,0)+IFERROR(INDEX(Inputs!$B$13:$B$15,MATCH(G456,Inputs!$A$13:$A$15,0)),0)+IFERROR(INDEX(Inputs!$B$18:$B$24,MATCH(H456,Inputs!$A$18:$A$24,0)),0))</f>
        <v>0.075</v>
      </c>
      <c r="AY456" s="28" t="n">
        <f aca="false">IF(OR(N(AX456)&lt;=0,N(AW456)=0,N(AV456)=0),"",MIN(AV456,AW456/AX456))</f>
        <v>31.6666666666667</v>
      </c>
      <c r="AZ456" s="29" t="n">
        <f aca="false">IF(OR(AY456="",N(O456)=0),"",AY456/O456-1)</f>
        <v>-0.370444002650762</v>
      </c>
      <c r="BA456" s="29" t="n">
        <f aca="false">IF(OR(AZ456="",N(O456)=0),"",AZ456+AW456/O456)</f>
        <v>-0.323227302849569</v>
      </c>
      <c r="BB456" s="32" t="n">
        <f aca="false">IF(OR(BA456="",N(AR456)=0),"",BA456-AR456)</f>
        <v>0</v>
      </c>
      <c r="BC456" s="35" t="n">
        <f aca="false">IF(OR(BA456="",N(U456)=0),"",BA456-U456)</f>
        <v>0.0393472498343275</v>
      </c>
      <c r="BD456" s="37"/>
    </row>
    <row r="457" customFormat="false" ht="15" hidden="false" customHeight="false" outlineLevel="0" collapsed="false">
      <c r="A457" s="2" t="s">
        <v>768</v>
      </c>
      <c r="B457" s="2" t="n">
        <v>271</v>
      </c>
      <c r="C457" s="2" t="s">
        <v>968</v>
      </c>
      <c r="D457" s="2" t="s">
        <v>969</v>
      </c>
      <c r="E457" s="2" t="s">
        <v>970</v>
      </c>
      <c r="F457" s="27" t="n">
        <v>1600</v>
      </c>
      <c r="G457" s="2" t="s">
        <v>52</v>
      </c>
      <c r="H457" s="2" t="s">
        <v>61</v>
      </c>
      <c r="I457" s="2" t="s">
        <v>144</v>
      </c>
      <c r="J457" s="2" t="s">
        <v>145</v>
      </c>
      <c r="K457" s="2" t="n">
        <v>4</v>
      </c>
      <c r="L457" s="28" t="n">
        <v>25</v>
      </c>
      <c r="M457" s="29" t="n">
        <v>0.05875</v>
      </c>
      <c r="N457" s="28" t="n">
        <v>1.46875</v>
      </c>
      <c r="O457" s="28" t="n">
        <v>24.65</v>
      </c>
      <c r="P457" s="2" t="s">
        <v>223</v>
      </c>
      <c r="Q457" s="29" t="n">
        <v>0.08</v>
      </c>
      <c r="R457" s="30" t="n">
        <v>0.08</v>
      </c>
      <c r="S457" s="31" t="n">
        <v>18.359375</v>
      </c>
      <c r="T457" s="30" t="n">
        <v>-0.255197768762678</v>
      </c>
      <c r="U457" s="30" t="n">
        <v>-0.195613590263692</v>
      </c>
      <c r="V457" s="29" t="n">
        <v>-0.005</v>
      </c>
      <c r="W457" s="29" t="n">
        <f aca="false">IF(N(Q457)=0,"",Q457+IF(I457="yes",Q457*Inputs!$B$10*Inputs!$B$9,0)+V457)</f>
        <v>0.075</v>
      </c>
      <c r="X457" s="28" t="n">
        <f aca="false">IF(OR(N(W457)&lt;=0,N(N457)=0,N(L457)=0),"",MIN(L457,N457/W457))</f>
        <v>19.5833333333333</v>
      </c>
      <c r="Y457" s="29" t="n">
        <f aca="false">IF(OR(X457="",N(O457)=0),"",X457/O457-1)</f>
        <v>-0.205544286680189</v>
      </c>
      <c r="Z457" s="29" t="n">
        <f aca="false">IF(OR(Y457="",N(O457)=0),"",Y457+N457/O457)</f>
        <v>-0.145960108181203</v>
      </c>
      <c r="AA457" s="32" t="n">
        <f aca="false">IF(OR(Z457="",N(U457)=0),"",Z457-U457)</f>
        <v>0.0496534820824883</v>
      </c>
      <c r="AB457" s="29" t="n">
        <f aca="false">IF(N(Q457)=0,"",Q457+IF(I457="yes",Q457*Inputs!$B$10*Inputs!$B$9,0)+IFERROR(INDEX(Inputs!$B$13:$B$15,MATCH(G457,Inputs!$A$13:$A$15,0)),0)+IFERROR(INDEX(Inputs!$B$18:$B$24,MATCH(H457,Inputs!$A$18:$A$24,0)),0))</f>
        <v>0.075</v>
      </c>
      <c r="AC457" s="28" t="n">
        <f aca="false">IF(OR(N(AB457)&lt;=0,N(N457)=0,N(L457)=0),"",MIN(L457,N457/AB457))</f>
        <v>19.5833333333333</v>
      </c>
      <c r="AD457" s="29" t="n">
        <f aca="false">IF(OR(AC457="",N(O457)=0),"",AC457/O457-1)</f>
        <v>-0.205544286680189</v>
      </c>
      <c r="AE457" s="29" t="n">
        <f aca="false">IF(OR(AD457="",N(O457)=0),"",AD457+N457/O457)</f>
        <v>-0.145960108181203</v>
      </c>
      <c r="AF457" s="32" t="n">
        <f aca="false">IF(OR(AE457="",N(Z457)=0),"",AE457-Z457)</f>
        <v>0</v>
      </c>
      <c r="AG457" s="28" t="n">
        <f aca="false">IF(AND(N(M457)&gt;0,N(L457)&gt;0),M457*L457,N457)</f>
        <v>1.46875</v>
      </c>
      <c r="AH457" s="28" t="n">
        <f aca="false">IF(OR(N(AB457)&lt;=0,N(AG457)=0,N(L457)=0),"",MIN(L457,AG457/AB457))</f>
        <v>19.5833333333333</v>
      </c>
      <c r="AI457" s="29" t="n">
        <f aca="false">IF(OR(AH457="",N(O457)=0),"",AH457/O457-1)</f>
        <v>-0.205544286680189</v>
      </c>
      <c r="AJ457" s="29" t="n">
        <f aca="false">IF(OR(AI457="",N(O457)=0),"",AI457+AG457/O457)</f>
        <v>-0.145960108181203</v>
      </c>
      <c r="AK457" s="32" t="n">
        <f aca="false">IF(OR(AJ457="",N(AE457)=0),"",AJ457-AE457)</f>
        <v>0</v>
      </c>
      <c r="AL457" s="33" t="n">
        <f aca="false">IF(N(F457)=0,"",INDEX(Inputs!$B$28:$B$32,IFERROR(MATCH(F457,Inputs!$A$28:$A$32,1),0)+1))</f>
        <v>0.085</v>
      </c>
      <c r="AM457" s="34"/>
      <c r="AN457" s="33" t="n">
        <f aca="false">IF(N(AM457)&gt;0,AM457,AL457)</f>
        <v>0.085</v>
      </c>
      <c r="AO457" s="29" t="n">
        <f aca="false">IF(N(AN457)=0,"",AN457+IF(I457="yes",AN457*Inputs!$B$10*Inputs!$B$9,0)+IFERROR(INDEX(Inputs!$B$13:$B$15,MATCH(G457,Inputs!$A$13:$A$15,0)),0)+IFERROR(INDEX(Inputs!$B$18:$B$24,MATCH(H457,Inputs!$A$18:$A$24,0)),0))</f>
        <v>0.08</v>
      </c>
      <c r="AP457" s="28" t="n">
        <f aca="false">IF(OR(N(AO457)&lt;=0,N(AG457)=0,N(L457)=0),"",MIN(L457,AG457/AO457))</f>
        <v>18.359375</v>
      </c>
      <c r="AQ457" s="29" t="n">
        <f aca="false">IF(OR(AP457="",N(O457)=0),"",AP457/O457-1)</f>
        <v>-0.255197768762677</v>
      </c>
      <c r="AR457" s="29" t="n">
        <f aca="false">IF(OR(AQ457="",N(O457)=0),"",AQ457+AG457/O457)</f>
        <v>-0.195613590263692</v>
      </c>
      <c r="AS457" s="32" t="n">
        <f aca="false">IF(OR(AR457="",N(AJ457)=0),"",AR457-AJ457)</f>
        <v>-0.0496534820824882</v>
      </c>
      <c r="AT457" s="28" t="n">
        <v>25</v>
      </c>
      <c r="AU457" s="28" t="n">
        <v>1.46875</v>
      </c>
      <c r="AV457" s="28" t="n">
        <f aca="false">IF(N(AT457)&gt;0,AT457,L457)</f>
        <v>25</v>
      </c>
      <c r="AW457" s="28" t="n">
        <f aca="false">IF(AND(N(M457)&gt;0,N(AV457)&gt;0),M457*AV457,IF(N(AU457)&gt;0,AU457,N457))</f>
        <v>1.46875</v>
      </c>
      <c r="AX457" s="29" t="n">
        <f aca="false">IF(N(AN457)=0,"",AN457+IF(I457="yes",AN457*Inputs!$B$10*Inputs!$B$9,0)+IFERROR(INDEX(Inputs!$B$13:$B$15,MATCH(G457,Inputs!$A$13:$A$15,0)),0)+IFERROR(INDEX(Inputs!$B$18:$B$24,MATCH(H457,Inputs!$A$18:$A$24,0)),0))</f>
        <v>0.08</v>
      </c>
      <c r="AY457" s="28" t="n">
        <f aca="false">IF(OR(N(AX457)&lt;=0,N(AW457)=0,N(AV457)=0),"",MIN(AV457,AW457/AX457))</f>
        <v>18.359375</v>
      </c>
      <c r="AZ457" s="29" t="n">
        <f aca="false">IF(OR(AY457="",N(O457)=0),"",AY457/O457-1)</f>
        <v>-0.255197768762677</v>
      </c>
      <c r="BA457" s="29" t="n">
        <f aca="false">IF(OR(AZ457="",N(O457)=0),"",AZ457+AW457/O457)</f>
        <v>-0.195613590263692</v>
      </c>
      <c r="BB457" s="32" t="n">
        <f aca="false">IF(OR(BA457="",N(AR457)=0),"",BA457-AR457)</f>
        <v>0</v>
      </c>
      <c r="BC457" s="35" t="n">
        <f aca="false">IF(OR(BA457="",N(U457)=0),"",BA457-U457)</f>
        <v>0</v>
      </c>
      <c r="BD457" s="36" t="s">
        <v>224</v>
      </c>
    </row>
    <row r="458" customFormat="false" ht="15" hidden="false" customHeight="false" outlineLevel="0" collapsed="false">
      <c r="A458" s="2" t="s">
        <v>768</v>
      </c>
      <c r="B458" s="2" t="n">
        <v>275</v>
      </c>
      <c r="C458" s="2" t="s">
        <v>971</v>
      </c>
      <c r="D458" s="2" t="s">
        <v>972</v>
      </c>
      <c r="E458" s="2" t="s">
        <v>973</v>
      </c>
      <c r="F458" s="27" t="n">
        <v>438</v>
      </c>
      <c r="G458" s="2" t="s">
        <v>51</v>
      </c>
      <c r="H458" s="2" t="s">
        <v>58</v>
      </c>
      <c r="I458" s="2" t="s">
        <v>144</v>
      </c>
      <c r="J458" s="2" t="s">
        <v>145</v>
      </c>
      <c r="K458" s="2" t="n">
        <v>4</v>
      </c>
      <c r="L458" s="28" t="n">
        <v>25</v>
      </c>
      <c r="M458" s="29" t="n">
        <v>0.065</v>
      </c>
      <c r="N458" s="28" t="n">
        <v>1.625</v>
      </c>
      <c r="O458" s="28" t="n">
        <v>18.3</v>
      </c>
      <c r="P458" s="2" t="s">
        <v>146</v>
      </c>
      <c r="Q458" s="29" t="n">
        <v>0.1</v>
      </c>
      <c r="R458" s="30" t="n">
        <v>0.1</v>
      </c>
      <c r="S458" s="31" t="n">
        <v>16.25</v>
      </c>
      <c r="T458" s="30" t="n">
        <v>-0.112021857923497</v>
      </c>
      <c r="U458" s="30" t="n">
        <v>-0.023224043715847</v>
      </c>
      <c r="V458" s="29" t="n">
        <v>0</v>
      </c>
      <c r="W458" s="29" t="n">
        <f aca="false">IF(N(Q458)=0,"",Q458+IF(I458="yes",Q458*Inputs!$B$10*Inputs!$B$9,0)+V458)</f>
        <v>0.1</v>
      </c>
      <c r="X458" s="28" t="n">
        <f aca="false">IF(OR(N(W458)&lt;=0,N(N458)=0,N(L458)=0),"",MIN(L458,N458/W458))</f>
        <v>16.25</v>
      </c>
      <c r="Y458" s="29" t="n">
        <f aca="false">IF(OR(X458="",N(O458)=0),"",X458/O458-1)</f>
        <v>-0.112021857923497</v>
      </c>
      <c r="Z458" s="29" t="n">
        <f aca="false">IF(OR(Y458="",N(O458)=0),"",Y458+N458/O458)</f>
        <v>-0.023224043715847</v>
      </c>
      <c r="AA458" s="32" t="n">
        <f aca="false">IF(OR(Z458="",N(U458)=0),"",Z458-U458)</f>
        <v>0</v>
      </c>
      <c r="AB458" s="29" t="n">
        <f aca="false">IF(N(Q458)=0,"",Q458+IF(I458="yes",Q458*Inputs!$B$10*Inputs!$B$9,0)+IFERROR(INDEX(Inputs!$B$13:$B$15,MATCH(G458,Inputs!$A$13:$A$15,0)),0)+IFERROR(INDEX(Inputs!$B$18:$B$24,MATCH(H458,Inputs!$A$18:$A$24,0)),0))</f>
        <v>0.1</v>
      </c>
      <c r="AC458" s="28" t="n">
        <f aca="false">IF(OR(N(AB458)&lt;=0,N(N458)=0,N(L458)=0),"",MIN(L458,N458/AB458))</f>
        <v>16.25</v>
      </c>
      <c r="AD458" s="29" t="n">
        <f aca="false">IF(OR(AC458="",N(O458)=0),"",AC458/O458-1)</f>
        <v>-0.112021857923497</v>
      </c>
      <c r="AE458" s="29" t="n">
        <f aca="false">IF(OR(AD458="",N(O458)=0),"",AD458+N458/O458)</f>
        <v>-0.023224043715847</v>
      </c>
      <c r="AF458" s="32" t="n">
        <f aca="false">IF(OR(AE458="",N(Z458)=0),"",AE458-Z458)</f>
        <v>0</v>
      </c>
      <c r="AG458" s="28" t="n">
        <f aca="false">IF(AND(N(M458)&gt;0,N(L458)&gt;0),M458*L458,N458)</f>
        <v>1.625</v>
      </c>
      <c r="AH458" s="28" t="n">
        <f aca="false">IF(OR(N(AB458)&lt;=0,N(AG458)=0,N(L458)=0),"",MIN(L458,AG458/AB458))</f>
        <v>16.25</v>
      </c>
      <c r="AI458" s="29" t="n">
        <f aca="false">IF(OR(AH458="",N(O458)=0),"",AH458/O458-1)</f>
        <v>-0.112021857923497</v>
      </c>
      <c r="AJ458" s="29" t="n">
        <f aca="false">IF(OR(AI458="",N(O458)=0),"",AI458+AG458/O458)</f>
        <v>-0.023224043715847</v>
      </c>
      <c r="AK458" s="32" t="n">
        <f aca="false">IF(OR(AJ458="",N(AE458)=0),"",AJ458-AE458)</f>
        <v>0</v>
      </c>
      <c r="AL458" s="33" t="n">
        <f aca="false">IF(N(F458)=0,"",INDEX(Inputs!$B$28:$B$32,IFERROR(MATCH(F458,Inputs!$A$28:$A$32,1),0)+1))</f>
        <v>0.09</v>
      </c>
      <c r="AM458" s="34"/>
      <c r="AN458" s="33" t="n">
        <f aca="false">IF(N(AM458)&gt;0,AM458,AL458)</f>
        <v>0.09</v>
      </c>
      <c r="AO458" s="29" t="n">
        <f aca="false">IF(N(AN458)=0,"",AN458+IF(I458="yes",AN458*Inputs!$B$10*Inputs!$B$9,0)+IFERROR(INDEX(Inputs!$B$13:$B$15,MATCH(G458,Inputs!$A$13:$A$15,0)),0)+IFERROR(INDEX(Inputs!$B$18:$B$24,MATCH(H458,Inputs!$A$18:$A$24,0)),0))</f>
        <v>0.09</v>
      </c>
      <c r="AP458" s="28" t="n">
        <f aca="false">IF(OR(N(AO458)&lt;=0,N(AG458)=0,N(L458)=0),"",MIN(L458,AG458/AO458))</f>
        <v>18.0555555555556</v>
      </c>
      <c r="AQ458" s="29" t="n">
        <f aca="false">IF(OR(AP458="",N(O458)=0),"",AP458/O458-1)</f>
        <v>-0.013357619914997</v>
      </c>
      <c r="AR458" s="29" t="n">
        <f aca="false">IF(OR(AQ458="",N(O458)=0),"",AQ458+AG458/O458)</f>
        <v>0.0754401942926533</v>
      </c>
      <c r="AS458" s="32" t="n">
        <f aca="false">IF(OR(AR458="",N(AJ458)=0),"",AR458-AJ458)</f>
        <v>0.0986642380085003</v>
      </c>
      <c r="AT458" s="28" t="n">
        <v>25</v>
      </c>
      <c r="AU458" s="28" t="n">
        <v>1.625</v>
      </c>
      <c r="AV458" s="28" t="n">
        <f aca="false">IF(N(AT458)&gt;0,AT458,L458)</f>
        <v>25</v>
      </c>
      <c r="AW458" s="28" t="n">
        <f aca="false">IF(AND(N(M458)&gt;0,N(AV458)&gt;0),M458*AV458,IF(N(AU458)&gt;0,AU458,N458))</f>
        <v>1.625</v>
      </c>
      <c r="AX458" s="29" t="n">
        <f aca="false">IF(N(AN458)=0,"",AN458+IF(I458="yes",AN458*Inputs!$B$10*Inputs!$B$9,0)+IFERROR(INDEX(Inputs!$B$13:$B$15,MATCH(G458,Inputs!$A$13:$A$15,0)),0)+IFERROR(INDEX(Inputs!$B$18:$B$24,MATCH(H458,Inputs!$A$18:$A$24,0)),0))</f>
        <v>0.09</v>
      </c>
      <c r="AY458" s="28" t="n">
        <f aca="false">IF(OR(N(AX458)&lt;=0,N(AW458)=0,N(AV458)=0),"",MIN(AV458,AW458/AX458))</f>
        <v>18.0555555555556</v>
      </c>
      <c r="AZ458" s="29" t="n">
        <f aca="false">IF(OR(AY458="",N(O458)=0),"",AY458/O458-1)</f>
        <v>-0.013357619914997</v>
      </c>
      <c r="BA458" s="29" t="n">
        <f aca="false">IF(OR(AZ458="",N(O458)=0),"",AZ458+AW458/O458)</f>
        <v>0.0754401942926533</v>
      </c>
      <c r="BB458" s="32" t="n">
        <f aca="false">IF(OR(BA458="",N(AR458)=0),"",BA458-AR458)</f>
        <v>0</v>
      </c>
      <c r="BC458" s="35" t="n">
        <f aca="false">IF(OR(BA458="",N(U458)=0),"",BA458-U458)</f>
        <v>0.0986642380085003</v>
      </c>
      <c r="BD458" s="37"/>
    </row>
    <row r="459" customFormat="false" ht="15" hidden="false" customHeight="false" outlineLevel="0" collapsed="false">
      <c r="A459" s="2" t="s">
        <v>768</v>
      </c>
      <c r="B459" s="2" t="n">
        <v>281</v>
      </c>
      <c r="C459" s="2" t="s">
        <v>974</v>
      </c>
      <c r="D459" s="2" t="s">
        <v>975</v>
      </c>
      <c r="E459" s="2" t="s">
        <v>976</v>
      </c>
      <c r="F459" s="27" t="n">
        <v>374</v>
      </c>
      <c r="G459" s="2" t="s">
        <v>51</v>
      </c>
      <c r="H459" s="2" t="s">
        <v>58</v>
      </c>
      <c r="I459" s="2" t="s">
        <v>144</v>
      </c>
      <c r="J459" s="2" t="s">
        <v>168</v>
      </c>
      <c r="K459" s="2" t="n">
        <v>12</v>
      </c>
      <c r="L459" s="28" t="n">
        <v>25</v>
      </c>
      <c r="M459" s="29" t="n">
        <v>0.05</v>
      </c>
      <c r="N459" s="28" t="n">
        <v>1.25</v>
      </c>
      <c r="O459" s="28" t="n">
        <v>0</v>
      </c>
      <c r="P459" s="2" t="s">
        <v>146</v>
      </c>
      <c r="Q459" s="29" t="n">
        <v>0.1</v>
      </c>
      <c r="R459" s="30" t="n">
        <v>0.1</v>
      </c>
      <c r="S459" s="31" t="n">
        <v>12.5</v>
      </c>
      <c r="T459" s="30"/>
      <c r="U459" s="30"/>
      <c r="V459" s="29" t="n">
        <v>0</v>
      </c>
      <c r="W459" s="29" t="n">
        <f aca="false">IF(N(Q459)=0,"",Q459+IF(I459="yes",Q459*Inputs!$B$10*Inputs!$B$9,0)+V459)</f>
        <v>0.1</v>
      </c>
      <c r="X459" s="28" t="n">
        <f aca="false">IF(OR(N(W459)&lt;=0,N(N459)=0,N(L459)=0),"",MIN(L459,N459/W459))</f>
        <v>12.5</v>
      </c>
      <c r="Y459" s="29" t="str">
        <f aca="false">IF(OR(X459="",N(O459)=0),"",X459/O459-1)</f>
        <v/>
      </c>
      <c r="Z459" s="29" t="str">
        <f aca="false">IF(OR(Y459="",N(O459)=0),"",Y459+N459/O459)</f>
        <v/>
      </c>
      <c r="AA459" s="32" t="str">
        <f aca="false">IF(OR(Z459="",N(U459)=0),"",Z459-U459)</f>
        <v/>
      </c>
      <c r="AB459" s="29" t="n">
        <f aca="false">IF(N(Q459)=0,"",Q459+IF(I459="yes",Q459*Inputs!$B$10*Inputs!$B$9,0)+IFERROR(INDEX(Inputs!$B$13:$B$15,MATCH(G459,Inputs!$A$13:$A$15,0)),0)+IFERROR(INDEX(Inputs!$B$18:$B$24,MATCH(H459,Inputs!$A$18:$A$24,0)),0))</f>
        <v>0.1</v>
      </c>
      <c r="AC459" s="28" t="n">
        <f aca="false">IF(OR(N(AB459)&lt;=0,N(N459)=0,N(L459)=0),"",MIN(L459,N459/AB459))</f>
        <v>12.5</v>
      </c>
      <c r="AD459" s="29" t="str">
        <f aca="false">IF(OR(AC459="",N(O459)=0),"",AC459/O459-1)</f>
        <v/>
      </c>
      <c r="AE459" s="29" t="str">
        <f aca="false">IF(OR(AD459="",N(O459)=0),"",AD459+N459/O459)</f>
        <v/>
      </c>
      <c r="AF459" s="32" t="str">
        <f aca="false">IF(OR(AE459="",N(Z459)=0),"",AE459-Z459)</f>
        <v/>
      </c>
      <c r="AG459" s="28" t="n">
        <f aca="false">IF(AND(N(M459)&gt;0,N(L459)&gt;0),M459*L459,N459)</f>
        <v>1.25</v>
      </c>
      <c r="AH459" s="28" t="n">
        <f aca="false">IF(OR(N(AB459)&lt;=0,N(AG459)=0,N(L459)=0),"",MIN(L459,AG459/AB459))</f>
        <v>12.5</v>
      </c>
      <c r="AI459" s="29" t="str">
        <f aca="false">IF(OR(AH459="",N(O459)=0),"",AH459/O459-1)</f>
        <v/>
      </c>
      <c r="AJ459" s="29" t="str">
        <f aca="false">IF(OR(AI459="",N(O459)=0),"",AI459+AG459/O459)</f>
        <v/>
      </c>
      <c r="AK459" s="32" t="str">
        <f aca="false">IF(OR(AJ459="",N(AE459)=0),"",AJ459-AE459)</f>
        <v/>
      </c>
      <c r="AL459" s="33" t="n">
        <f aca="false">IF(N(F459)=0,"",INDEX(Inputs!$B$28:$B$32,IFERROR(MATCH(F459,Inputs!$A$28:$A$32,1),0)+1))</f>
        <v>0.09</v>
      </c>
      <c r="AM459" s="34"/>
      <c r="AN459" s="33" t="n">
        <f aca="false">IF(N(AM459)&gt;0,AM459,AL459)</f>
        <v>0.09</v>
      </c>
      <c r="AO459" s="29" t="n">
        <f aca="false">IF(N(AN459)=0,"",AN459+IF(I459="yes",AN459*Inputs!$B$10*Inputs!$B$9,0)+IFERROR(INDEX(Inputs!$B$13:$B$15,MATCH(G459,Inputs!$A$13:$A$15,0)),0)+IFERROR(INDEX(Inputs!$B$18:$B$24,MATCH(H459,Inputs!$A$18:$A$24,0)),0))</f>
        <v>0.09</v>
      </c>
      <c r="AP459" s="28" t="n">
        <f aca="false">IF(OR(N(AO459)&lt;=0,N(AG459)=0,N(L459)=0),"",MIN(L459,AG459/AO459))</f>
        <v>13.8888888888889</v>
      </c>
      <c r="AQ459" s="29" t="str">
        <f aca="false">IF(OR(AP459="",N(O459)=0),"",AP459/O459-1)</f>
        <v/>
      </c>
      <c r="AR459" s="29" t="str">
        <f aca="false">IF(OR(AQ459="",N(O459)=0),"",AQ459+AG459/O459)</f>
        <v/>
      </c>
      <c r="AS459" s="32" t="str">
        <f aca="false">IF(OR(AR459="",N(AJ459)=0),"",AR459-AJ459)</f>
        <v/>
      </c>
      <c r="AT459" s="28" t="n">
        <v>25</v>
      </c>
      <c r="AU459" s="28" t="n">
        <v>1.25</v>
      </c>
      <c r="AV459" s="28" t="n">
        <f aca="false">IF(N(AT459)&gt;0,AT459,L459)</f>
        <v>25</v>
      </c>
      <c r="AW459" s="28" t="n">
        <f aca="false">IF(AND(N(M459)&gt;0,N(AV459)&gt;0),M459*AV459,IF(N(AU459)&gt;0,AU459,N459))</f>
        <v>1.25</v>
      </c>
      <c r="AX459" s="29" t="n">
        <f aca="false">IF(N(AN459)=0,"",AN459+IF(I459="yes",AN459*Inputs!$B$10*Inputs!$B$9,0)+IFERROR(INDEX(Inputs!$B$13:$B$15,MATCH(G459,Inputs!$A$13:$A$15,0)),0)+IFERROR(INDEX(Inputs!$B$18:$B$24,MATCH(H459,Inputs!$A$18:$A$24,0)),0))</f>
        <v>0.09</v>
      </c>
      <c r="AY459" s="28" t="n">
        <f aca="false">IF(OR(N(AX459)&lt;=0,N(AW459)=0,N(AV459)=0),"",MIN(AV459,AW459/AX459))</f>
        <v>13.8888888888889</v>
      </c>
      <c r="AZ459" s="29" t="str">
        <f aca="false">IF(OR(AY459="",N(O459)=0),"",AY459/O459-1)</f>
        <v/>
      </c>
      <c r="BA459" s="29" t="str">
        <f aca="false">IF(OR(AZ459="",N(O459)=0),"",AZ459+AW459/O459)</f>
        <v/>
      </c>
      <c r="BB459" s="32" t="str">
        <f aca="false">IF(OR(BA459="",N(AR459)=0),"",BA459-AR459)</f>
        <v/>
      </c>
      <c r="BC459" s="35" t="str">
        <f aca="false">IF(OR(BA459="",N(U459)=0),"",BA459-U459)</f>
        <v/>
      </c>
      <c r="BD459" s="36" t="s">
        <v>299</v>
      </c>
    </row>
    <row r="460" customFormat="false" ht="15" hidden="false" customHeight="false" outlineLevel="0" collapsed="false">
      <c r="A460" s="2" t="s">
        <v>768</v>
      </c>
      <c r="B460" s="2" t="n">
        <v>282</v>
      </c>
      <c r="C460" s="2" t="s">
        <v>977</v>
      </c>
      <c r="D460" s="2" t="s">
        <v>975</v>
      </c>
      <c r="E460" s="2" t="s">
        <v>976</v>
      </c>
      <c r="F460" s="27" t="n">
        <v>374</v>
      </c>
      <c r="G460" s="2" t="s">
        <v>51</v>
      </c>
      <c r="H460" s="2" t="s">
        <v>58</v>
      </c>
      <c r="I460" s="2" t="s">
        <v>144</v>
      </c>
      <c r="J460" s="2" t="s">
        <v>168</v>
      </c>
      <c r="K460" s="2" t="n">
        <v>12</v>
      </c>
      <c r="L460" s="28" t="n">
        <v>25</v>
      </c>
      <c r="M460" s="29" t="n">
        <v>0.06</v>
      </c>
      <c r="N460" s="28" t="n">
        <v>1.5</v>
      </c>
      <c r="O460" s="28" t="n">
        <v>21.26</v>
      </c>
      <c r="P460" s="2" t="s">
        <v>146</v>
      </c>
      <c r="Q460" s="29" t="n">
        <v>0.1</v>
      </c>
      <c r="R460" s="30" t="n">
        <v>0.1</v>
      </c>
      <c r="S460" s="31" t="n">
        <v>15</v>
      </c>
      <c r="T460" s="30" t="n">
        <v>-0.29444967074318</v>
      </c>
      <c r="U460" s="30" t="n">
        <v>-0.223894637817498</v>
      </c>
      <c r="V460" s="29" t="n">
        <v>0</v>
      </c>
      <c r="W460" s="29" t="n">
        <f aca="false">IF(N(Q460)=0,"",Q460+IF(I460="yes",Q460*Inputs!$B$10*Inputs!$B$9,0)+V460)</f>
        <v>0.1</v>
      </c>
      <c r="X460" s="28" t="n">
        <f aca="false">IF(OR(N(W460)&lt;=0,N(N460)=0,N(L460)=0),"",MIN(L460,N460/W460))</f>
        <v>15</v>
      </c>
      <c r="Y460" s="29" t="n">
        <f aca="false">IF(OR(X460="",N(O460)=0),"",X460/O460-1)</f>
        <v>-0.29444967074318</v>
      </c>
      <c r="Z460" s="29" t="n">
        <f aca="false">IF(OR(Y460="",N(O460)=0),"",Y460+N460/O460)</f>
        <v>-0.223894637817498</v>
      </c>
      <c r="AA460" s="32" t="n">
        <f aca="false">IF(OR(Z460="",N(U460)=0),"",Z460-U460)</f>
        <v>0</v>
      </c>
      <c r="AB460" s="29" t="n">
        <f aca="false">IF(N(Q460)=0,"",Q460+IF(I460="yes",Q460*Inputs!$B$10*Inputs!$B$9,0)+IFERROR(INDEX(Inputs!$B$13:$B$15,MATCH(G460,Inputs!$A$13:$A$15,0)),0)+IFERROR(INDEX(Inputs!$B$18:$B$24,MATCH(H460,Inputs!$A$18:$A$24,0)),0))</f>
        <v>0.1</v>
      </c>
      <c r="AC460" s="28" t="n">
        <f aca="false">IF(OR(N(AB460)&lt;=0,N(N460)=0,N(L460)=0),"",MIN(L460,N460/AB460))</f>
        <v>15</v>
      </c>
      <c r="AD460" s="29" t="n">
        <f aca="false">IF(OR(AC460="",N(O460)=0),"",AC460/O460-1)</f>
        <v>-0.29444967074318</v>
      </c>
      <c r="AE460" s="29" t="n">
        <f aca="false">IF(OR(AD460="",N(O460)=0),"",AD460+N460/O460)</f>
        <v>-0.223894637817498</v>
      </c>
      <c r="AF460" s="32" t="n">
        <f aca="false">IF(OR(AE460="",N(Z460)=0),"",AE460-Z460)</f>
        <v>0</v>
      </c>
      <c r="AG460" s="28" t="n">
        <f aca="false">IF(AND(N(M460)&gt;0,N(L460)&gt;0),M460*L460,N460)</f>
        <v>1.5</v>
      </c>
      <c r="AH460" s="28" t="n">
        <f aca="false">IF(OR(N(AB460)&lt;=0,N(AG460)=0,N(L460)=0),"",MIN(L460,AG460/AB460))</f>
        <v>15</v>
      </c>
      <c r="AI460" s="29" t="n">
        <f aca="false">IF(OR(AH460="",N(O460)=0),"",AH460/O460-1)</f>
        <v>-0.29444967074318</v>
      </c>
      <c r="AJ460" s="29" t="n">
        <f aca="false">IF(OR(AI460="",N(O460)=0),"",AI460+AG460/O460)</f>
        <v>-0.223894637817498</v>
      </c>
      <c r="AK460" s="32" t="n">
        <f aca="false">IF(OR(AJ460="",N(AE460)=0),"",AJ460-AE460)</f>
        <v>0</v>
      </c>
      <c r="AL460" s="33" t="n">
        <f aca="false">IF(N(F460)=0,"",INDEX(Inputs!$B$28:$B$32,IFERROR(MATCH(F460,Inputs!$A$28:$A$32,1),0)+1))</f>
        <v>0.09</v>
      </c>
      <c r="AM460" s="34"/>
      <c r="AN460" s="33" t="n">
        <f aca="false">IF(N(AM460)&gt;0,AM460,AL460)</f>
        <v>0.09</v>
      </c>
      <c r="AO460" s="29" t="n">
        <f aca="false">IF(N(AN460)=0,"",AN460+IF(I460="yes",AN460*Inputs!$B$10*Inputs!$B$9,0)+IFERROR(INDEX(Inputs!$B$13:$B$15,MATCH(G460,Inputs!$A$13:$A$15,0)),0)+IFERROR(INDEX(Inputs!$B$18:$B$24,MATCH(H460,Inputs!$A$18:$A$24,0)),0))</f>
        <v>0.09</v>
      </c>
      <c r="AP460" s="28" t="n">
        <f aca="false">IF(OR(N(AO460)&lt;=0,N(AG460)=0,N(L460)=0),"",MIN(L460,AG460/AO460))</f>
        <v>16.6666666666667</v>
      </c>
      <c r="AQ460" s="29" t="n">
        <f aca="false">IF(OR(AP460="",N(O460)=0),"",AP460/O460-1)</f>
        <v>-0.216055189714644</v>
      </c>
      <c r="AR460" s="29" t="n">
        <f aca="false">IF(OR(AQ460="",N(O460)=0),"",AQ460+AG460/O460)</f>
        <v>-0.145500156788962</v>
      </c>
      <c r="AS460" s="32" t="n">
        <f aca="false">IF(OR(AR460="",N(AJ460)=0),"",AR460-AJ460)</f>
        <v>0.0783944810285356</v>
      </c>
      <c r="AT460" s="28" t="n">
        <v>25</v>
      </c>
      <c r="AU460" s="28" t="n">
        <v>1.5</v>
      </c>
      <c r="AV460" s="28" t="n">
        <f aca="false">IF(N(AT460)&gt;0,AT460,L460)</f>
        <v>25</v>
      </c>
      <c r="AW460" s="28" t="n">
        <f aca="false">IF(AND(N(M460)&gt;0,N(AV460)&gt;0),M460*AV460,IF(N(AU460)&gt;0,AU460,N460))</f>
        <v>1.5</v>
      </c>
      <c r="AX460" s="29" t="n">
        <f aca="false">IF(N(AN460)=0,"",AN460+IF(I460="yes",AN460*Inputs!$B$10*Inputs!$B$9,0)+IFERROR(INDEX(Inputs!$B$13:$B$15,MATCH(G460,Inputs!$A$13:$A$15,0)),0)+IFERROR(INDEX(Inputs!$B$18:$B$24,MATCH(H460,Inputs!$A$18:$A$24,0)),0))</f>
        <v>0.09</v>
      </c>
      <c r="AY460" s="28" t="n">
        <f aca="false">IF(OR(N(AX460)&lt;=0,N(AW460)=0,N(AV460)=0),"",MIN(AV460,AW460/AX460))</f>
        <v>16.6666666666667</v>
      </c>
      <c r="AZ460" s="29" t="n">
        <f aca="false">IF(OR(AY460="",N(O460)=0),"",AY460/O460-1)</f>
        <v>-0.216055189714644</v>
      </c>
      <c r="BA460" s="29" t="n">
        <f aca="false">IF(OR(AZ460="",N(O460)=0),"",AZ460+AW460/O460)</f>
        <v>-0.145500156788962</v>
      </c>
      <c r="BB460" s="32" t="n">
        <f aca="false">IF(OR(BA460="",N(AR460)=0),"",BA460-AR460)</f>
        <v>0</v>
      </c>
      <c r="BC460" s="35" t="n">
        <f aca="false">IF(OR(BA460="",N(U460)=0),"",BA460-U460)</f>
        <v>0.0783944810285356</v>
      </c>
      <c r="BD460" s="37"/>
    </row>
    <row r="461" customFormat="false" ht="15" hidden="false" customHeight="false" outlineLevel="0" collapsed="false">
      <c r="A461" s="2" t="s">
        <v>768</v>
      </c>
      <c r="B461" s="2" t="n">
        <v>283</v>
      </c>
      <c r="C461" s="2" t="s">
        <v>978</v>
      </c>
      <c r="D461" s="2" t="s">
        <v>975</v>
      </c>
      <c r="E461" s="2" t="s">
        <v>976</v>
      </c>
      <c r="F461" s="27" t="n">
        <v>374</v>
      </c>
      <c r="G461" s="2" t="s">
        <v>51</v>
      </c>
      <c r="H461" s="2" t="s">
        <v>58</v>
      </c>
      <c r="I461" s="2" t="s">
        <v>144</v>
      </c>
      <c r="J461" s="2" t="s">
        <v>168</v>
      </c>
      <c r="K461" s="2" t="n">
        <v>12</v>
      </c>
      <c r="L461" s="28" t="n">
        <v>25</v>
      </c>
      <c r="M461" s="29" t="n">
        <v>0.06</v>
      </c>
      <c r="N461" s="28" t="n">
        <v>1.5</v>
      </c>
      <c r="O461" s="28" t="n">
        <v>20.62</v>
      </c>
      <c r="P461" s="2" t="s">
        <v>223</v>
      </c>
      <c r="Q461" s="29" t="n">
        <v>0.1</v>
      </c>
      <c r="R461" s="30" t="n">
        <v>0.1</v>
      </c>
      <c r="S461" s="31" t="n">
        <v>15</v>
      </c>
      <c r="T461" s="30" t="n">
        <v>-0.2725509214355</v>
      </c>
      <c r="U461" s="30" t="n">
        <v>-0.19980601357905</v>
      </c>
      <c r="V461" s="29" t="n">
        <v>0</v>
      </c>
      <c r="W461" s="29" t="n">
        <f aca="false">IF(N(Q461)=0,"",Q461+IF(I461="yes",Q461*Inputs!$B$10*Inputs!$B$9,0)+V461)</f>
        <v>0.1</v>
      </c>
      <c r="X461" s="28" t="n">
        <f aca="false">IF(OR(N(W461)&lt;=0,N(N461)=0,N(L461)=0),"",MIN(L461,N461/W461))</f>
        <v>15</v>
      </c>
      <c r="Y461" s="29" t="n">
        <f aca="false">IF(OR(X461="",N(O461)=0),"",X461/O461-1)</f>
        <v>-0.2725509214355</v>
      </c>
      <c r="Z461" s="29" t="n">
        <f aca="false">IF(OR(Y461="",N(O461)=0),"",Y461+N461/O461)</f>
        <v>-0.199806013579049</v>
      </c>
      <c r="AA461" s="32" t="n">
        <f aca="false">IF(OR(Z461="",N(U461)=0),"",Z461-U461)</f>
        <v>0</v>
      </c>
      <c r="AB461" s="29" t="n">
        <f aca="false">IF(N(Q461)=0,"",Q461+IF(I461="yes",Q461*Inputs!$B$10*Inputs!$B$9,0)+IFERROR(INDEX(Inputs!$B$13:$B$15,MATCH(G461,Inputs!$A$13:$A$15,0)),0)+IFERROR(INDEX(Inputs!$B$18:$B$24,MATCH(H461,Inputs!$A$18:$A$24,0)),0))</f>
        <v>0.1</v>
      </c>
      <c r="AC461" s="28" t="n">
        <f aca="false">IF(OR(N(AB461)&lt;=0,N(N461)=0,N(L461)=0),"",MIN(L461,N461/AB461))</f>
        <v>15</v>
      </c>
      <c r="AD461" s="29" t="n">
        <f aca="false">IF(OR(AC461="",N(O461)=0),"",AC461/O461-1)</f>
        <v>-0.2725509214355</v>
      </c>
      <c r="AE461" s="29" t="n">
        <f aca="false">IF(OR(AD461="",N(O461)=0),"",AD461+N461/O461)</f>
        <v>-0.199806013579049</v>
      </c>
      <c r="AF461" s="32" t="n">
        <f aca="false">IF(OR(AE461="",N(Z461)=0),"",AE461-Z461)</f>
        <v>0</v>
      </c>
      <c r="AG461" s="28" t="n">
        <f aca="false">IF(AND(N(M461)&gt;0,N(L461)&gt;0),M461*L461,N461)</f>
        <v>1.5</v>
      </c>
      <c r="AH461" s="28" t="n">
        <f aca="false">IF(OR(N(AB461)&lt;=0,N(AG461)=0,N(L461)=0),"",MIN(L461,AG461/AB461))</f>
        <v>15</v>
      </c>
      <c r="AI461" s="29" t="n">
        <f aca="false">IF(OR(AH461="",N(O461)=0),"",AH461/O461-1)</f>
        <v>-0.2725509214355</v>
      </c>
      <c r="AJ461" s="29" t="n">
        <f aca="false">IF(OR(AI461="",N(O461)=0),"",AI461+AG461/O461)</f>
        <v>-0.199806013579049</v>
      </c>
      <c r="AK461" s="32" t="n">
        <f aca="false">IF(OR(AJ461="",N(AE461)=0),"",AJ461-AE461)</f>
        <v>0</v>
      </c>
      <c r="AL461" s="33" t="n">
        <f aca="false">IF(N(F461)=0,"",INDEX(Inputs!$B$28:$B$32,IFERROR(MATCH(F461,Inputs!$A$28:$A$32,1),0)+1))</f>
        <v>0.09</v>
      </c>
      <c r="AM461" s="34"/>
      <c r="AN461" s="33" t="n">
        <f aca="false">IF(N(AM461)&gt;0,AM461,AL461)</f>
        <v>0.09</v>
      </c>
      <c r="AO461" s="29" t="n">
        <f aca="false">IF(N(AN461)=0,"",AN461+IF(I461="yes",AN461*Inputs!$B$10*Inputs!$B$9,0)+IFERROR(INDEX(Inputs!$B$13:$B$15,MATCH(G461,Inputs!$A$13:$A$15,0)),0)+IFERROR(INDEX(Inputs!$B$18:$B$24,MATCH(H461,Inputs!$A$18:$A$24,0)),0))</f>
        <v>0.09</v>
      </c>
      <c r="AP461" s="28" t="n">
        <f aca="false">IF(OR(N(AO461)&lt;=0,N(AG461)=0,N(L461)=0),"",MIN(L461,AG461/AO461))</f>
        <v>16.6666666666667</v>
      </c>
      <c r="AQ461" s="29" t="n">
        <f aca="false">IF(OR(AP461="",N(O461)=0),"",AP461/O461-1)</f>
        <v>-0.191723246039444</v>
      </c>
      <c r="AR461" s="29" t="n">
        <f aca="false">IF(OR(AQ461="",N(O461)=0),"",AQ461+AG461/O461)</f>
        <v>-0.118978338182994</v>
      </c>
      <c r="AS461" s="32" t="n">
        <f aca="false">IF(OR(AR461="",N(AJ461)=0),"",AR461-AJ461)</f>
        <v>0.0808276753960556</v>
      </c>
      <c r="AT461" s="28" t="n">
        <v>25</v>
      </c>
      <c r="AU461" s="28" t="n">
        <v>1.5</v>
      </c>
      <c r="AV461" s="28" t="n">
        <f aca="false">IF(N(AT461)&gt;0,AT461,L461)</f>
        <v>25</v>
      </c>
      <c r="AW461" s="28" t="n">
        <f aca="false">IF(AND(N(M461)&gt;0,N(AV461)&gt;0),M461*AV461,IF(N(AU461)&gt;0,AU461,N461))</f>
        <v>1.5</v>
      </c>
      <c r="AX461" s="29" t="n">
        <f aca="false">IF(N(AN461)=0,"",AN461+IF(I461="yes",AN461*Inputs!$B$10*Inputs!$B$9,0)+IFERROR(INDEX(Inputs!$B$13:$B$15,MATCH(G461,Inputs!$A$13:$A$15,0)),0)+IFERROR(INDEX(Inputs!$B$18:$B$24,MATCH(H461,Inputs!$A$18:$A$24,0)),0))</f>
        <v>0.09</v>
      </c>
      <c r="AY461" s="28" t="n">
        <f aca="false">IF(OR(N(AX461)&lt;=0,N(AW461)=0,N(AV461)=0),"",MIN(AV461,AW461/AX461))</f>
        <v>16.6666666666667</v>
      </c>
      <c r="AZ461" s="29" t="n">
        <f aca="false">IF(OR(AY461="",N(O461)=0),"",AY461/O461-1)</f>
        <v>-0.191723246039444</v>
      </c>
      <c r="BA461" s="29" t="n">
        <f aca="false">IF(OR(AZ461="",N(O461)=0),"",AZ461+AW461/O461)</f>
        <v>-0.118978338182994</v>
      </c>
      <c r="BB461" s="32" t="n">
        <f aca="false">IF(OR(BA461="",N(AR461)=0),"",BA461-AR461)</f>
        <v>0</v>
      </c>
      <c r="BC461" s="35" t="n">
        <f aca="false">IF(OR(BA461="",N(U461)=0),"",BA461-U461)</f>
        <v>0.0808276753960557</v>
      </c>
      <c r="BD461" s="36" t="s">
        <v>224</v>
      </c>
    </row>
    <row r="462" customFormat="false" ht="15" hidden="false" customHeight="false" outlineLevel="0" collapsed="false">
      <c r="A462" s="2" t="s">
        <v>768</v>
      </c>
      <c r="B462" s="2" t="n">
        <v>286</v>
      </c>
      <c r="C462" s="2" t="s">
        <v>979</v>
      </c>
      <c r="D462" s="2" t="s">
        <v>980</v>
      </c>
      <c r="E462" s="2" t="s">
        <v>981</v>
      </c>
      <c r="F462" s="27" t="n">
        <v>158</v>
      </c>
      <c r="G462" s="2" t="s">
        <v>51</v>
      </c>
      <c r="H462" s="2" t="s">
        <v>58</v>
      </c>
      <c r="I462" s="2" t="s">
        <v>151</v>
      </c>
      <c r="J462" s="2" t="s">
        <v>145</v>
      </c>
      <c r="K462" s="2" t="n">
        <v>4</v>
      </c>
      <c r="L462" s="28" t="n">
        <v>25</v>
      </c>
      <c r="M462" s="29" t="n">
        <v>0.08875</v>
      </c>
      <c r="N462" s="28" t="n">
        <v>2.21875</v>
      </c>
      <c r="O462" s="28" t="n">
        <v>23.3</v>
      </c>
      <c r="P462" s="2" t="s">
        <v>223</v>
      </c>
      <c r="Q462" s="29" t="n">
        <v>0.1</v>
      </c>
      <c r="R462" s="30" t="n">
        <v>0.1</v>
      </c>
      <c r="S462" s="31" t="n">
        <v>22.1875</v>
      </c>
      <c r="T462" s="30" t="n">
        <v>-0.0477467811158798</v>
      </c>
      <c r="U462" s="30" t="n">
        <v>0.0474785407725322</v>
      </c>
      <c r="V462" s="29" t="n">
        <v>0</v>
      </c>
      <c r="W462" s="29" t="n">
        <f aca="false">IF(N(Q462)=0,"",Q462+IF(I462="yes",Q462*Inputs!$B$10*Inputs!$B$9,0)+V462)</f>
        <v>0.095</v>
      </c>
      <c r="X462" s="28" t="n">
        <f aca="false">IF(OR(N(W462)&lt;=0,N(N462)=0,N(L462)=0),"",MIN(L462,N462/W462))</f>
        <v>23.3552631578947</v>
      </c>
      <c r="Y462" s="29" t="n">
        <f aca="false">IF(OR(X462="",N(O462)=0),"",X462/O462-1)</f>
        <v>0.00237180935170533</v>
      </c>
      <c r="Z462" s="29" t="n">
        <f aca="false">IF(OR(Y462="",N(O462)=0),"",Y462+N462/O462)</f>
        <v>0.0975971312401174</v>
      </c>
      <c r="AA462" s="32" t="n">
        <f aca="false">IF(OR(Z462="",N(U462)=0),"",Z462-U462)</f>
        <v>0.0501185904675852</v>
      </c>
      <c r="AB462" s="29" t="n">
        <f aca="false">IF(N(Q462)=0,"",Q462+IF(I462="yes",Q462*Inputs!$B$10*Inputs!$B$9,0)+IFERROR(INDEX(Inputs!$B$13:$B$15,MATCH(G462,Inputs!$A$13:$A$15,0)),0)+IFERROR(INDEX(Inputs!$B$18:$B$24,MATCH(H462,Inputs!$A$18:$A$24,0)),0))</f>
        <v>0.095</v>
      </c>
      <c r="AC462" s="28" t="n">
        <f aca="false">IF(OR(N(AB462)&lt;=0,N(N462)=0,N(L462)=0),"",MIN(L462,N462/AB462))</f>
        <v>23.3552631578947</v>
      </c>
      <c r="AD462" s="29" t="n">
        <f aca="false">IF(OR(AC462="",N(O462)=0),"",AC462/O462-1)</f>
        <v>0.00237180935170533</v>
      </c>
      <c r="AE462" s="29" t="n">
        <f aca="false">IF(OR(AD462="",N(O462)=0),"",AD462+N462/O462)</f>
        <v>0.0975971312401174</v>
      </c>
      <c r="AF462" s="32" t="n">
        <f aca="false">IF(OR(AE462="",N(Z462)=0),"",AE462-Z462)</f>
        <v>0</v>
      </c>
      <c r="AG462" s="28" t="n">
        <f aca="false">IF(AND(N(M462)&gt;0,N(L462)&gt;0),M462*L462,N462)</f>
        <v>2.21875</v>
      </c>
      <c r="AH462" s="28" t="n">
        <f aca="false">IF(OR(N(AB462)&lt;=0,N(AG462)=0,N(L462)=0),"",MIN(L462,AG462/AB462))</f>
        <v>23.3552631578947</v>
      </c>
      <c r="AI462" s="29" t="n">
        <f aca="false">IF(OR(AH462="",N(O462)=0),"",AH462/O462-1)</f>
        <v>0.00237180935170533</v>
      </c>
      <c r="AJ462" s="29" t="n">
        <f aca="false">IF(OR(AI462="",N(O462)=0),"",AI462+AG462/O462)</f>
        <v>0.0975971312401174</v>
      </c>
      <c r="AK462" s="32" t="n">
        <f aca="false">IF(OR(AJ462="",N(AE462)=0),"",AJ462-AE462)</f>
        <v>0</v>
      </c>
      <c r="AL462" s="33" t="n">
        <f aca="false">IF(N(F462)=0,"",INDEX(Inputs!$B$28:$B$32,IFERROR(MATCH(F462,Inputs!$A$28:$A$32,1),0)+1))</f>
        <v>0.1</v>
      </c>
      <c r="AM462" s="34"/>
      <c r="AN462" s="33" t="n">
        <f aca="false">IF(N(AM462)&gt;0,AM462,AL462)</f>
        <v>0.1</v>
      </c>
      <c r="AO462" s="29" t="n">
        <f aca="false">IF(N(AN462)=0,"",AN462+IF(I462="yes",AN462*Inputs!$B$10*Inputs!$B$9,0)+IFERROR(INDEX(Inputs!$B$13:$B$15,MATCH(G462,Inputs!$A$13:$A$15,0)),0)+IFERROR(INDEX(Inputs!$B$18:$B$24,MATCH(H462,Inputs!$A$18:$A$24,0)),0))</f>
        <v>0.095</v>
      </c>
      <c r="AP462" s="28" t="n">
        <f aca="false">IF(OR(N(AO462)&lt;=0,N(AG462)=0,N(L462)=0),"",MIN(L462,AG462/AO462))</f>
        <v>23.3552631578947</v>
      </c>
      <c r="AQ462" s="29" t="n">
        <f aca="false">IF(OR(AP462="",N(O462)=0),"",AP462/O462-1)</f>
        <v>0.00237180935170533</v>
      </c>
      <c r="AR462" s="29" t="n">
        <f aca="false">IF(OR(AQ462="",N(O462)=0),"",AQ462+AG462/O462)</f>
        <v>0.0975971312401174</v>
      </c>
      <c r="AS462" s="32" t="n">
        <f aca="false">IF(OR(AR462="",N(AJ462)=0),"",AR462-AJ462)</f>
        <v>0</v>
      </c>
      <c r="AT462" s="28" t="n">
        <v>25</v>
      </c>
      <c r="AU462" s="28" t="n">
        <v>2.21875</v>
      </c>
      <c r="AV462" s="28" t="n">
        <f aca="false">IF(N(AT462)&gt;0,AT462,L462)</f>
        <v>25</v>
      </c>
      <c r="AW462" s="28" t="n">
        <f aca="false">IF(AND(N(M462)&gt;0,N(AV462)&gt;0),M462*AV462,IF(N(AU462)&gt;0,AU462,N462))</f>
        <v>2.21875</v>
      </c>
      <c r="AX462" s="29" t="n">
        <f aca="false">IF(N(AN462)=0,"",AN462+IF(I462="yes",AN462*Inputs!$B$10*Inputs!$B$9,0)+IFERROR(INDEX(Inputs!$B$13:$B$15,MATCH(G462,Inputs!$A$13:$A$15,0)),0)+IFERROR(INDEX(Inputs!$B$18:$B$24,MATCH(H462,Inputs!$A$18:$A$24,0)),0))</f>
        <v>0.095</v>
      </c>
      <c r="AY462" s="28" t="n">
        <f aca="false">IF(OR(N(AX462)&lt;=0,N(AW462)=0,N(AV462)=0),"",MIN(AV462,AW462/AX462))</f>
        <v>23.3552631578947</v>
      </c>
      <c r="AZ462" s="29" t="n">
        <f aca="false">IF(OR(AY462="",N(O462)=0),"",AY462/O462-1)</f>
        <v>0.00237180935170533</v>
      </c>
      <c r="BA462" s="29" t="n">
        <f aca="false">IF(OR(AZ462="",N(O462)=0),"",AZ462+AW462/O462)</f>
        <v>0.0975971312401174</v>
      </c>
      <c r="BB462" s="32" t="n">
        <f aca="false">IF(OR(BA462="",N(AR462)=0),"",BA462-AR462)</f>
        <v>0</v>
      </c>
      <c r="BC462" s="35" t="n">
        <f aca="false">IF(OR(BA462="",N(U462)=0),"",BA462-U462)</f>
        <v>0.0501185904675852</v>
      </c>
      <c r="BD462" s="36" t="s">
        <v>224</v>
      </c>
    </row>
    <row r="463" customFormat="false" ht="15" hidden="false" customHeight="false" outlineLevel="0" collapsed="false">
      <c r="A463" s="2" t="s">
        <v>768</v>
      </c>
      <c r="B463" s="2" t="n">
        <v>290</v>
      </c>
      <c r="C463" s="2" t="s">
        <v>982</v>
      </c>
      <c r="D463" s="2" t="s">
        <v>983</v>
      </c>
      <c r="E463" s="2" t="s">
        <v>984</v>
      </c>
      <c r="F463" s="27" t="n">
        <v>32</v>
      </c>
      <c r="G463" s="2" t="s">
        <v>51</v>
      </c>
      <c r="H463" s="2" t="s">
        <v>58</v>
      </c>
      <c r="I463" s="2" t="s">
        <v>144</v>
      </c>
      <c r="J463" s="2" t="s">
        <v>145</v>
      </c>
      <c r="K463" s="2" t="n">
        <v>4</v>
      </c>
      <c r="L463" s="28" t="n">
        <v>25</v>
      </c>
      <c r="M463" s="29" t="n">
        <v>0.07875</v>
      </c>
      <c r="N463" s="28" t="n">
        <v>1.96875</v>
      </c>
      <c r="O463" s="28" t="n">
        <v>16.44</v>
      </c>
      <c r="P463" s="2" t="s">
        <v>146</v>
      </c>
      <c r="Q463" s="29" t="n">
        <v>0.1</v>
      </c>
      <c r="R463" s="30" t="n">
        <v>0.1</v>
      </c>
      <c r="S463" s="31" t="n">
        <v>19.6875</v>
      </c>
      <c r="T463" s="30" t="n">
        <v>0.197536496350365</v>
      </c>
      <c r="U463" s="30" t="n">
        <v>0.317290145985402</v>
      </c>
      <c r="V463" s="29" t="n">
        <v>0</v>
      </c>
      <c r="W463" s="29" t="n">
        <f aca="false">IF(N(Q463)=0,"",Q463+IF(I463="yes",Q463*Inputs!$B$10*Inputs!$B$9,0)+V463)</f>
        <v>0.1</v>
      </c>
      <c r="X463" s="28" t="n">
        <f aca="false">IF(OR(N(W463)&lt;=0,N(N463)=0,N(L463)=0),"",MIN(L463,N463/W463))</f>
        <v>19.6875</v>
      </c>
      <c r="Y463" s="29" t="n">
        <f aca="false">IF(OR(X463="",N(O463)=0),"",X463/O463-1)</f>
        <v>0.197536496350365</v>
      </c>
      <c r="Z463" s="29" t="n">
        <f aca="false">IF(OR(Y463="",N(O463)=0),"",Y463+N463/O463)</f>
        <v>0.317290145985401</v>
      </c>
      <c r="AA463" s="32" t="n">
        <f aca="false">IF(OR(Z463="",N(U463)=0),"",Z463-U463)</f>
        <v>0</v>
      </c>
      <c r="AB463" s="29" t="n">
        <f aca="false">IF(N(Q463)=0,"",Q463+IF(I463="yes",Q463*Inputs!$B$10*Inputs!$B$9,0)+IFERROR(INDEX(Inputs!$B$13:$B$15,MATCH(G463,Inputs!$A$13:$A$15,0)),0)+IFERROR(INDEX(Inputs!$B$18:$B$24,MATCH(H463,Inputs!$A$18:$A$24,0)),0))</f>
        <v>0.1</v>
      </c>
      <c r="AC463" s="28" t="n">
        <f aca="false">IF(OR(N(AB463)&lt;=0,N(N463)=0,N(L463)=0),"",MIN(L463,N463/AB463))</f>
        <v>19.6875</v>
      </c>
      <c r="AD463" s="29" t="n">
        <f aca="false">IF(OR(AC463="",N(O463)=0),"",AC463/O463-1)</f>
        <v>0.197536496350365</v>
      </c>
      <c r="AE463" s="29" t="n">
        <f aca="false">IF(OR(AD463="",N(O463)=0),"",AD463+N463/O463)</f>
        <v>0.317290145985401</v>
      </c>
      <c r="AF463" s="32" t="n">
        <f aca="false">IF(OR(AE463="",N(Z463)=0),"",AE463-Z463)</f>
        <v>0</v>
      </c>
      <c r="AG463" s="28" t="n">
        <f aca="false">IF(AND(N(M463)&gt;0,N(L463)&gt;0),M463*L463,N463)</f>
        <v>1.96875</v>
      </c>
      <c r="AH463" s="28" t="n">
        <f aca="false">IF(OR(N(AB463)&lt;=0,N(AG463)=0,N(L463)=0),"",MIN(L463,AG463/AB463))</f>
        <v>19.6875</v>
      </c>
      <c r="AI463" s="29" t="n">
        <f aca="false">IF(OR(AH463="",N(O463)=0),"",AH463/O463-1)</f>
        <v>0.197536496350365</v>
      </c>
      <c r="AJ463" s="29" t="n">
        <f aca="false">IF(OR(AI463="",N(O463)=0),"",AI463+AG463/O463)</f>
        <v>0.317290145985401</v>
      </c>
      <c r="AK463" s="32" t="n">
        <f aca="false">IF(OR(AJ463="",N(AE463)=0),"",AJ463-AE463)</f>
        <v>0</v>
      </c>
      <c r="AL463" s="33" t="n">
        <f aca="false">IF(N(F463)=0,"",INDEX(Inputs!$B$28:$B$32,IFERROR(MATCH(F463,Inputs!$A$28:$A$32,1),0)+1))</f>
        <v>0.1</v>
      </c>
      <c r="AM463" s="34"/>
      <c r="AN463" s="33" t="n">
        <f aca="false">IF(N(AM463)&gt;0,AM463,AL463)</f>
        <v>0.1</v>
      </c>
      <c r="AO463" s="29" t="n">
        <f aca="false">IF(N(AN463)=0,"",AN463+IF(I463="yes",AN463*Inputs!$B$10*Inputs!$B$9,0)+IFERROR(INDEX(Inputs!$B$13:$B$15,MATCH(G463,Inputs!$A$13:$A$15,0)),0)+IFERROR(INDEX(Inputs!$B$18:$B$24,MATCH(H463,Inputs!$A$18:$A$24,0)),0))</f>
        <v>0.1</v>
      </c>
      <c r="AP463" s="28" t="n">
        <f aca="false">IF(OR(N(AO463)&lt;=0,N(AG463)=0,N(L463)=0),"",MIN(L463,AG463/AO463))</f>
        <v>19.6875</v>
      </c>
      <c r="AQ463" s="29" t="n">
        <f aca="false">IF(OR(AP463="",N(O463)=0),"",AP463/O463-1)</f>
        <v>0.197536496350365</v>
      </c>
      <c r="AR463" s="29" t="n">
        <f aca="false">IF(OR(AQ463="",N(O463)=0),"",AQ463+AG463/O463)</f>
        <v>0.317290145985401</v>
      </c>
      <c r="AS463" s="32" t="n">
        <f aca="false">IF(OR(AR463="",N(AJ463)=0),"",AR463-AJ463)</f>
        <v>0</v>
      </c>
      <c r="AT463" s="28" t="n">
        <v>25</v>
      </c>
      <c r="AU463" s="28" t="n">
        <v>1.96875</v>
      </c>
      <c r="AV463" s="28" t="n">
        <f aca="false">IF(N(AT463)&gt;0,AT463,L463)</f>
        <v>25</v>
      </c>
      <c r="AW463" s="28" t="n">
        <f aca="false">IF(AND(N(M463)&gt;0,N(AV463)&gt;0),M463*AV463,IF(N(AU463)&gt;0,AU463,N463))</f>
        <v>1.96875</v>
      </c>
      <c r="AX463" s="29" t="n">
        <f aca="false">IF(N(AN463)=0,"",AN463+IF(I463="yes",AN463*Inputs!$B$10*Inputs!$B$9,0)+IFERROR(INDEX(Inputs!$B$13:$B$15,MATCH(G463,Inputs!$A$13:$A$15,0)),0)+IFERROR(INDEX(Inputs!$B$18:$B$24,MATCH(H463,Inputs!$A$18:$A$24,0)),0))</f>
        <v>0.1</v>
      </c>
      <c r="AY463" s="28" t="n">
        <f aca="false">IF(OR(N(AX463)&lt;=0,N(AW463)=0,N(AV463)=0),"",MIN(AV463,AW463/AX463))</f>
        <v>19.6875</v>
      </c>
      <c r="AZ463" s="29" t="n">
        <f aca="false">IF(OR(AY463="",N(O463)=0),"",AY463/O463-1)</f>
        <v>0.197536496350365</v>
      </c>
      <c r="BA463" s="29" t="n">
        <f aca="false">IF(OR(AZ463="",N(O463)=0),"",AZ463+AW463/O463)</f>
        <v>0.317290145985401</v>
      </c>
      <c r="BB463" s="32" t="n">
        <f aca="false">IF(OR(BA463="",N(AR463)=0),"",BA463-AR463)</f>
        <v>0</v>
      </c>
      <c r="BC463" s="35" t="n">
        <f aca="false">IF(OR(BA463="",N(U463)=0),"",BA463-U463)</f>
        <v>0</v>
      </c>
      <c r="BD463" s="37"/>
    </row>
    <row r="464" customFormat="false" ht="15" hidden="false" customHeight="false" outlineLevel="0" collapsed="false">
      <c r="A464" s="2" t="s">
        <v>768</v>
      </c>
      <c r="B464" s="2" t="n">
        <v>294</v>
      </c>
      <c r="C464" s="2" t="s">
        <v>985</v>
      </c>
      <c r="D464" s="2" t="s">
        <v>986</v>
      </c>
      <c r="E464" s="2" t="s">
        <v>987</v>
      </c>
      <c r="F464" s="27" t="n">
        <v>8000</v>
      </c>
      <c r="G464" s="2" t="s">
        <v>51</v>
      </c>
      <c r="H464" s="2" t="s">
        <v>58</v>
      </c>
      <c r="I464" s="2" t="s">
        <v>151</v>
      </c>
      <c r="J464" s="2" t="s">
        <v>145</v>
      </c>
      <c r="K464" s="2" t="n">
        <v>4</v>
      </c>
      <c r="L464" s="28" t="n">
        <v>25</v>
      </c>
      <c r="M464" s="29" t="n">
        <v>0.09</v>
      </c>
      <c r="N464" s="28" t="n">
        <v>2.25</v>
      </c>
      <c r="O464" s="28" t="n">
        <v>26.15</v>
      </c>
      <c r="P464" s="2" t="s">
        <v>223</v>
      </c>
      <c r="Q464" s="29" t="n">
        <v>0.08</v>
      </c>
      <c r="R464" s="30" t="n">
        <v>0.08</v>
      </c>
      <c r="S464" s="31" t="n">
        <v>25</v>
      </c>
      <c r="T464" s="30" t="n">
        <v>-0.0439770554493308</v>
      </c>
      <c r="U464" s="30" t="n">
        <v>0.0420650095602294</v>
      </c>
      <c r="V464" s="29" t="n">
        <v>0</v>
      </c>
      <c r="W464" s="29" t="n">
        <f aca="false">IF(N(Q464)=0,"",Q464+IF(I464="yes",Q464*Inputs!$B$10*Inputs!$B$9,0)+V464)</f>
        <v>0.076</v>
      </c>
      <c r="X464" s="28" t="n">
        <f aca="false">IF(OR(N(W464)&lt;=0,N(N464)=0,N(L464)=0),"",MIN(L464,N464/W464))</f>
        <v>25</v>
      </c>
      <c r="Y464" s="29" t="n">
        <f aca="false">IF(OR(X464="",N(O464)=0),"",X464/O464-1)</f>
        <v>-0.0439770554493307</v>
      </c>
      <c r="Z464" s="29" t="n">
        <f aca="false">IF(OR(Y464="",N(O464)=0),"",Y464+N464/O464)</f>
        <v>0.0420650095602295</v>
      </c>
      <c r="AA464" s="32" t="n">
        <f aca="false">IF(OR(Z464="",N(U464)=0),"",Z464-U464)</f>
        <v>0</v>
      </c>
      <c r="AB464" s="29" t="n">
        <f aca="false">IF(N(Q464)=0,"",Q464+IF(I464="yes",Q464*Inputs!$B$10*Inputs!$B$9,0)+IFERROR(INDEX(Inputs!$B$13:$B$15,MATCH(G464,Inputs!$A$13:$A$15,0)),0)+IFERROR(INDEX(Inputs!$B$18:$B$24,MATCH(H464,Inputs!$A$18:$A$24,0)),0))</f>
        <v>0.076</v>
      </c>
      <c r="AC464" s="28" t="n">
        <f aca="false">IF(OR(N(AB464)&lt;=0,N(N464)=0,N(L464)=0),"",MIN(L464,N464/AB464))</f>
        <v>25</v>
      </c>
      <c r="AD464" s="29" t="n">
        <f aca="false">IF(OR(AC464="",N(O464)=0),"",AC464/O464-1)</f>
        <v>-0.0439770554493307</v>
      </c>
      <c r="AE464" s="29" t="n">
        <f aca="false">IF(OR(AD464="",N(O464)=0),"",AD464+N464/O464)</f>
        <v>0.0420650095602295</v>
      </c>
      <c r="AF464" s="32" t="n">
        <f aca="false">IF(OR(AE464="",N(Z464)=0),"",AE464-Z464)</f>
        <v>0</v>
      </c>
      <c r="AG464" s="28" t="n">
        <f aca="false">IF(AND(N(M464)&gt;0,N(L464)&gt;0),M464*L464,N464)</f>
        <v>2.25</v>
      </c>
      <c r="AH464" s="28" t="n">
        <f aca="false">IF(OR(N(AB464)&lt;=0,N(AG464)=0,N(L464)=0),"",MIN(L464,AG464/AB464))</f>
        <v>25</v>
      </c>
      <c r="AI464" s="29" t="n">
        <f aca="false">IF(OR(AH464="",N(O464)=0),"",AH464/O464-1)</f>
        <v>-0.0439770554493307</v>
      </c>
      <c r="AJ464" s="29" t="n">
        <f aca="false">IF(OR(AI464="",N(O464)=0),"",AI464+AG464/O464)</f>
        <v>0.0420650095602295</v>
      </c>
      <c r="AK464" s="32" t="n">
        <f aca="false">IF(OR(AJ464="",N(AE464)=0),"",AJ464-AE464)</f>
        <v>0</v>
      </c>
      <c r="AL464" s="33" t="n">
        <f aca="false">IF(N(F464)=0,"",INDEX(Inputs!$B$28:$B$32,IFERROR(MATCH(F464,Inputs!$A$28:$A$32,1),0)+1))</f>
        <v>0.08</v>
      </c>
      <c r="AM464" s="34"/>
      <c r="AN464" s="33" t="n">
        <f aca="false">IF(N(AM464)&gt;0,AM464,AL464)</f>
        <v>0.08</v>
      </c>
      <c r="AO464" s="29" t="n">
        <f aca="false">IF(N(AN464)=0,"",AN464+IF(I464="yes",AN464*Inputs!$B$10*Inputs!$B$9,0)+IFERROR(INDEX(Inputs!$B$13:$B$15,MATCH(G464,Inputs!$A$13:$A$15,0)),0)+IFERROR(INDEX(Inputs!$B$18:$B$24,MATCH(H464,Inputs!$A$18:$A$24,0)),0))</f>
        <v>0.076</v>
      </c>
      <c r="AP464" s="28" t="n">
        <f aca="false">IF(OR(N(AO464)&lt;=0,N(AG464)=0,N(L464)=0),"",MIN(L464,AG464/AO464))</f>
        <v>25</v>
      </c>
      <c r="AQ464" s="29" t="n">
        <f aca="false">IF(OR(AP464="",N(O464)=0),"",AP464/O464-1)</f>
        <v>-0.0439770554493307</v>
      </c>
      <c r="AR464" s="29" t="n">
        <f aca="false">IF(OR(AQ464="",N(O464)=0),"",AQ464+AG464/O464)</f>
        <v>0.0420650095602295</v>
      </c>
      <c r="AS464" s="32" t="n">
        <f aca="false">IF(OR(AR464="",N(AJ464)=0),"",AR464-AJ464)</f>
        <v>0</v>
      </c>
      <c r="AT464" s="28" t="n">
        <v>25</v>
      </c>
      <c r="AU464" s="28" t="n">
        <v>2.25</v>
      </c>
      <c r="AV464" s="28" t="n">
        <f aca="false">IF(N(AT464)&gt;0,AT464,L464)</f>
        <v>25</v>
      </c>
      <c r="AW464" s="28" t="n">
        <f aca="false">IF(AND(N(M464)&gt;0,N(AV464)&gt;0),M464*AV464,IF(N(AU464)&gt;0,AU464,N464))</f>
        <v>2.25</v>
      </c>
      <c r="AX464" s="29" t="n">
        <f aca="false">IF(N(AN464)=0,"",AN464+IF(I464="yes",AN464*Inputs!$B$10*Inputs!$B$9,0)+IFERROR(INDEX(Inputs!$B$13:$B$15,MATCH(G464,Inputs!$A$13:$A$15,0)),0)+IFERROR(INDEX(Inputs!$B$18:$B$24,MATCH(H464,Inputs!$A$18:$A$24,0)),0))</f>
        <v>0.076</v>
      </c>
      <c r="AY464" s="28" t="n">
        <f aca="false">IF(OR(N(AX464)&lt;=0,N(AW464)=0,N(AV464)=0),"",MIN(AV464,AW464/AX464))</f>
        <v>25</v>
      </c>
      <c r="AZ464" s="29" t="n">
        <f aca="false">IF(OR(AY464="",N(O464)=0),"",AY464/O464-1)</f>
        <v>-0.0439770554493307</v>
      </c>
      <c r="BA464" s="29" t="n">
        <f aca="false">IF(OR(AZ464="",N(O464)=0),"",AZ464+AW464/O464)</f>
        <v>0.0420650095602295</v>
      </c>
      <c r="BB464" s="32" t="n">
        <f aca="false">IF(OR(BA464="",N(AR464)=0),"",BA464-AR464)</f>
        <v>0</v>
      </c>
      <c r="BC464" s="35" t="n">
        <f aca="false">IF(OR(BA464="",N(U464)=0),"",BA464-U464)</f>
        <v>0</v>
      </c>
      <c r="BD464" s="36" t="s">
        <v>224</v>
      </c>
    </row>
    <row r="465" customFormat="false" ht="15" hidden="false" customHeight="false" outlineLevel="0" collapsed="false">
      <c r="A465" s="2" t="s">
        <v>768</v>
      </c>
      <c r="B465" s="2" t="n">
        <v>298</v>
      </c>
      <c r="C465" s="2" t="s">
        <v>988</v>
      </c>
      <c r="D465" s="2" t="s">
        <v>986</v>
      </c>
      <c r="E465" s="2" t="s">
        <v>987</v>
      </c>
      <c r="F465" s="27" t="n">
        <v>8000</v>
      </c>
      <c r="G465" s="2" t="s">
        <v>51</v>
      </c>
      <c r="H465" s="2" t="s">
        <v>58</v>
      </c>
      <c r="I465" s="2" t="s">
        <v>151</v>
      </c>
      <c r="J465" s="2" t="s">
        <v>168</v>
      </c>
      <c r="K465" s="2" t="n">
        <v>12</v>
      </c>
      <c r="L465" s="28" t="n">
        <v>25</v>
      </c>
      <c r="M465" s="29" t="n">
        <v>0.08</v>
      </c>
      <c r="N465" s="28" t="n">
        <v>2</v>
      </c>
      <c r="O465" s="28" t="n">
        <v>0</v>
      </c>
      <c r="P465" s="2" t="s">
        <v>146</v>
      </c>
      <c r="Q465" s="29" t="n">
        <v>0</v>
      </c>
      <c r="R465" s="30" t="n">
        <v>0</v>
      </c>
      <c r="S465" s="31"/>
      <c r="T465" s="30"/>
      <c r="U465" s="30"/>
      <c r="V465" s="29" t="n">
        <v>0</v>
      </c>
      <c r="W465" s="29" t="str">
        <f aca="false">IF(N(Q465)=0,"",Q465+IF(I465="yes",Q465*Inputs!$B$10*Inputs!$B$9,0)+V465)</f>
        <v/>
      </c>
      <c r="X465" s="28" t="str">
        <f aca="false">IF(OR(N(W465)&lt;=0,N(N465)=0,N(L465)=0),"",MIN(L465,N465/W465))</f>
        <v/>
      </c>
      <c r="Y465" s="29" t="str">
        <f aca="false">IF(OR(X465="",N(O465)=0),"",X465/O465-1)</f>
        <v/>
      </c>
      <c r="Z465" s="29" t="str">
        <f aca="false">IF(OR(Y465="",N(O465)=0),"",Y465+N465/O465)</f>
        <v/>
      </c>
      <c r="AA465" s="32" t="str">
        <f aca="false">IF(OR(Z465="",N(U465)=0),"",Z465-U465)</f>
        <v/>
      </c>
      <c r="AB465" s="29" t="str">
        <f aca="false">IF(N(Q465)=0,"",Q465+IF(I465="yes",Q465*Inputs!$B$10*Inputs!$B$9,0)+IFERROR(INDEX(Inputs!$B$13:$B$15,MATCH(G465,Inputs!$A$13:$A$15,0)),0)+IFERROR(INDEX(Inputs!$B$18:$B$24,MATCH(H465,Inputs!$A$18:$A$24,0)),0))</f>
        <v/>
      </c>
      <c r="AC465" s="28" t="str">
        <f aca="false">IF(OR(N(AB465)&lt;=0,N(N465)=0,N(L465)=0),"",MIN(L465,N465/AB465))</f>
        <v/>
      </c>
      <c r="AD465" s="29" t="str">
        <f aca="false">IF(OR(AC465="",N(O465)=0),"",AC465/O465-1)</f>
        <v/>
      </c>
      <c r="AE465" s="29" t="str">
        <f aca="false">IF(OR(AD465="",N(O465)=0),"",AD465+N465/O465)</f>
        <v/>
      </c>
      <c r="AF465" s="32" t="str">
        <f aca="false">IF(OR(AE465="",N(Z465)=0),"",AE465-Z465)</f>
        <v/>
      </c>
      <c r="AG465" s="28" t="n">
        <f aca="false">IF(AND(N(M465)&gt;0,N(L465)&gt;0),M465*L465,N465)</f>
        <v>2</v>
      </c>
      <c r="AH465" s="28" t="str">
        <f aca="false">IF(OR(N(AB465)&lt;=0,N(AG465)=0,N(L465)=0),"",MIN(L465,AG465/AB465))</f>
        <v/>
      </c>
      <c r="AI465" s="29" t="str">
        <f aca="false">IF(OR(AH465="",N(O465)=0),"",AH465/O465-1)</f>
        <v/>
      </c>
      <c r="AJ465" s="29" t="str">
        <f aca="false">IF(OR(AI465="",N(O465)=0),"",AI465+AG465/O465)</f>
        <v/>
      </c>
      <c r="AK465" s="32" t="str">
        <f aca="false">IF(OR(AJ465="",N(AE465)=0),"",AJ465-AE465)</f>
        <v/>
      </c>
      <c r="AL465" s="33" t="n">
        <f aca="false">IF(N(F465)=0,"",INDEX(Inputs!$B$28:$B$32,IFERROR(MATCH(F465,Inputs!$A$28:$A$32,1),0)+1))</f>
        <v>0.08</v>
      </c>
      <c r="AM465" s="34"/>
      <c r="AN465" s="33" t="n">
        <f aca="false">IF(N(AM465)&gt;0,AM465,AL465)</f>
        <v>0.08</v>
      </c>
      <c r="AO465" s="29" t="n">
        <f aca="false">IF(N(AN465)=0,"",AN465+IF(I465="yes",AN465*Inputs!$B$10*Inputs!$B$9,0)+IFERROR(INDEX(Inputs!$B$13:$B$15,MATCH(G465,Inputs!$A$13:$A$15,0)),0)+IFERROR(INDEX(Inputs!$B$18:$B$24,MATCH(H465,Inputs!$A$18:$A$24,0)),0))</f>
        <v>0.076</v>
      </c>
      <c r="AP465" s="28" t="n">
        <f aca="false">IF(OR(N(AO465)&lt;=0,N(AG465)=0,N(L465)=0),"",MIN(L465,AG465/AO465))</f>
        <v>25</v>
      </c>
      <c r="AQ465" s="29" t="str">
        <f aca="false">IF(OR(AP465="",N(O465)=0),"",AP465/O465-1)</f>
        <v/>
      </c>
      <c r="AR465" s="29" t="str">
        <f aca="false">IF(OR(AQ465="",N(O465)=0),"",AQ465+AG465/O465)</f>
        <v/>
      </c>
      <c r="AS465" s="32" t="str">
        <f aca="false">IF(OR(AR465="",N(AJ465)=0),"",AR465-AJ465)</f>
        <v/>
      </c>
      <c r="AT465" s="28"/>
      <c r="AU465" s="28"/>
      <c r="AV465" s="28" t="n">
        <f aca="false">IF(N(AT465)&gt;0,AT465,L465)</f>
        <v>25</v>
      </c>
      <c r="AW465" s="28" t="n">
        <f aca="false">IF(AND(N(M465)&gt;0,N(AV465)&gt;0),M465*AV465,IF(N(AU465)&gt;0,AU465,N465))</f>
        <v>2</v>
      </c>
      <c r="AX465" s="29" t="n">
        <f aca="false">IF(N(AN465)=0,"",AN465+IF(I465="yes",AN465*Inputs!$B$10*Inputs!$B$9,0)+IFERROR(INDEX(Inputs!$B$13:$B$15,MATCH(G465,Inputs!$A$13:$A$15,0)),0)+IFERROR(INDEX(Inputs!$B$18:$B$24,MATCH(H465,Inputs!$A$18:$A$24,0)),0))</f>
        <v>0.076</v>
      </c>
      <c r="AY465" s="28" t="n">
        <f aca="false">IF(OR(N(AX465)&lt;=0,N(AW465)=0,N(AV465)=0),"",MIN(AV465,AW465/AX465))</f>
        <v>25</v>
      </c>
      <c r="AZ465" s="29" t="str">
        <f aca="false">IF(OR(AY465="",N(O465)=0),"",AY465/O465-1)</f>
        <v/>
      </c>
      <c r="BA465" s="29" t="str">
        <f aca="false">IF(OR(AZ465="",N(O465)=0),"",AZ465+AW465/O465)</f>
        <v/>
      </c>
      <c r="BB465" s="32" t="str">
        <f aca="false">IF(OR(BA465="",N(AR465)=0),"",BA465-AR465)</f>
        <v/>
      </c>
      <c r="BC465" s="35" t="str">
        <f aca="false">IF(OR(BA465="",N(U465)=0),"",BA465-U465)</f>
        <v/>
      </c>
      <c r="BD465" s="36" t="s">
        <v>147</v>
      </c>
    </row>
    <row r="466" customFormat="false" ht="15" hidden="false" customHeight="false" outlineLevel="0" collapsed="false">
      <c r="A466" s="2" t="s">
        <v>768</v>
      </c>
      <c r="B466" s="2" t="n">
        <v>299</v>
      </c>
      <c r="C466" s="2" t="s">
        <v>989</v>
      </c>
      <c r="D466" s="2" t="s">
        <v>986</v>
      </c>
      <c r="E466" s="2" t="s">
        <v>987</v>
      </c>
      <c r="F466" s="27" t="n">
        <v>8000</v>
      </c>
      <c r="G466" s="2" t="s">
        <v>52</v>
      </c>
      <c r="H466" s="2" t="s">
        <v>58</v>
      </c>
      <c r="I466" s="2" t="s">
        <v>144</v>
      </c>
      <c r="J466" s="2" t="s">
        <v>145</v>
      </c>
      <c r="K466" s="2" t="n">
        <v>4</v>
      </c>
      <c r="L466" s="28" t="n">
        <v>25</v>
      </c>
      <c r="M466" s="29" t="n">
        <v>0.07</v>
      </c>
      <c r="N466" s="28" t="n">
        <v>1.75</v>
      </c>
      <c r="O466" s="28" t="n">
        <v>0</v>
      </c>
      <c r="P466" s="2" t="s">
        <v>146</v>
      </c>
      <c r="Q466" s="29" t="n">
        <v>0</v>
      </c>
      <c r="R466" s="30" t="n">
        <v>-0.005</v>
      </c>
      <c r="S466" s="31" t="n">
        <v>-350</v>
      </c>
      <c r="T466" s="30"/>
      <c r="U466" s="30"/>
      <c r="V466" s="29" t="n">
        <v>-0.005</v>
      </c>
      <c r="W466" s="29" t="str">
        <f aca="false">IF(N(Q466)=0,"",Q466+IF(I466="yes",Q466*Inputs!$B$10*Inputs!$B$9,0)+V466)</f>
        <v/>
      </c>
      <c r="X466" s="28" t="str">
        <f aca="false">IF(OR(N(W466)&lt;=0,N(N466)=0,N(L466)=0),"",MIN(L466,N466/W466))</f>
        <v/>
      </c>
      <c r="Y466" s="29" t="str">
        <f aca="false">IF(OR(X466="",N(O466)=0),"",X466/O466-1)</f>
        <v/>
      </c>
      <c r="Z466" s="29" t="str">
        <f aca="false">IF(OR(Y466="",N(O466)=0),"",Y466+N466/O466)</f>
        <v/>
      </c>
      <c r="AA466" s="32" t="str">
        <f aca="false">IF(OR(Z466="",N(U466)=0),"",Z466-U466)</f>
        <v/>
      </c>
      <c r="AB466" s="29" t="str">
        <f aca="false">IF(N(Q466)=0,"",Q466+IF(I466="yes",Q466*Inputs!$B$10*Inputs!$B$9,0)+IFERROR(INDEX(Inputs!$B$13:$B$15,MATCH(G466,Inputs!$A$13:$A$15,0)),0)+IFERROR(INDEX(Inputs!$B$18:$B$24,MATCH(H466,Inputs!$A$18:$A$24,0)),0))</f>
        <v/>
      </c>
      <c r="AC466" s="28" t="str">
        <f aca="false">IF(OR(N(AB466)&lt;=0,N(N466)=0,N(L466)=0),"",MIN(L466,N466/AB466))</f>
        <v/>
      </c>
      <c r="AD466" s="29" t="str">
        <f aca="false">IF(OR(AC466="",N(O466)=0),"",AC466/O466-1)</f>
        <v/>
      </c>
      <c r="AE466" s="29" t="str">
        <f aca="false">IF(OR(AD466="",N(O466)=0),"",AD466+N466/O466)</f>
        <v/>
      </c>
      <c r="AF466" s="32" t="str">
        <f aca="false">IF(OR(AE466="",N(Z466)=0),"",AE466-Z466)</f>
        <v/>
      </c>
      <c r="AG466" s="28" t="n">
        <f aca="false">IF(AND(N(M466)&gt;0,N(L466)&gt;0),M466*L466,N466)</f>
        <v>1.75</v>
      </c>
      <c r="AH466" s="28" t="str">
        <f aca="false">IF(OR(N(AB466)&lt;=0,N(AG466)=0,N(L466)=0),"",MIN(L466,AG466/AB466))</f>
        <v/>
      </c>
      <c r="AI466" s="29" t="str">
        <f aca="false">IF(OR(AH466="",N(O466)=0),"",AH466/O466-1)</f>
        <v/>
      </c>
      <c r="AJ466" s="29" t="str">
        <f aca="false">IF(OR(AI466="",N(O466)=0),"",AI466+AG466/O466)</f>
        <v/>
      </c>
      <c r="AK466" s="32" t="str">
        <f aca="false">IF(OR(AJ466="",N(AE466)=0),"",AJ466-AE466)</f>
        <v/>
      </c>
      <c r="AL466" s="33" t="n">
        <f aca="false">IF(N(F466)=0,"",INDEX(Inputs!$B$28:$B$32,IFERROR(MATCH(F466,Inputs!$A$28:$A$32,1),0)+1))</f>
        <v>0.08</v>
      </c>
      <c r="AM466" s="34"/>
      <c r="AN466" s="33" t="n">
        <f aca="false">IF(N(AM466)&gt;0,AM466,AL466)</f>
        <v>0.08</v>
      </c>
      <c r="AO466" s="29" t="n">
        <f aca="false">IF(N(AN466)=0,"",AN466+IF(I466="yes",AN466*Inputs!$B$10*Inputs!$B$9,0)+IFERROR(INDEX(Inputs!$B$13:$B$15,MATCH(G466,Inputs!$A$13:$A$15,0)),0)+IFERROR(INDEX(Inputs!$B$18:$B$24,MATCH(H466,Inputs!$A$18:$A$24,0)),0))</f>
        <v>0.075</v>
      </c>
      <c r="AP466" s="28" t="n">
        <f aca="false">IF(OR(N(AO466)&lt;=0,N(AG466)=0,N(L466)=0),"",MIN(L466,AG466/AO466))</f>
        <v>23.3333333333333</v>
      </c>
      <c r="AQ466" s="29" t="str">
        <f aca="false">IF(OR(AP466="",N(O466)=0),"",AP466/O466-1)</f>
        <v/>
      </c>
      <c r="AR466" s="29" t="str">
        <f aca="false">IF(OR(AQ466="",N(O466)=0),"",AQ466+AG466/O466)</f>
        <v/>
      </c>
      <c r="AS466" s="32" t="str">
        <f aca="false">IF(OR(AR466="",N(AJ466)=0),"",AR466-AJ466)</f>
        <v/>
      </c>
      <c r="AT466" s="28" t="n">
        <v>25</v>
      </c>
      <c r="AU466" s="28" t="n">
        <v>1.75</v>
      </c>
      <c r="AV466" s="28" t="n">
        <f aca="false">IF(N(AT466)&gt;0,AT466,L466)</f>
        <v>25</v>
      </c>
      <c r="AW466" s="28" t="n">
        <f aca="false">IF(AND(N(M466)&gt;0,N(AV466)&gt;0),M466*AV466,IF(N(AU466)&gt;0,AU466,N466))</f>
        <v>1.75</v>
      </c>
      <c r="AX466" s="29" t="n">
        <f aca="false">IF(N(AN466)=0,"",AN466+IF(I466="yes",AN466*Inputs!$B$10*Inputs!$B$9,0)+IFERROR(INDEX(Inputs!$B$13:$B$15,MATCH(G466,Inputs!$A$13:$A$15,0)),0)+IFERROR(INDEX(Inputs!$B$18:$B$24,MATCH(H466,Inputs!$A$18:$A$24,0)),0))</f>
        <v>0.075</v>
      </c>
      <c r="AY466" s="28" t="n">
        <f aca="false">IF(OR(N(AX466)&lt;=0,N(AW466)=0,N(AV466)=0),"",MIN(AV466,AW466/AX466))</f>
        <v>23.3333333333333</v>
      </c>
      <c r="AZ466" s="29" t="str">
        <f aca="false">IF(OR(AY466="",N(O466)=0),"",AY466/O466-1)</f>
        <v/>
      </c>
      <c r="BA466" s="29" t="str">
        <f aca="false">IF(OR(AZ466="",N(O466)=0),"",AZ466+AW466/O466)</f>
        <v/>
      </c>
      <c r="BB466" s="32" t="str">
        <f aca="false">IF(OR(BA466="",N(AR466)=0),"",BA466-AR466)</f>
        <v/>
      </c>
      <c r="BC466" s="35" t="str">
        <f aca="false">IF(OR(BA466="",N(U466)=0),"",BA466-U466)</f>
        <v/>
      </c>
      <c r="BD466" s="36" t="s">
        <v>302</v>
      </c>
    </row>
    <row r="467" customFormat="false" ht="15" hidden="false" customHeight="false" outlineLevel="0" collapsed="false">
      <c r="A467" s="2" t="s">
        <v>768</v>
      </c>
      <c r="B467" s="2" t="n">
        <v>300</v>
      </c>
      <c r="C467" s="2" t="s">
        <v>990</v>
      </c>
      <c r="D467" s="2" t="s">
        <v>986</v>
      </c>
      <c r="E467" s="2" t="s">
        <v>987</v>
      </c>
      <c r="F467" s="27" t="n">
        <v>8000</v>
      </c>
      <c r="G467" s="2" t="s">
        <v>52</v>
      </c>
      <c r="H467" s="2" t="s">
        <v>58</v>
      </c>
      <c r="I467" s="2" t="s">
        <v>144</v>
      </c>
      <c r="J467" s="2" t="s">
        <v>145</v>
      </c>
      <c r="K467" s="2" t="n">
        <v>4</v>
      </c>
      <c r="L467" s="28" t="n">
        <v>25</v>
      </c>
      <c r="M467" s="29" t="n">
        <v>0.0775</v>
      </c>
      <c r="N467" s="28" t="n">
        <v>1.9375</v>
      </c>
      <c r="O467" s="28" t="n">
        <v>0</v>
      </c>
      <c r="P467" s="2" t="s">
        <v>146</v>
      </c>
      <c r="Q467" s="29" t="n">
        <v>0</v>
      </c>
      <c r="R467" s="30" t="n">
        <v>-0.005</v>
      </c>
      <c r="S467" s="31" t="n">
        <v>-387.5</v>
      </c>
      <c r="T467" s="30"/>
      <c r="U467" s="30"/>
      <c r="V467" s="29" t="n">
        <v>-0.005</v>
      </c>
      <c r="W467" s="29" t="str">
        <f aca="false">IF(N(Q467)=0,"",Q467+IF(I467="yes",Q467*Inputs!$B$10*Inputs!$B$9,0)+V467)</f>
        <v/>
      </c>
      <c r="X467" s="28" t="str">
        <f aca="false">IF(OR(N(W467)&lt;=0,N(N467)=0,N(L467)=0),"",MIN(L467,N467/W467))</f>
        <v/>
      </c>
      <c r="Y467" s="29" t="str">
        <f aca="false">IF(OR(X467="",N(O467)=0),"",X467/O467-1)</f>
        <v/>
      </c>
      <c r="Z467" s="29" t="str">
        <f aca="false">IF(OR(Y467="",N(O467)=0),"",Y467+N467/O467)</f>
        <v/>
      </c>
      <c r="AA467" s="32" t="str">
        <f aca="false">IF(OR(Z467="",N(U467)=0),"",Z467-U467)</f>
        <v/>
      </c>
      <c r="AB467" s="29" t="str">
        <f aca="false">IF(N(Q467)=0,"",Q467+IF(I467="yes",Q467*Inputs!$B$10*Inputs!$B$9,0)+IFERROR(INDEX(Inputs!$B$13:$B$15,MATCH(G467,Inputs!$A$13:$A$15,0)),0)+IFERROR(INDEX(Inputs!$B$18:$B$24,MATCH(H467,Inputs!$A$18:$A$24,0)),0))</f>
        <v/>
      </c>
      <c r="AC467" s="28" t="str">
        <f aca="false">IF(OR(N(AB467)&lt;=0,N(N467)=0,N(L467)=0),"",MIN(L467,N467/AB467))</f>
        <v/>
      </c>
      <c r="AD467" s="29" t="str">
        <f aca="false">IF(OR(AC467="",N(O467)=0),"",AC467/O467-1)</f>
        <v/>
      </c>
      <c r="AE467" s="29" t="str">
        <f aca="false">IF(OR(AD467="",N(O467)=0),"",AD467+N467/O467)</f>
        <v/>
      </c>
      <c r="AF467" s="32" t="str">
        <f aca="false">IF(OR(AE467="",N(Z467)=0),"",AE467-Z467)</f>
        <v/>
      </c>
      <c r="AG467" s="28" t="n">
        <f aca="false">IF(AND(N(M467)&gt;0,N(L467)&gt;0),M467*L467,N467)</f>
        <v>1.9375</v>
      </c>
      <c r="AH467" s="28" t="str">
        <f aca="false">IF(OR(N(AB467)&lt;=0,N(AG467)=0,N(L467)=0),"",MIN(L467,AG467/AB467))</f>
        <v/>
      </c>
      <c r="AI467" s="29" t="str">
        <f aca="false">IF(OR(AH467="",N(O467)=0),"",AH467/O467-1)</f>
        <v/>
      </c>
      <c r="AJ467" s="29" t="str">
        <f aca="false">IF(OR(AI467="",N(O467)=0),"",AI467+AG467/O467)</f>
        <v/>
      </c>
      <c r="AK467" s="32" t="str">
        <f aca="false">IF(OR(AJ467="",N(AE467)=0),"",AJ467-AE467)</f>
        <v/>
      </c>
      <c r="AL467" s="33" t="n">
        <f aca="false">IF(N(F467)=0,"",INDEX(Inputs!$B$28:$B$32,IFERROR(MATCH(F467,Inputs!$A$28:$A$32,1),0)+1))</f>
        <v>0.08</v>
      </c>
      <c r="AM467" s="34"/>
      <c r="AN467" s="33" t="n">
        <f aca="false">IF(N(AM467)&gt;0,AM467,AL467)</f>
        <v>0.08</v>
      </c>
      <c r="AO467" s="29" t="n">
        <f aca="false">IF(N(AN467)=0,"",AN467+IF(I467="yes",AN467*Inputs!$B$10*Inputs!$B$9,0)+IFERROR(INDEX(Inputs!$B$13:$B$15,MATCH(G467,Inputs!$A$13:$A$15,0)),0)+IFERROR(INDEX(Inputs!$B$18:$B$24,MATCH(H467,Inputs!$A$18:$A$24,0)),0))</f>
        <v>0.075</v>
      </c>
      <c r="AP467" s="28" t="n">
        <f aca="false">IF(OR(N(AO467)&lt;=0,N(AG467)=0,N(L467)=0),"",MIN(L467,AG467/AO467))</f>
        <v>25</v>
      </c>
      <c r="AQ467" s="29" t="str">
        <f aca="false">IF(OR(AP467="",N(O467)=0),"",AP467/O467-1)</f>
        <v/>
      </c>
      <c r="AR467" s="29" t="str">
        <f aca="false">IF(OR(AQ467="",N(O467)=0),"",AQ467+AG467/O467)</f>
        <v/>
      </c>
      <c r="AS467" s="32" t="str">
        <f aca="false">IF(OR(AR467="",N(AJ467)=0),"",AR467-AJ467)</f>
        <v/>
      </c>
      <c r="AT467" s="28" t="n">
        <v>25</v>
      </c>
      <c r="AU467" s="28" t="n">
        <v>1.94</v>
      </c>
      <c r="AV467" s="28" t="n">
        <f aca="false">IF(N(AT467)&gt;0,AT467,L467)</f>
        <v>25</v>
      </c>
      <c r="AW467" s="28" t="n">
        <f aca="false">IF(AND(N(M467)&gt;0,N(AV467)&gt;0),M467*AV467,IF(N(AU467)&gt;0,AU467,N467))</f>
        <v>1.9375</v>
      </c>
      <c r="AX467" s="29" t="n">
        <f aca="false">IF(N(AN467)=0,"",AN467+IF(I467="yes",AN467*Inputs!$B$10*Inputs!$B$9,0)+IFERROR(INDEX(Inputs!$B$13:$B$15,MATCH(G467,Inputs!$A$13:$A$15,0)),0)+IFERROR(INDEX(Inputs!$B$18:$B$24,MATCH(H467,Inputs!$A$18:$A$24,0)),0))</f>
        <v>0.075</v>
      </c>
      <c r="AY467" s="28" t="n">
        <f aca="false">IF(OR(N(AX467)&lt;=0,N(AW467)=0,N(AV467)=0),"",MIN(AV467,AW467/AX467))</f>
        <v>25</v>
      </c>
      <c r="AZ467" s="29" t="str">
        <f aca="false">IF(OR(AY467="",N(O467)=0),"",AY467/O467-1)</f>
        <v/>
      </c>
      <c r="BA467" s="29" t="str">
        <f aca="false">IF(OR(AZ467="",N(O467)=0),"",AZ467+AW467/O467)</f>
        <v/>
      </c>
      <c r="BB467" s="32" t="str">
        <f aca="false">IF(OR(BA467="",N(AR467)=0),"",BA467-AR467)</f>
        <v/>
      </c>
      <c r="BC467" s="35" t="str">
        <f aca="false">IF(OR(BA467="",N(U467)=0),"",BA467-U467)</f>
        <v/>
      </c>
      <c r="BD467" s="36" t="s">
        <v>302</v>
      </c>
    </row>
    <row r="468" customFormat="false" ht="15" hidden="false" customHeight="false" outlineLevel="0" collapsed="false">
      <c r="A468" s="2" t="s">
        <v>768</v>
      </c>
      <c r="B468" s="2" t="n">
        <v>301</v>
      </c>
      <c r="C468" s="2" t="s">
        <v>991</v>
      </c>
      <c r="D468" s="2" t="s">
        <v>986</v>
      </c>
      <c r="E468" s="2" t="s">
        <v>987</v>
      </c>
      <c r="F468" s="27" t="n">
        <v>8000</v>
      </c>
      <c r="G468" s="2" t="s">
        <v>52</v>
      </c>
      <c r="H468" s="2" t="s">
        <v>58</v>
      </c>
      <c r="I468" s="2" t="s">
        <v>144</v>
      </c>
      <c r="J468" s="2" t="s">
        <v>145</v>
      </c>
      <c r="K468" s="2" t="n">
        <v>4</v>
      </c>
      <c r="L468" s="28" t="n">
        <v>25</v>
      </c>
      <c r="M468" s="29" t="n">
        <v>0.0725</v>
      </c>
      <c r="N468" s="28" t="n">
        <v>1.8125</v>
      </c>
      <c r="O468" s="28" t="n">
        <v>0</v>
      </c>
      <c r="P468" s="2" t="s">
        <v>362</v>
      </c>
      <c r="Q468" s="29" t="n">
        <v>0</v>
      </c>
      <c r="R468" s="30"/>
      <c r="S468" s="31"/>
      <c r="T468" s="30"/>
      <c r="U468" s="30"/>
      <c r="V468" s="29" t="n">
        <v>-0.0075</v>
      </c>
      <c r="W468" s="29" t="str">
        <f aca="false">IF(N(Q468)=0,"",Q468+IF(I468="yes",Q468*Inputs!$B$10*Inputs!$B$9,0)+V468)</f>
        <v/>
      </c>
      <c r="X468" s="28" t="str">
        <f aca="false">IF(OR(N(W468)&lt;=0,N(N468)=0,N(L468)=0),"",MIN(L468,N468/W468))</f>
        <v/>
      </c>
      <c r="Y468" s="29" t="str">
        <f aca="false">IF(OR(X468="",N(O468)=0),"",X468/O468-1)</f>
        <v/>
      </c>
      <c r="Z468" s="29" t="str">
        <f aca="false">IF(OR(Y468="",N(O468)=0),"",Y468+N468/O468)</f>
        <v/>
      </c>
      <c r="AA468" s="32" t="str">
        <f aca="false">IF(OR(Z468="",N(U468)=0),"",Z468-U468)</f>
        <v/>
      </c>
      <c r="AB468" s="29" t="str">
        <f aca="false">IF(N(Q468)=0,"",Q468+IF(I468="yes",Q468*Inputs!$B$10*Inputs!$B$9,0)+IFERROR(INDEX(Inputs!$B$13:$B$15,MATCH(G468,Inputs!$A$13:$A$15,0)),0)+IFERROR(INDEX(Inputs!$B$18:$B$24,MATCH(H468,Inputs!$A$18:$A$24,0)),0))</f>
        <v/>
      </c>
      <c r="AC468" s="28" t="str">
        <f aca="false">IF(OR(N(AB468)&lt;=0,N(N468)=0,N(L468)=0),"",MIN(L468,N468/AB468))</f>
        <v/>
      </c>
      <c r="AD468" s="29" t="str">
        <f aca="false">IF(OR(AC468="",N(O468)=0),"",AC468/O468-1)</f>
        <v/>
      </c>
      <c r="AE468" s="29" t="str">
        <f aca="false">IF(OR(AD468="",N(O468)=0),"",AD468+N468/O468)</f>
        <v/>
      </c>
      <c r="AF468" s="32" t="str">
        <f aca="false">IF(OR(AE468="",N(Z468)=0),"",AE468-Z468)</f>
        <v/>
      </c>
      <c r="AG468" s="28" t="n">
        <f aca="false">IF(AND(N(M468)&gt;0,N(L468)&gt;0),M468*L468,N468)</f>
        <v>1.8125</v>
      </c>
      <c r="AH468" s="28" t="str">
        <f aca="false">IF(OR(N(AB468)&lt;=0,N(AG468)=0,N(L468)=0),"",MIN(L468,AG468/AB468))</f>
        <v/>
      </c>
      <c r="AI468" s="29" t="str">
        <f aca="false">IF(OR(AH468="",N(O468)=0),"",AH468/O468-1)</f>
        <v/>
      </c>
      <c r="AJ468" s="29" t="str">
        <f aca="false">IF(OR(AI468="",N(O468)=0),"",AI468+AG468/O468)</f>
        <v/>
      </c>
      <c r="AK468" s="32" t="str">
        <f aca="false">IF(OR(AJ468="",N(AE468)=0),"",AJ468-AE468)</f>
        <v/>
      </c>
      <c r="AL468" s="33" t="n">
        <f aca="false">IF(N(F468)=0,"",INDEX(Inputs!$B$28:$B$32,IFERROR(MATCH(F468,Inputs!$A$28:$A$32,1),0)+1))</f>
        <v>0.08</v>
      </c>
      <c r="AM468" s="34"/>
      <c r="AN468" s="33" t="n">
        <f aca="false">IF(N(AM468)&gt;0,AM468,AL468)</f>
        <v>0.08</v>
      </c>
      <c r="AO468" s="29" t="n">
        <f aca="false">IF(N(AN468)=0,"",AN468+IF(I468="yes",AN468*Inputs!$B$10*Inputs!$B$9,0)+IFERROR(INDEX(Inputs!$B$13:$B$15,MATCH(G468,Inputs!$A$13:$A$15,0)),0)+IFERROR(INDEX(Inputs!$B$18:$B$24,MATCH(H468,Inputs!$A$18:$A$24,0)),0))</f>
        <v>0.075</v>
      </c>
      <c r="AP468" s="28" t="n">
        <f aca="false">IF(OR(N(AO468)&lt;=0,N(AG468)=0,N(L468)=0),"",MIN(L468,AG468/AO468))</f>
        <v>24.1666666666667</v>
      </c>
      <c r="AQ468" s="29" t="str">
        <f aca="false">IF(OR(AP468="",N(O468)=0),"",AP468/O468-1)</f>
        <v/>
      </c>
      <c r="AR468" s="29" t="str">
        <f aca="false">IF(OR(AQ468="",N(O468)=0),"",AQ468+AG468/O468)</f>
        <v/>
      </c>
      <c r="AS468" s="32" t="str">
        <f aca="false">IF(OR(AR468="",N(AJ468)=0),"",AR468-AJ468)</f>
        <v/>
      </c>
      <c r="AT468" s="28" t="n">
        <v>25</v>
      </c>
      <c r="AU468" s="28" t="n">
        <v>1.81</v>
      </c>
      <c r="AV468" s="28" t="n">
        <f aca="false">IF(N(AT468)&gt;0,AT468,L468)</f>
        <v>25</v>
      </c>
      <c r="AW468" s="28" t="n">
        <f aca="false">IF(AND(N(M468)&gt;0,N(AV468)&gt;0),M468*AV468,IF(N(AU468)&gt;0,AU468,N468))</f>
        <v>1.8125</v>
      </c>
      <c r="AX468" s="29" t="n">
        <f aca="false">IF(N(AN468)=0,"",AN468+IF(I468="yes",AN468*Inputs!$B$10*Inputs!$B$9,0)+IFERROR(INDEX(Inputs!$B$13:$B$15,MATCH(G468,Inputs!$A$13:$A$15,0)),0)+IFERROR(INDEX(Inputs!$B$18:$B$24,MATCH(H468,Inputs!$A$18:$A$24,0)),0))</f>
        <v>0.075</v>
      </c>
      <c r="AY468" s="28" t="n">
        <f aca="false">IF(OR(N(AX468)&lt;=0,N(AW468)=0,N(AV468)=0),"",MIN(AV468,AW468/AX468))</f>
        <v>24.1666666666667</v>
      </c>
      <c r="AZ468" s="29" t="str">
        <f aca="false">IF(OR(AY468="",N(O468)=0),"",AY468/O468-1)</f>
        <v/>
      </c>
      <c r="BA468" s="29" t="str">
        <f aca="false">IF(OR(AZ468="",N(O468)=0),"",AZ468+AW468/O468)</f>
        <v/>
      </c>
      <c r="BB468" s="32" t="str">
        <f aca="false">IF(OR(BA468="",N(AR468)=0),"",BA468-AR468)</f>
        <v/>
      </c>
      <c r="BC468" s="35" t="str">
        <f aca="false">IF(OR(BA468="",N(U468)=0),"",BA468-U468)</f>
        <v/>
      </c>
      <c r="BD468" s="36" t="s">
        <v>992</v>
      </c>
    </row>
    <row r="469" customFormat="false" ht="15" hidden="false" customHeight="false" outlineLevel="0" collapsed="false">
      <c r="A469" s="2" t="s">
        <v>768</v>
      </c>
      <c r="B469" s="2" t="n">
        <v>302</v>
      </c>
      <c r="C469" s="2" t="s">
        <v>993</v>
      </c>
      <c r="D469" s="2" t="s">
        <v>986</v>
      </c>
      <c r="E469" s="2" t="s">
        <v>987</v>
      </c>
      <c r="F469" s="27" t="n">
        <v>8000</v>
      </c>
      <c r="G469" s="2" t="s">
        <v>52</v>
      </c>
      <c r="H469" s="2" t="s">
        <v>58</v>
      </c>
      <c r="I469" s="2" t="s">
        <v>144</v>
      </c>
      <c r="J469" s="2" t="s">
        <v>145</v>
      </c>
      <c r="K469" s="2" t="n">
        <v>4</v>
      </c>
      <c r="L469" s="28" t="n">
        <v>25</v>
      </c>
      <c r="M469" s="29" t="n">
        <v>0.065</v>
      </c>
      <c r="N469" s="28" t="n">
        <v>1.625</v>
      </c>
      <c r="O469" s="28" t="n">
        <v>0</v>
      </c>
      <c r="P469" s="2" t="s">
        <v>146</v>
      </c>
      <c r="Q469" s="29" t="n">
        <v>0</v>
      </c>
      <c r="R469" s="30" t="n">
        <v>-0.005</v>
      </c>
      <c r="S469" s="31" t="n">
        <v>-325</v>
      </c>
      <c r="T469" s="30"/>
      <c r="U469" s="30"/>
      <c r="V469" s="29" t="n">
        <v>-0.005</v>
      </c>
      <c r="W469" s="29" t="str">
        <f aca="false">IF(N(Q469)=0,"",Q469+IF(I469="yes",Q469*Inputs!$B$10*Inputs!$B$9,0)+V469)</f>
        <v/>
      </c>
      <c r="X469" s="28" t="str">
        <f aca="false">IF(OR(N(W469)&lt;=0,N(N469)=0,N(L469)=0),"",MIN(L469,N469/W469))</f>
        <v/>
      </c>
      <c r="Y469" s="29" t="str">
        <f aca="false">IF(OR(X469="",N(O469)=0),"",X469/O469-1)</f>
        <v/>
      </c>
      <c r="Z469" s="29" t="str">
        <f aca="false">IF(OR(Y469="",N(O469)=0),"",Y469+N469/O469)</f>
        <v/>
      </c>
      <c r="AA469" s="32" t="str">
        <f aca="false">IF(OR(Z469="",N(U469)=0),"",Z469-U469)</f>
        <v/>
      </c>
      <c r="AB469" s="29" t="str">
        <f aca="false">IF(N(Q469)=0,"",Q469+IF(I469="yes",Q469*Inputs!$B$10*Inputs!$B$9,0)+IFERROR(INDEX(Inputs!$B$13:$B$15,MATCH(G469,Inputs!$A$13:$A$15,0)),0)+IFERROR(INDEX(Inputs!$B$18:$B$24,MATCH(H469,Inputs!$A$18:$A$24,0)),0))</f>
        <v/>
      </c>
      <c r="AC469" s="28" t="str">
        <f aca="false">IF(OR(N(AB469)&lt;=0,N(N469)=0,N(L469)=0),"",MIN(L469,N469/AB469))</f>
        <v/>
      </c>
      <c r="AD469" s="29" t="str">
        <f aca="false">IF(OR(AC469="",N(O469)=0),"",AC469/O469-1)</f>
        <v/>
      </c>
      <c r="AE469" s="29" t="str">
        <f aca="false">IF(OR(AD469="",N(O469)=0),"",AD469+N469/O469)</f>
        <v/>
      </c>
      <c r="AF469" s="32" t="str">
        <f aca="false">IF(OR(AE469="",N(Z469)=0),"",AE469-Z469)</f>
        <v/>
      </c>
      <c r="AG469" s="28" t="n">
        <f aca="false">IF(AND(N(M469)&gt;0,N(L469)&gt;0),M469*L469,N469)</f>
        <v>1.625</v>
      </c>
      <c r="AH469" s="28" t="str">
        <f aca="false">IF(OR(N(AB469)&lt;=0,N(AG469)=0,N(L469)=0),"",MIN(L469,AG469/AB469))</f>
        <v/>
      </c>
      <c r="AI469" s="29" t="str">
        <f aca="false">IF(OR(AH469="",N(O469)=0),"",AH469/O469-1)</f>
        <v/>
      </c>
      <c r="AJ469" s="29" t="str">
        <f aca="false">IF(OR(AI469="",N(O469)=0),"",AI469+AG469/O469)</f>
        <v/>
      </c>
      <c r="AK469" s="32" t="str">
        <f aca="false">IF(OR(AJ469="",N(AE469)=0),"",AJ469-AE469)</f>
        <v/>
      </c>
      <c r="AL469" s="33" t="n">
        <f aca="false">IF(N(F469)=0,"",INDEX(Inputs!$B$28:$B$32,IFERROR(MATCH(F469,Inputs!$A$28:$A$32,1),0)+1))</f>
        <v>0.08</v>
      </c>
      <c r="AM469" s="34"/>
      <c r="AN469" s="33" t="n">
        <f aca="false">IF(N(AM469)&gt;0,AM469,AL469)</f>
        <v>0.08</v>
      </c>
      <c r="AO469" s="29" t="n">
        <f aca="false">IF(N(AN469)=0,"",AN469+IF(I469="yes",AN469*Inputs!$B$10*Inputs!$B$9,0)+IFERROR(INDEX(Inputs!$B$13:$B$15,MATCH(G469,Inputs!$A$13:$A$15,0)),0)+IFERROR(INDEX(Inputs!$B$18:$B$24,MATCH(H469,Inputs!$A$18:$A$24,0)),0))</f>
        <v>0.075</v>
      </c>
      <c r="AP469" s="28" t="n">
        <f aca="false">IF(OR(N(AO469)&lt;=0,N(AG469)=0,N(L469)=0),"",MIN(L469,AG469/AO469))</f>
        <v>21.6666666666667</v>
      </c>
      <c r="AQ469" s="29" t="str">
        <f aca="false">IF(OR(AP469="",N(O469)=0),"",AP469/O469-1)</f>
        <v/>
      </c>
      <c r="AR469" s="29" t="str">
        <f aca="false">IF(OR(AQ469="",N(O469)=0),"",AQ469+AG469/O469)</f>
        <v/>
      </c>
      <c r="AS469" s="32" t="str">
        <f aca="false">IF(OR(AR469="",N(AJ469)=0),"",AR469-AJ469)</f>
        <v/>
      </c>
      <c r="AT469" s="28" t="n">
        <v>25</v>
      </c>
      <c r="AU469" s="28" t="n">
        <v>1.63</v>
      </c>
      <c r="AV469" s="28" t="n">
        <f aca="false">IF(N(AT469)&gt;0,AT469,L469)</f>
        <v>25</v>
      </c>
      <c r="AW469" s="28" t="n">
        <f aca="false">IF(AND(N(M469)&gt;0,N(AV469)&gt;0),M469*AV469,IF(N(AU469)&gt;0,AU469,N469))</f>
        <v>1.625</v>
      </c>
      <c r="AX469" s="29" t="n">
        <f aca="false">IF(N(AN469)=0,"",AN469+IF(I469="yes",AN469*Inputs!$B$10*Inputs!$B$9,0)+IFERROR(INDEX(Inputs!$B$13:$B$15,MATCH(G469,Inputs!$A$13:$A$15,0)),0)+IFERROR(INDEX(Inputs!$B$18:$B$24,MATCH(H469,Inputs!$A$18:$A$24,0)),0))</f>
        <v>0.075</v>
      </c>
      <c r="AY469" s="28" t="n">
        <f aca="false">IF(OR(N(AX469)&lt;=0,N(AW469)=0,N(AV469)=0),"",MIN(AV469,AW469/AX469))</f>
        <v>21.6666666666667</v>
      </c>
      <c r="AZ469" s="29" t="str">
        <f aca="false">IF(OR(AY469="",N(O469)=0),"",AY469/O469-1)</f>
        <v/>
      </c>
      <c r="BA469" s="29" t="str">
        <f aca="false">IF(OR(AZ469="",N(O469)=0),"",AZ469+AW469/O469)</f>
        <v/>
      </c>
      <c r="BB469" s="32" t="str">
        <f aca="false">IF(OR(BA469="",N(AR469)=0),"",BA469-AR469)</f>
        <v/>
      </c>
      <c r="BC469" s="35" t="str">
        <f aca="false">IF(OR(BA469="",N(U469)=0),"",BA469-U469)</f>
        <v/>
      </c>
      <c r="BD469" s="36" t="s">
        <v>302</v>
      </c>
    </row>
    <row r="470" customFormat="false" ht="15" hidden="false" customHeight="false" outlineLevel="0" collapsed="false">
      <c r="A470" s="2" t="s">
        <v>768</v>
      </c>
      <c r="B470" s="2" t="n">
        <v>305</v>
      </c>
      <c r="C470" s="2" t="s">
        <v>994</v>
      </c>
      <c r="D470" s="2" t="s">
        <v>995</v>
      </c>
      <c r="E470" s="2" t="s">
        <v>996</v>
      </c>
      <c r="F470" s="27" t="n">
        <v>6200</v>
      </c>
      <c r="G470" s="2" t="s">
        <v>52</v>
      </c>
      <c r="H470" s="2" t="s">
        <v>58</v>
      </c>
      <c r="I470" s="2" t="s">
        <v>144</v>
      </c>
      <c r="J470" s="2" t="s">
        <v>145</v>
      </c>
      <c r="K470" s="2" t="n">
        <v>4</v>
      </c>
      <c r="L470" s="28" t="n">
        <v>25</v>
      </c>
      <c r="M470" s="29" t="n">
        <v>0.065</v>
      </c>
      <c r="N470" s="28" t="n">
        <v>1.625</v>
      </c>
      <c r="O470" s="28"/>
      <c r="P470" s="2" t="s">
        <v>146</v>
      </c>
      <c r="Q470" s="29" t="n">
        <v>0.1</v>
      </c>
      <c r="R470" s="30" t="n">
        <v>0.0925</v>
      </c>
      <c r="S470" s="31" t="n">
        <v>17.5675675675676</v>
      </c>
      <c r="T470" s="30"/>
      <c r="U470" s="30"/>
      <c r="V470" s="29" t="n">
        <v>-0.0075</v>
      </c>
      <c r="W470" s="29" t="n">
        <f aca="false">IF(N(Q470)=0,"",Q470+IF(I470="yes",Q470*Inputs!$B$10*Inputs!$B$9,0)+V470)</f>
        <v>0.0925</v>
      </c>
      <c r="X470" s="28" t="n">
        <f aca="false">IF(OR(N(W470)&lt;=0,N(N470)=0,N(L470)=0),"",MIN(L470,N470/W470))</f>
        <v>17.5675675675676</v>
      </c>
      <c r="Y470" s="29" t="str">
        <f aca="false">IF(OR(X470="",N(O470)=0),"",X470/O470-1)</f>
        <v/>
      </c>
      <c r="Z470" s="29" t="str">
        <f aca="false">IF(OR(Y470="",N(O470)=0),"",Y470+N470/O470)</f>
        <v/>
      </c>
      <c r="AA470" s="32" t="str">
        <f aca="false">IF(OR(Z470="",N(U470)=0),"",Z470-U470)</f>
        <v/>
      </c>
      <c r="AB470" s="29" t="n">
        <f aca="false">IF(N(Q470)=0,"",Q470+IF(I470="yes",Q470*Inputs!$B$10*Inputs!$B$9,0)+IFERROR(INDEX(Inputs!$B$13:$B$15,MATCH(G470,Inputs!$A$13:$A$15,0)),0)+IFERROR(INDEX(Inputs!$B$18:$B$24,MATCH(H470,Inputs!$A$18:$A$24,0)),0))</f>
        <v>0.095</v>
      </c>
      <c r="AC470" s="28" t="n">
        <f aca="false">IF(OR(N(AB470)&lt;=0,N(N470)=0,N(L470)=0),"",MIN(L470,N470/AB470))</f>
        <v>17.1052631578947</v>
      </c>
      <c r="AD470" s="29" t="str">
        <f aca="false">IF(OR(AC470="",N(O470)=0),"",AC470/O470-1)</f>
        <v/>
      </c>
      <c r="AE470" s="29" t="str">
        <f aca="false">IF(OR(AD470="",N(O470)=0),"",AD470+N470/O470)</f>
        <v/>
      </c>
      <c r="AF470" s="32" t="str">
        <f aca="false">IF(OR(AE470="",N(Z470)=0),"",AE470-Z470)</f>
        <v/>
      </c>
      <c r="AG470" s="28" t="n">
        <f aca="false">IF(AND(N(M470)&gt;0,N(L470)&gt;0),M470*L470,N470)</f>
        <v>1.625</v>
      </c>
      <c r="AH470" s="28" t="n">
        <f aca="false">IF(OR(N(AB470)&lt;=0,N(AG470)=0,N(L470)=0),"",MIN(L470,AG470/AB470))</f>
        <v>17.1052631578947</v>
      </c>
      <c r="AI470" s="29" t="str">
        <f aca="false">IF(OR(AH470="",N(O470)=0),"",AH470/O470-1)</f>
        <v/>
      </c>
      <c r="AJ470" s="29" t="str">
        <f aca="false">IF(OR(AI470="",N(O470)=0),"",AI470+AG470/O470)</f>
        <v/>
      </c>
      <c r="AK470" s="32" t="str">
        <f aca="false">IF(OR(AJ470="",N(AE470)=0),"",AJ470-AE470)</f>
        <v/>
      </c>
      <c r="AL470" s="33" t="n">
        <f aca="false">IF(N(F470)=0,"",INDEX(Inputs!$B$28:$B$32,IFERROR(MATCH(F470,Inputs!$A$28:$A$32,1),0)+1))</f>
        <v>0.08</v>
      </c>
      <c r="AM470" s="34"/>
      <c r="AN470" s="33" t="n">
        <f aca="false">IF(N(AM470)&gt;0,AM470,AL470)</f>
        <v>0.08</v>
      </c>
      <c r="AO470" s="29" t="n">
        <f aca="false">IF(N(AN470)=0,"",AN470+IF(I470="yes",AN470*Inputs!$B$10*Inputs!$B$9,0)+IFERROR(INDEX(Inputs!$B$13:$B$15,MATCH(G470,Inputs!$A$13:$A$15,0)),0)+IFERROR(INDEX(Inputs!$B$18:$B$24,MATCH(H470,Inputs!$A$18:$A$24,0)),0))</f>
        <v>0.075</v>
      </c>
      <c r="AP470" s="28" t="n">
        <f aca="false">IF(OR(N(AO470)&lt;=0,N(AG470)=0,N(L470)=0),"",MIN(L470,AG470/AO470))</f>
        <v>21.6666666666667</v>
      </c>
      <c r="AQ470" s="29" t="str">
        <f aca="false">IF(OR(AP470="",N(O470)=0),"",AP470/O470-1)</f>
        <v/>
      </c>
      <c r="AR470" s="29" t="str">
        <f aca="false">IF(OR(AQ470="",N(O470)=0),"",AQ470+AG470/O470)</f>
        <v/>
      </c>
      <c r="AS470" s="32" t="str">
        <f aca="false">IF(OR(AR470="",N(AJ470)=0),"",AR470-AJ470)</f>
        <v/>
      </c>
      <c r="AT470" s="28"/>
      <c r="AU470" s="28"/>
      <c r="AV470" s="28" t="n">
        <f aca="false">IF(N(AT470)&gt;0,AT470,L470)</f>
        <v>25</v>
      </c>
      <c r="AW470" s="28" t="n">
        <f aca="false">IF(AND(N(M470)&gt;0,N(AV470)&gt;0),M470*AV470,IF(N(AU470)&gt;0,AU470,N470))</f>
        <v>1.625</v>
      </c>
      <c r="AX470" s="29" t="n">
        <f aca="false">IF(N(AN470)=0,"",AN470+IF(I470="yes",AN470*Inputs!$B$10*Inputs!$B$9,0)+IFERROR(INDEX(Inputs!$B$13:$B$15,MATCH(G470,Inputs!$A$13:$A$15,0)),0)+IFERROR(INDEX(Inputs!$B$18:$B$24,MATCH(H470,Inputs!$A$18:$A$24,0)),0))</f>
        <v>0.075</v>
      </c>
      <c r="AY470" s="28" t="n">
        <f aca="false">IF(OR(N(AX470)&lt;=0,N(AW470)=0,N(AV470)=0),"",MIN(AV470,AW470/AX470))</f>
        <v>21.6666666666667</v>
      </c>
      <c r="AZ470" s="29" t="str">
        <f aca="false">IF(OR(AY470="",N(O470)=0),"",AY470/O470-1)</f>
        <v/>
      </c>
      <c r="BA470" s="29" t="str">
        <f aca="false">IF(OR(AZ470="",N(O470)=0),"",AZ470+AW470/O470)</f>
        <v/>
      </c>
      <c r="BB470" s="32" t="str">
        <f aca="false">IF(OR(BA470="",N(AR470)=0),"",BA470-AR470)</f>
        <v/>
      </c>
      <c r="BC470" s="35" t="str">
        <f aca="false">IF(OR(BA470="",N(U470)=0),"",BA470-U470)</f>
        <v/>
      </c>
      <c r="BD470" s="36" t="s">
        <v>198</v>
      </c>
    </row>
    <row r="471" customFormat="false" ht="15" hidden="false" customHeight="false" outlineLevel="0" collapsed="false">
      <c r="A471" s="2" t="s">
        <v>768</v>
      </c>
      <c r="B471" s="2" t="n">
        <v>306</v>
      </c>
      <c r="C471" s="2" t="s">
        <v>997</v>
      </c>
      <c r="D471" s="2" t="s">
        <v>995</v>
      </c>
      <c r="E471" s="2" t="s">
        <v>996</v>
      </c>
      <c r="F471" s="27" t="n">
        <v>6200</v>
      </c>
      <c r="G471" s="2" t="s">
        <v>52</v>
      </c>
      <c r="H471" s="2" t="s">
        <v>58</v>
      </c>
      <c r="I471" s="2" t="s">
        <v>144</v>
      </c>
      <c r="J471" s="2" t="s">
        <v>145</v>
      </c>
      <c r="K471" s="2" t="n">
        <v>4</v>
      </c>
      <c r="L471" s="28" t="n">
        <v>25</v>
      </c>
      <c r="M471" s="29" t="n">
        <v>0.0675</v>
      </c>
      <c r="N471" s="28" t="n">
        <v>1.6875</v>
      </c>
      <c r="O471" s="28"/>
      <c r="P471" s="2" t="s">
        <v>146</v>
      </c>
      <c r="Q471" s="29" t="n">
        <v>0.1</v>
      </c>
      <c r="R471" s="30" t="n">
        <v>0.0925</v>
      </c>
      <c r="S471" s="31" t="n">
        <v>18.2432432432432</v>
      </c>
      <c r="T471" s="30"/>
      <c r="U471" s="30"/>
      <c r="V471" s="29" t="n">
        <v>-0.0075</v>
      </c>
      <c r="W471" s="29" t="n">
        <f aca="false">IF(N(Q471)=0,"",Q471+IF(I471="yes",Q471*Inputs!$B$10*Inputs!$B$9,0)+V471)</f>
        <v>0.0925</v>
      </c>
      <c r="X471" s="28" t="n">
        <f aca="false">IF(OR(N(W471)&lt;=0,N(N471)=0,N(L471)=0),"",MIN(L471,N471/W471))</f>
        <v>18.2432432432432</v>
      </c>
      <c r="Y471" s="29" t="str">
        <f aca="false">IF(OR(X471="",N(O471)=0),"",X471/O471-1)</f>
        <v/>
      </c>
      <c r="Z471" s="29" t="str">
        <f aca="false">IF(OR(Y471="",N(O471)=0),"",Y471+N471/O471)</f>
        <v/>
      </c>
      <c r="AA471" s="32" t="str">
        <f aca="false">IF(OR(Z471="",N(U471)=0),"",Z471-U471)</f>
        <v/>
      </c>
      <c r="AB471" s="29" t="n">
        <f aca="false">IF(N(Q471)=0,"",Q471+IF(I471="yes",Q471*Inputs!$B$10*Inputs!$B$9,0)+IFERROR(INDEX(Inputs!$B$13:$B$15,MATCH(G471,Inputs!$A$13:$A$15,0)),0)+IFERROR(INDEX(Inputs!$B$18:$B$24,MATCH(H471,Inputs!$A$18:$A$24,0)),0))</f>
        <v>0.095</v>
      </c>
      <c r="AC471" s="28" t="n">
        <f aca="false">IF(OR(N(AB471)&lt;=0,N(N471)=0,N(L471)=0),"",MIN(L471,N471/AB471))</f>
        <v>17.7631578947368</v>
      </c>
      <c r="AD471" s="29" t="str">
        <f aca="false">IF(OR(AC471="",N(O471)=0),"",AC471/O471-1)</f>
        <v/>
      </c>
      <c r="AE471" s="29" t="str">
        <f aca="false">IF(OR(AD471="",N(O471)=0),"",AD471+N471/O471)</f>
        <v/>
      </c>
      <c r="AF471" s="32" t="str">
        <f aca="false">IF(OR(AE471="",N(Z471)=0),"",AE471-Z471)</f>
        <v/>
      </c>
      <c r="AG471" s="28" t="n">
        <f aca="false">IF(AND(N(M471)&gt;0,N(L471)&gt;0),M471*L471,N471)</f>
        <v>1.6875</v>
      </c>
      <c r="AH471" s="28" t="n">
        <f aca="false">IF(OR(N(AB471)&lt;=0,N(AG471)=0,N(L471)=0),"",MIN(L471,AG471/AB471))</f>
        <v>17.7631578947368</v>
      </c>
      <c r="AI471" s="29" t="str">
        <f aca="false">IF(OR(AH471="",N(O471)=0),"",AH471/O471-1)</f>
        <v/>
      </c>
      <c r="AJ471" s="29" t="str">
        <f aca="false">IF(OR(AI471="",N(O471)=0),"",AI471+AG471/O471)</f>
        <v/>
      </c>
      <c r="AK471" s="32" t="str">
        <f aca="false">IF(OR(AJ471="",N(AE471)=0),"",AJ471-AE471)</f>
        <v/>
      </c>
      <c r="AL471" s="33" t="n">
        <f aca="false">IF(N(F471)=0,"",INDEX(Inputs!$B$28:$B$32,IFERROR(MATCH(F471,Inputs!$A$28:$A$32,1),0)+1))</f>
        <v>0.08</v>
      </c>
      <c r="AM471" s="34"/>
      <c r="AN471" s="33" t="n">
        <f aca="false">IF(N(AM471)&gt;0,AM471,AL471)</f>
        <v>0.08</v>
      </c>
      <c r="AO471" s="29" t="n">
        <f aca="false">IF(N(AN471)=0,"",AN471+IF(I471="yes",AN471*Inputs!$B$10*Inputs!$B$9,0)+IFERROR(INDEX(Inputs!$B$13:$B$15,MATCH(G471,Inputs!$A$13:$A$15,0)),0)+IFERROR(INDEX(Inputs!$B$18:$B$24,MATCH(H471,Inputs!$A$18:$A$24,0)),0))</f>
        <v>0.075</v>
      </c>
      <c r="AP471" s="28" t="n">
        <f aca="false">IF(OR(N(AO471)&lt;=0,N(AG471)=0,N(L471)=0),"",MIN(L471,AG471/AO471))</f>
        <v>22.5</v>
      </c>
      <c r="AQ471" s="29" t="str">
        <f aca="false">IF(OR(AP471="",N(O471)=0),"",AP471/O471-1)</f>
        <v/>
      </c>
      <c r="AR471" s="29" t="str">
        <f aca="false">IF(OR(AQ471="",N(O471)=0),"",AQ471+AG471/O471)</f>
        <v/>
      </c>
      <c r="AS471" s="32" t="str">
        <f aca="false">IF(OR(AR471="",N(AJ471)=0),"",AR471-AJ471)</f>
        <v/>
      </c>
      <c r="AT471" s="28"/>
      <c r="AU471" s="28"/>
      <c r="AV471" s="28" t="n">
        <f aca="false">IF(N(AT471)&gt;0,AT471,L471)</f>
        <v>25</v>
      </c>
      <c r="AW471" s="28" t="n">
        <f aca="false">IF(AND(N(M471)&gt;0,N(AV471)&gt;0),M471*AV471,IF(N(AU471)&gt;0,AU471,N471))</f>
        <v>1.6875</v>
      </c>
      <c r="AX471" s="29" t="n">
        <f aca="false">IF(N(AN471)=0,"",AN471+IF(I471="yes",AN471*Inputs!$B$10*Inputs!$B$9,0)+IFERROR(INDEX(Inputs!$B$13:$B$15,MATCH(G471,Inputs!$A$13:$A$15,0)),0)+IFERROR(INDEX(Inputs!$B$18:$B$24,MATCH(H471,Inputs!$A$18:$A$24,0)),0))</f>
        <v>0.075</v>
      </c>
      <c r="AY471" s="28" t="n">
        <f aca="false">IF(OR(N(AX471)&lt;=0,N(AW471)=0,N(AV471)=0),"",MIN(AV471,AW471/AX471))</f>
        <v>22.5</v>
      </c>
      <c r="AZ471" s="29" t="str">
        <f aca="false">IF(OR(AY471="",N(O471)=0),"",AY471/O471-1)</f>
        <v/>
      </c>
      <c r="BA471" s="29" t="str">
        <f aca="false">IF(OR(AZ471="",N(O471)=0),"",AZ471+AW471/O471)</f>
        <v/>
      </c>
      <c r="BB471" s="32" t="str">
        <f aca="false">IF(OR(BA471="",N(AR471)=0),"",BA471-AR471)</f>
        <v/>
      </c>
      <c r="BC471" s="35" t="str">
        <f aca="false">IF(OR(BA471="",N(U471)=0),"",BA471-U471)</f>
        <v/>
      </c>
      <c r="BD471" s="36" t="s">
        <v>198</v>
      </c>
    </row>
    <row r="472" customFormat="false" ht="15" hidden="false" customHeight="false" outlineLevel="0" collapsed="false">
      <c r="A472" s="2" t="s">
        <v>768</v>
      </c>
      <c r="B472" s="2" t="n">
        <v>309</v>
      </c>
      <c r="C472" s="2" t="s">
        <v>998</v>
      </c>
      <c r="D472" s="2" t="s">
        <v>999</v>
      </c>
      <c r="E472" s="2" t="s">
        <v>1000</v>
      </c>
      <c r="F472" s="27" t="n">
        <v>3600</v>
      </c>
      <c r="G472" s="2" t="s">
        <v>51</v>
      </c>
      <c r="H472" s="2" t="s">
        <v>58</v>
      </c>
      <c r="I472" s="2" t="s">
        <v>144</v>
      </c>
      <c r="J472" s="2" t="s">
        <v>145</v>
      </c>
      <c r="K472" s="2" t="n">
        <v>4</v>
      </c>
      <c r="L472" s="28" t="n">
        <v>50</v>
      </c>
      <c r="M472" s="29" t="n">
        <v>0.065</v>
      </c>
      <c r="N472" s="28" t="n">
        <v>3.25</v>
      </c>
      <c r="O472" s="28" t="n">
        <v>49</v>
      </c>
      <c r="P472" s="2" t="s">
        <v>237</v>
      </c>
      <c r="Q472" s="29" t="n">
        <v>0.08</v>
      </c>
      <c r="R472" s="30" t="n">
        <v>0.075</v>
      </c>
      <c r="S472" s="31" t="n">
        <v>43.3333333333333</v>
      </c>
      <c r="T472" s="30" t="n">
        <v>-0.115646258503401</v>
      </c>
      <c r="U472" s="30" t="n">
        <v>-0.0493197278911564</v>
      </c>
      <c r="V472" s="29" t="n">
        <v>0</v>
      </c>
      <c r="W472" s="29" t="n">
        <f aca="false">IF(N(Q472)=0,"",Q472+IF(I472="yes",Q472*Inputs!$B$10*Inputs!$B$9,0)+V472)</f>
        <v>0.08</v>
      </c>
      <c r="X472" s="28" t="n">
        <f aca="false">IF(OR(N(W472)&lt;=0,N(N472)=0,N(L472)=0),"",MIN(L472,N472/W472))</f>
        <v>40.625</v>
      </c>
      <c r="Y472" s="29" t="n">
        <f aca="false">IF(OR(X472="",N(O472)=0),"",X472/O472-1)</f>
        <v>-0.170918367346939</v>
      </c>
      <c r="Z472" s="29" t="n">
        <f aca="false">IF(OR(Y472="",N(O472)=0),"",Y472+N472/O472)</f>
        <v>-0.104591836734694</v>
      </c>
      <c r="AA472" s="32" t="n">
        <f aca="false">IF(OR(Z472="",N(U472)=0),"",Z472-U472)</f>
        <v>-0.0552721088435375</v>
      </c>
      <c r="AB472" s="29" t="n">
        <f aca="false">IF(N(Q472)=0,"",Q472+IF(I472="yes",Q472*Inputs!$B$10*Inputs!$B$9,0)+IFERROR(INDEX(Inputs!$B$13:$B$15,MATCH(G472,Inputs!$A$13:$A$15,0)),0)+IFERROR(INDEX(Inputs!$B$18:$B$24,MATCH(H472,Inputs!$A$18:$A$24,0)),0))</f>
        <v>0.08</v>
      </c>
      <c r="AC472" s="28" t="n">
        <f aca="false">IF(OR(N(AB472)&lt;=0,N(N472)=0,N(L472)=0),"",MIN(L472,N472/AB472))</f>
        <v>40.625</v>
      </c>
      <c r="AD472" s="29" t="n">
        <f aca="false">IF(OR(AC472="",N(O472)=0),"",AC472/O472-1)</f>
        <v>-0.170918367346939</v>
      </c>
      <c r="AE472" s="29" t="n">
        <f aca="false">IF(OR(AD472="",N(O472)=0),"",AD472+N472/O472)</f>
        <v>-0.104591836734694</v>
      </c>
      <c r="AF472" s="32" t="n">
        <f aca="false">IF(OR(AE472="",N(Z472)=0),"",AE472-Z472)</f>
        <v>0</v>
      </c>
      <c r="AG472" s="28" t="n">
        <f aca="false">IF(AND(N(M472)&gt;0,N(L472)&gt;0),M472*L472,N472)</f>
        <v>3.25</v>
      </c>
      <c r="AH472" s="28" t="n">
        <f aca="false">IF(OR(N(AB472)&lt;=0,N(AG472)=0,N(L472)=0),"",MIN(L472,AG472/AB472))</f>
        <v>40.625</v>
      </c>
      <c r="AI472" s="29" t="n">
        <f aca="false">IF(OR(AH472="",N(O472)=0),"",AH472/O472-1)</f>
        <v>-0.170918367346939</v>
      </c>
      <c r="AJ472" s="29" t="n">
        <f aca="false">IF(OR(AI472="",N(O472)=0),"",AI472+AG472/O472)</f>
        <v>-0.104591836734694</v>
      </c>
      <c r="AK472" s="32" t="n">
        <f aca="false">IF(OR(AJ472="",N(AE472)=0),"",AJ472-AE472)</f>
        <v>0</v>
      </c>
      <c r="AL472" s="33" t="n">
        <f aca="false">IF(N(F472)=0,"",INDEX(Inputs!$B$28:$B$32,IFERROR(MATCH(F472,Inputs!$A$28:$A$32,1),0)+1))</f>
        <v>0.085</v>
      </c>
      <c r="AM472" s="34" t="n">
        <v>0.075</v>
      </c>
      <c r="AN472" s="33" t="n">
        <f aca="false">IF(N(AM472)&gt;0,AM472,AL472)</f>
        <v>0.075</v>
      </c>
      <c r="AO472" s="29" t="n">
        <f aca="false">IF(N(AN472)=0,"",AN472+IF(I472="yes",AN472*Inputs!$B$10*Inputs!$B$9,0)+IFERROR(INDEX(Inputs!$B$13:$B$15,MATCH(G472,Inputs!$A$13:$A$15,0)),0)+IFERROR(INDEX(Inputs!$B$18:$B$24,MATCH(H472,Inputs!$A$18:$A$24,0)),0))</f>
        <v>0.075</v>
      </c>
      <c r="AP472" s="28" t="n">
        <f aca="false">IF(OR(N(AO472)&lt;=0,N(AG472)=0,N(L472)=0),"",MIN(L472,AG472/AO472))</f>
        <v>43.3333333333333</v>
      </c>
      <c r="AQ472" s="29" t="n">
        <f aca="false">IF(OR(AP472="",N(O472)=0),"",AP472/O472-1)</f>
        <v>-0.115646258503401</v>
      </c>
      <c r="AR472" s="29" t="n">
        <f aca="false">IF(OR(AQ472="",N(O472)=0),"",AQ472+AG472/O472)</f>
        <v>-0.0493197278911564</v>
      </c>
      <c r="AS472" s="32" t="n">
        <f aca="false">IF(OR(AR472="",N(AJ472)=0),"",AR472-AJ472)</f>
        <v>0.0552721088435375</v>
      </c>
      <c r="AT472" s="28" t="n">
        <v>50</v>
      </c>
      <c r="AU472" s="28" t="n">
        <v>3.25</v>
      </c>
      <c r="AV472" s="28" t="n">
        <f aca="false">IF(N(AT472)&gt;0,AT472,L472)</f>
        <v>50</v>
      </c>
      <c r="AW472" s="28" t="n">
        <f aca="false">IF(AND(N(M472)&gt;0,N(AV472)&gt;0),M472*AV472,IF(N(AU472)&gt;0,AU472,N472))</f>
        <v>3.25</v>
      </c>
      <c r="AX472" s="29" t="n">
        <f aca="false">IF(N(AN472)=0,"",AN472+IF(I472="yes",AN472*Inputs!$B$10*Inputs!$B$9,0)+IFERROR(INDEX(Inputs!$B$13:$B$15,MATCH(G472,Inputs!$A$13:$A$15,0)),0)+IFERROR(INDEX(Inputs!$B$18:$B$24,MATCH(H472,Inputs!$A$18:$A$24,0)),0))</f>
        <v>0.075</v>
      </c>
      <c r="AY472" s="28" t="n">
        <f aca="false">IF(OR(N(AX472)&lt;=0,N(AW472)=0,N(AV472)=0),"",MIN(AV472,AW472/AX472))</f>
        <v>43.3333333333333</v>
      </c>
      <c r="AZ472" s="29" t="n">
        <f aca="false">IF(OR(AY472="",N(O472)=0),"",AY472/O472-1)</f>
        <v>-0.115646258503401</v>
      </c>
      <c r="BA472" s="29" t="n">
        <f aca="false">IF(OR(AZ472="",N(O472)=0),"",AZ472+AW472/O472)</f>
        <v>-0.0493197278911564</v>
      </c>
      <c r="BB472" s="32" t="n">
        <f aca="false">IF(OR(BA472="",N(AR472)=0),"",BA472-AR472)</f>
        <v>0</v>
      </c>
      <c r="BC472" s="35" t="n">
        <f aca="false">IF(OR(BA472="",N(U472)=0),"",BA472-U472)</f>
        <v>0</v>
      </c>
      <c r="BD472" s="36" t="s">
        <v>238</v>
      </c>
    </row>
    <row r="473" customFormat="false" ht="15" hidden="false" customHeight="false" outlineLevel="0" collapsed="false">
      <c r="A473" s="2" t="s">
        <v>768</v>
      </c>
      <c r="B473" s="2" t="n">
        <v>313</v>
      </c>
      <c r="C473" s="2" t="s">
        <v>1001</v>
      </c>
      <c r="D473" s="2" t="s">
        <v>1002</v>
      </c>
      <c r="E473" s="2" t="s">
        <v>1003</v>
      </c>
      <c r="F473" s="27" t="n">
        <v>22000</v>
      </c>
      <c r="G473" s="2" t="s">
        <v>51</v>
      </c>
      <c r="H473" s="2" t="s">
        <v>58</v>
      </c>
      <c r="I473" s="2" t="s">
        <v>151</v>
      </c>
      <c r="J473" s="2" t="s">
        <v>145</v>
      </c>
      <c r="K473" s="2" t="n">
        <v>4</v>
      </c>
      <c r="L473" s="28" t="n">
        <v>1000</v>
      </c>
      <c r="M473" s="29" t="n">
        <v>0.06</v>
      </c>
      <c r="N473" s="28" t="n">
        <v>60</v>
      </c>
      <c r="O473" s="28" t="n">
        <v>849</v>
      </c>
      <c r="P473" s="2" t="s">
        <v>146</v>
      </c>
      <c r="Q473" s="29" t="n">
        <v>0.08</v>
      </c>
      <c r="R473" s="30" t="n">
        <v>0.076</v>
      </c>
      <c r="S473" s="31" t="n">
        <v>789.473684210526</v>
      </c>
      <c r="T473" s="30" t="n">
        <v>-0.0701134461595685</v>
      </c>
      <c r="U473" s="30" t="n">
        <v>0.000557931932304301</v>
      </c>
      <c r="V473" s="29" t="n">
        <v>0</v>
      </c>
      <c r="W473" s="29" t="n">
        <f aca="false">IF(N(Q473)=0,"",Q473+IF(I473="yes",Q473*Inputs!$B$10*Inputs!$B$9,0)+V473)</f>
        <v>0.076</v>
      </c>
      <c r="X473" s="28" t="n">
        <f aca="false">IF(OR(N(W473)&lt;=0,N(N473)=0,N(L473)=0),"",MIN(L473,N473/W473))</f>
        <v>789.473684210526</v>
      </c>
      <c r="Y473" s="29" t="n">
        <f aca="false">IF(OR(X473="",N(O473)=0),"",X473/O473-1)</f>
        <v>-0.0701134461595685</v>
      </c>
      <c r="Z473" s="29" t="n">
        <f aca="false">IF(OR(Y473="",N(O473)=0),"",Y473+N473/O473)</f>
        <v>0.000557931932304301</v>
      </c>
      <c r="AA473" s="32" t="n">
        <f aca="false">IF(OR(Z473="",N(U473)=0),"",Z473-U473)</f>
        <v>0</v>
      </c>
      <c r="AB473" s="29" t="n">
        <f aca="false">IF(N(Q473)=0,"",Q473+IF(I473="yes",Q473*Inputs!$B$10*Inputs!$B$9,0)+IFERROR(INDEX(Inputs!$B$13:$B$15,MATCH(G473,Inputs!$A$13:$A$15,0)),0)+IFERROR(INDEX(Inputs!$B$18:$B$24,MATCH(H473,Inputs!$A$18:$A$24,0)),0))</f>
        <v>0.076</v>
      </c>
      <c r="AC473" s="28" t="n">
        <f aca="false">IF(OR(N(AB473)&lt;=0,N(N473)=0,N(L473)=0),"",MIN(L473,N473/AB473))</f>
        <v>789.473684210526</v>
      </c>
      <c r="AD473" s="29" t="n">
        <f aca="false">IF(OR(AC473="",N(O473)=0),"",AC473/O473-1)</f>
        <v>-0.0701134461595685</v>
      </c>
      <c r="AE473" s="29" t="n">
        <f aca="false">IF(OR(AD473="",N(O473)=0),"",AD473+N473/O473)</f>
        <v>0.000557931932304301</v>
      </c>
      <c r="AF473" s="32" t="n">
        <f aca="false">IF(OR(AE473="",N(Z473)=0),"",AE473-Z473)</f>
        <v>0</v>
      </c>
      <c r="AG473" s="28" t="n">
        <f aca="false">IF(AND(N(M473)&gt;0,N(L473)&gt;0),M473*L473,N473)</f>
        <v>60</v>
      </c>
      <c r="AH473" s="28" t="n">
        <f aca="false">IF(OR(N(AB473)&lt;=0,N(AG473)=0,N(L473)=0),"",MIN(L473,AG473/AB473))</f>
        <v>789.473684210526</v>
      </c>
      <c r="AI473" s="29" t="n">
        <f aca="false">IF(OR(AH473="",N(O473)=0),"",AH473/O473-1)</f>
        <v>-0.0701134461595685</v>
      </c>
      <c r="AJ473" s="29" t="n">
        <f aca="false">IF(OR(AI473="",N(O473)=0),"",AI473+AG473/O473)</f>
        <v>0.000557931932304301</v>
      </c>
      <c r="AK473" s="32" t="n">
        <f aca="false">IF(OR(AJ473="",N(AE473)=0),"",AJ473-AE473)</f>
        <v>0</v>
      </c>
      <c r="AL473" s="33" t="n">
        <f aca="false">IF(N(F473)=0,"",INDEX(Inputs!$B$28:$B$32,IFERROR(MATCH(F473,Inputs!$A$28:$A$32,1),0)+1))</f>
        <v>0.075</v>
      </c>
      <c r="AM473" s="34"/>
      <c r="AN473" s="33" t="n">
        <f aca="false">IF(N(AM473)&gt;0,AM473,AL473)</f>
        <v>0.075</v>
      </c>
      <c r="AO473" s="29" t="n">
        <f aca="false">IF(N(AN473)=0,"",AN473+IF(I473="yes",AN473*Inputs!$B$10*Inputs!$B$9,0)+IFERROR(INDEX(Inputs!$B$13:$B$15,MATCH(G473,Inputs!$A$13:$A$15,0)),0)+IFERROR(INDEX(Inputs!$B$18:$B$24,MATCH(H473,Inputs!$A$18:$A$24,0)),0))</f>
        <v>0.07125</v>
      </c>
      <c r="AP473" s="28" t="n">
        <f aca="false">IF(OR(N(AO473)&lt;=0,N(AG473)=0,N(L473)=0),"",MIN(L473,AG473/AO473))</f>
        <v>842.105263157895</v>
      </c>
      <c r="AQ473" s="29" t="n">
        <f aca="false">IF(OR(AP473="",N(O473)=0),"",AP473/O473-1)</f>
        <v>-0.00812100923687298</v>
      </c>
      <c r="AR473" s="29" t="n">
        <f aca="false">IF(OR(AQ473="",N(O473)=0),"",AQ473+AG473/O473)</f>
        <v>0.0625503688549998</v>
      </c>
      <c r="AS473" s="32" t="n">
        <f aca="false">IF(OR(AR473="",N(AJ473)=0),"",AR473-AJ473)</f>
        <v>0.0619924369226955</v>
      </c>
      <c r="AT473" s="28" t="n">
        <v>1000</v>
      </c>
      <c r="AU473" s="28" t="n">
        <v>60</v>
      </c>
      <c r="AV473" s="28" t="n">
        <f aca="false">IF(N(AT473)&gt;0,AT473,L473)</f>
        <v>1000</v>
      </c>
      <c r="AW473" s="28" t="n">
        <f aca="false">IF(AND(N(M473)&gt;0,N(AV473)&gt;0),M473*AV473,IF(N(AU473)&gt;0,AU473,N473))</f>
        <v>60</v>
      </c>
      <c r="AX473" s="29" t="n">
        <f aca="false">IF(N(AN473)=0,"",AN473+IF(I473="yes",AN473*Inputs!$B$10*Inputs!$B$9,0)+IFERROR(INDEX(Inputs!$B$13:$B$15,MATCH(G473,Inputs!$A$13:$A$15,0)),0)+IFERROR(INDEX(Inputs!$B$18:$B$24,MATCH(H473,Inputs!$A$18:$A$24,0)),0))</f>
        <v>0.07125</v>
      </c>
      <c r="AY473" s="28" t="n">
        <f aca="false">IF(OR(N(AX473)&lt;=0,N(AW473)=0,N(AV473)=0),"",MIN(AV473,AW473/AX473))</f>
        <v>842.105263157895</v>
      </c>
      <c r="AZ473" s="29" t="n">
        <f aca="false">IF(OR(AY473="",N(O473)=0),"",AY473/O473-1)</f>
        <v>-0.00812100923687298</v>
      </c>
      <c r="BA473" s="29" t="n">
        <f aca="false">IF(OR(AZ473="",N(O473)=0),"",AZ473+AW473/O473)</f>
        <v>0.0625503688549998</v>
      </c>
      <c r="BB473" s="32" t="n">
        <f aca="false">IF(OR(BA473="",N(AR473)=0),"",BA473-AR473)</f>
        <v>0</v>
      </c>
      <c r="BC473" s="35" t="n">
        <f aca="false">IF(OR(BA473="",N(U473)=0),"",BA473-U473)</f>
        <v>0.0619924369226955</v>
      </c>
      <c r="BD473" s="37"/>
    </row>
    <row r="474" customFormat="false" ht="15" hidden="false" customHeight="false" outlineLevel="0" collapsed="false">
      <c r="A474" s="2" t="s">
        <v>768</v>
      </c>
      <c r="B474" s="2" t="n">
        <v>319</v>
      </c>
      <c r="C474" s="2" t="s">
        <v>1004</v>
      </c>
      <c r="D474" s="2" t="s">
        <v>1005</v>
      </c>
      <c r="E474" s="2" t="s">
        <v>1006</v>
      </c>
      <c r="F474" s="27" t="n">
        <v>15300</v>
      </c>
      <c r="G474" s="2" t="s">
        <v>51</v>
      </c>
      <c r="H474" s="2" t="s">
        <v>58</v>
      </c>
      <c r="I474" s="2" t="s">
        <v>144</v>
      </c>
      <c r="J474" s="2" t="s">
        <v>145</v>
      </c>
      <c r="K474" s="2" t="n">
        <v>4</v>
      </c>
      <c r="L474" s="28" t="n">
        <v>50</v>
      </c>
      <c r="M474" s="29" t="n">
        <v>0.085</v>
      </c>
      <c r="N474" s="28" t="n">
        <v>4.25</v>
      </c>
      <c r="O474" s="28" t="n">
        <v>52.12</v>
      </c>
      <c r="P474" s="2" t="s">
        <v>146</v>
      </c>
      <c r="Q474" s="29" t="n">
        <v>0.08</v>
      </c>
      <c r="R474" s="30" t="n">
        <v>0.08</v>
      </c>
      <c r="S474" s="31" t="n">
        <v>50</v>
      </c>
      <c r="T474" s="30" t="n">
        <v>-0.0406753645433615</v>
      </c>
      <c r="U474" s="30" t="n">
        <v>0.0408672294704528</v>
      </c>
      <c r="V474" s="29" t="n">
        <v>0</v>
      </c>
      <c r="W474" s="29" t="n">
        <f aca="false">IF(N(Q474)=0,"",Q474+IF(I474="yes",Q474*Inputs!$B$10*Inputs!$B$9,0)+V474)</f>
        <v>0.08</v>
      </c>
      <c r="X474" s="28" t="n">
        <f aca="false">IF(OR(N(W474)&lt;=0,N(N474)=0,N(L474)=0),"",MIN(L474,N474/W474))</f>
        <v>50</v>
      </c>
      <c r="Y474" s="29" t="n">
        <f aca="false">IF(OR(X474="",N(O474)=0),"",X474/O474-1)</f>
        <v>-0.0406753645433614</v>
      </c>
      <c r="Z474" s="29" t="n">
        <f aca="false">IF(OR(Y474="",N(O474)=0),"",Y474+N474/O474)</f>
        <v>0.0408672294704529</v>
      </c>
      <c r="AA474" s="32" t="n">
        <f aca="false">IF(OR(Z474="",N(U474)=0),"",Z474-U474)</f>
        <v>0</v>
      </c>
      <c r="AB474" s="29" t="n">
        <f aca="false">IF(N(Q474)=0,"",Q474+IF(I474="yes",Q474*Inputs!$B$10*Inputs!$B$9,0)+IFERROR(INDEX(Inputs!$B$13:$B$15,MATCH(G474,Inputs!$A$13:$A$15,0)),0)+IFERROR(INDEX(Inputs!$B$18:$B$24,MATCH(H474,Inputs!$A$18:$A$24,0)),0))</f>
        <v>0.08</v>
      </c>
      <c r="AC474" s="28" t="n">
        <f aca="false">IF(OR(N(AB474)&lt;=0,N(N474)=0,N(L474)=0),"",MIN(L474,N474/AB474))</f>
        <v>50</v>
      </c>
      <c r="AD474" s="29" t="n">
        <f aca="false">IF(OR(AC474="",N(O474)=0),"",AC474/O474-1)</f>
        <v>-0.0406753645433614</v>
      </c>
      <c r="AE474" s="29" t="n">
        <f aca="false">IF(OR(AD474="",N(O474)=0),"",AD474+N474/O474)</f>
        <v>0.0408672294704529</v>
      </c>
      <c r="AF474" s="32" t="n">
        <f aca="false">IF(OR(AE474="",N(Z474)=0),"",AE474-Z474)</f>
        <v>0</v>
      </c>
      <c r="AG474" s="28" t="n">
        <f aca="false">IF(AND(N(M474)&gt;0,N(L474)&gt;0),M474*L474,N474)</f>
        <v>4.25</v>
      </c>
      <c r="AH474" s="28" t="n">
        <f aca="false">IF(OR(N(AB474)&lt;=0,N(AG474)=0,N(L474)=0),"",MIN(L474,AG474/AB474))</f>
        <v>50</v>
      </c>
      <c r="AI474" s="29" t="n">
        <f aca="false">IF(OR(AH474="",N(O474)=0),"",AH474/O474-1)</f>
        <v>-0.0406753645433614</v>
      </c>
      <c r="AJ474" s="29" t="n">
        <f aca="false">IF(OR(AI474="",N(O474)=0),"",AI474+AG474/O474)</f>
        <v>0.0408672294704529</v>
      </c>
      <c r="AK474" s="32" t="n">
        <f aca="false">IF(OR(AJ474="",N(AE474)=0),"",AJ474-AE474)</f>
        <v>0</v>
      </c>
      <c r="AL474" s="33" t="n">
        <f aca="false">IF(N(F474)=0,"",INDEX(Inputs!$B$28:$B$32,IFERROR(MATCH(F474,Inputs!$A$28:$A$32,1),0)+1))</f>
        <v>0.08</v>
      </c>
      <c r="AM474" s="34"/>
      <c r="AN474" s="33" t="n">
        <f aca="false">IF(N(AM474)&gt;0,AM474,AL474)</f>
        <v>0.08</v>
      </c>
      <c r="AO474" s="29" t="n">
        <f aca="false">IF(N(AN474)=0,"",AN474+IF(I474="yes",AN474*Inputs!$B$10*Inputs!$B$9,0)+IFERROR(INDEX(Inputs!$B$13:$B$15,MATCH(G474,Inputs!$A$13:$A$15,0)),0)+IFERROR(INDEX(Inputs!$B$18:$B$24,MATCH(H474,Inputs!$A$18:$A$24,0)),0))</f>
        <v>0.08</v>
      </c>
      <c r="AP474" s="28" t="n">
        <f aca="false">IF(OR(N(AO474)&lt;=0,N(AG474)=0,N(L474)=0),"",MIN(L474,AG474/AO474))</f>
        <v>50</v>
      </c>
      <c r="AQ474" s="29" t="n">
        <f aca="false">IF(OR(AP474="",N(O474)=0),"",AP474/O474-1)</f>
        <v>-0.0406753645433614</v>
      </c>
      <c r="AR474" s="29" t="n">
        <f aca="false">IF(OR(AQ474="",N(O474)=0),"",AQ474+AG474/O474)</f>
        <v>0.0408672294704529</v>
      </c>
      <c r="AS474" s="32" t="n">
        <f aca="false">IF(OR(AR474="",N(AJ474)=0),"",AR474-AJ474)</f>
        <v>0</v>
      </c>
      <c r="AT474" s="28" t="n">
        <v>50</v>
      </c>
      <c r="AU474" s="28" t="n">
        <v>4.25</v>
      </c>
      <c r="AV474" s="28" t="n">
        <f aca="false">IF(N(AT474)&gt;0,AT474,L474)</f>
        <v>50</v>
      </c>
      <c r="AW474" s="28" t="n">
        <f aca="false">IF(AND(N(M474)&gt;0,N(AV474)&gt;0),M474*AV474,IF(N(AU474)&gt;0,AU474,N474))</f>
        <v>4.25</v>
      </c>
      <c r="AX474" s="29" t="n">
        <f aca="false">IF(N(AN474)=0,"",AN474+IF(I474="yes",AN474*Inputs!$B$10*Inputs!$B$9,0)+IFERROR(INDEX(Inputs!$B$13:$B$15,MATCH(G474,Inputs!$A$13:$A$15,0)),0)+IFERROR(INDEX(Inputs!$B$18:$B$24,MATCH(H474,Inputs!$A$18:$A$24,0)),0))</f>
        <v>0.08</v>
      </c>
      <c r="AY474" s="28" t="n">
        <f aca="false">IF(OR(N(AX474)&lt;=0,N(AW474)=0,N(AV474)=0),"",MIN(AV474,AW474/AX474))</f>
        <v>50</v>
      </c>
      <c r="AZ474" s="29" t="n">
        <f aca="false">IF(OR(AY474="",N(O474)=0),"",AY474/O474-1)</f>
        <v>-0.0406753645433614</v>
      </c>
      <c r="BA474" s="29" t="n">
        <f aca="false">IF(OR(AZ474="",N(O474)=0),"",AZ474+AW474/O474)</f>
        <v>0.0408672294704529</v>
      </c>
      <c r="BB474" s="32" t="n">
        <f aca="false">IF(OR(BA474="",N(AR474)=0),"",BA474-AR474)</f>
        <v>0</v>
      </c>
      <c r="BC474" s="35" t="n">
        <f aca="false">IF(OR(BA474="",N(U474)=0),"",BA474-U474)</f>
        <v>0</v>
      </c>
      <c r="BD474" s="37"/>
    </row>
    <row r="475" customFormat="false" ht="15" hidden="false" customHeight="false" outlineLevel="0" collapsed="false">
      <c r="A475" s="2" t="s">
        <v>768</v>
      </c>
      <c r="B475" s="2" t="n">
        <v>323</v>
      </c>
      <c r="C475" s="2" t="s">
        <v>1007</v>
      </c>
      <c r="D475" s="2" t="s">
        <v>1008</v>
      </c>
      <c r="E475" s="2" t="s">
        <v>1009</v>
      </c>
      <c r="F475" s="27" t="n">
        <v>2500</v>
      </c>
      <c r="G475" s="2" t="s">
        <v>51</v>
      </c>
      <c r="H475" s="2" t="s">
        <v>61</v>
      </c>
      <c r="I475" s="2" t="s">
        <v>151</v>
      </c>
      <c r="J475" s="2" t="s">
        <v>145</v>
      </c>
      <c r="K475" s="2" t="n">
        <v>4</v>
      </c>
      <c r="L475" s="28" t="n">
        <v>25</v>
      </c>
      <c r="M475" s="29" t="n">
        <v>0.0825</v>
      </c>
      <c r="N475" s="28" t="n">
        <v>2.0625</v>
      </c>
      <c r="O475" s="28" t="n">
        <v>25.6</v>
      </c>
      <c r="P475" s="2" t="s">
        <v>223</v>
      </c>
      <c r="Q475" s="29" t="n">
        <v>0.08</v>
      </c>
      <c r="R475" s="30" t="n">
        <v>0.08</v>
      </c>
      <c r="S475" s="31" t="n">
        <v>25</v>
      </c>
      <c r="T475" s="30" t="n">
        <v>-0.0234375</v>
      </c>
      <c r="U475" s="30" t="n">
        <v>0.05712890625</v>
      </c>
      <c r="V475" s="29" t="n">
        <v>0</v>
      </c>
      <c r="W475" s="29" t="n">
        <f aca="false">IF(N(Q475)=0,"",Q475+IF(I475="yes",Q475*Inputs!$B$10*Inputs!$B$9,0)+V475)</f>
        <v>0.076</v>
      </c>
      <c r="X475" s="28" t="n">
        <f aca="false">IF(OR(N(W475)&lt;=0,N(N475)=0,N(L475)=0),"",MIN(L475,N475/W475))</f>
        <v>25</v>
      </c>
      <c r="Y475" s="29" t="n">
        <f aca="false">IF(OR(X475="",N(O475)=0),"",X475/O475-1)</f>
        <v>-0.0234375</v>
      </c>
      <c r="Z475" s="29" t="n">
        <f aca="false">IF(OR(Y475="",N(O475)=0),"",Y475+N475/O475)</f>
        <v>0.05712890625</v>
      </c>
      <c r="AA475" s="32" t="n">
        <f aca="false">IF(OR(Z475="",N(U475)=0),"",Z475-U475)</f>
        <v>0</v>
      </c>
      <c r="AB475" s="29" t="n">
        <f aca="false">IF(N(Q475)=0,"",Q475+IF(I475="yes",Q475*Inputs!$B$10*Inputs!$B$9,0)+IFERROR(INDEX(Inputs!$B$13:$B$15,MATCH(G475,Inputs!$A$13:$A$15,0)),0)+IFERROR(INDEX(Inputs!$B$18:$B$24,MATCH(H475,Inputs!$A$18:$A$24,0)),0))</f>
        <v>0.076</v>
      </c>
      <c r="AC475" s="28" t="n">
        <f aca="false">IF(OR(N(AB475)&lt;=0,N(N475)=0,N(L475)=0),"",MIN(L475,N475/AB475))</f>
        <v>25</v>
      </c>
      <c r="AD475" s="29" t="n">
        <f aca="false">IF(OR(AC475="",N(O475)=0),"",AC475/O475-1)</f>
        <v>-0.0234375</v>
      </c>
      <c r="AE475" s="29" t="n">
        <f aca="false">IF(OR(AD475="",N(O475)=0),"",AD475+N475/O475)</f>
        <v>0.05712890625</v>
      </c>
      <c r="AF475" s="32" t="n">
        <f aca="false">IF(OR(AE475="",N(Z475)=0),"",AE475-Z475)</f>
        <v>0</v>
      </c>
      <c r="AG475" s="28" t="n">
        <f aca="false">IF(AND(N(M475)&gt;0,N(L475)&gt;0),M475*L475,N475)</f>
        <v>2.0625</v>
      </c>
      <c r="AH475" s="28" t="n">
        <f aca="false">IF(OR(N(AB475)&lt;=0,N(AG475)=0,N(L475)=0),"",MIN(L475,AG475/AB475))</f>
        <v>25</v>
      </c>
      <c r="AI475" s="29" t="n">
        <f aca="false">IF(OR(AH475="",N(O475)=0),"",AH475/O475-1)</f>
        <v>-0.0234375</v>
      </c>
      <c r="AJ475" s="29" t="n">
        <f aca="false">IF(OR(AI475="",N(O475)=0),"",AI475+AG475/O475)</f>
        <v>0.05712890625</v>
      </c>
      <c r="AK475" s="32" t="n">
        <f aca="false">IF(OR(AJ475="",N(AE475)=0),"",AJ475-AE475)</f>
        <v>0</v>
      </c>
      <c r="AL475" s="33" t="n">
        <f aca="false">IF(N(F475)=0,"",INDEX(Inputs!$B$28:$B$32,IFERROR(MATCH(F475,Inputs!$A$28:$A$32,1),0)+1))</f>
        <v>0.085</v>
      </c>
      <c r="AM475" s="34"/>
      <c r="AN475" s="33" t="n">
        <f aca="false">IF(N(AM475)&gt;0,AM475,AL475)</f>
        <v>0.085</v>
      </c>
      <c r="AO475" s="29" t="n">
        <f aca="false">IF(N(AN475)=0,"",AN475+IF(I475="yes",AN475*Inputs!$B$10*Inputs!$B$9,0)+IFERROR(INDEX(Inputs!$B$13:$B$15,MATCH(G475,Inputs!$A$13:$A$15,0)),0)+IFERROR(INDEX(Inputs!$B$18:$B$24,MATCH(H475,Inputs!$A$18:$A$24,0)),0))</f>
        <v>0.08075</v>
      </c>
      <c r="AP475" s="28" t="n">
        <f aca="false">IF(OR(N(AO475)&lt;=0,N(AG475)=0,N(L475)=0),"",MIN(L475,AG475/AO475))</f>
        <v>25</v>
      </c>
      <c r="AQ475" s="29" t="n">
        <f aca="false">IF(OR(AP475="",N(O475)=0),"",AP475/O475-1)</f>
        <v>-0.0234375</v>
      </c>
      <c r="AR475" s="29" t="n">
        <f aca="false">IF(OR(AQ475="",N(O475)=0),"",AQ475+AG475/O475)</f>
        <v>0.05712890625</v>
      </c>
      <c r="AS475" s="32" t="n">
        <f aca="false">IF(OR(AR475="",N(AJ475)=0),"",AR475-AJ475)</f>
        <v>0</v>
      </c>
      <c r="AT475" s="28" t="n">
        <v>25</v>
      </c>
      <c r="AU475" s="28" t="n">
        <v>2.0625</v>
      </c>
      <c r="AV475" s="28" t="n">
        <f aca="false">IF(N(AT475)&gt;0,AT475,L475)</f>
        <v>25</v>
      </c>
      <c r="AW475" s="28" t="n">
        <f aca="false">IF(AND(N(M475)&gt;0,N(AV475)&gt;0),M475*AV475,IF(N(AU475)&gt;0,AU475,N475))</f>
        <v>2.0625</v>
      </c>
      <c r="AX475" s="29" t="n">
        <f aca="false">IF(N(AN475)=0,"",AN475+IF(I475="yes",AN475*Inputs!$B$10*Inputs!$B$9,0)+IFERROR(INDEX(Inputs!$B$13:$B$15,MATCH(G475,Inputs!$A$13:$A$15,0)),0)+IFERROR(INDEX(Inputs!$B$18:$B$24,MATCH(H475,Inputs!$A$18:$A$24,0)),0))</f>
        <v>0.08075</v>
      </c>
      <c r="AY475" s="28" t="n">
        <f aca="false">IF(OR(N(AX475)&lt;=0,N(AW475)=0,N(AV475)=0),"",MIN(AV475,AW475/AX475))</f>
        <v>25</v>
      </c>
      <c r="AZ475" s="29" t="n">
        <f aca="false">IF(OR(AY475="",N(O475)=0),"",AY475/O475-1)</f>
        <v>-0.0234375</v>
      </c>
      <c r="BA475" s="29" t="n">
        <f aca="false">IF(OR(AZ475="",N(O475)=0),"",AZ475+AW475/O475)</f>
        <v>0.05712890625</v>
      </c>
      <c r="BB475" s="32" t="n">
        <f aca="false">IF(OR(BA475="",N(AR475)=0),"",BA475-AR475)</f>
        <v>0</v>
      </c>
      <c r="BC475" s="35" t="n">
        <f aca="false">IF(OR(BA475="",N(U475)=0),"",BA475-U475)</f>
        <v>0</v>
      </c>
      <c r="BD475" s="36" t="s">
        <v>224</v>
      </c>
    </row>
    <row r="476" customFormat="false" ht="15" hidden="false" customHeight="false" outlineLevel="0" collapsed="false">
      <c r="A476" s="2" t="s">
        <v>768</v>
      </c>
      <c r="B476" s="2" t="n">
        <v>324</v>
      </c>
      <c r="C476" s="2" t="s">
        <v>1010</v>
      </c>
      <c r="D476" s="2" t="s">
        <v>1008</v>
      </c>
      <c r="E476" s="2" t="s">
        <v>1009</v>
      </c>
      <c r="F476" s="27" t="n">
        <v>2500</v>
      </c>
      <c r="G476" s="2" t="s">
        <v>51</v>
      </c>
      <c r="H476" s="2" t="s">
        <v>58</v>
      </c>
      <c r="I476" s="2" t="s">
        <v>151</v>
      </c>
      <c r="J476" s="2" t="s">
        <v>145</v>
      </c>
      <c r="K476" s="2" t="n">
        <v>4</v>
      </c>
      <c r="L476" s="28" t="n">
        <v>25</v>
      </c>
      <c r="M476" s="29" t="n">
        <v>0.06</v>
      </c>
      <c r="N476" s="28" t="n">
        <v>1.5</v>
      </c>
      <c r="O476" s="28" t="n">
        <v>19.92</v>
      </c>
      <c r="P476" s="2" t="s">
        <v>146</v>
      </c>
      <c r="Q476" s="29" t="n">
        <v>0.08</v>
      </c>
      <c r="R476" s="30" t="n">
        <v>0.076</v>
      </c>
      <c r="S476" s="31" t="n">
        <v>19.7368421052632</v>
      </c>
      <c r="T476" s="30" t="n">
        <v>-0.00919467343056446</v>
      </c>
      <c r="U476" s="30" t="n">
        <v>0.0661065313887126</v>
      </c>
      <c r="V476" s="29" t="n">
        <v>0</v>
      </c>
      <c r="W476" s="29" t="n">
        <f aca="false">IF(N(Q476)=0,"",Q476+IF(I476="yes",Q476*Inputs!$B$10*Inputs!$B$9,0)+V476)</f>
        <v>0.076</v>
      </c>
      <c r="X476" s="28" t="n">
        <f aca="false">IF(OR(N(W476)&lt;=0,N(N476)=0,N(L476)=0),"",MIN(L476,N476/W476))</f>
        <v>19.7368421052632</v>
      </c>
      <c r="Y476" s="29" t="n">
        <f aca="false">IF(OR(X476="",N(O476)=0),"",X476/O476-1)</f>
        <v>-0.00919467343056446</v>
      </c>
      <c r="Z476" s="29" t="n">
        <f aca="false">IF(OR(Y476="",N(O476)=0),"",Y476+N476/O476)</f>
        <v>0.0661065313887126</v>
      </c>
      <c r="AA476" s="32" t="n">
        <f aca="false">IF(OR(Z476="",N(U476)=0),"",Z476-U476)</f>
        <v>0</v>
      </c>
      <c r="AB476" s="29" t="n">
        <f aca="false">IF(N(Q476)=0,"",Q476+IF(I476="yes",Q476*Inputs!$B$10*Inputs!$B$9,0)+IFERROR(INDEX(Inputs!$B$13:$B$15,MATCH(G476,Inputs!$A$13:$A$15,0)),0)+IFERROR(INDEX(Inputs!$B$18:$B$24,MATCH(H476,Inputs!$A$18:$A$24,0)),0))</f>
        <v>0.076</v>
      </c>
      <c r="AC476" s="28" t="n">
        <f aca="false">IF(OR(N(AB476)&lt;=0,N(N476)=0,N(L476)=0),"",MIN(L476,N476/AB476))</f>
        <v>19.7368421052632</v>
      </c>
      <c r="AD476" s="29" t="n">
        <f aca="false">IF(OR(AC476="",N(O476)=0),"",AC476/O476-1)</f>
        <v>-0.00919467343056446</v>
      </c>
      <c r="AE476" s="29" t="n">
        <f aca="false">IF(OR(AD476="",N(O476)=0),"",AD476+N476/O476)</f>
        <v>0.0661065313887126</v>
      </c>
      <c r="AF476" s="32" t="n">
        <f aca="false">IF(OR(AE476="",N(Z476)=0),"",AE476-Z476)</f>
        <v>0</v>
      </c>
      <c r="AG476" s="28" t="n">
        <f aca="false">IF(AND(N(M476)&gt;0,N(L476)&gt;0),M476*L476,N476)</f>
        <v>1.5</v>
      </c>
      <c r="AH476" s="28" t="n">
        <f aca="false">IF(OR(N(AB476)&lt;=0,N(AG476)=0,N(L476)=0),"",MIN(L476,AG476/AB476))</f>
        <v>19.7368421052632</v>
      </c>
      <c r="AI476" s="29" t="n">
        <f aca="false">IF(OR(AH476="",N(O476)=0),"",AH476/O476-1)</f>
        <v>-0.00919467343056446</v>
      </c>
      <c r="AJ476" s="29" t="n">
        <f aca="false">IF(OR(AI476="",N(O476)=0),"",AI476+AG476/O476)</f>
        <v>0.0661065313887126</v>
      </c>
      <c r="AK476" s="32" t="n">
        <f aca="false">IF(OR(AJ476="",N(AE476)=0),"",AJ476-AE476)</f>
        <v>0</v>
      </c>
      <c r="AL476" s="33" t="n">
        <f aca="false">IF(N(F476)=0,"",INDEX(Inputs!$B$28:$B$32,IFERROR(MATCH(F476,Inputs!$A$28:$A$32,1),0)+1))</f>
        <v>0.085</v>
      </c>
      <c r="AM476" s="34"/>
      <c r="AN476" s="33" t="n">
        <f aca="false">IF(N(AM476)&gt;0,AM476,AL476)</f>
        <v>0.085</v>
      </c>
      <c r="AO476" s="29" t="n">
        <f aca="false">IF(N(AN476)=0,"",AN476+IF(I476="yes",AN476*Inputs!$B$10*Inputs!$B$9,0)+IFERROR(INDEX(Inputs!$B$13:$B$15,MATCH(G476,Inputs!$A$13:$A$15,0)),0)+IFERROR(INDEX(Inputs!$B$18:$B$24,MATCH(H476,Inputs!$A$18:$A$24,0)),0))</f>
        <v>0.08075</v>
      </c>
      <c r="AP476" s="28" t="n">
        <f aca="false">IF(OR(N(AO476)&lt;=0,N(AG476)=0,N(L476)=0),"",MIN(L476,AG476/AO476))</f>
        <v>18.5758513931889</v>
      </c>
      <c r="AQ476" s="29" t="n">
        <f aca="false">IF(OR(AP476="",N(O476)=0),"",AP476/O476-1)</f>
        <v>-0.0674773396993549</v>
      </c>
      <c r="AR476" s="29" t="n">
        <f aca="false">IF(OR(AQ476="",N(O476)=0),"",AQ476+AG476/O476)</f>
        <v>0.00782386511992222</v>
      </c>
      <c r="AS476" s="32" t="n">
        <f aca="false">IF(OR(AR476="",N(AJ476)=0),"",AR476-AJ476)</f>
        <v>-0.0582826662687904</v>
      </c>
      <c r="AT476" s="28" t="n">
        <v>25</v>
      </c>
      <c r="AU476" s="28" t="n">
        <v>1.5</v>
      </c>
      <c r="AV476" s="28" t="n">
        <f aca="false">IF(N(AT476)&gt;0,AT476,L476)</f>
        <v>25</v>
      </c>
      <c r="AW476" s="28" t="n">
        <f aca="false">IF(AND(N(M476)&gt;0,N(AV476)&gt;0),M476*AV476,IF(N(AU476)&gt;0,AU476,N476))</f>
        <v>1.5</v>
      </c>
      <c r="AX476" s="29" t="n">
        <f aca="false">IF(N(AN476)=0,"",AN476+IF(I476="yes",AN476*Inputs!$B$10*Inputs!$B$9,0)+IFERROR(INDEX(Inputs!$B$13:$B$15,MATCH(G476,Inputs!$A$13:$A$15,0)),0)+IFERROR(INDEX(Inputs!$B$18:$B$24,MATCH(H476,Inputs!$A$18:$A$24,0)),0))</f>
        <v>0.08075</v>
      </c>
      <c r="AY476" s="28" t="n">
        <f aca="false">IF(OR(N(AX476)&lt;=0,N(AW476)=0,N(AV476)=0),"",MIN(AV476,AW476/AX476))</f>
        <v>18.5758513931889</v>
      </c>
      <c r="AZ476" s="29" t="n">
        <f aca="false">IF(OR(AY476="",N(O476)=0),"",AY476/O476-1)</f>
        <v>-0.0674773396993549</v>
      </c>
      <c r="BA476" s="29" t="n">
        <f aca="false">IF(OR(AZ476="",N(O476)=0),"",AZ476+AW476/O476)</f>
        <v>0.00782386511992222</v>
      </c>
      <c r="BB476" s="32" t="n">
        <f aca="false">IF(OR(BA476="",N(AR476)=0),"",BA476-AR476)</f>
        <v>0</v>
      </c>
      <c r="BC476" s="35" t="n">
        <f aca="false">IF(OR(BA476="",N(U476)=0),"",BA476-U476)</f>
        <v>-0.0582826662687904</v>
      </c>
      <c r="BD476" s="37"/>
    </row>
    <row r="477" customFormat="false" ht="15" hidden="false" customHeight="false" outlineLevel="0" collapsed="false">
      <c r="A477" s="2" t="s">
        <v>768</v>
      </c>
      <c r="B477" s="2" t="n">
        <v>325</v>
      </c>
      <c r="C477" s="2" t="s">
        <v>1011</v>
      </c>
      <c r="D477" s="2" t="s">
        <v>1008</v>
      </c>
      <c r="E477" s="2" t="s">
        <v>1009</v>
      </c>
      <c r="F477" s="27" t="n">
        <v>2500</v>
      </c>
      <c r="G477" s="2" t="s">
        <v>51</v>
      </c>
      <c r="H477" s="2" t="s">
        <v>59</v>
      </c>
      <c r="I477" s="2" t="s">
        <v>151</v>
      </c>
      <c r="J477" s="2" t="s">
        <v>145</v>
      </c>
      <c r="K477" s="2" t="n">
        <v>4</v>
      </c>
      <c r="L477" s="28" t="n">
        <v>25</v>
      </c>
      <c r="M477" s="29" t="n">
        <v>0.06</v>
      </c>
      <c r="N477" s="28" t="n">
        <v>1.5</v>
      </c>
      <c r="O477" s="28" t="n">
        <v>0</v>
      </c>
      <c r="P477" s="2" t="s">
        <v>146</v>
      </c>
      <c r="Q477" s="29" t="n">
        <v>0.08</v>
      </c>
      <c r="R477" s="30" t="n">
        <v>0.076</v>
      </c>
      <c r="S477" s="31" t="n">
        <v>19.7368421052632</v>
      </c>
      <c r="T477" s="30"/>
      <c r="U477" s="30"/>
      <c r="V477" s="29" t="n">
        <v>0</v>
      </c>
      <c r="W477" s="29" t="n">
        <f aca="false">IF(N(Q477)=0,"",Q477+IF(I477="yes",Q477*Inputs!$B$10*Inputs!$B$9,0)+V477)</f>
        <v>0.076</v>
      </c>
      <c r="X477" s="28" t="n">
        <f aca="false">IF(OR(N(W477)&lt;=0,N(N477)=0,N(L477)=0),"",MIN(L477,N477/W477))</f>
        <v>19.7368421052632</v>
      </c>
      <c r="Y477" s="29" t="str">
        <f aca="false">IF(OR(X477="",N(O477)=0),"",X477/O477-1)</f>
        <v/>
      </c>
      <c r="Z477" s="29" t="str">
        <f aca="false">IF(OR(Y477="",N(O477)=0),"",Y477+N477/O477)</f>
        <v/>
      </c>
      <c r="AA477" s="32" t="str">
        <f aca="false">IF(OR(Z477="",N(U477)=0),"",Z477-U477)</f>
        <v/>
      </c>
      <c r="AB477" s="29" t="n">
        <f aca="false">IF(N(Q477)=0,"",Q477+IF(I477="yes",Q477*Inputs!$B$10*Inputs!$B$9,0)+IFERROR(INDEX(Inputs!$B$13:$B$15,MATCH(G477,Inputs!$A$13:$A$15,0)),0)+IFERROR(INDEX(Inputs!$B$18:$B$24,MATCH(H477,Inputs!$A$18:$A$24,0)),0))</f>
        <v>0.076</v>
      </c>
      <c r="AC477" s="28" t="n">
        <f aca="false">IF(OR(N(AB477)&lt;=0,N(N477)=0,N(L477)=0),"",MIN(L477,N477/AB477))</f>
        <v>19.7368421052632</v>
      </c>
      <c r="AD477" s="29" t="str">
        <f aca="false">IF(OR(AC477="",N(O477)=0),"",AC477/O477-1)</f>
        <v/>
      </c>
      <c r="AE477" s="29" t="str">
        <f aca="false">IF(OR(AD477="",N(O477)=0),"",AD477+N477/O477)</f>
        <v/>
      </c>
      <c r="AF477" s="32" t="str">
        <f aca="false">IF(OR(AE477="",N(Z477)=0),"",AE477-Z477)</f>
        <v/>
      </c>
      <c r="AG477" s="28" t="n">
        <f aca="false">IF(AND(N(M477)&gt;0,N(L477)&gt;0),M477*L477,N477)</f>
        <v>1.5</v>
      </c>
      <c r="AH477" s="28" t="n">
        <f aca="false">IF(OR(N(AB477)&lt;=0,N(AG477)=0,N(L477)=0),"",MIN(L477,AG477/AB477))</f>
        <v>19.7368421052632</v>
      </c>
      <c r="AI477" s="29" t="str">
        <f aca="false">IF(OR(AH477="",N(O477)=0),"",AH477/O477-1)</f>
        <v/>
      </c>
      <c r="AJ477" s="29" t="str">
        <f aca="false">IF(OR(AI477="",N(O477)=0),"",AI477+AG477/O477)</f>
        <v/>
      </c>
      <c r="AK477" s="32" t="str">
        <f aca="false">IF(OR(AJ477="",N(AE477)=0),"",AJ477-AE477)</f>
        <v/>
      </c>
      <c r="AL477" s="33" t="n">
        <f aca="false">IF(N(F477)=0,"",INDEX(Inputs!$B$28:$B$32,IFERROR(MATCH(F477,Inputs!$A$28:$A$32,1),0)+1))</f>
        <v>0.085</v>
      </c>
      <c r="AM477" s="34"/>
      <c r="AN477" s="33" t="n">
        <f aca="false">IF(N(AM477)&gt;0,AM477,AL477)</f>
        <v>0.085</v>
      </c>
      <c r="AO477" s="29" t="n">
        <f aca="false">IF(N(AN477)=0,"",AN477+IF(I477="yes",AN477*Inputs!$B$10*Inputs!$B$9,0)+IFERROR(INDEX(Inputs!$B$13:$B$15,MATCH(G477,Inputs!$A$13:$A$15,0)),0)+IFERROR(INDEX(Inputs!$B$18:$B$24,MATCH(H477,Inputs!$A$18:$A$24,0)),0))</f>
        <v>0.08075</v>
      </c>
      <c r="AP477" s="28" t="n">
        <f aca="false">IF(OR(N(AO477)&lt;=0,N(AG477)=0,N(L477)=0),"",MIN(L477,AG477/AO477))</f>
        <v>18.5758513931889</v>
      </c>
      <c r="AQ477" s="29" t="str">
        <f aca="false">IF(OR(AP477="",N(O477)=0),"",AP477/O477-1)</f>
        <v/>
      </c>
      <c r="AR477" s="29" t="str">
        <f aca="false">IF(OR(AQ477="",N(O477)=0),"",AQ477+AG477/O477)</f>
        <v/>
      </c>
      <c r="AS477" s="32" t="str">
        <f aca="false">IF(OR(AR477="",N(AJ477)=0),"",AR477-AJ477)</f>
        <v/>
      </c>
      <c r="AT477" s="28"/>
      <c r="AU477" s="28"/>
      <c r="AV477" s="28" t="n">
        <f aca="false">IF(N(AT477)&gt;0,AT477,L477)</f>
        <v>25</v>
      </c>
      <c r="AW477" s="28" t="n">
        <f aca="false">IF(AND(N(M477)&gt;0,N(AV477)&gt;0),M477*AV477,IF(N(AU477)&gt;0,AU477,N477))</f>
        <v>1.5</v>
      </c>
      <c r="AX477" s="29" t="n">
        <f aca="false">IF(N(AN477)=0,"",AN477+IF(I477="yes",AN477*Inputs!$B$10*Inputs!$B$9,0)+IFERROR(INDEX(Inputs!$B$13:$B$15,MATCH(G477,Inputs!$A$13:$A$15,0)),0)+IFERROR(INDEX(Inputs!$B$18:$B$24,MATCH(H477,Inputs!$A$18:$A$24,0)),0))</f>
        <v>0.08075</v>
      </c>
      <c r="AY477" s="28" t="n">
        <f aca="false">IF(OR(N(AX477)&lt;=0,N(AW477)=0,N(AV477)=0),"",MIN(AV477,AW477/AX477))</f>
        <v>18.5758513931889</v>
      </c>
      <c r="AZ477" s="29" t="str">
        <f aca="false">IF(OR(AY477="",N(O477)=0),"",AY477/O477-1)</f>
        <v/>
      </c>
      <c r="BA477" s="29" t="str">
        <f aca="false">IF(OR(AZ477="",N(O477)=0),"",AZ477+AW477/O477)</f>
        <v/>
      </c>
      <c r="BB477" s="32" t="str">
        <f aca="false">IF(OR(BA477="",N(AR477)=0),"",BA477-AR477)</f>
        <v/>
      </c>
      <c r="BC477" s="35" t="str">
        <f aca="false">IF(OR(BA477="",N(U477)=0),"",BA477-U477)</f>
        <v/>
      </c>
      <c r="BD477" s="36" t="s">
        <v>198</v>
      </c>
    </row>
    <row r="478" customFormat="false" ht="15" hidden="false" customHeight="false" outlineLevel="0" collapsed="false">
      <c r="A478" s="2" t="s">
        <v>768</v>
      </c>
      <c r="B478" s="2" t="n">
        <v>326</v>
      </c>
      <c r="C478" s="2" t="s">
        <v>1012</v>
      </c>
      <c r="D478" s="2" t="s">
        <v>1008</v>
      </c>
      <c r="E478" s="2" t="s">
        <v>1009</v>
      </c>
      <c r="F478" s="27" t="n">
        <v>2500</v>
      </c>
      <c r="G478" s="2" t="s">
        <v>51</v>
      </c>
      <c r="H478" s="2" t="s">
        <v>59</v>
      </c>
      <c r="I478" s="2" t="s">
        <v>151</v>
      </c>
      <c r="J478" s="2" t="s">
        <v>145</v>
      </c>
      <c r="K478" s="2" t="n">
        <v>4</v>
      </c>
      <c r="L478" s="28" t="n">
        <v>25</v>
      </c>
      <c r="M478" s="29" t="n">
        <v>0.07</v>
      </c>
      <c r="N478" s="28" t="n">
        <v>1.75</v>
      </c>
      <c r="O478" s="28" t="n">
        <v>0</v>
      </c>
      <c r="P478" s="2" t="s">
        <v>146</v>
      </c>
      <c r="Q478" s="29" t="n">
        <v>0.08</v>
      </c>
      <c r="R478" s="30" t="n">
        <v>0.076</v>
      </c>
      <c r="S478" s="31" t="n">
        <v>23.0263157894737</v>
      </c>
      <c r="T478" s="30"/>
      <c r="U478" s="30"/>
      <c r="V478" s="29" t="n">
        <v>0</v>
      </c>
      <c r="W478" s="29" t="n">
        <f aca="false">IF(N(Q478)=0,"",Q478+IF(I478="yes",Q478*Inputs!$B$10*Inputs!$B$9,0)+V478)</f>
        <v>0.076</v>
      </c>
      <c r="X478" s="28" t="n">
        <f aca="false">IF(OR(N(W478)&lt;=0,N(N478)=0,N(L478)=0),"",MIN(L478,N478/W478))</f>
        <v>23.0263157894737</v>
      </c>
      <c r="Y478" s="29" t="str">
        <f aca="false">IF(OR(X478="",N(O478)=0),"",X478/O478-1)</f>
        <v/>
      </c>
      <c r="Z478" s="29" t="str">
        <f aca="false">IF(OR(Y478="",N(O478)=0),"",Y478+N478/O478)</f>
        <v/>
      </c>
      <c r="AA478" s="32" t="str">
        <f aca="false">IF(OR(Z478="",N(U478)=0),"",Z478-U478)</f>
        <v/>
      </c>
      <c r="AB478" s="29" t="n">
        <f aca="false">IF(N(Q478)=0,"",Q478+IF(I478="yes",Q478*Inputs!$B$10*Inputs!$B$9,0)+IFERROR(INDEX(Inputs!$B$13:$B$15,MATCH(G478,Inputs!$A$13:$A$15,0)),0)+IFERROR(INDEX(Inputs!$B$18:$B$24,MATCH(H478,Inputs!$A$18:$A$24,0)),0))</f>
        <v>0.076</v>
      </c>
      <c r="AC478" s="28" t="n">
        <f aca="false">IF(OR(N(AB478)&lt;=0,N(N478)=0,N(L478)=0),"",MIN(L478,N478/AB478))</f>
        <v>23.0263157894737</v>
      </c>
      <c r="AD478" s="29" t="str">
        <f aca="false">IF(OR(AC478="",N(O478)=0),"",AC478/O478-1)</f>
        <v/>
      </c>
      <c r="AE478" s="29" t="str">
        <f aca="false">IF(OR(AD478="",N(O478)=0),"",AD478+N478/O478)</f>
        <v/>
      </c>
      <c r="AF478" s="32" t="str">
        <f aca="false">IF(OR(AE478="",N(Z478)=0),"",AE478-Z478)</f>
        <v/>
      </c>
      <c r="AG478" s="28" t="n">
        <f aca="false">IF(AND(N(M478)&gt;0,N(L478)&gt;0),M478*L478,N478)</f>
        <v>1.75</v>
      </c>
      <c r="AH478" s="28" t="n">
        <f aca="false">IF(OR(N(AB478)&lt;=0,N(AG478)=0,N(L478)=0),"",MIN(L478,AG478/AB478))</f>
        <v>23.0263157894737</v>
      </c>
      <c r="AI478" s="29" t="str">
        <f aca="false">IF(OR(AH478="",N(O478)=0),"",AH478/O478-1)</f>
        <v/>
      </c>
      <c r="AJ478" s="29" t="str">
        <f aca="false">IF(OR(AI478="",N(O478)=0),"",AI478+AG478/O478)</f>
        <v/>
      </c>
      <c r="AK478" s="32" t="str">
        <f aca="false">IF(OR(AJ478="",N(AE478)=0),"",AJ478-AE478)</f>
        <v/>
      </c>
      <c r="AL478" s="33" t="n">
        <f aca="false">IF(N(F478)=0,"",INDEX(Inputs!$B$28:$B$32,IFERROR(MATCH(F478,Inputs!$A$28:$A$32,1),0)+1))</f>
        <v>0.085</v>
      </c>
      <c r="AM478" s="34"/>
      <c r="AN478" s="33" t="n">
        <f aca="false">IF(N(AM478)&gt;0,AM478,AL478)</f>
        <v>0.085</v>
      </c>
      <c r="AO478" s="29" t="n">
        <f aca="false">IF(N(AN478)=0,"",AN478+IF(I478="yes",AN478*Inputs!$B$10*Inputs!$B$9,0)+IFERROR(INDEX(Inputs!$B$13:$B$15,MATCH(G478,Inputs!$A$13:$A$15,0)),0)+IFERROR(INDEX(Inputs!$B$18:$B$24,MATCH(H478,Inputs!$A$18:$A$24,0)),0))</f>
        <v>0.08075</v>
      </c>
      <c r="AP478" s="28" t="n">
        <f aca="false">IF(OR(N(AO478)&lt;=0,N(AG478)=0,N(L478)=0),"",MIN(L478,AG478/AO478))</f>
        <v>21.671826625387</v>
      </c>
      <c r="AQ478" s="29" t="str">
        <f aca="false">IF(OR(AP478="",N(O478)=0),"",AP478/O478-1)</f>
        <v/>
      </c>
      <c r="AR478" s="29" t="str">
        <f aca="false">IF(OR(AQ478="",N(O478)=0),"",AQ478+AG478/O478)</f>
        <v/>
      </c>
      <c r="AS478" s="32" t="str">
        <f aca="false">IF(OR(AR478="",N(AJ478)=0),"",AR478-AJ478)</f>
        <v/>
      </c>
      <c r="AT478" s="28"/>
      <c r="AU478" s="28"/>
      <c r="AV478" s="28" t="n">
        <f aca="false">IF(N(AT478)&gt;0,AT478,L478)</f>
        <v>25</v>
      </c>
      <c r="AW478" s="28" t="n">
        <f aca="false">IF(AND(N(M478)&gt;0,N(AV478)&gt;0),M478*AV478,IF(N(AU478)&gt;0,AU478,N478))</f>
        <v>1.75</v>
      </c>
      <c r="AX478" s="29" t="n">
        <f aca="false">IF(N(AN478)=0,"",AN478+IF(I478="yes",AN478*Inputs!$B$10*Inputs!$B$9,0)+IFERROR(INDEX(Inputs!$B$13:$B$15,MATCH(G478,Inputs!$A$13:$A$15,0)),0)+IFERROR(INDEX(Inputs!$B$18:$B$24,MATCH(H478,Inputs!$A$18:$A$24,0)),0))</f>
        <v>0.08075</v>
      </c>
      <c r="AY478" s="28" t="n">
        <f aca="false">IF(OR(N(AX478)&lt;=0,N(AW478)=0,N(AV478)=0),"",MIN(AV478,AW478/AX478))</f>
        <v>21.671826625387</v>
      </c>
      <c r="AZ478" s="29" t="str">
        <f aca="false">IF(OR(AY478="",N(O478)=0),"",AY478/O478-1)</f>
        <v/>
      </c>
      <c r="BA478" s="29" t="str">
        <f aca="false">IF(OR(AZ478="",N(O478)=0),"",AZ478+AW478/O478)</f>
        <v/>
      </c>
      <c r="BB478" s="32" t="str">
        <f aca="false">IF(OR(BA478="",N(AR478)=0),"",BA478-AR478)</f>
        <v/>
      </c>
      <c r="BC478" s="35" t="str">
        <f aca="false">IF(OR(BA478="",N(U478)=0),"",BA478-U478)</f>
        <v/>
      </c>
      <c r="BD478" s="36" t="s">
        <v>198</v>
      </c>
    </row>
    <row r="479" customFormat="false" ht="15" hidden="false" customHeight="false" outlineLevel="0" collapsed="false">
      <c r="A479" s="2" t="s">
        <v>768</v>
      </c>
      <c r="B479" s="2" t="n">
        <v>329</v>
      </c>
      <c r="C479" s="2" t="s">
        <v>1013</v>
      </c>
      <c r="D479" s="2" t="s">
        <v>1014</v>
      </c>
      <c r="E479" s="2" t="s">
        <v>1015</v>
      </c>
      <c r="F479" s="27" t="n">
        <v>18</v>
      </c>
      <c r="G479" s="2" t="s">
        <v>51</v>
      </c>
      <c r="H479" s="2" t="s">
        <v>58</v>
      </c>
      <c r="I479" s="2" t="s">
        <v>144</v>
      </c>
      <c r="J479" s="2" t="s">
        <v>145</v>
      </c>
      <c r="K479" s="2" t="n">
        <v>4</v>
      </c>
      <c r="L479" s="28" t="n">
        <v>25</v>
      </c>
      <c r="M479" s="29" t="n">
        <v>0.08</v>
      </c>
      <c r="N479" s="28" t="n">
        <v>2</v>
      </c>
      <c r="O479" s="28" t="n">
        <v>0</v>
      </c>
      <c r="P479" s="2" t="s">
        <v>146</v>
      </c>
      <c r="Q479" s="29" t="n">
        <v>0.09</v>
      </c>
      <c r="R479" s="30" t="n">
        <v>0.09</v>
      </c>
      <c r="S479" s="31" t="n">
        <v>22.2222222222222</v>
      </c>
      <c r="T479" s="30"/>
      <c r="U479" s="30"/>
      <c r="V479" s="29" t="n">
        <v>0</v>
      </c>
      <c r="W479" s="29" t="n">
        <f aca="false">IF(N(Q479)=0,"",Q479+IF(I479="yes",Q479*Inputs!$B$10*Inputs!$B$9,0)+V479)</f>
        <v>0.09</v>
      </c>
      <c r="X479" s="28" t="n">
        <f aca="false">IF(OR(N(W479)&lt;=0,N(N479)=0,N(L479)=0),"",MIN(L479,N479/W479))</f>
        <v>22.2222222222222</v>
      </c>
      <c r="Y479" s="29" t="str">
        <f aca="false">IF(OR(X479="",N(O479)=0),"",X479/O479-1)</f>
        <v/>
      </c>
      <c r="Z479" s="29" t="str">
        <f aca="false">IF(OR(Y479="",N(O479)=0),"",Y479+N479/O479)</f>
        <v/>
      </c>
      <c r="AA479" s="32" t="str">
        <f aca="false">IF(OR(Z479="",N(U479)=0),"",Z479-U479)</f>
        <v/>
      </c>
      <c r="AB479" s="29" t="n">
        <f aca="false">IF(N(Q479)=0,"",Q479+IF(I479="yes",Q479*Inputs!$B$10*Inputs!$B$9,0)+IFERROR(INDEX(Inputs!$B$13:$B$15,MATCH(G479,Inputs!$A$13:$A$15,0)),0)+IFERROR(INDEX(Inputs!$B$18:$B$24,MATCH(H479,Inputs!$A$18:$A$24,0)),0))</f>
        <v>0.09</v>
      </c>
      <c r="AC479" s="28" t="n">
        <f aca="false">IF(OR(N(AB479)&lt;=0,N(N479)=0,N(L479)=0),"",MIN(L479,N479/AB479))</f>
        <v>22.2222222222222</v>
      </c>
      <c r="AD479" s="29" t="str">
        <f aca="false">IF(OR(AC479="",N(O479)=0),"",AC479/O479-1)</f>
        <v/>
      </c>
      <c r="AE479" s="29" t="str">
        <f aca="false">IF(OR(AD479="",N(O479)=0),"",AD479+N479/O479)</f>
        <v/>
      </c>
      <c r="AF479" s="32" t="str">
        <f aca="false">IF(OR(AE479="",N(Z479)=0),"",AE479-Z479)</f>
        <v/>
      </c>
      <c r="AG479" s="28" t="n">
        <f aca="false">IF(AND(N(M479)&gt;0,N(L479)&gt;0),M479*L479,N479)</f>
        <v>2</v>
      </c>
      <c r="AH479" s="28" t="n">
        <f aca="false">IF(OR(N(AB479)&lt;=0,N(AG479)=0,N(L479)=0),"",MIN(L479,AG479/AB479))</f>
        <v>22.2222222222222</v>
      </c>
      <c r="AI479" s="29" t="str">
        <f aca="false">IF(OR(AH479="",N(O479)=0),"",AH479/O479-1)</f>
        <v/>
      </c>
      <c r="AJ479" s="29" t="str">
        <f aca="false">IF(OR(AI479="",N(O479)=0),"",AI479+AG479/O479)</f>
        <v/>
      </c>
      <c r="AK479" s="32" t="str">
        <f aca="false">IF(OR(AJ479="",N(AE479)=0),"",AJ479-AE479)</f>
        <v/>
      </c>
      <c r="AL479" s="33" t="n">
        <f aca="false">IF(N(F479)=0,"",INDEX(Inputs!$B$28:$B$32,IFERROR(MATCH(F479,Inputs!$A$28:$A$32,1),0)+1))</f>
        <v>0.1</v>
      </c>
      <c r="AM479" s="34"/>
      <c r="AN479" s="33" t="n">
        <f aca="false">IF(N(AM479)&gt;0,AM479,AL479)</f>
        <v>0.1</v>
      </c>
      <c r="AO479" s="29" t="n">
        <f aca="false">IF(N(AN479)=0,"",AN479+IF(I479="yes",AN479*Inputs!$B$10*Inputs!$B$9,0)+IFERROR(INDEX(Inputs!$B$13:$B$15,MATCH(G479,Inputs!$A$13:$A$15,0)),0)+IFERROR(INDEX(Inputs!$B$18:$B$24,MATCH(H479,Inputs!$A$18:$A$24,0)),0))</f>
        <v>0.1</v>
      </c>
      <c r="AP479" s="28" t="n">
        <f aca="false">IF(OR(N(AO479)&lt;=0,N(AG479)=0,N(L479)=0),"",MIN(L479,AG479/AO479))</f>
        <v>20</v>
      </c>
      <c r="AQ479" s="29" t="str">
        <f aca="false">IF(OR(AP479="",N(O479)=0),"",AP479/O479-1)</f>
        <v/>
      </c>
      <c r="AR479" s="29" t="str">
        <f aca="false">IF(OR(AQ479="",N(O479)=0),"",AQ479+AG479/O479)</f>
        <v/>
      </c>
      <c r="AS479" s="32" t="str">
        <f aca="false">IF(OR(AR479="",N(AJ479)=0),"",AR479-AJ479)</f>
        <v/>
      </c>
      <c r="AT479" s="28"/>
      <c r="AU479" s="28"/>
      <c r="AV479" s="28" t="n">
        <f aca="false">IF(N(AT479)&gt;0,AT479,L479)</f>
        <v>25</v>
      </c>
      <c r="AW479" s="28" t="n">
        <f aca="false">IF(AND(N(M479)&gt;0,N(AV479)&gt;0),M479*AV479,IF(N(AU479)&gt;0,AU479,N479))</f>
        <v>2</v>
      </c>
      <c r="AX479" s="29" t="n">
        <f aca="false">IF(N(AN479)=0,"",AN479+IF(I479="yes",AN479*Inputs!$B$10*Inputs!$B$9,0)+IFERROR(INDEX(Inputs!$B$13:$B$15,MATCH(G479,Inputs!$A$13:$A$15,0)),0)+IFERROR(INDEX(Inputs!$B$18:$B$24,MATCH(H479,Inputs!$A$18:$A$24,0)),0))</f>
        <v>0.1</v>
      </c>
      <c r="AY479" s="28" t="n">
        <f aca="false">IF(OR(N(AX479)&lt;=0,N(AW479)=0,N(AV479)=0),"",MIN(AV479,AW479/AX479))</f>
        <v>20</v>
      </c>
      <c r="AZ479" s="29" t="str">
        <f aca="false">IF(OR(AY479="",N(O479)=0),"",AY479/O479-1)</f>
        <v/>
      </c>
      <c r="BA479" s="29" t="str">
        <f aca="false">IF(OR(AZ479="",N(O479)=0),"",AZ479+AW479/O479)</f>
        <v/>
      </c>
      <c r="BB479" s="32" t="str">
        <f aca="false">IF(OR(BA479="",N(AR479)=0),"",BA479-AR479)</f>
        <v/>
      </c>
      <c r="BC479" s="35" t="str">
        <f aca="false">IF(OR(BA479="",N(U479)=0),"",BA479-U479)</f>
        <v/>
      </c>
      <c r="BD479" s="36" t="s">
        <v>198</v>
      </c>
    </row>
    <row r="480" customFormat="false" ht="15" hidden="false" customHeight="false" outlineLevel="0" collapsed="false">
      <c r="A480" s="2" t="s">
        <v>768</v>
      </c>
      <c r="B480" s="2" t="n">
        <v>333</v>
      </c>
      <c r="C480" s="2" t="s">
        <v>1016</v>
      </c>
      <c r="D480" s="2" t="s">
        <v>1017</v>
      </c>
      <c r="E480" s="2" t="s">
        <v>1018</v>
      </c>
      <c r="F480" s="27" t="n">
        <v>59400</v>
      </c>
      <c r="G480" s="2" t="s">
        <v>51</v>
      </c>
      <c r="H480" s="2" t="s">
        <v>58</v>
      </c>
      <c r="I480" s="2" t="s">
        <v>151</v>
      </c>
      <c r="J480" s="2" t="s">
        <v>145</v>
      </c>
      <c r="K480" s="2" t="n">
        <v>4</v>
      </c>
      <c r="L480" s="28" t="n">
        <v>25</v>
      </c>
      <c r="M480" s="29" t="n">
        <v>0.04</v>
      </c>
      <c r="N480" s="28" t="n">
        <v>1</v>
      </c>
      <c r="O480" s="28" t="n">
        <v>20.86</v>
      </c>
      <c r="P480" s="2" t="s">
        <v>146</v>
      </c>
      <c r="Q480" s="29"/>
      <c r="R480" s="30"/>
      <c r="S480" s="31"/>
      <c r="T480" s="30"/>
      <c r="U480" s="30"/>
      <c r="V480" s="29" t="n">
        <v>0</v>
      </c>
      <c r="W480" s="29" t="str">
        <f aca="false">IF(N(Q480)=0,"",Q480+IF(I480="yes",Q480*Inputs!$B$10*Inputs!$B$9,0)+V480)</f>
        <v/>
      </c>
      <c r="X480" s="28" t="str">
        <f aca="false">IF(OR(N(W480)&lt;=0,N(N480)=0,N(L480)=0),"",MIN(L480,N480/W480))</f>
        <v/>
      </c>
      <c r="Y480" s="29" t="str">
        <f aca="false">IF(OR(X480="",N(O480)=0),"",X480/O480-1)</f>
        <v/>
      </c>
      <c r="Z480" s="29" t="str">
        <f aca="false">IF(OR(Y480="",N(O480)=0),"",Y480+N480/O480)</f>
        <v/>
      </c>
      <c r="AA480" s="32" t="str">
        <f aca="false">IF(OR(Z480="",N(U480)=0),"",Z480-U480)</f>
        <v/>
      </c>
      <c r="AB480" s="29" t="str">
        <f aca="false">IF(N(Q480)=0,"",Q480+IF(I480="yes",Q480*Inputs!$B$10*Inputs!$B$9,0)+IFERROR(INDEX(Inputs!$B$13:$B$15,MATCH(G480,Inputs!$A$13:$A$15,0)),0)+IFERROR(INDEX(Inputs!$B$18:$B$24,MATCH(H480,Inputs!$A$18:$A$24,0)),0))</f>
        <v/>
      </c>
      <c r="AC480" s="28" t="str">
        <f aca="false">IF(OR(N(AB480)&lt;=0,N(N480)=0,N(L480)=0),"",MIN(L480,N480/AB480))</f>
        <v/>
      </c>
      <c r="AD480" s="29" t="str">
        <f aca="false">IF(OR(AC480="",N(O480)=0),"",AC480/O480-1)</f>
        <v/>
      </c>
      <c r="AE480" s="29" t="str">
        <f aca="false">IF(OR(AD480="",N(O480)=0),"",AD480+N480/O480)</f>
        <v/>
      </c>
      <c r="AF480" s="32" t="str">
        <f aca="false">IF(OR(AE480="",N(Z480)=0),"",AE480-Z480)</f>
        <v/>
      </c>
      <c r="AG480" s="28" t="n">
        <f aca="false">IF(AND(N(M480)&gt;0,N(L480)&gt;0),M480*L480,N480)</f>
        <v>1</v>
      </c>
      <c r="AH480" s="28" t="str">
        <f aca="false">IF(OR(N(AB480)&lt;=0,N(AG480)=0,N(L480)=0),"",MIN(L480,AG480/AB480))</f>
        <v/>
      </c>
      <c r="AI480" s="29" t="str">
        <f aca="false">IF(OR(AH480="",N(O480)=0),"",AH480/O480-1)</f>
        <v/>
      </c>
      <c r="AJ480" s="29" t="str">
        <f aca="false">IF(OR(AI480="",N(O480)=0),"",AI480+AG480/O480)</f>
        <v/>
      </c>
      <c r="AK480" s="32" t="str">
        <f aca="false">IF(OR(AJ480="",N(AE480)=0),"",AJ480-AE480)</f>
        <v/>
      </c>
      <c r="AL480" s="33" t="n">
        <f aca="false">IF(N(F480)=0,"",INDEX(Inputs!$B$28:$B$32,IFERROR(MATCH(F480,Inputs!$A$28:$A$32,1),0)+1))</f>
        <v>0.075</v>
      </c>
      <c r="AM480" s="34"/>
      <c r="AN480" s="33" t="n">
        <f aca="false">IF(N(AM480)&gt;0,AM480,AL480)</f>
        <v>0.075</v>
      </c>
      <c r="AO480" s="29" t="n">
        <f aca="false">IF(N(AN480)=0,"",AN480+IF(I480="yes",AN480*Inputs!$B$10*Inputs!$B$9,0)+IFERROR(INDEX(Inputs!$B$13:$B$15,MATCH(G480,Inputs!$A$13:$A$15,0)),0)+IFERROR(INDEX(Inputs!$B$18:$B$24,MATCH(H480,Inputs!$A$18:$A$24,0)),0))</f>
        <v>0.07125</v>
      </c>
      <c r="AP480" s="28" t="n">
        <f aca="false">IF(OR(N(AO480)&lt;=0,N(AG480)=0,N(L480)=0),"",MIN(L480,AG480/AO480))</f>
        <v>14.0350877192982</v>
      </c>
      <c r="AQ480" s="29" t="n">
        <f aca="false">IF(OR(AP480="",N(O480)=0),"",AP480/O480-1)</f>
        <v>-0.327177002909959</v>
      </c>
      <c r="AR480" s="29" t="n">
        <f aca="false">IF(OR(AQ480="",N(O480)=0),"",AQ480+AG480/O480)</f>
        <v>-0.279238364367294</v>
      </c>
      <c r="AS480" s="32" t="str">
        <f aca="false">IF(OR(AR480="",N(AJ480)=0),"",AR480-AJ480)</f>
        <v/>
      </c>
      <c r="AT480" s="28" t="n">
        <v>25</v>
      </c>
      <c r="AU480" s="28"/>
      <c r="AV480" s="28" t="n">
        <f aca="false">IF(N(AT480)&gt;0,AT480,L480)</f>
        <v>25</v>
      </c>
      <c r="AW480" s="28" t="n">
        <f aca="false">IF(AND(N(M480)&gt;0,N(AV480)&gt;0),M480*AV480,IF(N(AU480)&gt;0,AU480,N480))</f>
        <v>1</v>
      </c>
      <c r="AX480" s="29" t="n">
        <f aca="false">IF(N(AN480)=0,"",AN480+IF(I480="yes",AN480*Inputs!$B$10*Inputs!$B$9,0)+IFERROR(INDEX(Inputs!$B$13:$B$15,MATCH(G480,Inputs!$A$13:$A$15,0)),0)+IFERROR(INDEX(Inputs!$B$18:$B$24,MATCH(H480,Inputs!$A$18:$A$24,0)),0))</f>
        <v>0.07125</v>
      </c>
      <c r="AY480" s="28" t="n">
        <f aca="false">IF(OR(N(AX480)&lt;=0,N(AW480)=0,N(AV480)=0),"",MIN(AV480,AW480/AX480))</f>
        <v>14.0350877192982</v>
      </c>
      <c r="AZ480" s="29" t="n">
        <f aca="false">IF(OR(AY480="",N(O480)=0),"",AY480/O480-1)</f>
        <v>-0.327177002909959</v>
      </c>
      <c r="BA480" s="29" t="n">
        <f aca="false">IF(OR(AZ480="",N(O480)=0),"",AZ480+AW480/O480)</f>
        <v>-0.279238364367294</v>
      </c>
      <c r="BB480" s="32" t="n">
        <f aca="false">IF(OR(BA480="",N(AR480)=0),"",BA480-AR480)</f>
        <v>0</v>
      </c>
      <c r="BC480" s="35" t="str">
        <f aca="false">IF(OR(BA480="",N(U480)=0),"",BA480-U480)</f>
        <v/>
      </c>
      <c r="BD480" s="36" t="s">
        <v>231</v>
      </c>
    </row>
    <row r="481" customFormat="false" ht="15" hidden="false" customHeight="false" outlineLevel="0" collapsed="false">
      <c r="A481" s="2" t="s">
        <v>768</v>
      </c>
      <c r="B481" s="2" t="n">
        <v>334</v>
      </c>
      <c r="C481" s="2" t="s">
        <v>1019</v>
      </c>
      <c r="D481" s="2" t="s">
        <v>1017</v>
      </c>
      <c r="E481" s="2" t="s">
        <v>1018</v>
      </c>
      <c r="F481" s="27" t="n">
        <v>59400</v>
      </c>
      <c r="G481" s="2" t="s">
        <v>51</v>
      </c>
      <c r="H481" s="2" t="s">
        <v>58</v>
      </c>
      <c r="I481" s="2" t="s">
        <v>151</v>
      </c>
      <c r="J481" s="2" t="s">
        <v>145</v>
      </c>
      <c r="K481" s="2" t="n">
        <v>4</v>
      </c>
      <c r="L481" s="28" t="n">
        <v>25</v>
      </c>
      <c r="M481" s="29" t="n">
        <v>0.05625</v>
      </c>
      <c r="N481" s="28" t="n">
        <v>1.40625</v>
      </c>
      <c r="O481" s="28" t="n">
        <v>21.25</v>
      </c>
      <c r="P481" s="2" t="s">
        <v>146</v>
      </c>
      <c r="Q481" s="29"/>
      <c r="R481" s="30"/>
      <c r="S481" s="31"/>
      <c r="T481" s="30"/>
      <c r="U481" s="30"/>
      <c r="V481" s="29" t="n">
        <v>0</v>
      </c>
      <c r="W481" s="29" t="str">
        <f aca="false">IF(N(Q481)=0,"",Q481+IF(I481="yes",Q481*Inputs!$B$10*Inputs!$B$9,0)+V481)</f>
        <v/>
      </c>
      <c r="X481" s="28" t="str">
        <f aca="false">IF(OR(N(W481)&lt;=0,N(N481)=0,N(L481)=0),"",MIN(L481,N481/W481))</f>
        <v/>
      </c>
      <c r="Y481" s="29" t="str">
        <f aca="false">IF(OR(X481="",N(O481)=0),"",X481/O481-1)</f>
        <v/>
      </c>
      <c r="Z481" s="29" t="str">
        <f aca="false">IF(OR(Y481="",N(O481)=0),"",Y481+N481/O481)</f>
        <v/>
      </c>
      <c r="AA481" s="32" t="str">
        <f aca="false">IF(OR(Z481="",N(U481)=0),"",Z481-U481)</f>
        <v/>
      </c>
      <c r="AB481" s="29" t="str">
        <f aca="false">IF(N(Q481)=0,"",Q481+IF(I481="yes",Q481*Inputs!$B$10*Inputs!$B$9,0)+IFERROR(INDEX(Inputs!$B$13:$B$15,MATCH(G481,Inputs!$A$13:$A$15,0)),0)+IFERROR(INDEX(Inputs!$B$18:$B$24,MATCH(H481,Inputs!$A$18:$A$24,0)),0))</f>
        <v/>
      </c>
      <c r="AC481" s="28" t="str">
        <f aca="false">IF(OR(N(AB481)&lt;=0,N(N481)=0,N(L481)=0),"",MIN(L481,N481/AB481))</f>
        <v/>
      </c>
      <c r="AD481" s="29" t="str">
        <f aca="false">IF(OR(AC481="",N(O481)=0),"",AC481/O481-1)</f>
        <v/>
      </c>
      <c r="AE481" s="29" t="str">
        <f aca="false">IF(OR(AD481="",N(O481)=0),"",AD481+N481/O481)</f>
        <v/>
      </c>
      <c r="AF481" s="32" t="str">
        <f aca="false">IF(OR(AE481="",N(Z481)=0),"",AE481-Z481)</f>
        <v/>
      </c>
      <c r="AG481" s="28" t="n">
        <f aca="false">IF(AND(N(M481)&gt;0,N(L481)&gt;0),M481*L481,N481)</f>
        <v>1.40625</v>
      </c>
      <c r="AH481" s="28" t="str">
        <f aca="false">IF(OR(N(AB481)&lt;=0,N(AG481)=0,N(L481)=0),"",MIN(L481,AG481/AB481))</f>
        <v/>
      </c>
      <c r="AI481" s="29" t="str">
        <f aca="false">IF(OR(AH481="",N(O481)=0),"",AH481/O481-1)</f>
        <v/>
      </c>
      <c r="AJ481" s="29" t="str">
        <f aca="false">IF(OR(AI481="",N(O481)=0),"",AI481+AG481/O481)</f>
        <v/>
      </c>
      <c r="AK481" s="32" t="str">
        <f aca="false">IF(OR(AJ481="",N(AE481)=0),"",AJ481-AE481)</f>
        <v/>
      </c>
      <c r="AL481" s="33" t="n">
        <f aca="false">IF(N(F481)=0,"",INDEX(Inputs!$B$28:$B$32,IFERROR(MATCH(F481,Inputs!$A$28:$A$32,1),0)+1))</f>
        <v>0.075</v>
      </c>
      <c r="AM481" s="34"/>
      <c r="AN481" s="33" t="n">
        <f aca="false">IF(N(AM481)&gt;0,AM481,AL481)</f>
        <v>0.075</v>
      </c>
      <c r="AO481" s="29" t="n">
        <f aca="false">IF(N(AN481)=0,"",AN481+IF(I481="yes",AN481*Inputs!$B$10*Inputs!$B$9,0)+IFERROR(INDEX(Inputs!$B$13:$B$15,MATCH(G481,Inputs!$A$13:$A$15,0)),0)+IFERROR(INDEX(Inputs!$B$18:$B$24,MATCH(H481,Inputs!$A$18:$A$24,0)),0))</f>
        <v>0.07125</v>
      </c>
      <c r="AP481" s="28" t="n">
        <f aca="false">IF(OR(N(AO481)&lt;=0,N(AG481)=0,N(L481)=0),"",MIN(L481,AG481/AO481))</f>
        <v>19.7368421052632</v>
      </c>
      <c r="AQ481" s="29" t="n">
        <f aca="false">IF(OR(AP481="",N(O481)=0),"",AP481/O481-1)</f>
        <v>-0.0712074303405571</v>
      </c>
      <c r="AR481" s="29" t="n">
        <f aca="false">IF(OR(AQ481="",N(O481)=0),"",AQ481+AG481/O481)</f>
        <v>-0.0050309597523218</v>
      </c>
      <c r="AS481" s="32" t="str">
        <f aca="false">IF(OR(AR481="",N(AJ481)=0),"",AR481-AJ481)</f>
        <v/>
      </c>
      <c r="AT481" s="28" t="n">
        <v>25</v>
      </c>
      <c r="AU481" s="28" t="n">
        <v>1.41</v>
      </c>
      <c r="AV481" s="28" t="n">
        <f aca="false">IF(N(AT481)&gt;0,AT481,L481)</f>
        <v>25</v>
      </c>
      <c r="AW481" s="28" t="n">
        <f aca="false">IF(AND(N(M481)&gt;0,N(AV481)&gt;0),M481*AV481,IF(N(AU481)&gt;0,AU481,N481))</f>
        <v>1.40625</v>
      </c>
      <c r="AX481" s="29" t="n">
        <f aca="false">IF(N(AN481)=0,"",AN481+IF(I481="yes",AN481*Inputs!$B$10*Inputs!$B$9,0)+IFERROR(INDEX(Inputs!$B$13:$B$15,MATCH(G481,Inputs!$A$13:$A$15,0)),0)+IFERROR(INDEX(Inputs!$B$18:$B$24,MATCH(H481,Inputs!$A$18:$A$24,0)),0))</f>
        <v>0.07125</v>
      </c>
      <c r="AY481" s="28" t="n">
        <f aca="false">IF(OR(N(AX481)&lt;=0,N(AW481)=0,N(AV481)=0),"",MIN(AV481,AW481/AX481))</f>
        <v>19.7368421052632</v>
      </c>
      <c r="AZ481" s="29" t="n">
        <f aca="false">IF(OR(AY481="",N(O481)=0),"",AY481/O481-1)</f>
        <v>-0.0712074303405571</v>
      </c>
      <c r="BA481" s="29" t="n">
        <f aca="false">IF(OR(AZ481="",N(O481)=0),"",AZ481+AW481/O481)</f>
        <v>-0.0050309597523218</v>
      </c>
      <c r="BB481" s="32" t="n">
        <f aca="false">IF(OR(BA481="",N(AR481)=0),"",BA481-AR481)</f>
        <v>0</v>
      </c>
      <c r="BC481" s="35" t="str">
        <f aca="false">IF(OR(BA481="",N(U481)=0),"",BA481-U481)</f>
        <v/>
      </c>
      <c r="BD481" s="36" t="s">
        <v>231</v>
      </c>
    </row>
    <row r="482" customFormat="false" ht="15" hidden="false" customHeight="false" outlineLevel="0" collapsed="false">
      <c r="A482" s="2" t="s">
        <v>768</v>
      </c>
      <c r="B482" s="2" t="n">
        <v>335</v>
      </c>
      <c r="C482" s="2" t="s">
        <v>1020</v>
      </c>
      <c r="D482" s="2" t="s">
        <v>1017</v>
      </c>
      <c r="E482" s="2" t="s">
        <v>1018</v>
      </c>
      <c r="F482" s="27" t="n">
        <v>59400</v>
      </c>
      <c r="G482" s="2" t="s">
        <v>51</v>
      </c>
      <c r="H482" s="2" t="s">
        <v>58</v>
      </c>
      <c r="I482" s="2" t="s">
        <v>151</v>
      </c>
      <c r="J482" s="2" t="s">
        <v>145</v>
      </c>
      <c r="K482" s="2" t="n">
        <v>4</v>
      </c>
      <c r="L482" s="28" t="n">
        <v>25</v>
      </c>
      <c r="M482" s="29" t="n">
        <v>0.0475</v>
      </c>
      <c r="N482" s="28" t="n">
        <v>1.1875</v>
      </c>
      <c r="O482" s="28" t="n">
        <v>18</v>
      </c>
      <c r="P482" s="2" t="s">
        <v>146</v>
      </c>
      <c r="Q482" s="29"/>
      <c r="R482" s="30"/>
      <c r="S482" s="31"/>
      <c r="T482" s="30"/>
      <c r="U482" s="30"/>
      <c r="V482" s="29" t="n">
        <v>0</v>
      </c>
      <c r="W482" s="29" t="str">
        <f aca="false">IF(N(Q482)=0,"",Q482+IF(I482="yes",Q482*Inputs!$B$10*Inputs!$B$9,0)+V482)</f>
        <v/>
      </c>
      <c r="X482" s="28" t="str">
        <f aca="false">IF(OR(N(W482)&lt;=0,N(N482)=0,N(L482)=0),"",MIN(L482,N482/W482))</f>
        <v/>
      </c>
      <c r="Y482" s="29" t="str">
        <f aca="false">IF(OR(X482="",N(O482)=0),"",X482/O482-1)</f>
        <v/>
      </c>
      <c r="Z482" s="29" t="str">
        <f aca="false">IF(OR(Y482="",N(O482)=0),"",Y482+N482/O482)</f>
        <v/>
      </c>
      <c r="AA482" s="32" t="str">
        <f aca="false">IF(OR(Z482="",N(U482)=0),"",Z482-U482)</f>
        <v/>
      </c>
      <c r="AB482" s="29" t="str">
        <f aca="false">IF(N(Q482)=0,"",Q482+IF(I482="yes",Q482*Inputs!$B$10*Inputs!$B$9,0)+IFERROR(INDEX(Inputs!$B$13:$B$15,MATCH(G482,Inputs!$A$13:$A$15,0)),0)+IFERROR(INDEX(Inputs!$B$18:$B$24,MATCH(H482,Inputs!$A$18:$A$24,0)),0))</f>
        <v/>
      </c>
      <c r="AC482" s="28" t="str">
        <f aca="false">IF(OR(N(AB482)&lt;=0,N(N482)=0,N(L482)=0),"",MIN(L482,N482/AB482))</f>
        <v/>
      </c>
      <c r="AD482" s="29" t="str">
        <f aca="false">IF(OR(AC482="",N(O482)=0),"",AC482/O482-1)</f>
        <v/>
      </c>
      <c r="AE482" s="29" t="str">
        <f aca="false">IF(OR(AD482="",N(O482)=0),"",AD482+N482/O482)</f>
        <v/>
      </c>
      <c r="AF482" s="32" t="str">
        <f aca="false">IF(OR(AE482="",N(Z482)=0),"",AE482-Z482)</f>
        <v/>
      </c>
      <c r="AG482" s="28" t="n">
        <f aca="false">IF(AND(N(M482)&gt;0,N(L482)&gt;0),M482*L482,N482)</f>
        <v>1.1875</v>
      </c>
      <c r="AH482" s="28" t="str">
        <f aca="false">IF(OR(N(AB482)&lt;=0,N(AG482)=0,N(L482)=0),"",MIN(L482,AG482/AB482))</f>
        <v/>
      </c>
      <c r="AI482" s="29" t="str">
        <f aca="false">IF(OR(AH482="",N(O482)=0),"",AH482/O482-1)</f>
        <v/>
      </c>
      <c r="AJ482" s="29" t="str">
        <f aca="false">IF(OR(AI482="",N(O482)=0),"",AI482+AG482/O482)</f>
        <v/>
      </c>
      <c r="AK482" s="32" t="str">
        <f aca="false">IF(OR(AJ482="",N(AE482)=0),"",AJ482-AE482)</f>
        <v/>
      </c>
      <c r="AL482" s="33" t="n">
        <f aca="false">IF(N(F482)=0,"",INDEX(Inputs!$B$28:$B$32,IFERROR(MATCH(F482,Inputs!$A$28:$A$32,1),0)+1))</f>
        <v>0.075</v>
      </c>
      <c r="AM482" s="34"/>
      <c r="AN482" s="33" t="n">
        <f aca="false">IF(N(AM482)&gt;0,AM482,AL482)</f>
        <v>0.075</v>
      </c>
      <c r="AO482" s="29" t="n">
        <f aca="false">IF(N(AN482)=0,"",AN482+IF(I482="yes",AN482*Inputs!$B$10*Inputs!$B$9,0)+IFERROR(INDEX(Inputs!$B$13:$B$15,MATCH(G482,Inputs!$A$13:$A$15,0)),0)+IFERROR(INDEX(Inputs!$B$18:$B$24,MATCH(H482,Inputs!$A$18:$A$24,0)),0))</f>
        <v>0.07125</v>
      </c>
      <c r="AP482" s="28" t="n">
        <f aca="false">IF(OR(N(AO482)&lt;=0,N(AG482)=0,N(L482)=0),"",MIN(L482,AG482/AO482))</f>
        <v>16.6666666666667</v>
      </c>
      <c r="AQ482" s="29" t="n">
        <f aca="false">IF(OR(AP482="",N(O482)=0),"",AP482/O482-1)</f>
        <v>-0.074074074074074</v>
      </c>
      <c r="AR482" s="29" t="n">
        <f aca="false">IF(OR(AQ482="",N(O482)=0),"",AQ482+AG482/O482)</f>
        <v>-0.00810185185185174</v>
      </c>
      <c r="AS482" s="32" t="str">
        <f aca="false">IF(OR(AR482="",N(AJ482)=0),"",AR482-AJ482)</f>
        <v/>
      </c>
      <c r="AT482" s="28" t="n">
        <v>25</v>
      </c>
      <c r="AU482" s="28" t="n">
        <v>1.1875</v>
      </c>
      <c r="AV482" s="28" t="n">
        <f aca="false">IF(N(AT482)&gt;0,AT482,L482)</f>
        <v>25</v>
      </c>
      <c r="AW482" s="28" t="n">
        <f aca="false">IF(AND(N(M482)&gt;0,N(AV482)&gt;0),M482*AV482,IF(N(AU482)&gt;0,AU482,N482))</f>
        <v>1.1875</v>
      </c>
      <c r="AX482" s="29" t="n">
        <f aca="false">IF(N(AN482)=0,"",AN482+IF(I482="yes",AN482*Inputs!$B$10*Inputs!$B$9,0)+IFERROR(INDEX(Inputs!$B$13:$B$15,MATCH(G482,Inputs!$A$13:$A$15,0)),0)+IFERROR(INDEX(Inputs!$B$18:$B$24,MATCH(H482,Inputs!$A$18:$A$24,0)),0))</f>
        <v>0.07125</v>
      </c>
      <c r="AY482" s="28" t="n">
        <f aca="false">IF(OR(N(AX482)&lt;=0,N(AW482)=0,N(AV482)=0),"",MIN(AV482,AW482/AX482))</f>
        <v>16.6666666666667</v>
      </c>
      <c r="AZ482" s="29" t="n">
        <f aca="false">IF(OR(AY482="",N(O482)=0),"",AY482/O482-1)</f>
        <v>-0.074074074074074</v>
      </c>
      <c r="BA482" s="29" t="n">
        <f aca="false">IF(OR(AZ482="",N(O482)=0),"",AZ482+AW482/O482)</f>
        <v>-0.00810185185185174</v>
      </c>
      <c r="BB482" s="32" t="n">
        <f aca="false">IF(OR(BA482="",N(AR482)=0),"",BA482-AR482)</f>
        <v>0</v>
      </c>
      <c r="BC482" s="35" t="str">
        <f aca="false">IF(OR(BA482="",N(U482)=0),"",BA482-U482)</f>
        <v/>
      </c>
      <c r="BD482" s="36" t="s">
        <v>231</v>
      </c>
    </row>
    <row r="483" customFormat="false" ht="15" hidden="false" customHeight="false" outlineLevel="0" collapsed="false">
      <c r="A483" s="2" t="s">
        <v>768</v>
      </c>
      <c r="B483" s="2" t="n">
        <v>338</v>
      </c>
      <c r="C483" s="2" t="s">
        <v>1021</v>
      </c>
      <c r="D483" s="2" t="s">
        <v>1022</v>
      </c>
      <c r="E483" s="2" t="s">
        <v>1023</v>
      </c>
      <c r="F483" s="27" t="n">
        <v>578</v>
      </c>
      <c r="G483" s="2" t="s">
        <v>52</v>
      </c>
      <c r="H483" s="2" t="s">
        <v>58</v>
      </c>
      <c r="I483" s="2" t="s">
        <v>144</v>
      </c>
      <c r="J483" s="2" t="s">
        <v>145</v>
      </c>
      <c r="K483" s="2" t="n">
        <v>4</v>
      </c>
      <c r="L483" s="28" t="n">
        <v>25</v>
      </c>
      <c r="M483" s="29" t="n">
        <v>0.09</v>
      </c>
      <c r="N483" s="28" t="n">
        <v>2.25</v>
      </c>
      <c r="O483" s="28" t="n">
        <v>0</v>
      </c>
      <c r="P483" s="2" t="s">
        <v>146</v>
      </c>
      <c r="Q483" s="29" t="n">
        <v>0.09</v>
      </c>
      <c r="R483" s="30" t="n">
        <v>0.085</v>
      </c>
      <c r="S483" s="31" t="n">
        <v>25</v>
      </c>
      <c r="T483" s="30"/>
      <c r="U483" s="30"/>
      <c r="V483" s="29" t="n">
        <v>-0.005</v>
      </c>
      <c r="W483" s="29" t="n">
        <f aca="false">IF(N(Q483)=0,"",Q483+IF(I483="yes",Q483*Inputs!$B$10*Inputs!$B$9,0)+V483)</f>
        <v>0.085</v>
      </c>
      <c r="X483" s="28" t="n">
        <f aca="false">IF(OR(N(W483)&lt;=0,N(N483)=0,N(L483)=0),"",MIN(L483,N483/W483))</f>
        <v>25</v>
      </c>
      <c r="Y483" s="29" t="str">
        <f aca="false">IF(OR(X483="",N(O483)=0),"",X483/O483-1)</f>
        <v/>
      </c>
      <c r="Z483" s="29" t="str">
        <f aca="false">IF(OR(Y483="",N(O483)=0),"",Y483+N483/O483)</f>
        <v/>
      </c>
      <c r="AA483" s="32" t="str">
        <f aca="false">IF(OR(Z483="",N(U483)=0),"",Z483-U483)</f>
        <v/>
      </c>
      <c r="AB483" s="29" t="n">
        <f aca="false">IF(N(Q483)=0,"",Q483+IF(I483="yes",Q483*Inputs!$B$10*Inputs!$B$9,0)+IFERROR(INDEX(Inputs!$B$13:$B$15,MATCH(G483,Inputs!$A$13:$A$15,0)),0)+IFERROR(INDEX(Inputs!$B$18:$B$24,MATCH(H483,Inputs!$A$18:$A$24,0)),0))</f>
        <v>0.085</v>
      </c>
      <c r="AC483" s="28" t="n">
        <f aca="false">IF(OR(N(AB483)&lt;=0,N(N483)=0,N(L483)=0),"",MIN(L483,N483/AB483))</f>
        <v>25</v>
      </c>
      <c r="AD483" s="29" t="str">
        <f aca="false">IF(OR(AC483="",N(O483)=0),"",AC483/O483-1)</f>
        <v/>
      </c>
      <c r="AE483" s="29" t="str">
        <f aca="false">IF(OR(AD483="",N(O483)=0),"",AD483+N483/O483)</f>
        <v/>
      </c>
      <c r="AF483" s="32" t="str">
        <f aca="false">IF(OR(AE483="",N(Z483)=0),"",AE483-Z483)</f>
        <v/>
      </c>
      <c r="AG483" s="28" t="n">
        <f aca="false">IF(AND(N(M483)&gt;0,N(L483)&gt;0),M483*L483,N483)</f>
        <v>2.25</v>
      </c>
      <c r="AH483" s="28" t="n">
        <f aca="false">IF(OR(N(AB483)&lt;=0,N(AG483)=0,N(L483)=0),"",MIN(L483,AG483/AB483))</f>
        <v>25</v>
      </c>
      <c r="AI483" s="29" t="str">
        <f aca="false">IF(OR(AH483="",N(O483)=0),"",AH483/O483-1)</f>
        <v/>
      </c>
      <c r="AJ483" s="29" t="str">
        <f aca="false">IF(OR(AI483="",N(O483)=0),"",AI483+AG483/O483)</f>
        <v/>
      </c>
      <c r="AK483" s="32" t="str">
        <f aca="false">IF(OR(AJ483="",N(AE483)=0),"",AJ483-AE483)</f>
        <v/>
      </c>
      <c r="AL483" s="33" t="n">
        <f aca="false">IF(N(F483)=0,"",INDEX(Inputs!$B$28:$B$32,IFERROR(MATCH(F483,Inputs!$A$28:$A$32,1),0)+1))</f>
        <v>0.09</v>
      </c>
      <c r="AM483" s="34"/>
      <c r="AN483" s="33" t="n">
        <f aca="false">IF(N(AM483)&gt;0,AM483,AL483)</f>
        <v>0.09</v>
      </c>
      <c r="AO483" s="29" t="n">
        <f aca="false">IF(N(AN483)=0,"",AN483+IF(I483="yes",AN483*Inputs!$B$10*Inputs!$B$9,0)+IFERROR(INDEX(Inputs!$B$13:$B$15,MATCH(G483,Inputs!$A$13:$A$15,0)),0)+IFERROR(INDEX(Inputs!$B$18:$B$24,MATCH(H483,Inputs!$A$18:$A$24,0)),0))</f>
        <v>0.085</v>
      </c>
      <c r="AP483" s="28" t="n">
        <f aca="false">IF(OR(N(AO483)&lt;=0,N(AG483)=0,N(L483)=0),"",MIN(L483,AG483/AO483))</f>
        <v>25</v>
      </c>
      <c r="AQ483" s="29" t="str">
        <f aca="false">IF(OR(AP483="",N(O483)=0),"",AP483/O483-1)</f>
        <v/>
      </c>
      <c r="AR483" s="29" t="str">
        <f aca="false">IF(OR(AQ483="",N(O483)=0),"",AQ483+AG483/O483)</f>
        <v/>
      </c>
      <c r="AS483" s="32" t="str">
        <f aca="false">IF(OR(AR483="",N(AJ483)=0),"",AR483-AJ483)</f>
        <v/>
      </c>
      <c r="AT483" s="28"/>
      <c r="AU483" s="28"/>
      <c r="AV483" s="28" t="n">
        <f aca="false">IF(N(AT483)&gt;0,AT483,L483)</f>
        <v>25</v>
      </c>
      <c r="AW483" s="28" t="n">
        <f aca="false">IF(AND(N(M483)&gt;0,N(AV483)&gt;0),M483*AV483,IF(N(AU483)&gt;0,AU483,N483))</f>
        <v>2.25</v>
      </c>
      <c r="AX483" s="29" t="n">
        <f aca="false">IF(N(AN483)=0,"",AN483+IF(I483="yes",AN483*Inputs!$B$10*Inputs!$B$9,0)+IFERROR(INDEX(Inputs!$B$13:$B$15,MATCH(G483,Inputs!$A$13:$A$15,0)),0)+IFERROR(INDEX(Inputs!$B$18:$B$24,MATCH(H483,Inputs!$A$18:$A$24,0)),0))</f>
        <v>0.085</v>
      </c>
      <c r="AY483" s="28" t="n">
        <f aca="false">IF(OR(N(AX483)&lt;=0,N(AW483)=0,N(AV483)=0),"",MIN(AV483,AW483/AX483))</f>
        <v>25</v>
      </c>
      <c r="AZ483" s="29" t="str">
        <f aca="false">IF(OR(AY483="",N(O483)=0),"",AY483/O483-1)</f>
        <v/>
      </c>
      <c r="BA483" s="29" t="str">
        <f aca="false">IF(OR(AZ483="",N(O483)=0),"",AZ483+AW483/O483)</f>
        <v/>
      </c>
      <c r="BB483" s="32" t="str">
        <f aca="false">IF(OR(BA483="",N(AR483)=0),"",BA483-AR483)</f>
        <v/>
      </c>
      <c r="BC483" s="35" t="str">
        <f aca="false">IF(OR(BA483="",N(U483)=0),"",BA483-U483)</f>
        <v/>
      </c>
      <c r="BD483" s="36" t="s">
        <v>198</v>
      </c>
    </row>
    <row r="484" customFormat="false" ht="15" hidden="false" customHeight="false" outlineLevel="0" collapsed="false">
      <c r="A484" s="2" t="s">
        <v>768</v>
      </c>
      <c r="B484" s="2" t="n">
        <v>342</v>
      </c>
      <c r="C484" s="2" t="s">
        <v>1024</v>
      </c>
      <c r="D484" s="2" t="s">
        <v>1025</v>
      </c>
      <c r="E484" s="2" t="s">
        <v>1026</v>
      </c>
      <c r="F484" s="27" t="n">
        <v>903</v>
      </c>
      <c r="G484" s="2" t="s">
        <v>51</v>
      </c>
      <c r="H484" s="2" t="s">
        <v>58</v>
      </c>
      <c r="I484" s="2" t="s">
        <v>144</v>
      </c>
      <c r="J484" s="2" t="s">
        <v>145</v>
      </c>
      <c r="K484" s="2" t="n">
        <v>4</v>
      </c>
      <c r="L484" s="28" t="n">
        <v>25</v>
      </c>
      <c r="M484" s="29" t="n">
        <v>0.075</v>
      </c>
      <c r="N484" s="28" t="n">
        <v>1.875</v>
      </c>
      <c r="O484" s="28" t="n">
        <v>20.17</v>
      </c>
      <c r="P484" s="2" t="s">
        <v>146</v>
      </c>
      <c r="Q484" s="29" t="n">
        <v>0.1</v>
      </c>
      <c r="R484" s="30" t="n">
        <v>0.1</v>
      </c>
      <c r="S484" s="31" t="n">
        <v>18.75</v>
      </c>
      <c r="T484" s="30" t="n">
        <v>-0.0704015865146258</v>
      </c>
      <c r="U484" s="30" t="n">
        <v>0.0225582548339116</v>
      </c>
      <c r="V484" s="29" t="n">
        <v>0</v>
      </c>
      <c r="W484" s="29" t="n">
        <f aca="false">IF(N(Q484)=0,"",Q484+IF(I484="yes",Q484*Inputs!$B$10*Inputs!$B$9,0)+V484)</f>
        <v>0.1</v>
      </c>
      <c r="X484" s="28" t="n">
        <f aca="false">IF(OR(N(W484)&lt;=0,N(N484)=0,N(L484)=0),"",MIN(L484,N484/W484))</f>
        <v>18.75</v>
      </c>
      <c r="Y484" s="29" t="n">
        <f aca="false">IF(OR(X484="",N(O484)=0),"",X484/O484-1)</f>
        <v>-0.0704015865146258</v>
      </c>
      <c r="Z484" s="29" t="n">
        <f aca="false">IF(OR(Y484="",N(O484)=0),"",Y484+N484/O484)</f>
        <v>0.0225582548339116</v>
      </c>
      <c r="AA484" s="32" t="n">
        <f aca="false">IF(OR(Z484="",N(U484)=0),"",Z484-U484)</f>
        <v>0</v>
      </c>
      <c r="AB484" s="29" t="n">
        <f aca="false">IF(N(Q484)=0,"",Q484+IF(I484="yes",Q484*Inputs!$B$10*Inputs!$B$9,0)+IFERROR(INDEX(Inputs!$B$13:$B$15,MATCH(G484,Inputs!$A$13:$A$15,0)),0)+IFERROR(INDEX(Inputs!$B$18:$B$24,MATCH(H484,Inputs!$A$18:$A$24,0)),0))</f>
        <v>0.1</v>
      </c>
      <c r="AC484" s="28" t="n">
        <f aca="false">IF(OR(N(AB484)&lt;=0,N(N484)=0,N(L484)=0),"",MIN(L484,N484/AB484))</f>
        <v>18.75</v>
      </c>
      <c r="AD484" s="29" t="n">
        <f aca="false">IF(OR(AC484="",N(O484)=0),"",AC484/O484-1)</f>
        <v>-0.0704015865146258</v>
      </c>
      <c r="AE484" s="29" t="n">
        <f aca="false">IF(OR(AD484="",N(O484)=0),"",AD484+N484/O484)</f>
        <v>0.0225582548339116</v>
      </c>
      <c r="AF484" s="32" t="n">
        <f aca="false">IF(OR(AE484="",N(Z484)=0),"",AE484-Z484)</f>
        <v>0</v>
      </c>
      <c r="AG484" s="28" t="n">
        <f aca="false">IF(AND(N(M484)&gt;0,N(L484)&gt;0),M484*L484,N484)</f>
        <v>1.875</v>
      </c>
      <c r="AH484" s="28" t="n">
        <f aca="false">IF(OR(N(AB484)&lt;=0,N(AG484)=0,N(L484)=0),"",MIN(L484,AG484/AB484))</f>
        <v>18.75</v>
      </c>
      <c r="AI484" s="29" t="n">
        <f aca="false">IF(OR(AH484="",N(O484)=0),"",AH484/O484-1)</f>
        <v>-0.0704015865146258</v>
      </c>
      <c r="AJ484" s="29" t="n">
        <f aca="false">IF(OR(AI484="",N(O484)=0),"",AI484+AG484/O484)</f>
        <v>0.0225582548339116</v>
      </c>
      <c r="AK484" s="32" t="n">
        <f aca="false">IF(OR(AJ484="",N(AE484)=0),"",AJ484-AE484)</f>
        <v>0</v>
      </c>
      <c r="AL484" s="33" t="n">
        <f aca="false">IF(N(F484)=0,"",INDEX(Inputs!$B$28:$B$32,IFERROR(MATCH(F484,Inputs!$A$28:$A$32,1),0)+1))</f>
        <v>0.09</v>
      </c>
      <c r="AM484" s="34"/>
      <c r="AN484" s="33" t="n">
        <f aca="false">IF(N(AM484)&gt;0,AM484,AL484)</f>
        <v>0.09</v>
      </c>
      <c r="AO484" s="29" t="n">
        <f aca="false">IF(N(AN484)=0,"",AN484+IF(I484="yes",AN484*Inputs!$B$10*Inputs!$B$9,0)+IFERROR(INDEX(Inputs!$B$13:$B$15,MATCH(G484,Inputs!$A$13:$A$15,0)),0)+IFERROR(INDEX(Inputs!$B$18:$B$24,MATCH(H484,Inputs!$A$18:$A$24,0)),0))</f>
        <v>0.09</v>
      </c>
      <c r="AP484" s="28" t="n">
        <f aca="false">IF(OR(N(AO484)&lt;=0,N(AG484)=0,N(L484)=0),"",MIN(L484,AG484/AO484))</f>
        <v>20.8333333333333</v>
      </c>
      <c r="AQ484" s="29" t="n">
        <f aca="false">IF(OR(AP484="",N(O484)=0),"",AP484/O484-1)</f>
        <v>0.0328871260948604</v>
      </c>
      <c r="AR484" s="29" t="n">
        <f aca="false">IF(OR(AQ484="",N(O484)=0),"",AQ484+AG484/O484)</f>
        <v>0.125846967443398</v>
      </c>
      <c r="AS484" s="32" t="n">
        <f aca="false">IF(OR(AR484="",N(AJ484)=0),"",AR484-AJ484)</f>
        <v>0.103288712609486</v>
      </c>
      <c r="AT484" s="28" t="n">
        <v>25</v>
      </c>
      <c r="AU484" s="28" t="n">
        <v>1.88</v>
      </c>
      <c r="AV484" s="28" t="n">
        <f aca="false">IF(N(AT484)&gt;0,AT484,L484)</f>
        <v>25</v>
      </c>
      <c r="AW484" s="28" t="n">
        <f aca="false">IF(AND(N(M484)&gt;0,N(AV484)&gt;0),M484*AV484,IF(N(AU484)&gt;0,AU484,N484))</f>
        <v>1.875</v>
      </c>
      <c r="AX484" s="29" t="n">
        <f aca="false">IF(N(AN484)=0,"",AN484+IF(I484="yes",AN484*Inputs!$B$10*Inputs!$B$9,0)+IFERROR(INDEX(Inputs!$B$13:$B$15,MATCH(G484,Inputs!$A$13:$A$15,0)),0)+IFERROR(INDEX(Inputs!$B$18:$B$24,MATCH(H484,Inputs!$A$18:$A$24,0)),0))</f>
        <v>0.09</v>
      </c>
      <c r="AY484" s="28" t="n">
        <f aca="false">IF(OR(N(AX484)&lt;=0,N(AW484)=0,N(AV484)=0),"",MIN(AV484,AW484/AX484))</f>
        <v>20.8333333333333</v>
      </c>
      <c r="AZ484" s="29" t="n">
        <f aca="false">IF(OR(AY484="",N(O484)=0),"",AY484/O484-1)</f>
        <v>0.0328871260948604</v>
      </c>
      <c r="BA484" s="29" t="n">
        <f aca="false">IF(OR(AZ484="",N(O484)=0),"",AZ484+AW484/O484)</f>
        <v>0.125846967443398</v>
      </c>
      <c r="BB484" s="32" t="n">
        <f aca="false">IF(OR(BA484="",N(AR484)=0),"",BA484-AR484)</f>
        <v>0</v>
      </c>
      <c r="BC484" s="35" t="n">
        <f aca="false">IF(OR(BA484="",N(U484)=0),"",BA484-U484)</f>
        <v>0.103288712609486</v>
      </c>
      <c r="BD484" s="37"/>
    </row>
    <row r="485" customFormat="false" ht="15" hidden="false" customHeight="false" outlineLevel="0" collapsed="false">
      <c r="A485" s="2" t="s">
        <v>768</v>
      </c>
      <c r="B485" s="2" t="n">
        <v>343</v>
      </c>
      <c r="C485" s="2" t="s">
        <v>1027</v>
      </c>
      <c r="D485" s="2" t="s">
        <v>1025</v>
      </c>
      <c r="E485" s="2" t="s">
        <v>1026</v>
      </c>
      <c r="F485" s="27" t="n">
        <v>903</v>
      </c>
      <c r="G485" s="2" t="s">
        <v>51</v>
      </c>
      <c r="H485" s="2" t="s">
        <v>59</v>
      </c>
      <c r="I485" s="2" t="s">
        <v>144</v>
      </c>
      <c r="J485" s="2" t="s">
        <v>145</v>
      </c>
      <c r="K485" s="2" t="n">
        <v>4</v>
      </c>
      <c r="L485" s="28" t="n">
        <v>25</v>
      </c>
      <c r="M485" s="29" t="n">
        <v>0.065</v>
      </c>
      <c r="N485" s="28" t="n">
        <v>1.625</v>
      </c>
      <c r="O485" s="28" t="n">
        <v>23.5</v>
      </c>
      <c r="P485" s="2" t="s">
        <v>146</v>
      </c>
      <c r="Q485" s="29" t="n">
        <v>0.1</v>
      </c>
      <c r="R485" s="30" t="n">
        <v>0.1</v>
      </c>
      <c r="S485" s="31" t="n">
        <v>16.25</v>
      </c>
      <c r="T485" s="30" t="n">
        <v>-0.308510638297872</v>
      </c>
      <c r="U485" s="30" t="n">
        <v>-0.23936170212766</v>
      </c>
      <c r="V485" s="29" t="n">
        <v>0</v>
      </c>
      <c r="W485" s="29" t="n">
        <f aca="false">IF(N(Q485)=0,"",Q485+IF(I485="yes",Q485*Inputs!$B$10*Inputs!$B$9,0)+V485)</f>
        <v>0.1</v>
      </c>
      <c r="X485" s="28" t="n">
        <f aca="false">IF(OR(N(W485)&lt;=0,N(N485)=0,N(L485)=0),"",MIN(L485,N485/W485))</f>
        <v>16.25</v>
      </c>
      <c r="Y485" s="29" t="n">
        <f aca="false">IF(OR(X485="",N(O485)=0),"",X485/O485-1)</f>
        <v>-0.308510638297872</v>
      </c>
      <c r="Z485" s="29" t="n">
        <f aca="false">IF(OR(Y485="",N(O485)=0),"",Y485+N485/O485)</f>
        <v>-0.23936170212766</v>
      </c>
      <c r="AA485" s="32" t="n">
        <f aca="false">IF(OR(Z485="",N(U485)=0),"",Z485-U485)</f>
        <v>0</v>
      </c>
      <c r="AB485" s="29" t="n">
        <f aca="false">IF(N(Q485)=0,"",Q485+IF(I485="yes",Q485*Inputs!$B$10*Inputs!$B$9,0)+IFERROR(INDEX(Inputs!$B$13:$B$15,MATCH(G485,Inputs!$A$13:$A$15,0)),0)+IFERROR(INDEX(Inputs!$B$18:$B$24,MATCH(H485,Inputs!$A$18:$A$24,0)),0))</f>
        <v>0.1</v>
      </c>
      <c r="AC485" s="28" t="n">
        <f aca="false">IF(OR(N(AB485)&lt;=0,N(N485)=0,N(L485)=0),"",MIN(L485,N485/AB485))</f>
        <v>16.25</v>
      </c>
      <c r="AD485" s="29" t="n">
        <f aca="false">IF(OR(AC485="",N(O485)=0),"",AC485/O485-1)</f>
        <v>-0.308510638297872</v>
      </c>
      <c r="AE485" s="29" t="n">
        <f aca="false">IF(OR(AD485="",N(O485)=0),"",AD485+N485/O485)</f>
        <v>-0.23936170212766</v>
      </c>
      <c r="AF485" s="32" t="n">
        <f aca="false">IF(OR(AE485="",N(Z485)=0),"",AE485-Z485)</f>
        <v>0</v>
      </c>
      <c r="AG485" s="28" t="n">
        <f aca="false">IF(AND(N(M485)&gt;0,N(L485)&gt;0),M485*L485,N485)</f>
        <v>1.625</v>
      </c>
      <c r="AH485" s="28" t="n">
        <f aca="false">IF(OR(N(AB485)&lt;=0,N(AG485)=0,N(L485)=0),"",MIN(L485,AG485/AB485))</f>
        <v>16.25</v>
      </c>
      <c r="AI485" s="29" t="n">
        <f aca="false">IF(OR(AH485="",N(O485)=0),"",AH485/O485-1)</f>
        <v>-0.308510638297872</v>
      </c>
      <c r="AJ485" s="29" t="n">
        <f aca="false">IF(OR(AI485="",N(O485)=0),"",AI485+AG485/O485)</f>
        <v>-0.23936170212766</v>
      </c>
      <c r="AK485" s="32" t="n">
        <f aca="false">IF(OR(AJ485="",N(AE485)=0),"",AJ485-AE485)</f>
        <v>0</v>
      </c>
      <c r="AL485" s="33" t="n">
        <f aca="false">IF(N(F485)=0,"",INDEX(Inputs!$B$28:$B$32,IFERROR(MATCH(F485,Inputs!$A$28:$A$32,1),0)+1))</f>
        <v>0.09</v>
      </c>
      <c r="AM485" s="34"/>
      <c r="AN485" s="33" t="n">
        <f aca="false">IF(N(AM485)&gt;0,AM485,AL485)</f>
        <v>0.09</v>
      </c>
      <c r="AO485" s="29" t="n">
        <f aca="false">IF(N(AN485)=0,"",AN485+IF(I485="yes",AN485*Inputs!$B$10*Inputs!$B$9,0)+IFERROR(INDEX(Inputs!$B$13:$B$15,MATCH(G485,Inputs!$A$13:$A$15,0)),0)+IFERROR(INDEX(Inputs!$B$18:$B$24,MATCH(H485,Inputs!$A$18:$A$24,0)),0))</f>
        <v>0.09</v>
      </c>
      <c r="AP485" s="28" t="n">
        <f aca="false">IF(OR(N(AO485)&lt;=0,N(AG485)=0,N(L485)=0),"",MIN(L485,AG485/AO485))</f>
        <v>18.0555555555556</v>
      </c>
      <c r="AQ485" s="29" t="n">
        <f aca="false">IF(OR(AP485="",N(O485)=0),"",AP485/O485-1)</f>
        <v>-0.231678486997636</v>
      </c>
      <c r="AR485" s="29" t="n">
        <f aca="false">IF(OR(AQ485="",N(O485)=0),"",AQ485+AG485/O485)</f>
        <v>-0.162529550827423</v>
      </c>
      <c r="AS485" s="32" t="n">
        <f aca="false">IF(OR(AR485="",N(AJ485)=0),"",AR485-AJ485)</f>
        <v>0.0768321513002365</v>
      </c>
      <c r="AT485" s="28" t="n">
        <v>25</v>
      </c>
      <c r="AU485" s="28" t="n">
        <v>1.625</v>
      </c>
      <c r="AV485" s="28" t="n">
        <f aca="false">IF(N(AT485)&gt;0,AT485,L485)</f>
        <v>25</v>
      </c>
      <c r="AW485" s="28" t="n">
        <f aca="false">IF(AND(N(M485)&gt;0,N(AV485)&gt;0),M485*AV485,IF(N(AU485)&gt;0,AU485,N485))</f>
        <v>1.625</v>
      </c>
      <c r="AX485" s="29" t="n">
        <f aca="false">IF(N(AN485)=0,"",AN485+IF(I485="yes",AN485*Inputs!$B$10*Inputs!$B$9,0)+IFERROR(INDEX(Inputs!$B$13:$B$15,MATCH(G485,Inputs!$A$13:$A$15,0)),0)+IFERROR(INDEX(Inputs!$B$18:$B$24,MATCH(H485,Inputs!$A$18:$A$24,0)),0))</f>
        <v>0.09</v>
      </c>
      <c r="AY485" s="28" t="n">
        <f aca="false">IF(OR(N(AX485)&lt;=0,N(AW485)=0,N(AV485)=0),"",MIN(AV485,AW485/AX485))</f>
        <v>18.0555555555556</v>
      </c>
      <c r="AZ485" s="29" t="n">
        <f aca="false">IF(OR(AY485="",N(O485)=0),"",AY485/O485-1)</f>
        <v>-0.231678486997636</v>
      </c>
      <c r="BA485" s="29" t="n">
        <f aca="false">IF(OR(AZ485="",N(O485)=0),"",AZ485+AW485/O485)</f>
        <v>-0.162529550827423</v>
      </c>
      <c r="BB485" s="32" t="n">
        <f aca="false">IF(OR(BA485="",N(AR485)=0),"",BA485-AR485)</f>
        <v>0</v>
      </c>
      <c r="BC485" s="35" t="n">
        <f aca="false">IF(OR(BA485="",N(U485)=0),"",BA485-U485)</f>
        <v>0.0768321513002365</v>
      </c>
      <c r="BD485" s="37"/>
    </row>
    <row r="486" customFormat="false" ht="15" hidden="false" customHeight="false" outlineLevel="0" collapsed="false">
      <c r="A486" s="2" t="s">
        <v>768</v>
      </c>
      <c r="B486" s="2" t="n">
        <v>346</v>
      </c>
      <c r="C486" s="2" t="s">
        <v>1028</v>
      </c>
      <c r="D486" s="2" t="s">
        <v>1029</v>
      </c>
      <c r="E486" s="2" t="s">
        <v>1030</v>
      </c>
      <c r="F486" s="27" t="n">
        <v>97300</v>
      </c>
      <c r="G486" s="2" t="s">
        <v>51</v>
      </c>
      <c r="H486" s="2" t="s">
        <v>58</v>
      </c>
      <c r="I486" s="2" t="s">
        <v>144</v>
      </c>
      <c r="J486" s="2" t="s">
        <v>145</v>
      </c>
      <c r="K486" s="2" t="n">
        <v>4</v>
      </c>
      <c r="L486" s="28" t="n">
        <v>25</v>
      </c>
      <c r="M486" s="29" t="n">
        <v>0.0465</v>
      </c>
      <c r="N486" s="28" t="n">
        <v>1.1625</v>
      </c>
      <c r="O486" s="28" t="n">
        <v>16.1698</v>
      </c>
      <c r="P486" s="2" t="s">
        <v>146</v>
      </c>
      <c r="Q486" s="29" t="n">
        <v>0.08</v>
      </c>
      <c r="R486" s="30" t="n">
        <v>0.08</v>
      </c>
      <c r="S486" s="31" t="n">
        <v>14.53125</v>
      </c>
      <c r="T486" s="30" t="n">
        <v>-0.101333968261822</v>
      </c>
      <c r="U486" s="30" t="n">
        <v>-0.0294406857227672</v>
      </c>
      <c r="V486" s="29" t="n">
        <v>0</v>
      </c>
      <c r="W486" s="29" t="n">
        <f aca="false">IF(N(Q486)=0,"",Q486+IF(I486="yes",Q486*Inputs!$B$10*Inputs!$B$9,0)+V486)</f>
        <v>0.08</v>
      </c>
      <c r="X486" s="28" t="n">
        <f aca="false">IF(OR(N(W486)&lt;=0,N(N486)=0,N(L486)=0),"",MIN(L486,N486/W486))</f>
        <v>14.53125</v>
      </c>
      <c r="Y486" s="29" t="n">
        <f aca="false">IF(OR(X486="",N(O486)=0),"",X486/O486-1)</f>
        <v>-0.101333968261821</v>
      </c>
      <c r="Z486" s="29" t="n">
        <f aca="false">IF(OR(Y486="",N(O486)=0),"",Y486+N486/O486)</f>
        <v>-0.0294406857227671</v>
      </c>
      <c r="AA486" s="32" t="n">
        <f aca="false">IF(OR(Z486="",N(U486)=0),"",Z486-U486)</f>
        <v>1.38777878078145E-016</v>
      </c>
      <c r="AB486" s="29" t="n">
        <f aca="false">IF(N(Q486)=0,"",Q486+IF(I486="yes",Q486*Inputs!$B$10*Inputs!$B$9,0)+IFERROR(INDEX(Inputs!$B$13:$B$15,MATCH(G486,Inputs!$A$13:$A$15,0)),0)+IFERROR(INDEX(Inputs!$B$18:$B$24,MATCH(H486,Inputs!$A$18:$A$24,0)),0))</f>
        <v>0.08</v>
      </c>
      <c r="AC486" s="28" t="n">
        <f aca="false">IF(OR(N(AB486)&lt;=0,N(N486)=0,N(L486)=0),"",MIN(L486,N486/AB486))</f>
        <v>14.53125</v>
      </c>
      <c r="AD486" s="29" t="n">
        <f aca="false">IF(OR(AC486="",N(O486)=0),"",AC486/O486-1)</f>
        <v>-0.101333968261821</v>
      </c>
      <c r="AE486" s="29" t="n">
        <f aca="false">IF(OR(AD486="",N(O486)=0),"",AD486+N486/O486)</f>
        <v>-0.0294406857227671</v>
      </c>
      <c r="AF486" s="32" t="n">
        <f aca="false">IF(OR(AE486="",N(Z486)=0),"",AE486-Z486)</f>
        <v>0</v>
      </c>
      <c r="AG486" s="28" t="n">
        <f aca="false">IF(AND(N(M486)&gt;0,N(L486)&gt;0),M486*L486,N486)</f>
        <v>1.1625</v>
      </c>
      <c r="AH486" s="28" t="n">
        <f aca="false">IF(OR(N(AB486)&lt;=0,N(AG486)=0,N(L486)=0),"",MIN(L486,AG486/AB486))</f>
        <v>14.53125</v>
      </c>
      <c r="AI486" s="29" t="n">
        <f aca="false">IF(OR(AH486="",N(O486)=0),"",AH486/O486-1)</f>
        <v>-0.101333968261821</v>
      </c>
      <c r="AJ486" s="29" t="n">
        <f aca="false">IF(OR(AI486="",N(O486)=0),"",AI486+AG486/O486)</f>
        <v>-0.0294406857227671</v>
      </c>
      <c r="AK486" s="32" t="n">
        <f aca="false">IF(OR(AJ486="",N(AE486)=0),"",AJ486-AE486)</f>
        <v>0</v>
      </c>
      <c r="AL486" s="33" t="n">
        <f aca="false">IF(N(F486)=0,"",INDEX(Inputs!$B$28:$B$32,IFERROR(MATCH(F486,Inputs!$A$28:$A$32,1),0)+1))</f>
        <v>0.075</v>
      </c>
      <c r="AM486" s="34"/>
      <c r="AN486" s="33" t="n">
        <f aca="false">IF(N(AM486)&gt;0,AM486,AL486)</f>
        <v>0.075</v>
      </c>
      <c r="AO486" s="29" t="n">
        <f aca="false">IF(N(AN486)=0,"",AN486+IF(I486="yes",AN486*Inputs!$B$10*Inputs!$B$9,0)+IFERROR(INDEX(Inputs!$B$13:$B$15,MATCH(G486,Inputs!$A$13:$A$15,0)),0)+IFERROR(INDEX(Inputs!$B$18:$B$24,MATCH(H486,Inputs!$A$18:$A$24,0)),0))</f>
        <v>0.075</v>
      </c>
      <c r="AP486" s="28" t="n">
        <f aca="false">IF(OR(N(AO486)&lt;=0,N(AG486)=0,N(L486)=0),"",MIN(L486,AG486/AO486))</f>
        <v>15.5</v>
      </c>
      <c r="AQ486" s="29" t="n">
        <f aca="false">IF(OR(AP486="",N(O486)=0),"",AP486/O486-1)</f>
        <v>-0.041422899479276</v>
      </c>
      <c r="AR486" s="29" t="n">
        <f aca="false">IF(OR(AQ486="",N(O486)=0),"",AQ486+AG486/O486)</f>
        <v>0.0304703830597783</v>
      </c>
      <c r="AS486" s="32" t="n">
        <f aca="false">IF(OR(AR486="",N(AJ486)=0),"",AR486-AJ486)</f>
        <v>0.0599110687825454</v>
      </c>
      <c r="AT486" s="28" t="n">
        <v>25</v>
      </c>
      <c r="AU486" s="28" t="n">
        <v>1.1625</v>
      </c>
      <c r="AV486" s="28" t="n">
        <f aca="false">IF(N(AT486)&gt;0,AT486,L486)</f>
        <v>25</v>
      </c>
      <c r="AW486" s="28" t="n">
        <f aca="false">IF(AND(N(M486)&gt;0,N(AV486)&gt;0),M486*AV486,IF(N(AU486)&gt;0,AU486,N486))</f>
        <v>1.1625</v>
      </c>
      <c r="AX486" s="29" t="n">
        <f aca="false">IF(N(AN486)=0,"",AN486+IF(I486="yes",AN486*Inputs!$B$10*Inputs!$B$9,0)+IFERROR(INDEX(Inputs!$B$13:$B$15,MATCH(G486,Inputs!$A$13:$A$15,0)),0)+IFERROR(INDEX(Inputs!$B$18:$B$24,MATCH(H486,Inputs!$A$18:$A$24,0)),0))</f>
        <v>0.075</v>
      </c>
      <c r="AY486" s="28" t="n">
        <f aca="false">IF(OR(N(AX486)&lt;=0,N(AW486)=0,N(AV486)=0),"",MIN(AV486,AW486/AX486))</f>
        <v>15.5</v>
      </c>
      <c r="AZ486" s="29" t="n">
        <f aca="false">IF(OR(AY486="",N(O486)=0),"",AY486/O486-1)</f>
        <v>-0.041422899479276</v>
      </c>
      <c r="BA486" s="29" t="n">
        <f aca="false">IF(OR(AZ486="",N(O486)=0),"",AZ486+AW486/O486)</f>
        <v>0.0304703830597783</v>
      </c>
      <c r="BB486" s="32" t="n">
        <f aca="false">IF(OR(BA486="",N(AR486)=0),"",BA486-AR486)</f>
        <v>0</v>
      </c>
      <c r="BC486" s="35" t="n">
        <f aca="false">IF(OR(BA486="",N(U486)=0),"",BA486-U486)</f>
        <v>0.0599110687825455</v>
      </c>
      <c r="BD486" s="37"/>
    </row>
    <row r="487" customFormat="false" ht="15" hidden="false" customHeight="false" outlineLevel="0" collapsed="false">
      <c r="A487" s="2" t="s">
        <v>768</v>
      </c>
      <c r="B487" s="2" t="n">
        <v>347</v>
      </c>
      <c r="C487" s="2" t="s">
        <v>1031</v>
      </c>
      <c r="D487" s="2" t="s">
        <v>1029</v>
      </c>
      <c r="E487" s="2" t="s">
        <v>1030</v>
      </c>
      <c r="F487" s="27" t="n">
        <v>97300</v>
      </c>
      <c r="G487" s="2" t="s">
        <v>51</v>
      </c>
      <c r="H487" s="2" t="s">
        <v>58</v>
      </c>
      <c r="I487" s="2" t="s">
        <v>144</v>
      </c>
      <c r="J487" s="2" t="s">
        <v>145</v>
      </c>
      <c r="K487" s="2" t="n">
        <v>4</v>
      </c>
      <c r="L487" s="28" t="n">
        <v>25</v>
      </c>
      <c r="M487" s="29" t="n">
        <v>0.045</v>
      </c>
      <c r="N487" s="28" t="n">
        <v>1.125</v>
      </c>
      <c r="O487" s="28" t="n">
        <v>14.5</v>
      </c>
      <c r="P487" s="2" t="s">
        <v>146</v>
      </c>
      <c r="Q487" s="29" t="n">
        <v>0.08</v>
      </c>
      <c r="R487" s="30" t="n">
        <v>0.08</v>
      </c>
      <c r="S487" s="31" t="n">
        <v>14.0625</v>
      </c>
      <c r="T487" s="30" t="n">
        <v>-0.0301724137931034</v>
      </c>
      <c r="U487" s="30" t="n">
        <v>0.0474137931034483</v>
      </c>
      <c r="V487" s="29" t="n">
        <v>0</v>
      </c>
      <c r="W487" s="29" t="n">
        <f aca="false">IF(N(Q487)=0,"",Q487+IF(I487="yes",Q487*Inputs!$B$10*Inputs!$B$9,0)+V487)</f>
        <v>0.08</v>
      </c>
      <c r="X487" s="28" t="n">
        <f aca="false">IF(OR(N(W487)&lt;=0,N(N487)=0,N(L487)=0),"",MIN(L487,N487/W487))</f>
        <v>14.0625</v>
      </c>
      <c r="Y487" s="29" t="n">
        <f aca="false">IF(OR(X487="",N(O487)=0),"",X487/O487-1)</f>
        <v>-0.0301724137931034</v>
      </c>
      <c r="Z487" s="29" t="n">
        <f aca="false">IF(OR(Y487="",N(O487)=0),"",Y487+N487/O487)</f>
        <v>0.0474137931034483</v>
      </c>
      <c r="AA487" s="32" t="n">
        <f aca="false">IF(OR(Z487="",N(U487)=0),"",Z487-U487)</f>
        <v>0</v>
      </c>
      <c r="AB487" s="29" t="n">
        <f aca="false">IF(N(Q487)=0,"",Q487+IF(I487="yes",Q487*Inputs!$B$10*Inputs!$B$9,0)+IFERROR(INDEX(Inputs!$B$13:$B$15,MATCH(G487,Inputs!$A$13:$A$15,0)),0)+IFERROR(INDEX(Inputs!$B$18:$B$24,MATCH(H487,Inputs!$A$18:$A$24,0)),0))</f>
        <v>0.08</v>
      </c>
      <c r="AC487" s="28" t="n">
        <f aca="false">IF(OR(N(AB487)&lt;=0,N(N487)=0,N(L487)=0),"",MIN(L487,N487/AB487))</f>
        <v>14.0625</v>
      </c>
      <c r="AD487" s="29" t="n">
        <f aca="false">IF(OR(AC487="",N(O487)=0),"",AC487/O487-1)</f>
        <v>-0.0301724137931034</v>
      </c>
      <c r="AE487" s="29" t="n">
        <f aca="false">IF(OR(AD487="",N(O487)=0),"",AD487+N487/O487)</f>
        <v>0.0474137931034483</v>
      </c>
      <c r="AF487" s="32" t="n">
        <f aca="false">IF(OR(AE487="",N(Z487)=0),"",AE487-Z487)</f>
        <v>0</v>
      </c>
      <c r="AG487" s="28" t="n">
        <f aca="false">IF(AND(N(M487)&gt;0,N(L487)&gt;0),M487*L487,N487)</f>
        <v>1.125</v>
      </c>
      <c r="AH487" s="28" t="n">
        <f aca="false">IF(OR(N(AB487)&lt;=0,N(AG487)=0,N(L487)=0),"",MIN(L487,AG487/AB487))</f>
        <v>14.0625</v>
      </c>
      <c r="AI487" s="29" t="n">
        <f aca="false">IF(OR(AH487="",N(O487)=0),"",AH487/O487-1)</f>
        <v>-0.0301724137931034</v>
      </c>
      <c r="AJ487" s="29" t="n">
        <f aca="false">IF(OR(AI487="",N(O487)=0),"",AI487+AG487/O487)</f>
        <v>0.0474137931034483</v>
      </c>
      <c r="AK487" s="32" t="n">
        <f aca="false">IF(OR(AJ487="",N(AE487)=0),"",AJ487-AE487)</f>
        <v>0</v>
      </c>
      <c r="AL487" s="33" t="n">
        <f aca="false">IF(N(F487)=0,"",INDEX(Inputs!$B$28:$B$32,IFERROR(MATCH(F487,Inputs!$A$28:$A$32,1),0)+1))</f>
        <v>0.075</v>
      </c>
      <c r="AM487" s="34"/>
      <c r="AN487" s="33" t="n">
        <f aca="false">IF(N(AM487)&gt;0,AM487,AL487)</f>
        <v>0.075</v>
      </c>
      <c r="AO487" s="29" t="n">
        <f aca="false">IF(N(AN487)=0,"",AN487+IF(I487="yes",AN487*Inputs!$B$10*Inputs!$B$9,0)+IFERROR(INDEX(Inputs!$B$13:$B$15,MATCH(G487,Inputs!$A$13:$A$15,0)),0)+IFERROR(INDEX(Inputs!$B$18:$B$24,MATCH(H487,Inputs!$A$18:$A$24,0)),0))</f>
        <v>0.075</v>
      </c>
      <c r="AP487" s="28" t="n">
        <f aca="false">IF(OR(N(AO487)&lt;=0,N(AG487)=0,N(L487)=0),"",MIN(L487,AG487/AO487))</f>
        <v>15</v>
      </c>
      <c r="AQ487" s="29" t="n">
        <f aca="false">IF(OR(AP487="",N(O487)=0),"",AP487/O487-1)</f>
        <v>0.0344827586206897</v>
      </c>
      <c r="AR487" s="29" t="n">
        <f aca="false">IF(OR(AQ487="",N(O487)=0),"",AQ487+AG487/O487)</f>
        <v>0.112068965517241</v>
      </c>
      <c r="AS487" s="32" t="n">
        <f aca="false">IF(OR(AR487="",N(AJ487)=0),"",AR487-AJ487)</f>
        <v>0.0646551724137932</v>
      </c>
      <c r="AT487" s="28" t="n">
        <v>25</v>
      </c>
      <c r="AU487" s="28" t="n">
        <v>1.125</v>
      </c>
      <c r="AV487" s="28" t="n">
        <f aca="false">IF(N(AT487)&gt;0,AT487,L487)</f>
        <v>25</v>
      </c>
      <c r="AW487" s="28" t="n">
        <f aca="false">IF(AND(N(M487)&gt;0,N(AV487)&gt;0),M487*AV487,IF(N(AU487)&gt;0,AU487,N487))</f>
        <v>1.125</v>
      </c>
      <c r="AX487" s="29" t="n">
        <f aca="false">IF(N(AN487)=0,"",AN487+IF(I487="yes",AN487*Inputs!$B$10*Inputs!$B$9,0)+IFERROR(INDEX(Inputs!$B$13:$B$15,MATCH(G487,Inputs!$A$13:$A$15,0)),0)+IFERROR(INDEX(Inputs!$B$18:$B$24,MATCH(H487,Inputs!$A$18:$A$24,0)),0))</f>
        <v>0.075</v>
      </c>
      <c r="AY487" s="28" t="n">
        <f aca="false">IF(OR(N(AX487)&lt;=0,N(AW487)=0,N(AV487)=0),"",MIN(AV487,AW487/AX487))</f>
        <v>15</v>
      </c>
      <c r="AZ487" s="29" t="n">
        <f aca="false">IF(OR(AY487="",N(O487)=0),"",AY487/O487-1)</f>
        <v>0.0344827586206897</v>
      </c>
      <c r="BA487" s="29" t="n">
        <f aca="false">IF(OR(AZ487="",N(O487)=0),"",AZ487+AW487/O487)</f>
        <v>0.112068965517241</v>
      </c>
      <c r="BB487" s="32" t="n">
        <f aca="false">IF(OR(BA487="",N(AR487)=0),"",BA487-AR487)</f>
        <v>0</v>
      </c>
      <c r="BC487" s="35" t="n">
        <f aca="false">IF(OR(BA487="",N(U487)=0),"",BA487-U487)</f>
        <v>0.0646551724137932</v>
      </c>
      <c r="BD487" s="37"/>
    </row>
    <row r="488" customFormat="false" ht="15" hidden="false" customHeight="false" outlineLevel="0" collapsed="false">
      <c r="A488" s="2" t="s">
        <v>768</v>
      </c>
      <c r="B488" s="2" t="n">
        <v>350</v>
      </c>
      <c r="C488" s="2" t="s">
        <v>1032</v>
      </c>
      <c r="D488" s="2" t="s">
        <v>1033</v>
      </c>
      <c r="E488" s="2" t="s">
        <v>1034</v>
      </c>
      <c r="F488" s="27" t="n">
        <v>262</v>
      </c>
      <c r="G488" s="2" t="s">
        <v>51</v>
      </c>
      <c r="H488" s="2" t="s">
        <v>59</v>
      </c>
      <c r="I488" s="2" t="s">
        <v>151</v>
      </c>
      <c r="J488" s="2" t="s">
        <v>145</v>
      </c>
      <c r="K488" s="2" t="n">
        <v>4</v>
      </c>
      <c r="L488" s="28" t="n">
        <v>25</v>
      </c>
      <c r="M488" s="29" t="n">
        <v>0.08</v>
      </c>
      <c r="N488" s="28" t="n">
        <v>2</v>
      </c>
      <c r="O488" s="28" t="n">
        <v>0</v>
      </c>
      <c r="P488" s="2" t="s">
        <v>146</v>
      </c>
      <c r="Q488" s="29" t="n">
        <v>0.09</v>
      </c>
      <c r="R488" s="30" t="n">
        <v>0.0855</v>
      </c>
      <c r="S488" s="31" t="n">
        <v>23.3918128654971</v>
      </c>
      <c r="T488" s="30"/>
      <c r="U488" s="30"/>
      <c r="V488" s="29" t="n">
        <v>0</v>
      </c>
      <c r="W488" s="29" t="n">
        <f aca="false">IF(N(Q488)=0,"",Q488+IF(I488="yes",Q488*Inputs!$B$10*Inputs!$B$9,0)+V488)</f>
        <v>0.0855</v>
      </c>
      <c r="X488" s="28" t="n">
        <f aca="false">IF(OR(N(W488)&lt;=0,N(N488)=0,N(L488)=0),"",MIN(L488,N488/W488))</f>
        <v>23.3918128654971</v>
      </c>
      <c r="Y488" s="29" t="str">
        <f aca="false">IF(OR(X488="",N(O488)=0),"",X488/O488-1)</f>
        <v/>
      </c>
      <c r="Z488" s="29" t="str">
        <f aca="false">IF(OR(Y488="",N(O488)=0),"",Y488+N488/O488)</f>
        <v/>
      </c>
      <c r="AA488" s="32" t="str">
        <f aca="false">IF(OR(Z488="",N(U488)=0),"",Z488-U488)</f>
        <v/>
      </c>
      <c r="AB488" s="29" t="n">
        <f aca="false">IF(N(Q488)=0,"",Q488+IF(I488="yes",Q488*Inputs!$B$10*Inputs!$B$9,0)+IFERROR(INDEX(Inputs!$B$13:$B$15,MATCH(G488,Inputs!$A$13:$A$15,0)),0)+IFERROR(INDEX(Inputs!$B$18:$B$24,MATCH(H488,Inputs!$A$18:$A$24,0)),0))</f>
        <v>0.0855</v>
      </c>
      <c r="AC488" s="28" t="n">
        <f aca="false">IF(OR(N(AB488)&lt;=0,N(N488)=0,N(L488)=0),"",MIN(L488,N488/AB488))</f>
        <v>23.3918128654971</v>
      </c>
      <c r="AD488" s="29" t="str">
        <f aca="false">IF(OR(AC488="",N(O488)=0),"",AC488/O488-1)</f>
        <v/>
      </c>
      <c r="AE488" s="29" t="str">
        <f aca="false">IF(OR(AD488="",N(O488)=0),"",AD488+N488/O488)</f>
        <v/>
      </c>
      <c r="AF488" s="32" t="str">
        <f aca="false">IF(OR(AE488="",N(Z488)=0),"",AE488-Z488)</f>
        <v/>
      </c>
      <c r="AG488" s="28" t="n">
        <f aca="false">IF(AND(N(M488)&gt;0,N(L488)&gt;0),M488*L488,N488)</f>
        <v>2</v>
      </c>
      <c r="AH488" s="28" t="n">
        <f aca="false">IF(OR(N(AB488)&lt;=0,N(AG488)=0,N(L488)=0),"",MIN(L488,AG488/AB488))</f>
        <v>23.3918128654971</v>
      </c>
      <c r="AI488" s="29" t="str">
        <f aca="false">IF(OR(AH488="",N(O488)=0),"",AH488/O488-1)</f>
        <v/>
      </c>
      <c r="AJ488" s="29" t="str">
        <f aca="false">IF(OR(AI488="",N(O488)=0),"",AI488+AG488/O488)</f>
        <v/>
      </c>
      <c r="AK488" s="32" t="str">
        <f aca="false">IF(OR(AJ488="",N(AE488)=0),"",AJ488-AE488)</f>
        <v/>
      </c>
      <c r="AL488" s="33" t="n">
        <f aca="false">IF(N(F488)=0,"",INDEX(Inputs!$B$28:$B$32,IFERROR(MATCH(F488,Inputs!$A$28:$A$32,1),0)+1))</f>
        <v>0.09</v>
      </c>
      <c r="AM488" s="34"/>
      <c r="AN488" s="33" t="n">
        <f aca="false">IF(N(AM488)&gt;0,AM488,AL488)</f>
        <v>0.09</v>
      </c>
      <c r="AO488" s="29" t="n">
        <f aca="false">IF(N(AN488)=0,"",AN488+IF(I488="yes",AN488*Inputs!$B$10*Inputs!$B$9,0)+IFERROR(INDEX(Inputs!$B$13:$B$15,MATCH(G488,Inputs!$A$13:$A$15,0)),0)+IFERROR(INDEX(Inputs!$B$18:$B$24,MATCH(H488,Inputs!$A$18:$A$24,0)),0))</f>
        <v>0.0855</v>
      </c>
      <c r="AP488" s="28" t="n">
        <f aca="false">IF(OR(N(AO488)&lt;=0,N(AG488)=0,N(L488)=0),"",MIN(L488,AG488/AO488))</f>
        <v>23.3918128654971</v>
      </c>
      <c r="AQ488" s="29" t="str">
        <f aca="false">IF(OR(AP488="",N(O488)=0),"",AP488/O488-1)</f>
        <v/>
      </c>
      <c r="AR488" s="29" t="str">
        <f aca="false">IF(OR(AQ488="",N(O488)=0),"",AQ488+AG488/O488)</f>
        <v/>
      </c>
      <c r="AS488" s="32" t="str">
        <f aca="false">IF(OR(AR488="",N(AJ488)=0),"",AR488-AJ488)</f>
        <v/>
      </c>
      <c r="AT488" s="28" t="n">
        <v>25</v>
      </c>
      <c r="AU488" s="28" t="n">
        <v>2</v>
      </c>
      <c r="AV488" s="28" t="n">
        <f aca="false">IF(N(AT488)&gt;0,AT488,L488)</f>
        <v>25</v>
      </c>
      <c r="AW488" s="28" t="n">
        <f aca="false">IF(AND(N(M488)&gt;0,N(AV488)&gt;0),M488*AV488,IF(N(AU488)&gt;0,AU488,N488))</f>
        <v>2</v>
      </c>
      <c r="AX488" s="29" t="n">
        <f aca="false">IF(N(AN488)=0,"",AN488+IF(I488="yes",AN488*Inputs!$B$10*Inputs!$B$9,0)+IFERROR(INDEX(Inputs!$B$13:$B$15,MATCH(G488,Inputs!$A$13:$A$15,0)),0)+IFERROR(INDEX(Inputs!$B$18:$B$24,MATCH(H488,Inputs!$A$18:$A$24,0)),0))</f>
        <v>0.0855</v>
      </c>
      <c r="AY488" s="28" t="n">
        <f aca="false">IF(OR(N(AX488)&lt;=0,N(AW488)=0,N(AV488)=0),"",MIN(AV488,AW488/AX488))</f>
        <v>23.3918128654971</v>
      </c>
      <c r="AZ488" s="29" t="str">
        <f aca="false">IF(OR(AY488="",N(O488)=0),"",AY488/O488-1)</f>
        <v/>
      </c>
      <c r="BA488" s="29" t="str">
        <f aca="false">IF(OR(AZ488="",N(O488)=0),"",AZ488+AW488/O488)</f>
        <v/>
      </c>
      <c r="BB488" s="32" t="str">
        <f aca="false">IF(OR(BA488="",N(AR488)=0),"",BA488-AR488)</f>
        <v/>
      </c>
      <c r="BC488" s="35" t="str">
        <f aca="false">IF(OR(BA488="",N(U488)=0),"",BA488-U488)</f>
        <v/>
      </c>
      <c r="BD488" s="36" t="s">
        <v>299</v>
      </c>
    </row>
    <row r="489" customFormat="false" ht="15" hidden="false" customHeight="false" outlineLevel="0" collapsed="false">
      <c r="A489" s="2" t="s">
        <v>768</v>
      </c>
      <c r="B489" s="2" t="n">
        <v>354</v>
      </c>
      <c r="C489" s="2" t="s">
        <v>1035</v>
      </c>
      <c r="D489" s="2" t="s">
        <v>1036</v>
      </c>
      <c r="E489" s="2" t="s">
        <v>143</v>
      </c>
      <c r="F489" s="27"/>
      <c r="G489" s="2" t="s">
        <v>52</v>
      </c>
      <c r="H489" s="2" t="s">
        <v>58</v>
      </c>
      <c r="I489" s="2" t="s">
        <v>144</v>
      </c>
      <c r="J489" s="2" t="s">
        <v>145</v>
      </c>
      <c r="K489" s="2" t="n">
        <v>4</v>
      </c>
      <c r="L489" s="28" t="n">
        <v>25</v>
      </c>
      <c r="M489" s="29" t="n">
        <v>0.0775</v>
      </c>
      <c r="N489" s="28" t="n">
        <v>1.9375</v>
      </c>
      <c r="O489" s="28" t="n">
        <v>11.9</v>
      </c>
      <c r="P489" s="2" t="s">
        <v>146</v>
      </c>
      <c r="Q489" s="29" t="n">
        <v>0</v>
      </c>
      <c r="R489" s="30" t="n">
        <v>-0.005</v>
      </c>
      <c r="S489" s="31" t="n">
        <v>-387.5</v>
      </c>
      <c r="T489" s="30" t="n">
        <v>-33.563025210084</v>
      </c>
      <c r="U489" s="30" t="n">
        <v>-33.4002100840336</v>
      </c>
      <c r="V489" s="29" t="n">
        <v>-0.005</v>
      </c>
      <c r="W489" s="29" t="str">
        <f aca="false">IF(N(Q489)=0,"",Q489+IF(I489="yes",Q489*Inputs!$B$10*Inputs!$B$9,0)+V489)</f>
        <v/>
      </c>
      <c r="X489" s="28" t="str">
        <f aca="false">IF(OR(N(W489)&lt;=0,N(N489)=0,N(L489)=0),"",MIN(L489,N489/W489))</f>
        <v/>
      </c>
      <c r="Y489" s="29" t="str">
        <f aca="false">IF(OR(X489="",N(O489)=0),"",X489/O489-1)</f>
        <v/>
      </c>
      <c r="Z489" s="29" t="str">
        <f aca="false">IF(OR(Y489="",N(O489)=0),"",Y489+N489/O489)</f>
        <v/>
      </c>
      <c r="AA489" s="32" t="str">
        <f aca="false">IF(OR(Z489="",N(U489)=0),"",Z489-U489)</f>
        <v/>
      </c>
      <c r="AB489" s="29" t="str">
        <f aca="false">IF(N(Q489)=0,"",Q489+IF(I489="yes",Q489*Inputs!$B$10*Inputs!$B$9,0)+IFERROR(INDEX(Inputs!$B$13:$B$15,MATCH(G489,Inputs!$A$13:$A$15,0)),0)+IFERROR(INDEX(Inputs!$B$18:$B$24,MATCH(H489,Inputs!$A$18:$A$24,0)),0))</f>
        <v/>
      </c>
      <c r="AC489" s="28" t="str">
        <f aca="false">IF(OR(N(AB489)&lt;=0,N(N489)=0,N(L489)=0),"",MIN(L489,N489/AB489))</f>
        <v/>
      </c>
      <c r="AD489" s="29" t="str">
        <f aca="false">IF(OR(AC489="",N(O489)=0),"",AC489/O489-1)</f>
        <v/>
      </c>
      <c r="AE489" s="29" t="str">
        <f aca="false">IF(OR(AD489="",N(O489)=0),"",AD489+N489/O489)</f>
        <v/>
      </c>
      <c r="AF489" s="32" t="str">
        <f aca="false">IF(OR(AE489="",N(Z489)=0),"",AE489-Z489)</f>
        <v/>
      </c>
      <c r="AG489" s="28" t="n">
        <f aca="false">IF(AND(N(M489)&gt;0,N(L489)&gt;0),M489*L489,N489)</f>
        <v>1.9375</v>
      </c>
      <c r="AH489" s="28" t="str">
        <f aca="false">IF(OR(N(AB489)&lt;=0,N(AG489)=0,N(L489)=0),"",MIN(L489,AG489/AB489))</f>
        <v/>
      </c>
      <c r="AI489" s="29" t="str">
        <f aca="false">IF(OR(AH489="",N(O489)=0),"",AH489/O489-1)</f>
        <v/>
      </c>
      <c r="AJ489" s="29" t="str">
        <f aca="false">IF(OR(AI489="",N(O489)=0),"",AI489+AG489/O489)</f>
        <v/>
      </c>
      <c r="AK489" s="32" t="str">
        <f aca="false">IF(OR(AJ489="",N(AE489)=0),"",AJ489-AE489)</f>
        <v/>
      </c>
      <c r="AL489" s="33" t="str">
        <f aca="false">IF(N(F489)=0,"",INDEX(Inputs!$B$28:$B$32,IFERROR(MATCH(F489,Inputs!$A$28:$A$32,1),0)+1))</f>
        <v/>
      </c>
      <c r="AM489" s="34"/>
      <c r="AN489" s="33" t="str">
        <f aca="false">IF(N(AM489)&gt;0,AM489,AL489)</f>
        <v/>
      </c>
      <c r="AO489" s="29" t="str">
        <f aca="false">IF(N(AN489)=0,"",AN489+IF(I489="yes",AN489*Inputs!$B$10*Inputs!$B$9,0)+IFERROR(INDEX(Inputs!$B$13:$B$15,MATCH(G489,Inputs!$A$13:$A$15,0)),0)+IFERROR(INDEX(Inputs!$B$18:$B$24,MATCH(H489,Inputs!$A$18:$A$24,0)),0))</f>
        <v/>
      </c>
      <c r="AP489" s="28" t="str">
        <f aca="false">IF(OR(N(AO489)&lt;=0,N(AG489)=0,N(L489)=0),"",MIN(L489,AG489/AO489))</f>
        <v/>
      </c>
      <c r="AQ489" s="29" t="str">
        <f aca="false">IF(OR(AP489="",N(O489)=0),"",AP489/O489-1)</f>
        <v/>
      </c>
      <c r="AR489" s="29" t="str">
        <f aca="false">IF(OR(AQ489="",N(O489)=0),"",AQ489+AG489/O489)</f>
        <v/>
      </c>
      <c r="AS489" s="32" t="str">
        <f aca="false">IF(OR(AR489="",N(AJ489)=0),"",AR489-AJ489)</f>
        <v/>
      </c>
      <c r="AT489" s="28" t="n">
        <v>25</v>
      </c>
      <c r="AU489" s="28" t="n">
        <v>1.94</v>
      </c>
      <c r="AV489" s="28" t="n">
        <f aca="false">IF(N(AT489)&gt;0,AT489,L489)</f>
        <v>25</v>
      </c>
      <c r="AW489" s="28" t="n">
        <f aca="false">IF(AND(N(M489)&gt;0,N(AV489)&gt;0),M489*AV489,IF(N(AU489)&gt;0,AU489,N489))</f>
        <v>1.9375</v>
      </c>
      <c r="AX489" s="29" t="str">
        <f aca="false">IF(N(AN489)=0,"",AN489+IF(I489="yes",AN489*Inputs!$B$10*Inputs!$B$9,0)+IFERROR(INDEX(Inputs!$B$13:$B$15,MATCH(G489,Inputs!$A$13:$A$15,0)),0)+IFERROR(INDEX(Inputs!$B$18:$B$24,MATCH(H489,Inputs!$A$18:$A$24,0)),0))</f>
        <v/>
      </c>
      <c r="AY489" s="28" t="str">
        <f aca="false">IF(OR(N(AX489)&lt;=0,N(AW489)=0,N(AV489)=0),"",MIN(AV489,AW489/AX489))</f>
        <v/>
      </c>
      <c r="AZ489" s="29" t="str">
        <f aca="false">IF(OR(AY489="",N(O489)=0),"",AY489/O489-1)</f>
        <v/>
      </c>
      <c r="BA489" s="29" t="str">
        <f aca="false">IF(OR(AZ489="",N(O489)=0),"",AZ489+AW489/O489)</f>
        <v/>
      </c>
      <c r="BB489" s="32" t="str">
        <f aca="false">IF(OR(BA489="",N(AR489)=0),"",BA489-AR489)</f>
        <v/>
      </c>
      <c r="BC489" s="35" t="str">
        <f aca="false">IF(OR(BA489="",N(U489)=0),"",BA489-U489)</f>
        <v/>
      </c>
      <c r="BD489" s="36" t="s">
        <v>231</v>
      </c>
    </row>
    <row r="490" customFormat="false" ht="15" hidden="false" customHeight="false" outlineLevel="0" collapsed="false">
      <c r="A490" s="2" t="s">
        <v>768</v>
      </c>
      <c r="B490" s="2" t="n">
        <v>355</v>
      </c>
      <c r="C490" s="2" t="s">
        <v>1037</v>
      </c>
      <c r="D490" s="2" t="s">
        <v>1036</v>
      </c>
      <c r="E490" s="2" t="s">
        <v>143</v>
      </c>
      <c r="F490" s="27"/>
      <c r="G490" s="2" t="s">
        <v>52</v>
      </c>
      <c r="H490" s="2" t="s">
        <v>58</v>
      </c>
      <c r="I490" s="2" t="s">
        <v>144</v>
      </c>
      <c r="J490" s="2" t="s">
        <v>145</v>
      </c>
      <c r="K490" s="2" t="n">
        <v>4</v>
      </c>
      <c r="L490" s="28" t="n">
        <v>25</v>
      </c>
      <c r="M490" s="29" t="n">
        <v>0.06625</v>
      </c>
      <c r="N490" s="28" t="n">
        <v>1.65625</v>
      </c>
      <c r="O490" s="28" t="n">
        <v>10.61</v>
      </c>
      <c r="P490" s="2" t="s">
        <v>146</v>
      </c>
      <c r="Q490" s="29" t="n">
        <v>0</v>
      </c>
      <c r="R490" s="30" t="n">
        <v>-0.005</v>
      </c>
      <c r="S490" s="31" t="n">
        <v>-331.25</v>
      </c>
      <c r="T490" s="30" t="n">
        <v>-32.2205466540999</v>
      </c>
      <c r="U490" s="30" t="n">
        <v>-32.0644439208294</v>
      </c>
      <c r="V490" s="29" t="n">
        <v>-0.005</v>
      </c>
      <c r="W490" s="29" t="str">
        <f aca="false">IF(N(Q490)=0,"",Q490+IF(I490="yes",Q490*Inputs!$B$10*Inputs!$B$9,0)+V490)</f>
        <v/>
      </c>
      <c r="X490" s="28" t="str">
        <f aca="false">IF(OR(N(W490)&lt;=0,N(N490)=0,N(L490)=0),"",MIN(L490,N490/W490))</f>
        <v/>
      </c>
      <c r="Y490" s="29" t="str">
        <f aca="false">IF(OR(X490="",N(O490)=0),"",X490/O490-1)</f>
        <v/>
      </c>
      <c r="Z490" s="29" t="str">
        <f aca="false">IF(OR(Y490="",N(O490)=0),"",Y490+N490/O490)</f>
        <v/>
      </c>
      <c r="AA490" s="32" t="str">
        <f aca="false">IF(OR(Z490="",N(U490)=0),"",Z490-U490)</f>
        <v/>
      </c>
      <c r="AB490" s="29" t="str">
        <f aca="false">IF(N(Q490)=0,"",Q490+IF(I490="yes",Q490*Inputs!$B$10*Inputs!$B$9,0)+IFERROR(INDEX(Inputs!$B$13:$B$15,MATCH(G490,Inputs!$A$13:$A$15,0)),0)+IFERROR(INDEX(Inputs!$B$18:$B$24,MATCH(H490,Inputs!$A$18:$A$24,0)),0))</f>
        <v/>
      </c>
      <c r="AC490" s="28" t="str">
        <f aca="false">IF(OR(N(AB490)&lt;=0,N(N490)=0,N(L490)=0),"",MIN(L490,N490/AB490))</f>
        <v/>
      </c>
      <c r="AD490" s="29" t="str">
        <f aca="false">IF(OR(AC490="",N(O490)=0),"",AC490/O490-1)</f>
        <v/>
      </c>
      <c r="AE490" s="29" t="str">
        <f aca="false">IF(OR(AD490="",N(O490)=0),"",AD490+N490/O490)</f>
        <v/>
      </c>
      <c r="AF490" s="32" t="str">
        <f aca="false">IF(OR(AE490="",N(Z490)=0),"",AE490-Z490)</f>
        <v/>
      </c>
      <c r="AG490" s="28" t="n">
        <f aca="false">IF(AND(N(M490)&gt;0,N(L490)&gt;0),M490*L490,N490)</f>
        <v>1.65625</v>
      </c>
      <c r="AH490" s="28" t="str">
        <f aca="false">IF(OR(N(AB490)&lt;=0,N(AG490)=0,N(L490)=0),"",MIN(L490,AG490/AB490))</f>
        <v/>
      </c>
      <c r="AI490" s="29" t="str">
        <f aca="false">IF(OR(AH490="",N(O490)=0),"",AH490/O490-1)</f>
        <v/>
      </c>
      <c r="AJ490" s="29" t="str">
        <f aca="false">IF(OR(AI490="",N(O490)=0),"",AI490+AG490/O490)</f>
        <v/>
      </c>
      <c r="AK490" s="32" t="str">
        <f aca="false">IF(OR(AJ490="",N(AE490)=0),"",AJ490-AE490)</f>
        <v/>
      </c>
      <c r="AL490" s="33" t="str">
        <f aca="false">IF(N(F490)=0,"",INDEX(Inputs!$B$28:$B$32,IFERROR(MATCH(F490,Inputs!$A$28:$A$32,1),0)+1))</f>
        <v/>
      </c>
      <c r="AM490" s="34"/>
      <c r="AN490" s="33" t="str">
        <f aca="false">IF(N(AM490)&gt;0,AM490,AL490)</f>
        <v/>
      </c>
      <c r="AO490" s="29" t="str">
        <f aca="false">IF(N(AN490)=0,"",AN490+IF(I490="yes",AN490*Inputs!$B$10*Inputs!$B$9,0)+IFERROR(INDEX(Inputs!$B$13:$B$15,MATCH(G490,Inputs!$A$13:$A$15,0)),0)+IFERROR(INDEX(Inputs!$B$18:$B$24,MATCH(H490,Inputs!$A$18:$A$24,0)),0))</f>
        <v/>
      </c>
      <c r="AP490" s="28" t="str">
        <f aca="false">IF(OR(N(AO490)&lt;=0,N(AG490)=0,N(L490)=0),"",MIN(L490,AG490/AO490))</f>
        <v/>
      </c>
      <c r="AQ490" s="29" t="str">
        <f aca="false">IF(OR(AP490="",N(O490)=0),"",AP490/O490-1)</f>
        <v/>
      </c>
      <c r="AR490" s="29" t="str">
        <f aca="false">IF(OR(AQ490="",N(O490)=0),"",AQ490+AG490/O490)</f>
        <v/>
      </c>
      <c r="AS490" s="32" t="str">
        <f aca="false">IF(OR(AR490="",N(AJ490)=0),"",AR490-AJ490)</f>
        <v/>
      </c>
      <c r="AT490" s="28" t="n">
        <v>25</v>
      </c>
      <c r="AU490" s="28" t="n">
        <v>1.66</v>
      </c>
      <c r="AV490" s="28" t="n">
        <f aca="false">IF(N(AT490)&gt;0,AT490,L490)</f>
        <v>25</v>
      </c>
      <c r="AW490" s="28" t="n">
        <f aca="false">IF(AND(N(M490)&gt;0,N(AV490)&gt;0),M490*AV490,IF(N(AU490)&gt;0,AU490,N490))</f>
        <v>1.65625</v>
      </c>
      <c r="AX490" s="29" t="str">
        <f aca="false">IF(N(AN490)=0,"",AN490+IF(I490="yes",AN490*Inputs!$B$10*Inputs!$B$9,0)+IFERROR(INDEX(Inputs!$B$13:$B$15,MATCH(G490,Inputs!$A$13:$A$15,0)),0)+IFERROR(INDEX(Inputs!$B$18:$B$24,MATCH(H490,Inputs!$A$18:$A$24,0)),0))</f>
        <v/>
      </c>
      <c r="AY490" s="28" t="str">
        <f aca="false">IF(OR(N(AX490)&lt;=0,N(AW490)=0,N(AV490)=0),"",MIN(AV490,AW490/AX490))</f>
        <v/>
      </c>
      <c r="AZ490" s="29" t="str">
        <f aca="false">IF(OR(AY490="",N(O490)=0),"",AY490/O490-1)</f>
        <v/>
      </c>
      <c r="BA490" s="29" t="str">
        <f aca="false">IF(OR(AZ490="",N(O490)=0),"",AZ490+AW490/O490)</f>
        <v/>
      </c>
      <c r="BB490" s="32" t="str">
        <f aca="false">IF(OR(BA490="",N(AR490)=0),"",BA490-AR490)</f>
        <v/>
      </c>
      <c r="BC490" s="35" t="str">
        <f aca="false">IF(OR(BA490="",N(U490)=0),"",BA490-U490)</f>
        <v/>
      </c>
      <c r="BD490" s="36" t="s">
        <v>231</v>
      </c>
    </row>
    <row r="491" customFormat="false" ht="15" hidden="false" customHeight="false" outlineLevel="0" collapsed="false">
      <c r="A491" s="2" t="s">
        <v>768</v>
      </c>
      <c r="B491" s="2" t="n">
        <v>358</v>
      </c>
      <c r="C491" s="2" t="s">
        <v>1038</v>
      </c>
      <c r="D491" s="2" t="s">
        <v>1039</v>
      </c>
      <c r="E491" s="2" t="s">
        <v>1040</v>
      </c>
      <c r="F491" s="27" t="n">
        <v>42</v>
      </c>
      <c r="G491" s="2" t="s">
        <v>51</v>
      </c>
      <c r="H491" s="2" t="s">
        <v>58</v>
      </c>
      <c r="I491" s="2" t="s">
        <v>151</v>
      </c>
      <c r="J491" s="2" t="s">
        <v>145</v>
      </c>
      <c r="K491" s="2" t="n">
        <v>4</v>
      </c>
      <c r="L491" s="28" t="n">
        <v>25</v>
      </c>
      <c r="M491" s="29" t="n">
        <v>0.09</v>
      </c>
      <c r="N491" s="28" t="n">
        <v>2.25</v>
      </c>
      <c r="O491" s="28" t="n">
        <v>0</v>
      </c>
      <c r="P491" s="2" t="s">
        <v>146</v>
      </c>
      <c r="Q491" s="29" t="n">
        <v>0.1</v>
      </c>
      <c r="R491" s="30" t="n">
        <v>0.095</v>
      </c>
      <c r="S491" s="31" t="n">
        <v>23.6842105263158</v>
      </c>
      <c r="T491" s="30"/>
      <c r="U491" s="30"/>
      <c r="V491" s="29" t="n">
        <v>0</v>
      </c>
      <c r="W491" s="29" t="n">
        <f aca="false">IF(N(Q491)=0,"",Q491+IF(I491="yes",Q491*Inputs!$B$10*Inputs!$B$9,0)+V491)</f>
        <v>0.095</v>
      </c>
      <c r="X491" s="28" t="n">
        <f aca="false">IF(OR(N(W491)&lt;=0,N(N491)=0,N(L491)=0),"",MIN(L491,N491/W491))</f>
        <v>23.6842105263158</v>
      </c>
      <c r="Y491" s="29" t="str">
        <f aca="false">IF(OR(X491="",N(O491)=0),"",X491/O491-1)</f>
        <v/>
      </c>
      <c r="Z491" s="29" t="str">
        <f aca="false">IF(OR(Y491="",N(O491)=0),"",Y491+N491/O491)</f>
        <v/>
      </c>
      <c r="AA491" s="32" t="str">
        <f aca="false">IF(OR(Z491="",N(U491)=0),"",Z491-U491)</f>
        <v/>
      </c>
      <c r="AB491" s="29" t="n">
        <f aca="false">IF(N(Q491)=0,"",Q491+IF(I491="yes",Q491*Inputs!$B$10*Inputs!$B$9,0)+IFERROR(INDEX(Inputs!$B$13:$B$15,MATCH(G491,Inputs!$A$13:$A$15,0)),0)+IFERROR(INDEX(Inputs!$B$18:$B$24,MATCH(H491,Inputs!$A$18:$A$24,0)),0))</f>
        <v>0.095</v>
      </c>
      <c r="AC491" s="28" t="n">
        <f aca="false">IF(OR(N(AB491)&lt;=0,N(N491)=0,N(L491)=0),"",MIN(L491,N491/AB491))</f>
        <v>23.6842105263158</v>
      </c>
      <c r="AD491" s="29" t="str">
        <f aca="false">IF(OR(AC491="",N(O491)=0),"",AC491/O491-1)</f>
        <v/>
      </c>
      <c r="AE491" s="29" t="str">
        <f aca="false">IF(OR(AD491="",N(O491)=0),"",AD491+N491/O491)</f>
        <v/>
      </c>
      <c r="AF491" s="32" t="str">
        <f aca="false">IF(OR(AE491="",N(Z491)=0),"",AE491-Z491)</f>
        <v/>
      </c>
      <c r="AG491" s="28" t="n">
        <f aca="false">IF(AND(N(M491)&gt;0,N(L491)&gt;0),M491*L491,N491)</f>
        <v>2.25</v>
      </c>
      <c r="AH491" s="28" t="n">
        <f aca="false">IF(OR(N(AB491)&lt;=0,N(AG491)=0,N(L491)=0),"",MIN(L491,AG491/AB491))</f>
        <v>23.6842105263158</v>
      </c>
      <c r="AI491" s="29" t="str">
        <f aca="false">IF(OR(AH491="",N(O491)=0),"",AH491/O491-1)</f>
        <v/>
      </c>
      <c r="AJ491" s="29" t="str">
        <f aca="false">IF(OR(AI491="",N(O491)=0),"",AI491+AG491/O491)</f>
        <v/>
      </c>
      <c r="AK491" s="32" t="str">
        <f aca="false">IF(OR(AJ491="",N(AE491)=0),"",AJ491-AE491)</f>
        <v/>
      </c>
      <c r="AL491" s="33" t="n">
        <f aca="false">IF(N(F491)=0,"",INDEX(Inputs!$B$28:$B$32,IFERROR(MATCH(F491,Inputs!$A$28:$A$32,1),0)+1))</f>
        <v>0.1</v>
      </c>
      <c r="AM491" s="34"/>
      <c r="AN491" s="33" t="n">
        <f aca="false">IF(N(AM491)&gt;0,AM491,AL491)</f>
        <v>0.1</v>
      </c>
      <c r="AO491" s="29" t="n">
        <f aca="false">IF(N(AN491)=0,"",AN491+IF(I491="yes",AN491*Inputs!$B$10*Inputs!$B$9,0)+IFERROR(INDEX(Inputs!$B$13:$B$15,MATCH(G491,Inputs!$A$13:$A$15,0)),0)+IFERROR(INDEX(Inputs!$B$18:$B$24,MATCH(H491,Inputs!$A$18:$A$24,0)),0))</f>
        <v>0.095</v>
      </c>
      <c r="AP491" s="28" t="n">
        <f aca="false">IF(OR(N(AO491)&lt;=0,N(AG491)=0,N(L491)=0),"",MIN(L491,AG491/AO491))</f>
        <v>23.6842105263158</v>
      </c>
      <c r="AQ491" s="29" t="str">
        <f aca="false">IF(OR(AP491="",N(O491)=0),"",AP491/O491-1)</f>
        <v/>
      </c>
      <c r="AR491" s="29" t="str">
        <f aca="false">IF(OR(AQ491="",N(O491)=0),"",AQ491+AG491/O491)</f>
        <v/>
      </c>
      <c r="AS491" s="32" t="str">
        <f aca="false">IF(OR(AR491="",N(AJ491)=0),"",AR491-AJ491)</f>
        <v/>
      </c>
      <c r="AT491" s="28"/>
      <c r="AU491" s="28"/>
      <c r="AV491" s="28" t="n">
        <f aca="false">IF(N(AT491)&gt;0,AT491,L491)</f>
        <v>25</v>
      </c>
      <c r="AW491" s="28" t="n">
        <f aca="false">IF(AND(N(M491)&gt;0,N(AV491)&gt;0),M491*AV491,IF(N(AU491)&gt;0,AU491,N491))</f>
        <v>2.25</v>
      </c>
      <c r="AX491" s="29" t="n">
        <f aca="false">IF(N(AN491)=0,"",AN491+IF(I491="yes",AN491*Inputs!$B$10*Inputs!$B$9,0)+IFERROR(INDEX(Inputs!$B$13:$B$15,MATCH(G491,Inputs!$A$13:$A$15,0)),0)+IFERROR(INDEX(Inputs!$B$18:$B$24,MATCH(H491,Inputs!$A$18:$A$24,0)),0))</f>
        <v>0.095</v>
      </c>
      <c r="AY491" s="28" t="n">
        <f aca="false">IF(OR(N(AX491)&lt;=0,N(AW491)=0,N(AV491)=0),"",MIN(AV491,AW491/AX491))</f>
        <v>23.6842105263158</v>
      </c>
      <c r="AZ491" s="29" t="str">
        <f aca="false">IF(OR(AY491="",N(O491)=0),"",AY491/O491-1)</f>
        <v/>
      </c>
      <c r="BA491" s="29" t="str">
        <f aca="false">IF(OR(AZ491="",N(O491)=0),"",AZ491+AW491/O491)</f>
        <v/>
      </c>
      <c r="BB491" s="32" t="str">
        <f aca="false">IF(OR(BA491="",N(AR491)=0),"",BA491-AR491)</f>
        <v/>
      </c>
      <c r="BC491" s="35" t="str">
        <f aca="false">IF(OR(BA491="",N(U491)=0),"",BA491-U491)</f>
        <v/>
      </c>
      <c r="BD491" s="36" t="s">
        <v>198</v>
      </c>
    </row>
    <row r="492" customFormat="false" ht="15" hidden="false" customHeight="false" outlineLevel="0" collapsed="false">
      <c r="A492" s="2" t="s">
        <v>768</v>
      </c>
      <c r="B492" s="2" t="n">
        <v>362</v>
      </c>
      <c r="C492" s="2" t="s">
        <v>1041</v>
      </c>
      <c r="D492" s="2" t="s">
        <v>1042</v>
      </c>
      <c r="E492" s="2" t="s">
        <v>1043</v>
      </c>
      <c r="F492" s="27" t="n">
        <v>213</v>
      </c>
      <c r="G492" s="2" t="s">
        <v>51</v>
      </c>
      <c r="H492" s="2" t="s">
        <v>58</v>
      </c>
      <c r="I492" s="2" t="s">
        <v>144</v>
      </c>
      <c r="J492" s="2" t="s">
        <v>145</v>
      </c>
      <c r="K492" s="2" t="n">
        <v>4</v>
      </c>
      <c r="L492" s="28" t="n">
        <v>25</v>
      </c>
      <c r="M492" s="29" t="n">
        <v>0.0825</v>
      </c>
      <c r="N492" s="28" t="n">
        <v>2.0625</v>
      </c>
      <c r="O492" s="28" t="n">
        <v>22.25</v>
      </c>
      <c r="P492" s="2" t="s">
        <v>146</v>
      </c>
      <c r="Q492" s="29" t="n">
        <v>0.1</v>
      </c>
      <c r="R492" s="30" t="n">
        <v>0.1</v>
      </c>
      <c r="S492" s="31" t="n">
        <v>20.625</v>
      </c>
      <c r="T492" s="30" t="n">
        <v>-0.0730337078651685</v>
      </c>
      <c r="U492" s="30" t="n">
        <v>0.0196629213483147</v>
      </c>
      <c r="V492" s="29" t="n">
        <v>0</v>
      </c>
      <c r="W492" s="29" t="n">
        <f aca="false">IF(N(Q492)=0,"",Q492+IF(I492="yes",Q492*Inputs!$B$10*Inputs!$B$9,0)+V492)</f>
        <v>0.1</v>
      </c>
      <c r="X492" s="28" t="n">
        <f aca="false">IF(OR(N(W492)&lt;=0,N(N492)=0,N(L492)=0),"",MIN(L492,N492/W492))</f>
        <v>20.625</v>
      </c>
      <c r="Y492" s="29" t="n">
        <f aca="false">IF(OR(X492="",N(O492)=0),"",X492/O492-1)</f>
        <v>-0.0730337078651685</v>
      </c>
      <c r="Z492" s="29" t="n">
        <f aca="false">IF(OR(Y492="",N(O492)=0),"",Y492+N492/O492)</f>
        <v>0.0196629213483147</v>
      </c>
      <c r="AA492" s="32" t="n">
        <f aca="false">IF(OR(Z492="",N(U492)=0),"",Z492-U492)</f>
        <v>0</v>
      </c>
      <c r="AB492" s="29" t="n">
        <f aca="false">IF(N(Q492)=0,"",Q492+IF(I492="yes",Q492*Inputs!$B$10*Inputs!$B$9,0)+IFERROR(INDEX(Inputs!$B$13:$B$15,MATCH(G492,Inputs!$A$13:$A$15,0)),0)+IFERROR(INDEX(Inputs!$B$18:$B$24,MATCH(H492,Inputs!$A$18:$A$24,0)),0))</f>
        <v>0.1</v>
      </c>
      <c r="AC492" s="28" t="n">
        <f aca="false">IF(OR(N(AB492)&lt;=0,N(N492)=0,N(L492)=0),"",MIN(L492,N492/AB492))</f>
        <v>20.625</v>
      </c>
      <c r="AD492" s="29" t="n">
        <f aca="false">IF(OR(AC492="",N(O492)=0),"",AC492/O492-1)</f>
        <v>-0.0730337078651685</v>
      </c>
      <c r="AE492" s="29" t="n">
        <f aca="false">IF(OR(AD492="",N(O492)=0),"",AD492+N492/O492)</f>
        <v>0.0196629213483147</v>
      </c>
      <c r="AF492" s="32" t="n">
        <f aca="false">IF(OR(AE492="",N(Z492)=0),"",AE492-Z492)</f>
        <v>0</v>
      </c>
      <c r="AG492" s="28" t="n">
        <f aca="false">IF(AND(N(M492)&gt;0,N(L492)&gt;0),M492*L492,N492)</f>
        <v>2.0625</v>
      </c>
      <c r="AH492" s="28" t="n">
        <f aca="false">IF(OR(N(AB492)&lt;=0,N(AG492)=0,N(L492)=0),"",MIN(L492,AG492/AB492))</f>
        <v>20.625</v>
      </c>
      <c r="AI492" s="29" t="n">
        <f aca="false">IF(OR(AH492="",N(O492)=0),"",AH492/O492-1)</f>
        <v>-0.0730337078651685</v>
      </c>
      <c r="AJ492" s="29" t="n">
        <f aca="false">IF(OR(AI492="",N(O492)=0),"",AI492+AG492/O492)</f>
        <v>0.0196629213483147</v>
      </c>
      <c r="AK492" s="32" t="n">
        <f aca="false">IF(OR(AJ492="",N(AE492)=0),"",AJ492-AE492)</f>
        <v>0</v>
      </c>
      <c r="AL492" s="33" t="n">
        <f aca="false">IF(N(F492)=0,"",INDEX(Inputs!$B$28:$B$32,IFERROR(MATCH(F492,Inputs!$A$28:$A$32,1),0)+1))</f>
        <v>0.1</v>
      </c>
      <c r="AM492" s="34"/>
      <c r="AN492" s="33" t="n">
        <f aca="false">IF(N(AM492)&gt;0,AM492,AL492)</f>
        <v>0.1</v>
      </c>
      <c r="AO492" s="29" t="n">
        <f aca="false">IF(N(AN492)=0,"",AN492+IF(I492="yes",AN492*Inputs!$B$10*Inputs!$B$9,0)+IFERROR(INDEX(Inputs!$B$13:$B$15,MATCH(G492,Inputs!$A$13:$A$15,0)),0)+IFERROR(INDEX(Inputs!$B$18:$B$24,MATCH(H492,Inputs!$A$18:$A$24,0)),0))</f>
        <v>0.1</v>
      </c>
      <c r="AP492" s="28" t="n">
        <f aca="false">IF(OR(N(AO492)&lt;=0,N(AG492)=0,N(L492)=0),"",MIN(L492,AG492/AO492))</f>
        <v>20.625</v>
      </c>
      <c r="AQ492" s="29" t="n">
        <f aca="false">IF(OR(AP492="",N(O492)=0),"",AP492/O492-1)</f>
        <v>-0.0730337078651685</v>
      </c>
      <c r="AR492" s="29" t="n">
        <f aca="false">IF(OR(AQ492="",N(O492)=0),"",AQ492+AG492/O492)</f>
        <v>0.0196629213483147</v>
      </c>
      <c r="AS492" s="32" t="n">
        <f aca="false">IF(OR(AR492="",N(AJ492)=0),"",AR492-AJ492)</f>
        <v>0</v>
      </c>
      <c r="AT492" s="28" t="n">
        <v>25</v>
      </c>
      <c r="AU492" s="28" t="n">
        <v>2.06</v>
      </c>
      <c r="AV492" s="28" t="n">
        <f aca="false">IF(N(AT492)&gt;0,AT492,L492)</f>
        <v>25</v>
      </c>
      <c r="AW492" s="28" t="n">
        <f aca="false">IF(AND(N(M492)&gt;0,N(AV492)&gt;0),M492*AV492,IF(N(AU492)&gt;0,AU492,N492))</f>
        <v>2.0625</v>
      </c>
      <c r="AX492" s="29" t="n">
        <f aca="false">IF(N(AN492)=0,"",AN492+IF(I492="yes",AN492*Inputs!$B$10*Inputs!$B$9,0)+IFERROR(INDEX(Inputs!$B$13:$B$15,MATCH(G492,Inputs!$A$13:$A$15,0)),0)+IFERROR(INDEX(Inputs!$B$18:$B$24,MATCH(H492,Inputs!$A$18:$A$24,0)),0))</f>
        <v>0.1</v>
      </c>
      <c r="AY492" s="28" t="n">
        <f aca="false">IF(OR(N(AX492)&lt;=0,N(AW492)=0,N(AV492)=0),"",MIN(AV492,AW492/AX492))</f>
        <v>20.625</v>
      </c>
      <c r="AZ492" s="29" t="n">
        <f aca="false">IF(OR(AY492="",N(O492)=0),"",AY492/O492-1)</f>
        <v>-0.0730337078651685</v>
      </c>
      <c r="BA492" s="29" t="n">
        <f aca="false">IF(OR(AZ492="",N(O492)=0),"",AZ492+AW492/O492)</f>
        <v>0.0196629213483147</v>
      </c>
      <c r="BB492" s="32" t="n">
        <f aca="false">IF(OR(BA492="",N(AR492)=0),"",BA492-AR492)</f>
        <v>0</v>
      </c>
      <c r="BC492" s="35" t="n">
        <f aca="false">IF(OR(BA492="",N(U492)=0),"",BA492-U492)</f>
        <v>0</v>
      </c>
      <c r="BD492" s="37"/>
    </row>
    <row r="493" customFormat="false" ht="15" hidden="false" customHeight="false" outlineLevel="0" collapsed="false">
      <c r="A493" s="2" t="s">
        <v>768</v>
      </c>
      <c r="B493" s="2" t="n">
        <v>363</v>
      </c>
      <c r="C493" s="2" t="s">
        <v>1044</v>
      </c>
      <c r="D493" s="2" t="s">
        <v>1042</v>
      </c>
      <c r="E493" s="2" t="s">
        <v>1043</v>
      </c>
      <c r="F493" s="27" t="n">
        <v>213</v>
      </c>
      <c r="G493" s="2" t="s">
        <v>51</v>
      </c>
      <c r="H493" s="2" t="s">
        <v>58</v>
      </c>
      <c r="I493" s="2" t="s">
        <v>144</v>
      </c>
      <c r="J493" s="2" t="s">
        <v>145</v>
      </c>
      <c r="K493" s="2" t="n">
        <v>4</v>
      </c>
      <c r="L493" s="28" t="n">
        <v>25</v>
      </c>
      <c r="M493" s="29" t="n">
        <v>0.08</v>
      </c>
      <c r="N493" s="28" t="n">
        <v>2</v>
      </c>
      <c r="O493" s="28" t="n">
        <v>20.87</v>
      </c>
      <c r="P493" s="2" t="s">
        <v>146</v>
      </c>
      <c r="Q493" s="29" t="n">
        <v>0.1</v>
      </c>
      <c r="R493" s="30" t="n">
        <v>0.1</v>
      </c>
      <c r="S493" s="31" t="n">
        <v>20</v>
      </c>
      <c r="T493" s="30" t="n">
        <v>-0.0416866315285098</v>
      </c>
      <c r="U493" s="30" t="n">
        <v>0.0541447053186392</v>
      </c>
      <c r="V493" s="29" t="n">
        <v>0</v>
      </c>
      <c r="W493" s="29" t="n">
        <f aca="false">IF(N(Q493)=0,"",Q493+IF(I493="yes",Q493*Inputs!$B$10*Inputs!$B$9,0)+V493)</f>
        <v>0.1</v>
      </c>
      <c r="X493" s="28" t="n">
        <f aca="false">IF(OR(N(W493)&lt;=0,N(N493)=0,N(L493)=0),"",MIN(L493,N493/W493))</f>
        <v>20</v>
      </c>
      <c r="Y493" s="29" t="n">
        <f aca="false">IF(OR(X493="",N(O493)=0),"",X493/O493-1)</f>
        <v>-0.0416866315285098</v>
      </c>
      <c r="Z493" s="29" t="n">
        <f aca="false">IF(OR(Y493="",N(O493)=0),"",Y493+N493/O493)</f>
        <v>0.0541447053186392</v>
      </c>
      <c r="AA493" s="32" t="n">
        <f aca="false">IF(OR(Z493="",N(U493)=0),"",Z493-U493)</f>
        <v>0</v>
      </c>
      <c r="AB493" s="29" t="n">
        <f aca="false">IF(N(Q493)=0,"",Q493+IF(I493="yes",Q493*Inputs!$B$10*Inputs!$B$9,0)+IFERROR(INDEX(Inputs!$B$13:$B$15,MATCH(G493,Inputs!$A$13:$A$15,0)),0)+IFERROR(INDEX(Inputs!$B$18:$B$24,MATCH(H493,Inputs!$A$18:$A$24,0)),0))</f>
        <v>0.1</v>
      </c>
      <c r="AC493" s="28" t="n">
        <f aca="false">IF(OR(N(AB493)&lt;=0,N(N493)=0,N(L493)=0),"",MIN(L493,N493/AB493))</f>
        <v>20</v>
      </c>
      <c r="AD493" s="29" t="n">
        <f aca="false">IF(OR(AC493="",N(O493)=0),"",AC493/O493-1)</f>
        <v>-0.0416866315285098</v>
      </c>
      <c r="AE493" s="29" t="n">
        <f aca="false">IF(OR(AD493="",N(O493)=0),"",AD493+N493/O493)</f>
        <v>0.0541447053186392</v>
      </c>
      <c r="AF493" s="32" t="n">
        <f aca="false">IF(OR(AE493="",N(Z493)=0),"",AE493-Z493)</f>
        <v>0</v>
      </c>
      <c r="AG493" s="28" t="n">
        <f aca="false">IF(AND(N(M493)&gt;0,N(L493)&gt;0),M493*L493,N493)</f>
        <v>2</v>
      </c>
      <c r="AH493" s="28" t="n">
        <f aca="false">IF(OR(N(AB493)&lt;=0,N(AG493)=0,N(L493)=0),"",MIN(L493,AG493/AB493))</f>
        <v>20</v>
      </c>
      <c r="AI493" s="29" t="n">
        <f aca="false">IF(OR(AH493="",N(O493)=0),"",AH493/O493-1)</f>
        <v>-0.0416866315285098</v>
      </c>
      <c r="AJ493" s="29" t="n">
        <f aca="false">IF(OR(AI493="",N(O493)=0),"",AI493+AG493/O493)</f>
        <v>0.0541447053186392</v>
      </c>
      <c r="AK493" s="32" t="n">
        <f aca="false">IF(OR(AJ493="",N(AE493)=0),"",AJ493-AE493)</f>
        <v>0</v>
      </c>
      <c r="AL493" s="33" t="n">
        <f aca="false">IF(N(F493)=0,"",INDEX(Inputs!$B$28:$B$32,IFERROR(MATCH(F493,Inputs!$A$28:$A$32,1),0)+1))</f>
        <v>0.1</v>
      </c>
      <c r="AM493" s="34"/>
      <c r="AN493" s="33" t="n">
        <f aca="false">IF(N(AM493)&gt;0,AM493,AL493)</f>
        <v>0.1</v>
      </c>
      <c r="AO493" s="29" t="n">
        <f aca="false">IF(N(AN493)=0,"",AN493+IF(I493="yes",AN493*Inputs!$B$10*Inputs!$B$9,0)+IFERROR(INDEX(Inputs!$B$13:$B$15,MATCH(G493,Inputs!$A$13:$A$15,0)),0)+IFERROR(INDEX(Inputs!$B$18:$B$24,MATCH(H493,Inputs!$A$18:$A$24,0)),0))</f>
        <v>0.1</v>
      </c>
      <c r="AP493" s="28" t="n">
        <f aca="false">IF(OR(N(AO493)&lt;=0,N(AG493)=0,N(L493)=0),"",MIN(L493,AG493/AO493))</f>
        <v>20</v>
      </c>
      <c r="AQ493" s="29" t="n">
        <f aca="false">IF(OR(AP493="",N(O493)=0),"",AP493/O493-1)</f>
        <v>-0.0416866315285098</v>
      </c>
      <c r="AR493" s="29" t="n">
        <f aca="false">IF(OR(AQ493="",N(O493)=0),"",AQ493+AG493/O493)</f>
        <v>0.0541447053186392</v>
      </c>
      <c r="AS493" s="32" t="n">
        <f aca="false">IF(OR(AR493="",N(AJ493)=0),"",AR493-AJ493)</f>
        <v>0</v>
      </c>
      <c r="AT493" s="28" t="n">
        <v>25</v>
      </c>
      <c r="AU493" s="28" t="n">
        <v>2</v>
      </c>
      <c r="AV493" s="28" t="n">
        <f aca="false">IF(N(AT493)&gt;0,AT493,L493)</f>
        <v>25</v>
      </c>
      <c r="AW493" s="28" t="n">
        <f aca="false">IF(AND(N(M493)&gt;0,N(AV493)&gt;0),M493*AV493,IF(N(AU493)&gt;0,AU493,N493))</f>
        <v>2</v>
      </c>
      <c r="AX493" s="29" t="n">
        <f aca="false">IF(N(AN493)=0,"",AN493+IF(I493="yes",AN493*Inputs!$B$10*Inputs!$B$9,0)+IFERROR(INDEX(Inputs!$B$13:$B$15,MATCH(G493,Inputs!$A$13:$A$15,0)),0)+IFERROR(INDEX(Inputs!$B$18:$B$24,MATCH(H493,Inputs!$A$18:$A$24,0)),0))</f>
        <v>0.1</v>
      </c>
      <c r="AY493" s="28" t="n">
        <f aca="false">IF(OR(N(AX493)&lt;=0,N(AW493)=0,N(AV493)=0),"",MIN(AV493,AW493/AX493))</f>
        <v>20</v>
      </c>
      <c r="AZ493" s="29" t="n">
        <f aca="false">IF(OR(AY493="",N(O493)=0),"",AY493/O493-1)</f>
        <v>-0.0416866315285098</v>
      </c>
      <c r="BA493" s="29" t="n">
        <f aca="false">IF(OR(AZ493="",N(O493)=0),"",AZ493+AW493/O493)</f>
        <v>0.0541447053186392</v>
      </c>
      <c r="BB493" s="32" t="n">
        <f aca="false">IF(OR(BA493="",N(AR493)=0),"",BA493-AR493)</f>
        <v>0</v>
      </c>
      <c r="BC493" s="35" t="n">
        <f aca="false">IF(OR(BA493="",N(U493)=0),"",BA493-U493)</f>
        <v>0</v>
      </c>
      <c r="BD493" s="37"/>
    </row>
    <row r="494" customFormat="false" ht="15" hidden="false" customHeight="false" outlineLevel="0" collapsed="false">
      <c r="A494" s="2" t="s">
        <v>768</v>
      </c>
      <c r="B494" s="2" t="n">
        <v>364</v>
      </c>
      <c r="C494" s="2" t="s">
        <v>1045</v>
      </c>
      <c r="D494" s="2" t="s">
        <v>1042</v>
      </c>
      <c r="E494" s="2" t="s">
        <v>1043</v>
      </c>
      <c r="F494" s="27" t="n">
        <v>213</v>
      </c>
      <c r="G494" s="2" t="s">
        <v>51</v>
      </c>
      <c r="H494" s="2" t="s">
        <v>59</v>
      </c>
      <c r="I494" s="2" t="s">
        <v>144</v>
      </c>
      <c r="J494" s="2" t="s">
        <v>145</v>
      </c>
      <c r="K494" s="2" t="n">
        <v>4</v>
      </c>
      <c r="L494" s="28" t="n">
        <v>25</v>
      </c>
      <c r="M494" s="29" t="n">
        <v>0.08</v>
      </c>
      <c r="N494" s="28" t="n">
        <v>2</v>
      </c>
      <c r="O494" s="28" t="n">
        <v>25.58</v>
      </c>
      <c r="P494" s="2" t="s">
        <v>146</v>
      </c>
      <c r="Q494" s="29" t="n">
        <v>0.1</v>
      </c>
      <c r="R494" s="30" t="n">
        <v>0.1</v>
      </c>
      <c r="S494" s="31" t="n">
        <v>20</v>
      </c>
      <c r="T494" s="30" t="n">
        <v>-0.218139171227522</v>
      </c>
      <c r="U494" s="30" t="n">
        <v>-0.139953088350274</v>
      </c>
      <c r="V494" s="29" t="n">
        <v>0</v>
      </c>
      <c r="W494" s="29" t="n">
        <f aca="false">IF(N(Q494)=0,"",Q494+IF(I494="yes",Q494*Inputs!$B$10*Inputs!$B$9,0)+V494)</f>
        <v>0.1</v>
      </c>
      <c r="X494" s="28" t="n">
        <f aca="false">IF(OR(N(W494)&lt;=0,N(N494)=0,N(L494)=0),"",MIN(L494,N494/W494))</f>
        <v>20</v>
      </c>
      <c r="Y494" s="29" t="n">
        <f aca="false">IF(OR(X494="",N(O494)=0),"",X494/O494-1)</f>
        <v>-0.218139171227521</v>
      </c>
      <c r="Z494" s="29" t="n">
        <f aca="false">IF(OR(Y494="",N(O494)=0),"",Y494+N494/O494)</f>
        <v>-0.139953088350274</v>
      </c>
      <c r="AA494" s="32" t="n">
        <f aca="false">IF(OR(Z494="",N(U494)=0),"",Z494-U494)</f>
        <v>0</v>
      </c>
      <c r="AB494" s="29" t="n">
        <f aca="false">IF(N(Q494)=0,"",Q494+IF(I494="yes",Q494*Inputs!$B$10*Inputs!$B$9,0)+IFERROR(INDEX(Inputs!$B$13:$B$15,MATCH(G494,Inputs!$A$13:$A$15,0)),0)+IFERROR(INDEX(Inputs!$B$18:$B$24,MATCH(H494,Inputs!$A$18:$A$24,0)),0))</f>
        <v>0.1</v>
      </c>
      <c r="AC494" s="28" t="n">
        <f aca="false">IF(OR(N(AB494)&lt;=0,N(N494)=0,N(L494)=0),"",MIN(L494,N494/AB494))</f>
        <v>20</v>
      </c>
      <c r="AD494" s="29" t="n">
        <f aca="false">IF(OR(AC494="",N(O494)=0),"",AC494/O494-1)</f>
        <v>-0.218139171227521</v>
      </c>
      <c r="AE494" s="29" t="n">
        <f aca="false">IF(OR(AD494="",N(O494)=0),"",AD494+N494/O494)</f>
        <v>-0.139953088350274</v>
      </c>
      <c r="AF494" s="32" t="n">
        <f aca="false">IF(OR(AE494="",N(Z494)=0),"",AE494-Z494)</f>
        <v>0</v>
      </c>
      <c r="AG494" s="28" t="n">
        <f aca="false">IF(AND(N(M494)&gt;0,N(L494)&gt;0),M494*L494,N494)</f>
        <v>2</v>
      </c>
      <c r="AH494" s="28" t="n">
        <f aca="false">IF(OR(N(AB494)&lt;=0,N(AG494)=0,N(L494)=0),"",MIN(L494,AG494/AB494))</f>
        <v>20</v>
      </c>
      <c r="AI494" s="29" t="n">
        <f aca="false">IF(OR(AH494="",N(O494)=0),"",AH494/O494-1)</f>
        <v>-0.218139171227521</v>
      </c>
      <c r="AJ494" s="29" t="n">
        <f aca="false">IF(OR(AI494="",N(O494)=0),"",AI494+AG494/O494)</f>
        <v>-0.139953088350274</v>
      </c>
      <c r="AK494" s="32" t="n">
        <f aca="false">IF(OR(AJ494="",N(AE494)=0),"",AJ494-AE494)</f>
        <v>0</v>
      </c>
      <c r="AL494" s="33" t="n">
        <f aca="false">IF(N(F494)=0,"",INDEX(Inputs!$B$28:$B$32,IFERROR(MATCH(F494,Inputs!$A$28:$A$32,1),0)+1))</f>
        <v>0.1</v>
      </c>
      <c r="AM494" s="34"/>
      <c r="AN494" s="33" t="n">
        <f aca="false">IF(N(AM494)&gt;0,AM494,AL494)</f>
        <v>0.1</v>
      </c>
      <c r="AO494" s="29" t="n">
        <f aca="false">IF(N(AN494)=0,"",AN494+IF(I494="yes",AN494*Inputs!$B$10*Inputs!$B$9,0)+IFERROR(INDEX(Inputs!$B$13:$B$15,MATCH(G494,Inputs!$A$13:$A$15,0)),0)+IFERROR(INDEX(Inputs!$B$18:$B$24,MATCH(H494,Inputs!$A$18:$A$24,0)),0))</f>
        <v>0.1</v>
      </c>
      <c r="AP494" s="28" t="n">
        <f aca="false">IF(OR(N(AO494)&lt;=0,N(AG494)=0,N(L494)=0),"",MIN(L494,AG494/AO494))</f>
        <v>20</v>
      </c>
      <c r="AQ494" s="29" t="n">
        <f aca="false">IF(OR(AP494="",N(O494)=0),"",AP494/O494-1)</f>
        <v>-0.218139171227521</v>
      </c>
      <c r="AR494" s="29" t="n">
        <f aca="false">IF(OR(AQ494="",N(O494)=0),"",AQ494+AG494/O494)</f>
        <v>-0.139953088350274</v>
      </c>
      <c r="AS494" s="32" t="n">
        <f aca="false">IF(OR(AR494="",N(AJ494)=0),"",AR494-AJ494)</f>
        <v>0</v>
      </c>
      <c r="AT494" s="28" t="n">
        <v>25</v>
      </c>
      <c r="AU494" s="28" t="n">
        <v>2</v>
      </c>
      <c r="AV494" s="28" t="n">
        <f aca="false">IF(N(AT494)&gt;0,AT494,L494)</f>
        <v>25</v>
      </c>
      <c r="AW494" s="28" t="n">
        <f aca="false">IF(AND(N(M494)&gt;0,N(AV494)&gt;0),M494*AV494,IF(N(AU494)&gt;0,AU494,N494))</f>
        <v>2</v>
      </c>
      <c r="AX494" s="29" t="n">
        <f aca="false">IF(N(AN494)=0,"",AN494+IF(I494="yes",AN494*Inputs!$B$10*Inputs!$B$9,0)+IFERROR(INDEX(Inputs!$B$13:$B$15,MATCH(G494,Inputs!$A$13:$A$15,0)),0)+IFERROR(INDEX(Inputs!$B$18:$B$24,MATCH(H494,Inputs!$A$18:$A$24,0)),0))</f>
        <v>0.1</v>
      </c>
      <c r="AY494" s="28" t="n">
        <f aca="false">IF(OR(N(AX494)&lt;=0,N(AW494)=0,N(AV494)=0),"",MIN(AV494,AW494/AX494))</f>
        <v>20</v>
      </c>
      <c r="AZ494" s="29" t="n">
        <f aca="false">IF(OR(AY494="",N(O494)=0),"",AY494/O494-1)</f>
        <v>-0.218139171227521</v>
      </c>
      <c r="BA494" s="29" t="n">
        <f aca="false">IF(OR(AZ494="",N(O494)=0),"",AZ494+AW494/O494)</f>
        <v>-0.139953088350274</v>
      </c>
      <c r="BB494" s="32" t="n">
        <f aca="false">IF(OR(BA494="",N(AR494)=0),"",BA494-AR494)</f>
        <v>0</v>
      </c>
      <c r="BC494" s="35" t="n">
        <f aca="false">IF(OR(BA494="",N(U494)=0),"",BA494-U494)</f>
        <v>0</v>
      </c>
      <c r="BD494" s="37"/>
    </row>
    <row r="495" customFormat="false" ht="15" hidden="false" customHeight="false" outlineLevel="0" collapsed="false">
      <c r="A495" s="2" t="s">
        <v>768</v>
      </c>
      <c r="B495" s="2" t="n">
        <v>367</v>
      </c>
      <c r="C495" s="2" t="s">
        <v>1046</v>
      </c>
      <c r="D495" s="2" t="s">
        <v>1047</v>
      </c>
      <c r="E495" s="2" t="s">
        <v>1048</v>
      </c>
      <c r="F495" s="27" t="n">
        <v>179</v>
      </c>
      <c r="G495" s="2" t="s">
        <v>51</v>
      </c>
      <c r="H495" s="2" t="s">
        <v>58</v>
      </c>
      <c r="I495" s="2" t="s">
        <v>144</v>
      </c>
      <c r="J495" s="2" t="s">
        <v>145</v>
      </c>
      <c r="K495" s="2" t="n">
        <v>4</v>
      </c>
      <c r="L495" s="28" t="n">
        <v>25</v>
      </c>
      <c r="M495" s="29" t="n">
        <v>0.075</v>
      </c>
      <c r="N495" s="28" t="n">
        <v>1.875</v>
      </c>
      <c r="O495" s="28" t="n">
        <v>26.2</v>
      </c>
      <c r="P495" s="2" t="s">
        <v>146</v>
      </c>
      <c r="Q495" s="29" t="n">
        <v>0.08</v>
      </c>
      <c r="R495" s="30" t="n">
        <v>0.08</v>
      </c>
      <c r="S495" s="31" t="n">
        <v>23.4375</v>
      </c>
      <c r="T495" s="30" t="n">
        <v>-0.10543893129771</v>
      </c>
      <c r="U495" s="30" t="n">
        <v>-0.0338740458015267</v>
      </c>
      <c r="V495" s="29" t="n">
        <v>0</v>
      </c>
      <c r="W495" s="29" t="n">
        <f aca="false">IF(N(Q495)=0,"",Q495+IF(I495="yes",Q495*Inputs!$B$10*Inputs!$B$9,0)+V495)</f>
        <v>0.08</v>
      </c>
      <c r="X495" s="28" t="n">
        <f aca="false">IF(OR(N(W495)&lt;=0,N(N495)=0,N(L495)=0),"",MIN(L495,N495/W495))</f>
        <v>23.4375</v>
      </c>
      <c r="Y495" s="29" t="n">
        <f aca="false">IF(OR(X495="",N(O495)=0),"",X495/O495-1)</f>
        <v>-0.10543893129771</v>
      </c>
      <c r="Z495" s="29" t="n">
        <f aca="false">IF(OR(Y495="",N(O495)=0),"",Y495+N495/O495)</f>
        <v>-0.0338740458015267</v>
      </c>
      <c r="AA495" s="32" t="n">
        <f aca="false">IF(OR(Z495="",N(U495)=0),"",Z495-U495)</f>
        <v>0</v>
      </c>
      <c r="AB495" s="29" t="n">
        <f aca="false">IF(N(Q495)=0,"",Q495+IF(I495="yes",Q495*Inputs!$B$10*Inputs!$B$9,0)+IFERROR(INDEX(Inputs!$B$13:$B$15,MATCH(G495,Inputs!$A$13:$A$15,0)),0)+IFERROR(INDEX(Inputs!$B$18:$B$24,MATCH(H495,Inputs!$A$18:$A$24,0)),0))</f>
        <v>0.08</v>
      </c>
      <c r="AC495" s="28" t="n">
        <f aca="false">IF(OR(N(AB495)&lt;=0,N(N495)=0,N(L495)=0),"",MIN(L495,N495/AB495))</f>
        <v>23.4375</v>
      </c>
      <c r="AD495" s="29" t="n">
        <f aca="false">IF(OR(AC495="",N(O495)=0),"",AC495/O495-1)</f>
        <v>-0.10543893129771</v>
      </c>
      <c r="AE495" s="29" t="n">
        <f aca="false">IF(OR(AD495="",N(O495)=0),"",AD495+N495/O495)</f>
        <v>-0.0338740458015267</v>
      </c>
      <c r="AF495" s="32" t="n">
        <f aca="false">IF(OR(AE495="",N(Z495)=0),"",AE495-Z495)</f>
        <v>0</v>
      </c>
      <c r="AG495" s="28" t="n">
        <f aca="false">IF(AND(N(M495)&gt;0,N(L495)&gt;0),M495*L495,N495)</f>
        <v>1.875</v>
      </c>
      <c r="AH495" s="28" t="n">
        <f aca="false">IF(OR(N(AB495)&lt;=0,N(AG495)=0,N(L495)=0),"",MIN(L495,AG495/AB495))</f>
        <v>23.4375</v>
      </c>
      <c r="AI495" s="29" t="n">
        <f aca="false">IF(OR(AH495="",N(O495)=0),"",AH495/O495-1)</f>
        <v>-0.10543893129771</v>
      </c>
      <c r="AJ495" s="29" t="n">
        <f aca="false">IF(OR(AI495="",N(O495)=0),"",AI495+AG495/O495)</f>
        <v>-0.0338740458015267</v>
      </c>
      <c r="AK495" s="32" t="n">
        <f aca="false">IF(OR(AJ495="",N(AE495)=0),"",AJ495-AE495)</f>
        <v>0</v>
      </c>
      <c r="AL495" s="33" t="n">
        <f aca="false">IF(N(F495)=0,"",INDEX(Inputs!$B$28:$B$32,IFERROR(MATCH(F495,Inputs!$A$28:$A$32,1),0)+1))</f>
        <v>0.1</v>
      </c>
      <c r="AM495" s="34"/>
      <c r="AN495" s="33" t="n">
        <f aca="false">IF(N(AM495)&gt;0,AM495,AL495)</f>
        <v>0.1</v>
      </c>
      <c r="AO495" s="29" t="n">
        <f aca="false">IF(N(AN495)=0,"",AN495+IF(I495="yes",AN495*Inputs!$B$10*Inputs!$B$9,0)+IFERROR(INDEX(Inputs!$B$13:$B$15,MATCH(G495,Inputs!$A$13:$A$15,0)),0)+IFERROR(INDEX(Inputs!$B$18:$B$24,MATCH(H495,Inputs!$A$18:$A$24,0)),0))</f>
        <v>0.1</v>
      </c>
      <c r="AP495" s="28" t="n">
        <f aca="false">IF(OR(N(AO495)&lt;=0,N(AG495)=0,N(L495)=0),"",MIN(L495,AG495/AO495))</f>
        <v>18.75</v>
      </c>
      <c r="AQ495" s="29" t="n">
        <f aca="false">IF(OR(AP495="",N(O495)=0),"",AP495/O495-1)</f>
        <v>-0.284351145038168</v>
      </c>
      <c r="AR495" s="29" t="n">
        <f aca="false">IF(OR(AQ495="",N(O495)=0),"",AQ495+AG495/O495)</f>
        <v>-0.212786259541985</v>
      </c>
      <c r="AS495" s="32" t="n">
        <f aca="false">IF(OR(AR495="",N(AJ495)=0),"",AR495-AJ495)</f>
        <v>-0.178912213740458</v>
      </c>
      <c r="AT495" s="28" t="n">
        <v>25</v>
      </c>
      <c r="AU495" s="28" t="n">
        <v>1.875</v>
      </c>
      <c r="AV495" s="28" t="n">
        <f aca="false">IF(N(AT495)&gt;0,AT495,L495)</f>
        <v>25</v>
      </c>
      <c r="AW495" s="28" t="n">
        <f aca="false">IF(AND(N(M495)&gt;0,N(AV495)&gt;0),M495*AV495,IF(N(AU495)&gt;0,AU495,N495))</f>
        <v>1.875</v>
      </c>
      <c r="AX495" s="29" t="n">
        <f aca="false">IF(N(AN495)=0,"",AN495+IF(I495="yes",AN495*Inputs!$B$10*Inputs!$B$9,0)+IFERROR(INDEX(Inputs!$B$13:$B$15,MATCH(G495,Inputs!$A$13:$A$15,0)),0)+IFERROR(INDEX(Inputs!$B$18:$B$24,MATCH(H495,Inputs!$A$18:$A$24,0)),0))</f>
        <v>0.1</v>
      </c>
      <c r="AY495" s="28" t="n">
        <f aca="false">IF(OR(N(AX495)&lt;=0,N(AW495)=0,N(AV495)=0),"",MIN(AV495,AW495/AX495))</f>
        <v>18.75</v>
      </c>
      <c r="AZ495" s="29" t="n">
        <f aca="false">IF(OR(AY495="",N(O495)=0),"",AY495/O495-1)</f>
        <v>-0.284351145038168</v>
      </c>
      <c r="BA495" s="29" t="n">
        <f aca="false">IF(OR(AZ495="",N(O495)=0),"",AZ495+AW495/O495)</f>
        <v>-0.212786259541985</v>
      </c>
      <c r="BB495" s="32" t="n">
        <f aca="false">IF(OR(BA495="",N(AR495)=0),"",BA495-AR495)</f>
        <v>0</v>
      </c>
      <c r="BC495" s="35" t="n">
        <f aca="false">IF(OR(BA495="",N(U495)=0),"",BA495-U495)</f>
        <v>-0.178912213740458</v>
      </c>
      <c r="BD495" s="37"/>
    </row>
    <row r="496" customFormat="false" ht="15" hidden="false" customHeight="false" outlineLevel="0" collapsed="false">
      <c r="A496" s="2" t="s">
        <v>768</v>
      </c>
      <c r="B496" s="2" t="n">
        <v>371</v>
      </c>
      <c r="C496" s="2" t="s">
        <v>1049</v>
      </c>
      <c r="D496" s="2" t="s">
        <v>1050</v>
      </c>
      <c r="E496" s="2" t="s">
        <v>1051</v>
      </c>
      <c r="F496" s="27" t="n">
        <v>325800</v>
      </c>
      <c r="G496" s="2" t="s">
        <v>51</v>
      </c>
      <c r="H496" s="2" t="s">
        <v>59</v>
      </c>
      <c r="I496" s="2" t="s">
        <v>151</v>
      </c>
      <c r="J496" s="2" t="s">
        <v>145</v>
      </c>
      <c r="K496" s="2" t="n">
        <v>4</v>
      </c>
      <c r="L496" s="28" t="n">
        <v>25</v>
      </c>
      <c r="M496" s="29" t="n">
        <v>0.07125</v>
      </c>
      <c r="N496" s="28" t="n">
        <v>1.78125</v>
      </c>
      <c r="O496" s="28" t="n">
        <v>25.55</v>
      </c>
      <c r="P496" s="2" t="s">
        <v>146</v>
      </c>
      <c r="Q496" s="29" t="n">
        <v>0.08</v>
      </c>
      <c r="R496" s="30" t="n">
        <v>0.076</v>
      </c>
      <c r="S496" s="31" t="n">
        <v>23.4375</v>
      </c>
      <c r="T496" s="30" t="n">
        <v>-0.0826810176125244</v>
      </c>
      <c r="U496" s="30" t="n">
        <v>-0.0129647749510763</v>
      </c>
      <c r="V496" s="29" t="n">
        <v>0</v>
      </c>
      <c r="W496" s="29" t="n">
        <f aca="false">IF(N(Q496)=0,"",Q496+IF(I496="yes",Q496*Inputs!$B$10*Inputs!$B$9,0)+V496)</f>
        <v>0.076</v>
      </c>
      <c r="X496" s="28" t="n">
        <f aca="false">IF(OR(N(W496)&lt;=0,N(N496)=0,N(L496)=0),"",MIN(L496,N496/W496))</f>
        <v>23.4375</v>
      </c>
      <c r="Y496" s="29" t="n">
        <f aca="false">IF(OR(X496="",N(O496)=0),"",X496/O496-1)</f>
        <v>-0.0826810176125244</v>
      </c>
      <c r="Z496" s="29" t="n">
        <f aca="false">IF(OR(Y496="",N(O496)=0),"",Y496+N496/O496)</f>
        <v>-0.0129647749510763</v>
      </c>
      <c r="AA496" s="32" t="n">
        <f aca="false">IF(OR(Z496="",N(U496)=0),"",Z496-U496)</f>
        <v>0</v>
      </c>
      <c r="AB496" s="29" t="n">
        <f aca="false">IF(N(Q496)=0,"",Q496+IF(I496="yes",Q496*Inputs!$B$10*Inputs!$B$9,0)+IFERROR(INDEX(Inputs!$B$13:$B$15,MATCH(G496,Inputs!$A$13:$A$15,0)),0)+IFERROR(INDEX(Inputs!$B$18:$B$24,MATCH(H496,Inputs!$A$18:$A$24,0)),0))</f>
        <v>0.076</v>
      </c>
      <c r="AC496" s="28" t="n">
        <f aca="false">IF(OR(N(AB496)&lt;=0,N(N496)=0,N(L496)=0),"",MIN(L496,N496/AB496))</f>
        <v>23.4375</v>
      </c>
      <c r="AD496" s="29" t="n">
        <f aca="false">IF(OR(AC496="",N(O496)=0),"",AC496/O496-1)</f>
        <v>-0.0826810176125244</v>
      </c>
      <c r="AE496" s="29" t="n">
        <f aca="false">IF(OR(AD496="",N(O496)=0),"",AD496+N496/O496)</f>
        <v>-0.0129647749510763</v>
      </c>
      <c r="AF496" s="32" t="n">
        <f aca="false">IF(OR(AE496="",N(Z496)=0),"",AE496-Z496)</f>
        <v>0</v>
      </c>
      <c r="AG496" s="28" t="n">
        <f aca="false">IF(AND(N(M496)&gt;0,N(L496)&gt;0),M496*L496,N496)</f>
        <v>1.78125</v>
      </c>
      <c r="AH496" s="28" t="n">
        <f aca="false">IF(OR(N(AB496)&lt;=0,N(AG496)=0,N(L496)=0),"",MIN(L496,AG496/AB496))</f>
        <v>23.4375</v>
      </c>
      <c r="AI496" s="29" t="n">
        <f aca="false">IF(OR(AH496="",N(O496)=0),"",AH496/O496-1)</f>
        <v>-0.0826810176125247</v>
      </c>
      <c r="AJ496" s="29" t="n">
        <f aca="false">IF(OR(AI496="",N(O496)=0),"",AI496+AG496/O496)</f>
        <v>-0.0129647749510765</v>
      </c>
      <c r="AK496" s="32" t="n">
        <f aca="false">IF(OR(AJ496="",N(AE496)=0),"",AJ496-AE496)</f>
        <v>-2.35922392732846E-016</v>
      </c>
      <c r="AL496" s="33" t="n">
        <f aca="false">IF(N(F496)=0,"",INDEX(Inputs!$B$28:$B$32,IFERROR(MATCH(F496,Inputs!$A$28:$A$32,1),0)+1))</f>
        <v>0.075</v>
      </c>
      <c r="AM496" s="34"/>
      <c r="AN496" s="33" t="n">
        <f aca="false">IF(N(AM496)&gt;0,AM496,AL496)</f>
        <v>0.075</v>
      </c>
      <c r="AO496" s="29" t="n">
        <f aca="false">IF(N(AN496)=0,"",AN496+IF(I496="yes",AN496*Inputs!$B$10*Inputs!$B$9,0)+IFERROR(INDEX(Inputs!$B$13:$B$15,MATCH(G496,Inputs!$A$13:$A$15,0)),0)+IFERROR(INDEX(Inputs!$B$18:$B$24,MATCH(H496,Inputs!$A$18:$A$24,0)),0))</f>
        <v>0.07125</v>
      </c>
      <c r="AP496" s="28" t="n">
        <f aca="false">IF(OR(N(AO496)&lt;=0,N(AG496)=0,N(L496)=0),"",MIN(L496,AG496/AO496))</f>
        <v>25</v>
      </c>
      <c r="AQ496" s="29" t="n">
        <f aca="false">IF(OR(AP496="",N(O496)=0),"",AP496/O496-1)</f>
        <v>-0.0215264187866928</v>
      </c>
      <c r="AR496" s="29" t="n">
        <f aca="false">IF(OR(AQ496="",N(O496)=0),"",AQ496+AG496/O496)</f>
        <v>0.0481898238747553</v>
      </c>
      <c r="AS496" s="32" t="n">
        <f aca="false">IF(OR(AR496="",N(AJ496)=0),"",AR496-AJ496)</f>
        <v>0.0611545988258319</v>
      </c>
      <c r="AT496" s="28" t="n">
        <v>25</v>
      </c>
      <c r="AU496" s="28" t="n">
        <v>1.78</v>
      </c>
      <c r="AV496" s="28" t="n">
        <f aca="false">IF(N(AT496)&gt;0,AT496,L496)</f>
        <v>25</v>
      </c>
      <c r="AW496" s="28" t="n">
        <f aca="false">IF(AND(N(M496)&gt;0,N(AV496)&gt;0),M496*AV496,IF(N(AU496)&gt;0,AU496,N496))</f>
        <v>1.78125</v>
      </c>
      <c r="AX496" s="29" t="n">
        <f aca="false">IF(N(AN496)=0,"",AN496+IF(I496="yes",AN496*Inputs!$B$10*Inputs!$B$9,0)+IFERROR(INDEX(Inputs!$B$13:$B$15,MATCH(G496,Inputs!$A$13:$A$15,0)),0)+IFERROR(INDEX(Inputs!$B$18:$B$24,MATCH(H496,Inputs!$A$18:$A$24,0)),0))</f>
        <v>0.07125</v>
      </c>
      <c r="AY496" s="28" t="n">
        <f aca="false">IF(OR(N(AX496)&lt;=0,N(AW496)=0,N(AV496)=0),"",MIN(AV496,AW496/AX496))</f>
        <v>25</v>
      </c>
      <c r="AZ496" s="29" t="n">
        <f aca="false">IF(OR(AY496="",N(O496)=0),"",AY496/O496-1)</f>
        <v>-0.0215264187866928</v>
      </c>
      <c r="BA496" s="29" t="n">
        <f aca="false">IF(OR(AZ496="",N(O496)=0),"",AZ496+AW496/O496)</f>
        <v>0.0481898238747553</v>
      </c>
      <c r="BB496" s="32" t="n">
        <f aca="false">IF(OR(BA496="",N(AR496)=0),"",BA496-AR496)</f>
        <v>0</v>
      </c>
      <c r="BC496" s="35" t="n">
        <f aca="false">IF(OR(BA496="",N(U496)=0),"",BA496-U496)</f>
        <v>0.0611545988258316</v>
      </c>
      <c r="BD496" s="37"/>
    </row>
    <row r="497" customFormat="false" ht="15" hidden="false" customHeight="false" outlineLevel="0" collapsed="false">
      <c r="A497" s="2" t="s">
        <v>768</v>
      </c>
      <c r="B497" s="2" t="n">
        <v>372</v>
      </c>
      <c r="C497" s="2" t="s">
        <v>1052</v>
      </c>
      <c r="D497" s="2" t="s">
        <v>1050</v>
      </c>
      <c r="E497" s="2" t="s">
        <v>1051</v>
      </c>
      <c r="F497" s="27" t="n">
        <v>325800</v>
      </c>
      <c r="G497" s="2" t="s">
        <v>51</v>
      </c>
      <c r="H497" s="2" t="s">
        <v>59</v>
      </c>
      <c r="I497" s="2" t="s">
        <v>151</v>
      </c>
      <c r="J497" s="2" t="s">
        <v>145</v>
      </c>
      <c r="K497" s="2" t="n">
        <v>4</v>
      </c>
      <c r="L497" s="28" t="n">
        <v>25</v>
      </c>
      <c r="M497" s="29" t="n">
        <v>0.06875</v>
      </c>
      <c r="N497" s="28" t="n">
        <v>1.71875</v>
      </c>
      <c r="O497" s="28" t="n">
        <v>25.27</v>
      </c>
      <c r="P497" s="2" t="s">
        <v>146</v>
      </c>
      <c r="Q497" s="29" t="n">
        <v>0.08</v>
      </c>
      <c r="R497" s="30" t="n">
        <v>0.076</v>
      </c>
      <c r="S497" s="31" t="n">
        <v>22.6151315789474</v>
      </c>
      <c r="T497" s="30" t="n">
        <v>-0.105060087892862</v>
      </c>
      <c r="U497" s="30" t="n">
        <v>-0.0370446545727198</v>
      </c>
      <c r="V497" s="29" t="n">
        <v>0</v>
      </c>
      <c r="W497" s="29" t="n">
        <f aca="false">IF(N(Q497)=0,"",Q497+IF(I497="yes",Q497*Inputs!$B$10*Inputs!$B$9,0)+V497)</f>
        <v>0.076</v>
      </c>
      <c r="X497" s="28" t="n">
        <f aca="false">IF(OR(N(W497)&lt;=0,N(N497)=0,N(L497)=0),"",MIN(L497,N497/W497))</f>
        <v>22.6151315789474</v>
      </c>
      <c r="Y497" s="29" t="n">
        <f aca="false">IF(OR(X497="",N(O497)=0),"",X497/O497-1)</f>
        <v>-0.105060087892862</v>
      </c>
      <c r="Z497" s="29" t="n">
        <f aca="false">IF(OR(Y497="",N(O497)=0),"",Y497+N497/O497)</f>
        <v>-0.0370446545727198</v>
      </c>
      <c r="AA497" s="32" t="n">
        <f aca="false">IF(OR(Z497="",N(U497)=0),"",Z497-U497)</f>
        <v>0</v>
      </c>
      <c r="AB497" s="29" t="n">
        <f aca="false">IF(N(Q497)=0,"",Q497+IF(I497="yes",Q497*Inputs!$B$10*Inputs!$B$9,0)+IFERROR(INDEX(Inputs!$B$13:$B$15,MATCH(G497,Inputs!$A$13:$A$15,0)),0)+IFERROR(INDEX(Inputs!$B$18:$B$24,MATCH(H497,Inputs!$A$18:$A$24,0)),0))</f>
        <v>0.076</v>
      </c>
      <c r="AC497" s="28" t="n">
        <f aca="false">IF(OR(N(AB497)&lt;=0,N(N497)=0,N(L497)=0),"",MIN(L497,N497/AB497))</f>
        <v>22.6151315789474</v>
      </c>
      <c r="AD497" s="29" t="n">
        <f aca="false">IF(OR(AC497="",N(O497)=0),"",AC497/O497-1)</f>
        <v>-0.105060087892862</v>
      </c>
      <c r="AE497" s="29" t="n">
        <f aca="false">IF(OR(AD497="",N(O497)=0),"",AD497+N497/O497)</f>
        <v>-0.0370446545727198</v>
      </c>
      <c r="AF497" s="32" t="n">
        <f aca="false">IF(OR(AE497="",N(Z497)=0),"",AE497-Z497)</f>
        <v>0</v>
      </c>
      <c r="AG497" s="28" t="n">
        <f aca="false">IF(AND(N(M497)&gt;0,N(L497)&gt;0),M497*L497,N497)</f>
        <v>1.71875</v>
      </c>
      <c r="AH497" s="28" t="n">
        <f aca="false">IF(OR(N(AB497)&lt;=0,N(AG497)=0,N(L497)=0),"",MIN(L497,AG497/AB497))</f>
        <v>22.6151315789474</v>
      </c>
      <c r="AI497" s="29" t="n">
        <f aca="false">IF(OR(AH497="",N(O497)=0),"",AH497/O497-1)</f>
        <v>-0.105060087892862</v>
      </c>
      <c r="AJ497" s="29" t="n">
        <f aca="false">IF(OR(AI497="",N(O497)=0),"",AI497+AG497/O497)</f>
        <v>-0.0370446545727197</v>
      </c>
      <c r="AK497" s="32" t="n">
        <f aca="false">IF(OR(AJ497="",N(AE497)=0),"",AJ497-AE497)</f>
        <v>0</v>
      </c>
      <c r="AL497" s="33" t="n">
        <f aca="false">IF(N(F497)=0,"",INDEX(Inputs!$B$28:$B$32,IFERROR(MATCH(F497,Inputs!$A$28:$A$32,1),0)+1))</f>
        <v>0.075</v>
      </c>
      <c r="AM497" s="34"/>
      <c r="AN497" s="33" t="n">
        <f aca="false">IF(N(AM497)&gt;0,AM497,AL497)</f>
        <v>0.075</v>
      </c>
      <c r="AO497" s="29" t="n">
        <f aca="false">IF(N(AN497)=0,"",AN497+IF(I497="yes",AN497*Inputs!$B$10*Inputs!$B$9,0)+IFERROR(INDEX(Inputs!$B$13:$B$15,MATCH(G497,Inputs!$A$13:$A$15,0)),0)+IFERROR(INDEX(Inputs!$B$18:$B$24,MATCH(H497,Inputs!$A$18:$A$24,0)),0))</f>
        <v>0.07125</v>
      </c>
      <c r="AP497" s="28" t="n">
        <f aca="false">IF(OR(N(AO497)&lt;=0,N(AG497)=0,N(L497)=0),"",MIN(L497,AG497/AO497))</f>
        <v>24.1228070175439</v>
      </c>
      <c r="AQ497" s="29" t="n">
        <f aca="false">IF(OR(AP497="",N(O497)=0),"",AP497/O497-1)</f>
        <v>-0.0453974270857197</v>
      </c>
      <c r="AR497" s="29" t="n">
        <f aca="false">IF(OR(AQ497="",N(O497)=0),"",AQ497+AG497/O497)</f>
        <v>0.0226180062344228</v>
      </c>
      <c r="AS497" s="32" t="n">
        <f aca="false">IF(OR(AR497="",N(AJ497)=0),"",AR497-AJ497)</f>
        <v>0.0596626608071424</v>
      </c>
      <c r="AT497" s="28" t="n">
        <v>25</v>
      </c>
      <c r="AU497" s="28" t="n">
        <v>1.72</v>
      </c>
      <c r="AV497" s="28" t="n">
        <f aca="false">IF(N(AT497)&gt;0,AT497,L497)</f>
        <v>25</v>
      </c>
      <c r="AW497" s="28" t="n">
        <f aca="false">IF(AND(N(M497)&gt;0,N(AV497)&gt;0),M497*AV497,IF(N(AU497)&gt;0,AU497,N497))</f>
        <v>1.71875</v>
      </c>
      <c r="AX497" s="29" t="n">
        <f aca="false">IF(N(AN497)=0,"",AN497+IF(I497="yes",AN497*Inputs!$B$10*Inputs!$B$9,0)+IFERROR(INDEX(Inputs!$B$13:$B$15,MATCH(G497,Inputs!$A$13:$A$15,0)),0)+IFERROR(INDEX(Inputs!$B$18:$B$24,MATCH(H497,Inputs!$A$18:$A$24,0)),0))</f>
        <v>0.07125</v>
      </c>
      <c r="AY497" s="28" t="n">
        <f aca="false">IF(OR(N(AX497)&lt;=0,N(AW497)=0,N(AV497)=0),"",MIN(AV497,AW497/AX497))</f>
        <v>24.1228070175439</v>
      </c>
      <c r="AZ497" s="29" t="n">
        <f aca="false">IF(OR(AY497="",N(O497)=0),"",AY497/O497-1)</f>
        <v>-0.0453974270857197</v>
      </c>
      <c r="BA497" s="29" t="n">
        <f aca="false">IF(OR(AZ497="",N(O497)=0),"",AZ497+AW497/O497)</f>
        <v>0.0226180062344228</v>
      </c>
      <c r="BB497" s="32" t="n">
        <f aca="false">IF(OR(BA497="",N(AR497)=0),"",BA497-AR497)</f>
        <v>0</v>
      </c>
      <c r="BC497" s="35" t="n">
        <f aca="false">IF(OR(BA497="",N(U497)=0),"",BA497-U497)</f>
        <v>0.0596626608071426</v>
      </c>
      <c r="BD497" s="37"/>
    </row>
    <row r="498" customFormat="false" ht="15" hidden="false" customHeight="false" outlineLevel="0" collapsed="false">
      <c r="A498" s="2" t="s">
        <v>768</v>
      </c>
      <c r="B498" s="2" t="n">
        <v>373</v>
      </c>
      <c r="C498" s="2" t="s">
        <v>1053</v>
      </c>
      <c r="D498" s="2" t="s">
        <v>1050</v>
      </c>
      <c r="E498" s="2" t="s">
        <v>1051</v>
      </c>
      <c r="F498" s="27" t="n">
        <v>325800</v>
      </c>
      <c r="G498" s="2" t="s">
        <v>51</v>
      </c>
      <c r="H498" s="2" t="s">
        <v>59</v>
      </c>
      <c r="I498" s="2" t="s">
        <v>151</v>
      </c>
      <c r="J498" s="2" t="s">
        <v>145</v>
      </c>
      <c r="K498" s="2" t="n">
        <v>4</v>
      </c>
      <c r="L498" s="28" t="n">
        <v>25</v>
      </c>
      <c r="M498" s="29" t="n">
        <v>0.06375</v>
      </c>
      <c r="N498" s="28" t="n">
        <v>1.59375</v>
      </c>
      <c r="O498" s="28" t="n">
        <v>24.32</v>
      </c>
      <c r="P498" s="2" t="s">
        <v>146</v>
      </c>
      <c r="Q498" s="29" t="n">
        <v>0.08</v>
      </c>
      <c r="R498" s="30" t="n">
        <v>0.076</v>
      </c>
      <c r="S498" s="31" t="n">
        <v>20.9703947368421</v>
      </c>
      <c r="T498" s="30" t="n">
        <v>-0.137730479570637</v>
      </c>
      <c r="U498" s="30" t="n">
        <v>-0.0721979960180055</v>
      </c>
      <c r="V498" s="29" t="n">
        <v>0</v>
      </c>
      <c r="W498" s="29" t="n">
        <f aca="false">IF(N(Q498)=0,"",Q498+IF(I498="yes",Q498*Inputs!$B$10*Inputs!$B$9,0)+V498)</f>
        <v>0.076</v>
      </c>
      <c r="X498" s="28" t="n">
        <f aca="false">IF(OR(N(W498)&lt;=0,N(N498)=0,N(L498)=0),"",MIN(L498,N498/W498))</f>
        <v>20.9703947368421</v>
      </c>
      <c r="Y498" s="29" t="n">
        <f aca="false">IF(OR(X498="",N(O498)=0),"",X498/O498-1)</f>
        <v>-0.137730479570637</v>
      </c>
      <c r="Z498" s="29" t="n">
        <f aca="false">IF(OR(Y498="",N(O498)=0),"",Y498+N498/O498)</f>
        <v>-0.0721979960180055</v>
      </c>
      <c r="AA498" s="32" t="n">
        <f aca="false">IF(OR(Z498="",N(U498)=0),"",Z498-U498)</f>
        <v>0</v>
      </c>
      <c r="AB498" s="29" t="n">
        <f aca="false">IF(N(Q498)=0,"",Q498+IF(I498="yes",Q498*Inputs!$B$10*Inputs!$B$9,0)+IFERROR(INDEX(Inputs!$B$13:$B$15,MATCH(G498,Inputs!$A$13:$A$15,0)),0)+IFERROR(INDEX(Inputs!$B$18:$B$24,MATCH(H498,Inputs!$A$18:$A$24,0)),0))</f>
        <v>0.076</v>
      </c>
      <c r="AC498" s="28" t="n">
        <f aca="false">IF(OR(N(AB498)&lt;=0,N(N498)=0,N(L498)=0),"",MIN(L498,N498/AB498))</f>
        <v>20.9703947368421</v>
      </c>
      <c r="AD498" s="29" t="n">
        <f aca="false">IF(OR(AC498="",N(O498)=0),"",AC498/O498-1)</f>
        <v>-0.137730479570637</v>
      </c>
      <c r="AE498" s="29" t="n">
        <f aca="false">IF(OR(AD498="",N(O498)=0),"",AD498+N498/O498)</f>
        <v>-0.0721979960180055</v>
      </c>
      <c r="AF498" s="32" t="n">
        <f aca="false">IF(OR(AE498="",N(Z498)=0),"",AE498-Z498)</f>
        <v>0</v>
      </c>
      <c r="AG498" s="28" t="n">
        <f aca="false">IF(AND(N(M498)&gt;0,N(L498)&gt;0),M498*L498,N498)</f>
        <v>1.59375</v>
      </c>
      <c r="AH498" s="28" t="n">
        <f aca="false">IF(OR(N(AB498)&lt;=0,N(AG498)=0,N(L498)=0),"",MIN(L498,AG498/AB498))</f>
        <v>20.9703947368421</v>
      </c>
      <c r="AI498" s="29" t="n">
        <f aca="false">IF(OR(AH498="",N(O498)=0),"",AH498/O498-1)</f>
        <v>-0.137730479570637</v>
      </c>
      <c r="AJ498" s="29" t="n">
        <f aca="false">IF(OR(AI498="",N(O498)=0),"",AI498+AG498/O498)</f>
        <v>-0.0721979960180055</v>
      </c>
      <c r="AK498" s="32" t="n">
        <f aca="false">IF(OR(AJ498="",N(AE498)=0),"",AJ498-AE498)</f>
        <v>0</v>
      </c>
      <c r="AL498" s="33" t="n">
        <f aca="false">IF(N(F498)=0,"",INDEX(Inputs!$B$28:$B$32,IFERROR(MATCH(F498,Inputs!$A$28:$A$32,1),0)+1))</f>
        <v>0.075</v>
      </c>
      <c r="AM498" s="34"/>
      <c r="AN498" s="33" t="n">
        <f aca="false">IF(N(AM498)&gt;0,AM498,AL498)</f>
        <v>0.075</v>
      </c>
      <c r="AO498" s="29" t="n">
        <f aca="false">IF(N(AN498)=0,"",AN498+IF(I498="yes",AN498*Inputs!$B$10*Inputs!$B$9,0)+IFERROR(INDEX(Inputs!$B$13:$B$15,MATCH(G498,Inputs!$A$13:$A$15,0)),0)+IFERROR(INDEX(Inputs!$B$18:$B$24,MATCH(H498,Inputs!$A$18:$A$24,0)),0))</f>
        <v>0.07125</v>
      </c>
      <c r="AP498" s="28" t="n">
        <f aca="false">IF(OR(N(AO498)&lt;=0,N(AG498)=0,N(L498)=0),"",MIN(L498,AG498/AO498))</f>
        <v>22.3684210526316</v>
      </c>
      <c r="AQ498" s="29" t="n">
        <f aca="false">IF(OR(AP498="",N(O498)=0),"",AP498/O498-1)</f>
        <v>-0.0802458448753461</v>
      </c>
      <c r="AR498" s="29" t="n">
        <f aca="false">IF(OR(AQ498="",N(O498)=0),"",AQ498+AG498/O498)</f>
        <v>-0.0147133613227146</v>
      </c>
      <c r="AS498" s="32" t="n">
        <f aca="false">IF(OR(AR498="",N(AJ498)=0),"",AR498-AJ498)</f>
        <v>0.057484634695291</v>
      </c>
      <c r="AT498" s="28" t="n">
        <v>25</v>
      </c>
      <c r="AU498" s="28" t="n">
        <v>1.59</v>
      </c>
      <c r="AV498" s="28" t="n">
        <f aca="false">IF(N(AT498)&gt;0,AT498,L498)</f>
        <v>25</v>
      </c>
      <c r="AW498" s="28" t="n">
        <f aca="false">IF(AND(N(M498)&gt;0,N(AV498)&gt;0),M498*AV498,IF(N(AU498)&gt;0,AU498,N498))</f>
        <v>1.59375</v>
      </c>
      <c r="AX498" s="29" t="n">
        <f aca="false">IF(N(AN498)=0,"",AN498+IF(I498="yes",AN498*Inputs!$B$10*Inputs!$B$9,0)+IFERROR(INDEX(Inputs!$B$13:$B$15,MATCH(G498,Inputs!$A$13:$A$15,0)),0)+IFERROR(INDEX(Inputs!$B$18:$B$24,MATCH(H498,Inputs!$A$18:$A$24,0)),0))</f>
        <v>0.07125</v>
      </c>
      <c r="AY498" s="28" t="n">
        <f aca="false">IF(OR(N(AX498)&lt;=0,N(AW498)=0,N(AV498)=0),"",MIN(AV498,AW498/AX498))</f>
        <v>22.3684210526316</v>
      </c>
      <c r="AZ498" s="29" t="n">
        <f aca="false">IF(OR(AY498="",N(O498)=0),"",AY498/O498-1)</f>
        <v>-0.0802458448753461</v>
      </c>
      <c r="BA498" s="29" t="n">
        <f aca="false">IF(OR(AZ498="",N(O498)=0),"",AZ498+AW498/O498)</f>
        <v>-0.0147133613227146</v>
      </c>
      <c r="BB498" s="32" t="n">
        <f aca="false">IF(OR(BA498="",N(AR498)=0),"",BA498-AR498)</f>
        <v>0</v>
      </c>
      <c r="BC498" s="35" t="n">
        <f aca="false">IF(OR(BA498="",N(U498)=0),"",BA498-U498)</f>
        <v>0.057484634695291</v>
      </c>
      <c r="BD498" s="37"/>
    </row>
    <row r="499" customFormat="false" ht="15" hidden="false" customHeight="false" outlineLevel="0" collapsed="false">
      <c r="A499" s="2" t="s">
        <v>768</v>
      </c>
      <c r="B499" s="2" t="n">
        <v>374</v>
      </c>
      <c r="C499" s="2" t="s">
        <v>1054</v>
      </c>
      <c r="D499" s="2" t="s">
        <v>1050</v>
      </c>
      <c r="E499" s="2" t="s">
        <v>1051</v>
      </c>
      <c r="F499" s="27" t="n">
        <v>325800</v>
      </c>
      <c r="G499" s="2" t="s">
        <v>51</v>
      </c>
      <c r="H499" s="2" t="s">
        <v>59</v>
      </c>
      <c r="I499" s="2" t="s">
        <v>151</v>
      </c>
      <c r="J499" s="2" t="s">
        <v>145</v>
      </c>
      <c r="K499" s="2" t="n">
        <v>4</v>
      </c>
      <c r="L499" s="28" t="n">
        <v>25</v>
      </c>
      <c r="M499" s="29" t="n">
        <v>0.0585</v>
      </c>
      <c r="N499" s="28" t="n">
        <v>1.4625</v>
      </c>
      <c r="O499" s="28" t="n">
        <v>22.29</v>
      </c>
      <c r="P499" s="2" t="s">
        <v>146</v>
      </c>
      <c r="Q499" s="29" t="n">
        <v>0.08</v>
      </c>
      <c r="R499" s="30" t="n">
        <v>0.076</v>
      </c>
      <c r="S499" s="31" t="n">
        <v>19.2434210526316</v>
      </c>
      <c r="T499" s="30" t="n">
        <v>-0.136679181129135</v>
      </c>
      <c r="U499" s="30" t="n">
        <v>-0.0710667988949493</v>
      </c>
      <c r="V499" s="29" t="n">
        <v>0</v>
      </c>
      <c r="W499" s="29" t="n">
        <f aca="false">IF(N(Q499)=0,"",Q499+IF(I499="yes",Q499*Inputs!$B$10*Inputs!$B$9,0)+V499)</f>
        <v>0.076</v>
      </c>
      <c r="X499" s="28" t="n">
        <f aca="false">IF(OR(N(W499)&lt;=0,N(N499)=0,N(L499)=0),"",MIN(L499,N499/W499))</f>
        <v>19.2434210526316</v>
      </c>
      <c r="Y499" s="29" t="n">
        <f aca="false">IF(OR(X499="",N(O499)=0),"",X499/O499-1)</f>
        <v>-0.136679181129135</v>
      </c>
      <c r="Z499" s="29" t="n">
        <f aca="false">IF(OR(Y499="",N(O499)=0),"",Y499+N499/O499)</f>
        <v>-0.0710667988949493</v>
      </c>
      <c r="AA499" s="32" t="n">
        <f aca="false">IF(OR(Z499="",N(U499)=0),"",Z499-U499)</f>
        <v>0</v>
      </c>
      <c r="AB499" s="29" t="n">
        <f aca="false">IF(N(Q499)=0,"",Q499+IF(I499="yes",Q499*Inputs!$B$10*Inputs!$B$9,0)+IFERROR(INDEX(Inputs!$B$13:$B$15,MATCH(G499,Inputs!$A$13:$A$15,0)),0)+IFERROR(INDEX(Inputs!$B$18:$B$24,MATCH(H499,Inputs!$A$18:$A$24,0)),0))</f>
        <v>0.076</v>
      </c>
      <c r="AC499" s="28" t="n">
        <f aca="false">IF(OR(N(AB499)&lt;=0,N(N499)=0,N(L499)=0),"",MIN(L499,N499/AB499))</f>
        <v>19.2434210526316</v>
      </c>
      <c r="AD499" s="29" t="n">
        <f aca="false">IF(OR(AC499="",N(O499)=0),"",AC499/O499-1)</f>
        <v>-0.136679181129135</v>
      </c>
      <c r="AE499" s="29" t="n">
        <f aca="false">IF(OR(AD499="",N(O499)=0),"",AD499+N499/O499)</f>
        <v>-0.0710667988949493</v>
      </c>
      <c r="AF499" s="32" t="n">
        <f aca="false">IF(OR(AE499="",N(Z499)=0),"",AE499-Z499)</f>
        <v>0</v>
      </c>
      <c r="AG499" s="28" t="n">
        <f aca="false">IF(AND(N(M499)&gt;0,N(L499)&gt;0),M499*L499,N499)</f>
        <v>1.4625</v>
      </c>
      <c r="AH499" s="28" t="n">
        <f aca="false">IF(OR(N(AB499)&lt;=0,N(AG499)=0,N(L499)=0),"",MIN(L499,AG499/AB499))</f>
        <v>19.2434210526316</v>
      </c>
      <c r="AI499" s="29" t="n">
        <f aca="false">IF(OR(AH499="",N(O499)=0),"",AH499/O499-1)</f>
        <v>-0.136679181129135</v>
      </c>
      <c r="AJ499" s="29" t="n">
        <f aca="false">IF(OR(AI499="",N(O499)=0),"",AI499+AG499/O499)</f>
        <v>-0.0710667988949492</v>
      </c>
      <c r="AK499" s="32" t="n">
        <f aca="false">IF(OR(AJ499="",N(AE499)=0),"",AJ499-AE499)</f>
        <v>0</v>
      </c>
      <c r="AL499" s="33" t="n">
        <f aca="false">IF(N(F499)=0,"",INDEX(Inputs!$B$28:$B$32,IFERROR(MATCH(F499,Inputs!$A$28:$A$32,1),0)+1))</f>
        <v>0.075</v>
      </c>
      <c r="AM499" s="34"/>
      <c r="AN499" s="33" t="n">
        <f aca="false">IF(N(AM499)&gt;0,AM499,AL499)</f>
        <v>0.075</v>
      </c>
      <c r="AO499" s="29" t="n">
        <f aca="false">IF(N(AN499)=0,"",AN499+IF(I499="yes",AN499*Inputs!$B$10*Inputs!$B$9,0)+IFERROR(INDEX(Inputs!$B$13:$B$15,MATCH(G499,Inputs!$A$13:$A$15,0)),0)+IFERROR(INDEX(Inputs!$B$18:$B$24,MATCH(H499,Inputs!$A$18:$A$24,0)),0))</f>
        <v>0.07125</v>
      </c>
      <c r="AP499" s="28" t="n">
        <f aca="false">IF(OR(N(AO499)&lt;=0,N(AG499)=0,N(L499)=0),"",MIN(L499,AG499/AO499))</f>
        <v>20.5263157894737</v>
      </c>
      <c r="AQ499" s="29" t="n">
        <f aca="false">IF(OR(AP499="",N(O499)=0),"",AP499/O499-1)</f>
        <v>-0.0791244598710772</v>
      </c>
      <c r="AR499" s="29" t="n">
        <f aca="false">IF(OR(AQ499="",N(O499)=0),"",AQ499+AG499/O499)</f>
        <v>-0.0135120776368915</v>
      </c>
      <c r="AS499" s="32" t="n">
        <f aca="false">IF(OR(AR499="",N(AJ499)=0),"",AR499-AJ499)</f>
        <v>0.0575547212580577</v>
      </c>
      <c r="AT499" s="28" t="n">
        <v>25</v>
      </c>
      <c r="AU499" s="28" t="n">
        <v>1.46</v>
      </c>
      <c r="AV499" s="28" t="n">
        <f aca="false">IF(N(AT499)&gt;0,AT499,L499)</f>
        <v>25</v>
      </c>
      <c r="AW499" s="28" t="n">
        <f aca="false">IF(AND(N(M499)&gt;0,N(AV499)&gt;0),M499*AV499,IF(N(AU499)&gt;0,AU499,N499))</f>
        <v>1.4625</v>
      </c>
      <c r="AX499" s="29" t="n">
        <f aca="false">IF(N(AN499)=0,"",AN499+IF(I499="yes",AN499*Inputs!$B$10*Inputs!$B$9,0)+IFERROR(INDEX(Inputs!$B$13:$B$15,MATCH(G499,Inputs!$A$13:$A$15,0)),0)+IFERROR(INDEX(Inputs!$B$18:$B$24,MATCH(H499,Inputs!$A$18:$A$24,0)),0))</f>
        <v>0.07125</v>
      </c>
      <c r="AY499" s="28" t="n">
        <f aca="false">IF(OR(N(AX499)&lt;=0,N(AW499)=0,N(AV499)=0),"",MIN(AV499,AW499/AX499))</f>
        <v>20.5263157894737</v>
      </c>
      <c r="AZ499" s="29" t="n">
        <f aca="false">IF(OR(AY499="",N(O499)=0),"",AY499/O499-1)</f>
        <v>-0.0791244598710772</v>
      </c>
      <c r="BA499" s="29" t="n">
        <f aca="false">IF(OR(AZ499="",N(O499)=0),"",AZ499+AW499/O499)</f>
        <v>-0.0135120776368915</v>
      </c>
      <c r="BB499" s="32" t="n">
        <f aca="false">IF(OR(BA499="",N(AR499)=0),"",BA499-AR499)</f>
        <v>0</v>
      </c>
      <c r="BC499" s="35" t="n">
        <f aca="false">IF(OR(BA499="",N(U499)=0),"",BA499-U499)</f>
        <v>0.0575547212580578</v>
      </c>
      <c r="BD499" s="37"/>
    </row>
    <row r="500" customFormat="false" ht="15" hidden="false" customHeight="false" outlineLevel="0" collapsed="false">
      <c r="A500" s="2" t="s">
        <v>768</v>
      </c>
      <c r="B500" s="2" t="n">
        <v>375</v>
      </c>
      <c r="C500" s="2" t="s">
        <v>1055</v>
      </c>
      <c r="D500" s="2" t="s">
        <v>1050</v>
      </c>
      <c r="E500" s="2" t="s">
        <v>1051</v>
      </c>
      <c r="F500" s="27" t="n">
        <v>325800</v>
      </c>
      <c r="G500" s="2" t="s">
        <v>51</v>
      </c>
      <c r="H500" s="2" t="s">
        <v>58</v>
      </c>
      <c r="I500" s="2" t="s">
        <v>151</v>
      </c>
      <c r="J500" s="2" t="s">
        <v>145</v>
      </c>
      <c r="K500" s="2" t="n">
        <v>4</v>
      </c>
      <c r="L500" s="28" t="n">
        <v>25</v>
      </c>
      <c r="M500" s="29" t="n">
        <v>0.04875</v>
      </c>
      <c r="N500" s="28" t="n">
        <v>1.21875</v>
      </c>
      <c r="O500" s="28" t="n">
        <v>18.56</v>
      </c>
      <c r="P500" s="2" t="s">
        <v>146</v>
      </c>
      <c r="Q500" s="29" t="n">
        <v>0.08</v>
      </c>
      <c r="R500" s="30" t="n">
        <v>0.076</v>
      </c>
      <c r="S500" s="31" t="n">
        <v>16.0361842105263</v>
      </c>
      <c r="T500" s="30" t="n">
        <v>-0.135981454174229</v>
      </c>
      <c r="U500" s="30" t="n">
        <v>-0.0703160446914701</v>
      </c>
      <c r="V500" s="29" t="n">
        <v>0</v>
      </c>
      <c r="W500" s="29" t="n">
        <f aca="false">IF(N(Q500)=0,"",Q500+IF(I500="yes",Q500*Inputs!$B$10*Inputs!$B$9,0)+V500)</f>
        <v>0.076</v>
      </c>
      <c r="X500" s="28" t="n">
        <f aca="false">IF(OR(N(W500)&lt;=0,N(N500)=0,N(L500)=0),"",MIN(L500,N500/W500))</f>
        <v>16.0361842105263</v>
      </c>
      <c r="Y500" s="29" t="n">
        <f aca="false">IF(OR(X500="",N(O500)=0),"",X500/O500-1)</f>
        <v>-0.135981454174229</v>
      </c>
      <c r="Z500" s="29" t="n">
        <f aca="false">IF(OR(Y500="",N(O500)=0),"",Y500+N500/O500)</f>
        <v>-0.0703160446914701</v>
      </c>
      <c r="AA500" s="32" t="n">
        <f aca="false">IF(OR(Z500="",N(U500)=0),"",Z500-U500)</f>
        <v>0</v>
      </c>
      <c r="AB500" s="29" t="n">
        <f aca="false">IF(N(Q500)=0,"",Q500+IF(I500="yes",Q500*Inputs!$B$10*Inputs!$B$9,0)+IFERROR(INDEX(Inputs!$B$13:$B$15,MATCH(G500,Inputs!$A$13:$A$15,0)),0)+IFERROR(INDEX(Inputs!$B$18:$B$24,MATCH(H500,Inputs!$A$18:$A$24,0)),0))</f>
        <v>0.076</v>
      </c>
      <c r="AC500" s="28" t="n">
        <f aca="false">IF(OR(N(AB500)&lt;=0,N(N500)=0,N(L500)=0),"",MIN(L500,N500/AB500))</f>
        <v>16.0361842105263</v>
      </c>
      <c r="AD500" s="29" t="n">
        <f aca="false">IF(OR(AC500="",N(O500)=0),"",AC500/O500-1)</f>
        <v>-0.135981454174229</v>
      </c>
      <c r="AE500" s="29" t="n">
        <f aca="false">IF(OR(AD500="",N(O500)=0),"",AD500+N500/O500)</f>
        <v>-0.0703160446914701</v>
      </c>
      <c r="AF500" s="32" t="n">
        <f aca="false">IF(OR(AE500="",N(Z500)=0),"",AE500-Z500)</f>
        <v>0</v>
      </c>
      <c r="AG500" s="28" t="n">
        <f aca="false">IF(AND(N(M500)&gt;0,N(L500)&gt;0),M500*L500,N500)</f>
        <v>1.21875</v>
      </c>
      <c r="AH500" s="28" t="n">
        <f aca="false">IF(OR(N(AB500)&lt;=0,N(AG500)=0,N(L500)=0),"",MIN(L500,AG500/AB500))</f>
        <v>16.0361842105263</v>
      </c>
      <c r="AI500" s="29" t="n">
        <f aca="false">IF(OR(AH500="",N(O500)=0),"",AH500/O500-1)</f>
        <v>-0.135981454174229</v>
      </c>
      <c r="AJ500" s="29" t="n">
        <f aca="false">IF(OR(AI500="",N(O500)=0),"",AI500+AG500/O500)</f>
        <v>-0.0703160446914701</v>
      </c>
      <c r="AK500" s="32" t="n">
        <f aca="false">IF(OR(AJ500="",N(AE500)=0),"",AJ500-AE500)</f>
        <v>0</v>
      </c>
      <c r="AL500" s="33" t="n">
        <f aca="false">IF(N(F500)=0,"",INDEX(Inputs!$B$28:$B$32,IFERROR(MATCH(F500,Inputs!$A$28:$A$32,1),0)+1))</f>
        <v>0.075</v>
      </c>
      <c r="AM500" s="34"/>
      <c r="AN500" s="33" t="n">
        <f aca="false">IF(N(AM500)&gt;0,AM500,AL500)</f>
        <v>0.075</v>
      </c>
      <c r="AO500" s="29" t="n">
        <f aca="false">IF(N(AN500)=0,"",AN500+IF(I500="yes",AN500*Inputs!$B$10*Inputs!$B$9,0)+IFERROR(INDEX(Inputs!$B$13:$B$15,MATCH(G500,Inputs!$A$13:$A$15,0)),0)+IFERROR(INDEX(Inputs!$B$18:$B$24,MATCH(H500,Inputs!$A$18:$A$24,0)),0))</f>
        <v>0.07125</v>
      </c>
      <c r="AP500" s="28" t="n">
        <f aca="false">IF(OR(N(AO500)&lt;=0,N(AG500)=0,N(L500)=0),"",MIN(L500,AG500/AO500))</f>
        <v>17.1052631578947</v>
      </c>
      <c r="AQ500" s="29" t="n">
        <f aca="false">IF(OR(AP500="",N(O500)=0),"",AP500/O500-1)</f>
        <v>-0.0783802177858437</v>
      </c>
      <c r="AR500" s="29" t="n">
        <f aca="false">IF(OR(AQ500="",N(O500)=0),"",AQ500+AG500/O500)</f>
        <v>-0.0127148083030851</v>
      </c>
      <c r="AS500" s="32" t="n">
        <f aca="false">IF(OR(AR500="",N(AJ500)=0),"",AR500-AJ500)</f>
        <v>0.057601236388385</v>
      </c>
      <c r="AT500" s="28" t="n">
        <v>25</v>
      </c>
      <c r="AU500" s="28" t="n">
        <v>1.22</v>
      </c>
      <c r="AV500" s="28" t="n">
        <f aca="false">IF(N(AT500)&gt;0,AT500,L500)</f>
        <v>25</v>
      </c>
      <c r="AW500" s="28" t="n">
        <f aca="false">IF(AND(N(M500)&gt;0,N(AV500)&gt;0),M500*AV500,IF(N(AU500)&gt;0,AU500,N500))</f>
        <v>1.21875</v>
      </c>
      <c r="AX500" s="29" t="n">
        <f aca="false">IF(N(AN500)=0,"",AN500+IF(I500="yes",AN500*Inputs!$B$10*Inputs!$B$9,0)+IFERROR(INDEX(Inputs!$B$13:$B$15,MATCH(G500,Inputs!$A$13:$A$15,0)),0)+IFERROR(INDEX(Inputs!$B$18:$B$24,MATCH(H500,Inputs!$A$18:$A$24,0)),0))</f>
        <v>0.07125</v>
      </c>
      <c r="AY500" s="28" t="n">
        <f aca="false">IF(OR(N(AX500)&lt;=0,N(AW500)=0,N(AV500)=0),"",MIN(AV500,AW500/AX500))</f>
        <v>17.1052631578947</v>
      </c>
      <c r="AZ500" s="29" t="n">
        <f aca="false">IF(OR(AY500="",N(O500)=0),"",AY500/O500-1)</f>
        <v>-0.0783802177858437</v>
      </c>
      <c r="BA500" s="29" t="n">
        <f aca="false">IF(OR(AZ500="",N(O500)=0),"",AZ500+AW500/O500)</f>
        <v>-0.0127148083030851</v>
      </c>
      <c r="BB500" s="32" t="n">
        <f aca="false">IF(OR(BA500="",N(AR500)=0),"",BA500-AR500)</f>
        <v>0</v>
      </c>
      <c r="BC500" s="35" t="n">
        <f aca="false">IF(OR(BA500="",N(U500)=0),"",BA500-U500)</f>
        <v>0.057601236388385</v>
      </c>
      <c r="BD500" s="37"/>
    </row>
    <row r="501" customFormat="false" ht="15" hidden="false" customHeight="false" outlineLevel="0" collapsed="false">
      <c r="A501" s="2" t="s">
        <v>768</v>
      </c>
      <c r="B501" s="2" t="n">
        <v>376</v>
      </c>
      <c r="C501" s="2" t="s">
        <v>1056</v>
      </c>
      <c r="D501" s="2" t="s">
        <v>1050</v>
      </c>
      <c r="E501" s="2" t="s">
        <v>1051</v>
      </c>
      <c r="F501" s="27" t="n">
        <v>325800</v>
      </c>
      <c r="G501" s="2" t="s">
        <v>51</v>
      </c>
      <c r="H501" s="2" t="s">
        <v>58</v>
      </c>
      <c r="I501" s="2" t="s">
        <v>151</v>
      </c>
      <c r="J501" s="2" t="s">
        <v>145</v>
      </c>
      <c r="K501" s="2" t="n">
        <v>4</v>
      </c>
      <c r="L501" s="28" t="n">
        <v>25</v>
      </c>
      <c r="M501" s="29" t="n">
        <v>0.0425</v>
      </c>
      <c r="N501" s="28" t="n">
        <v>1.0625</v>
      </c>
      <c r="O501" s="28" t="n">
        <v>16.38</v>
      </c>
      <c r="P501" s="2" t="s">
        <v>223</v>
      </c>
      <c r="Q501" s="29" t="n">
        <v>0.08</v>
      </c>
      <c r="R501" s="30" t="n">
        <v>0.08</v>
      </c>
      <c r="S501" s="31" t="n">
        <v>13.28125</v>
      </c>
      <c r="T501" s="30" t="n">
        <v>-0.189178876678877</v>
      </c>
      <c r="U501" s="30" t="n">
        <v>-0.124313186813187</v>
      </c>
      <c r="V501" s="29" t="n">
        <v>0</v>
      </c>
      <c r="W501" s="29" t="n">
        <f aca="false">IF(N(Q501)=0,"",Q501+IF(I501="yes",Q501*Inputs!$B$10*Inputs!$B$9,0)+V501)</f>
        <v>0.076</v>
      </c>
      <c r="X501" s="28" t="n">
        <f aca="false">IF(OR(N(W501)&lt;=0,N(N501)=0,N(L501)=0),"",MIN(L501,N501/W501))</f>
        <v>13.9802631578947</v>
      </c>
      <c r="Y501" s="29" t="n">
        <f aca="false">IF(OR(X501="",N(O501)=0),"",X501/O501-1)</f>
        <v>-0.146504080714607</v>
      </c>
      <c r="Z501" s="29" t="n">
        <f aca="false">IF(OR(Y501="",N(O501)=0),"",Y501+N501/O501)</f>
        <v>-0.081638390848917</v>
      </c>
      <c r="AA501" s="32" t="n">
        <f aca="false">IF(OR(Z501="",N(U501)=0),"",Z501-U501)</f>
        <v>0.0426747959642698</v>
      </c>
      <c r="AB501" s="29" t="n">
        <f aca="false">IF(N(Q501)=0,"",Q501+IF(I501="yes",Q501*Inputs!$B$10*Inputs!$B$9,0)+IFERROR(INDEX(Inputs!$B$13:$B$15,MATCH(G501,Inputs!$A$13:$A$15,0)),0)+IFERROR(INDEX(Inputs!$B$18:$B$24,MATCH(H501,Inputs!$A$18:$A$24,0)),0))</f>
        <v>0.076</v>
      </c>
      <c r="AC501" s="28" t="n">
        <f aca="false">IF(OR(N(AB501)&lt;=0,N(N501)=0,N(L501)=0),"",MIN(L501,N501/AB501))</f>
        <v>13.9802631578947</v>
      </c>
      <c r="AD501" s="29" t="n">
        <f aca="false">IF(OR(AC501="",N(O501)=0),"",AC501/O501-1)</f>
        <v>-0.146504080714607</v>
      </c>
      <c r="AE501" s="29" t="n">
        <f aca="false">IF(OR(AD501="",N(O501)=0),"",AD501+N501/O501)</f>
        <v>-0.081638390848917</v>
      </c>
      <c r="AF501" s="32" t="n">
        <f aca="false">IF(OR(AE501="",N(Z501)=0),"",AE501-Z501)</f>
        <v>0</v>
      </c>
      <c r="AG501" s="28" t="n">
        <f aca="false">IF(AND(N(M501)&gt;0,N(L501)&gt;0),M501*L501,N501)</f>
        <v>1.0625</v>
      </c>
      <c r="AH501" s="28" t="n">
        <f aca="false">IF(OR(N(AB501)&lt;=0,N(AG501)=0,N(L501)=0),"",MIN(L501,AG501/AB501))</f>
        <v>13.9802631578947</v>
      </c>
      <c r="AI501" s="29" t="n">
        <f aca="false">IF(OR(AH501="",N(O501)=0),"",AH501/O501-1)</f>
        <v>-0.146504080714607</v>
      </c>
      <c r="AJ501" s="29" t="n">
        <f aca="false">IF(OR(AI501="",N(O501)=0),"",AI501+AG501/O501)</f>
        <v>-0.081638390848917</v>
      </c>
      <c r="AK501" s="32" t="n">
        <f aca="false">IF(OR(AJ501="",N(AE501)=0),"",AJ501-AE501)</f>
        <v>0</v>
      </c>
      <c r="AL501" s="33" t="n">
        <f aca="false">IF(N(F501)=0,"",INDEX(Inputs!$B$28:$B$32,IFERROR(MATCH(F501,Inputs!$A$28:$A$32,1),0)+1))</f>
        <v>0.075</v>
      </c>
      <c r="AM501" s="34"/>
      <c r="AN501" s="33" t="n">
        <f aca="false">IF(N(AM501)&gt;0,AM501,AL501)</f>
        <v>0.075</v>
      </c>
      <c r="AO501" s="29" t="n">
        <f aca="false">IF(N(AN501)=0,"",AN501+IF(I501="yes",AN501*Inputs!$B$10*Inputs!$B$9,0)+IFERROR(INDEX(Inputs!$B$13:$B$15,MATCH(G501,Inputs!$A$13:$A$15,0)),0)+IFERROR(INDEX(Inputs!$B$18:$B$24,MATCH(H501,Inputs!$A$18:$A$24,0)),0))</f>
        <v>0.07125</v>
      </c>
      <c r="AP501" s="28" t="n">
        <f aca="false">IF(OR(N(AO501)&lt;=0,N(AG501)=0,N(L501)=0),"",MIN(L501,AG501/AO501))</f>
        <v>14.9122807017544</v>
      </c>
      <c r="AQ501" s="29" t="n">
        <f aca="false">IF(OR(AP501="",N(O501)=0),"",AP501/O501-1)</f>
        <v>-0.0896043527622474</v>
      </c>
      <c r="AR501" s="29" t="n">
        <f aca="false">IF(OR(AQ501="",N(O501)=0),"",AQ501+AG501/O501)</f>
        <v>-0.0247386628965576</v>
      </c>
      <c r="AS501" s="32" t="n">
        <f aca="false">IF(OR(AR501="",N(AJ501)=0),"",AR501-AJ501)</f>
        <v>0.0568997279523594</v>
      </c>
      <c r="AT501" s="28" t="n">
        <v>25</v>
      </c>
      <c r="AU501" s="28" t="n">
        <v>1.0625</v>
      </c>
      <c r="AV501" s="28" t="n">
        <f aca="false">IF(N(AT501)&gt;0,AT501,L501)</f>
        <v>25</v>
      </c>
      <c r="AW501" s="28" t="n">
        <f aca="false">IF(AND(N(M501)&gt;0,N(AV501)&gt;0),M501*AV501,IF(N(AU501)&gt;0,AU501,N501))</f>
        <v>1.0625</v>
      </c>
      <c r="AX501" s="29" t="n">
        <f aca="false">IF(N(AN501)=0,"",AN501+IF(I501="yes",AN501*Inputs!$B$10*Inputs!$B$9,0)+IFERROR(INDEX(Inputs!$B$13:$B$15,MATCH(G501,Inputs!$A$13:$A$15,0)),0)+IFERROR(INDEX(Inputs!$B$18:$B$24,MATCH(H501,Inputs!$A$18:$A$24,0)),0))</f>
        <v>0.07125</v>
      </c>
      <c r="AY501" s="28" t="n">
        <f aca="false">IF(OR(N(AX501)&lt;=0,N(AW501)=0,N(AV501)=0),"",MIN(AV501,AW501/AX501))</f>
        <v>14.9122807017544</v>
      </c>
      <c r="AZ501" s="29" t="n">
        <f aca="false">IF(OR(AY501="",N(O501)=0),"",AY501/O501-1)</f>
        <v>-0.0896043527622474</v>
      </c>
      <c r="BA501" s="29" t="n">
        <f aca="false">IF(OR(AZ501="",N(O501)=0),"",AZ501+AW501/O501)</f>
        <v>-0.0247386628965576</v>
      </c>
      <c r="BB501" s="32" t="n">
        <f aca="false">IF(OR(BA501="",N(AR501)=0),"",BA501-AR501)</f>
        <v>0</v>
      </c>
      <c r="BC501" s="35" t="n">
        <f aca="false">IF(OR(BA501="",N(U501)=0),"",BA501-U501)</f>
        <v>0.0995745239166292</v>
      </c>
      <c r="BD501" s="36" t="s">
        <v>224</v>
      </c>
    </row>
    <row r="502" customFormat="false" ht="15" hidden="false" customHeight="false" outlineLevel="0" collapsed="false">
      <c r="A502" s="2" t="s">
        <v>768</v>
      </c>
      <c r="B502" s="2" t="n">
        <v>377</v>
      </c>
      <c r="C502" s="2" t="s">
        <v>1057</v>
      </c>
      <c r="D502" s="2" t="s">
        <v>1050</v>
      </c>
      <c r="E502" s="2" t="s">
        <v>1051</v>
      </c>
      <c r="F502" s="27" t="n">
        <v>325800</v>
      </c>
      <c r="G502" s="2" t="s">
        <v>51</v>
      </c>
      <c r="H502" s="2" t="s">
        <v>58</v>
      </c>
      <c r="I502" s="2" t="s">
        <v>151</v>
      </c>
      <c r="J502" s="2" t="s">
        <v>145</v>
      </c>
      <c r="K502" s="2" t="n">
        <v>4</v>
      </c>
      <c r="L502" s="28" t="n">
        <v>25</v>
      </c>
      <c r="M502" s="29" t="n">
        <v>0.065</v>
      </c>
      <c r="N502" s="28" t="n">
        <v>1.625</v>
      </c>
      <c r="O502" s="28" t="n">
        <v>25</v>
      </c>
      <c r="P502" s="2" t="s">
        <v>223</v>
      </c>
      <c r="Q502" s="29" t="n">
        <v>0.08</v>
      </c>
      <c r="R502" s="30" t="n">
        <v>0.08</v>
      </c>
      <c r="S502" s="31" t="n">
        <v>20.3125</v>
      </c>
      <c r="T502" s="30" t="n">
        <v>-0.1875</v>
      </c>
      <c r="U502" s="30" t="n">
        <v>-0.1225</v>
      </c>
      <c r="V502" s="29" t="n">
        <v>0</v>
      </c>
      <c r="W502" s="29" t="n">
        <f aca="false">IF(N(Q502)=0,"",Q502+IF(I502="yes",Q502*Inputs!$B$10*Inputs!$B$9,0)+V502)</f>
        <v>0.076</v>
      </c>
      <c r="X502" s="28" t="n">
        <f aca="false">IF(OR(N(W502)&lt;=0,N(N502)=0,N(L502)=0),"",MIN(L502,N502/W502))</f>
        <v>21.3815789473684</v>
      </c>
      <c r="Y502" s="29" t="n">
        <f aca="false">IF(OR(X502="",N(O502)=0),"",X502/O502-1)</f>
        <v>-0.144736842105263</v>
      </c>
      <c r="Z502" s="29" t="n">
        <f aca="false">IF(OR(Y502="",N(O502)=0),"",Y502+N502/O502)</f>
        <v>-0.0797368421052632</v>
      </c>
      <c r="AA502" s="32" t="n">
        <f aca="false">IF(OR(Z502="",N(U502)=0),"",Z502-U502)</f>
        <v>0.0427631578947368</v>
      </c>
      <c r="AB502" s="29" t="n">
        <f aca="false">IF(N(Q502)=0,"",Q502+IF(I502="yes",Q502*Inputs!$B$10*Inputs!$B$9,0)+IFERROR(INDEX(Inputs!$B$13:$B$15,MATCH(G502,Inputs!$A$13:$A$15,0)),0)+IFERROR(INDEX(Inputs!$B$18:$B$24,MATCH(H502,Inputs!$A$18:$A$24,0)),0))</f>
        <v>0.076</v>
      </c>
      <c r="AC502" s="28" t="n">
        <f aca="false">IF(OR(N(AB502)&lt;=0,N(N502)=0,N(L502)=0),"",MIN(L502,N502/AB502))</f>
        <v>21.3815789473684</v>
      </c>
      <c r="AD502" s="29" t="n">
        <f aca="false">IF(OR(AC502="",N(O502)=0),"",AC502/O502-1)</f>
        <v>-0.144736842105263</v>
      </c>
      <c r="AE502" s="29" t="n">
        <f aca="false">IF(OR(AD502="",N(O502)=0),"",AD502+N502/O502)</f>
        <v>-0.0797368421052632</v>
      </c>
      <c r="AF502" s="32" t="n">
        <f aca="false">IF(OR(AE502="",N(Z502)=0),"",AE502-Z502)</f>
        <v>0</v>
      </c>
      <c r="AG502" s="28" t="n">
        <f aca="false">IF(AND(N(M502)&gt;0,N(L502)&gt;0),M502*L502,N502)</f>
        <v>1.625</v>
      </c>
      <c r="AH502" s="28" t="n">
        <f aca="false">IF(OR(N(AB502)&lt;=0,N(AG502)=0,N(L502)=0),"",MIN(L502,AG502/AB502))</f>
        <v>21.3815789473684</v>
      </c>
      <c r="AI502" s="29" t="n">
        <f aca="false">IF(OR(AH502="",N(O502)=0),"",AH502/O502-1)</f>
        <v>-0.144736842105263</v>
      </c>
      <c r="AJ502" s="29" t="n">
        <f aca="false">IF(OR(AI502="",N(O502)=0),"",AI502+AG502/O502)</f>
        <v>-0.0797368421052632</v>
      </c>
      <c r="AK502" s="32" t="n">
        <f aca="false">IF(OR(AJ502="",N(AE502)=0),"",AJ502-AE502)</f>
        <v>0</v>
      </c>
      <c r="AL502" s="33" t="n">
        <f aca="false">IF(N(F502)=0,"",INDEX(Inputs!$B$28:$B$32,IFERROR(MATCH(F502,Inputs!$A$28:$A$32,1),0)+1))</f>
        <v>0.075</v>
      </c>
      <c r="AM502" s="34"/>
      <c r="AN502" s="33" t="n">
        <f aca="false">IF(N(AM502)&gt;0,AM502,AL502)</f>
        <v>0.075</v>
      </c>
      <c r="AO502" s="29" t="n">
        <f aca="false">IF(N(AN502)=0,"",AN502+IF(I502="yes",AN502*Inputs!$B$10*Inputs!$B$9,0)+IFERROR(INDEX(Inputs!$B$13:$B$15,MATCH(G502,Inputs!$A$13:$A$15,0)),0)+IFERROR(INDEX(Inputs!$B$18:$B$24,MATCH(H502,Inputs!$A$18:$A$24,0)),0))</f>
        <v>0.07125</v>
      </c>
      <c r="AP502" s="28" t="n">
        <f aca="false">IF(OR(N(AO502)&lt;=0,N(AG502)=0,N(L502)=0),"",MIN(L502,AG502/AO502))</f>
        <v>22.8070175438597</v>
      </c>
      <c r="AQ502" s="29" t="n">
        <f aca="false">IF(OR(AP502="",N(O502)=0),"",AP502/O502-1)</f>
        <v>-0.087719298245614</v>
      </c>
      <c r="AR502" s="29" t="n">
        <f aca="false">IF(OR(AQ502="",N(O502)=0),"",AQ502+AG502/O502)</f>
        <v>-0.022719298245614</v>
      </c>
      <c r="AS502" s="32" t="n">
        <f aca="false">IF(OR(AR502="",N(AJ502)=0),"",AR502-AJ502)</f>
        <v>0.0570175438596492</v>
      </c>
      <c r="AT502" s="28" t="n">
        <v>25</v>
      </c>
      <c r="AU502" s="28" t="n">
        <v>1.625</v>
      </c>
      <c r="AV502" s="28" t="n">
        <f aca="false">IF(N(AT502)&gt;0,AT502,L502)</f>
        <v>25</v>
      </c>
      <c r="AW502" s="28" t="n">
        <f aca="false">IF(AND(N(M502)&gt;0,N(AV502)&gt;0),M502*AV502,IF(N(AU502)&gt;0,AU502,N502))</f>
        <v>1.625</v>
      </c>
      <c r="AX502" s="29" t="n">
        <f aca="false">IF(N(AN502)=0,"",AN502+IF(I502="yes",AN502*Inputs!$B$10*Inputs!$B$9,0)+IFERROR(INDEX(Inputs!$B$13:$B$15,MATCH(G502,Inputs!$A$13:$A$15,0)),0)+IFERROR(INDEX(Inputs!$B$18:$B$24,MATCH(H502,Inputs!$A$18:$A$24,0)),0))</f>
        <v>0.07125</v>
      </c>
      <c r="AY502" s="28" t="n">
        <f aca="false">IF(OR(N(AX502)&lt;=0,N(AW502)=0,N(AV502)=0),"",MIN(AV502,AW502/AX502))</f>
        <v>22.8070175438597</v>
      </c>
      <c r="AZ502" s="29" t="n">
        <f aca="false">IF(OR(AY502="",N(O502)=0),"",AY502/O502-1)</f>
        <v>-0.087719298245614</v>
      </c>
      <c r="BA502" s="29" t="n">
        <f aca="false">IF(OR(AZ502="",N(O502)=0),"",AZ502+AW502/O502)</f>
        <v>-0.022719298245614</v>
      </c>
      <c r="BB502" s="32" t="n">
        <f aca="false">IF(OR(BA502="",N(AR502)=0),"",BA502-AR502)</f>
        <v>0</v>
      </c>
      <c r="BC502" s="35" t="n">
        <f aca="false">IF(OR(BA502="",N(U502)=0),"",BA502-U502)</f>
        <v>0.099780701754386</v>
      </c>
      <c r="BD502" s="36" t="s">
        <v>224</v>
      </c>
    </row>
    <row r="503" customFormat="false" ht="15" hidden="false" customHeight="false" outlineLevel="0" collapsed="false">
      <c r="A503" s="2" t="s">
        <v>768</v>
      </c>
      <c r="B503" s="2" t="n">
        <v>380</v>
      </c>
      <c r="C503" s="2" t="s">
        <v>1058</v>
      </c>
      <c r="D503" s="2" t="s">
        <v>1059</v>
      </c>
      <c r="E503" s="2" t="s">
        <v>1060</v>
      </c>
      <c r="F503" s="27" t="n">
        <v>7300</v>
      </c>
      <c r="G503" s="2" t="s">
        <v>51</v>
      </c>
      <c r="H503" s="2" t="s">
        <v>58</v>
      </c>
      <c r="I503" s="2" t="s">
        <v>151</v>
      </c>
      <c r="J503" s="2" t="s">
        <v>145</v>
      </c>
      <c r="K503" s="2" t="n">
        <v>4</v>
      </c>
      <c r="L503" s="28" t="n">
        <v>50</v>
      </c>
      <c r="M503" s="29" t="n">
        <v>0.045</v>
      </c>
      <c r="N503" s="28" t="n">
        <v>2.25</v>
      </c>
      <c r="O503" s="28" t="n">
        <v>36.9375</v>
      </c>
      <c r="P503" s="2" t="s">
        <v>146</v>
      </c>
      <c r="Q503" s="29" t="n">
        <v>0.08</v>
      </c>
      <c r="R503" s="30" t="n">
        <v>0.076</v>
      </c>
      <c r="S503" s="31" t="n">
        <v>29.6052631578947</v>
      </c>
      <c r="T503" s="30" t="n">
        <v>-0.198503873897943</v>
      </c>
      <c r="U503" s="30" t="n">
        <v>-0.137590168314187</v>
      </c>
      <c r="V503" s="29" t="n">
        <v>0</v>
      </c>
      <c r="W503" s="29" t="n">
        <f aca="false">IF(N(Q503)=0,"",Q503+IF(I503="yes",Q503*Inputs!$B$10*Inputs!$B$9,0)+V503)</f>
        <v>0.076</v>
      </c>
      <c r="X503" s="28" t="n">
        <f aca="false">IF(OR(N(W503)&lt;=0,N(N503)=0,N(L503)=0),"",MIN(L503,N503/W503))</f>
        <v>29.6052631578947</v>
      </c>
      <c r="Y503" s="29" t="n">
        <f aca="false">IF(OR(X503="",N(O503)=0),"",X503/O503-1)</f>
        <v>-0.198503873897943</v>
      </c>
      <c r="Z503" s="29" t="n">
        <f aca="false">IF(OR(Y503="",N(O503)=0),"",Y503+N503/O503)</f>
        <v>-0.137590168314187</v>
      </c>
      <c r="AA503" s="32" t="n">
        <f aca="false">IF(OR(Z503="",N(U503)=0),"",Z503-U503)</f>
        <v>0</v>
      </c>
      <c r="AB503" s="29" t="n">
        <f aca="false">IF(N(Q503)=0,"",Q503+IF(I503="yes",Q503*Inputs!$B$10*Inputs!$B$9,0)+IFERROR(INDEX(Inputs!$B$13:$B$15,MATCH(G503,Inputs!$A$13:$A$15,0)),0)+IFERROR(INDEX(Inputs!$B$18:$B$24,MATCH(H503,Inputs!$A$18:$A$24,0)),0))</f>
        <v>0.076</v>
      </c>
      <c r="AC503" s="28" t="n">
        <f aca="false">IF(OR(N(AB503)&lt;=0,N(N503)=0,N(L503)=0),"",MIN(L503,N503/AB503))</f>
        <v>29.6052631578947</v>
      </c>
      <c r="AD503" s="29" t="n">
        <f aca="false">IF(OR(AC503="",N(O503)=0),"",AC503/O503-1)</f>
        <v>-0.198503873897943</v>
      </c>
      <c r="AE503" s="29" t="n">
        <f aca="false">IF(OR(AD503="",N(O503)=0),"",AD503+N503/O503)</f>
        <v>-0.137590168314187</v>
      </c>
      <c r="AF503" s="32" t="n">
        <f aca="false">IF(OR(AE503="",N(Z503)=0),"",AE503-Z503)</f>
        <v>0</v>
      </c>
      <c r="AG503" s="28" t="n">
        <f aca="false">IF(AND(N(M503)&gt;0,N(L503)&gt;0),M503*L503,N503)</f>
        <v>2.25</v>
      </c>
      <c r="AH503" s="28" t="n">
        <f aca="false">IF(OR(N(AB503)&lt;=0,N(AG503)=0,N(L503)=0),"",MIN(L503,AG503/AB503))</f>
        <v>29.6052631578947</v>
      </c>
      <c r="AI503" s="29" t="n">
        <f aca="false">IF(OR(AH503="",N(O503)=0),"",AH503/O503-1)</f>
        <v>-0.198503873897943</v>
      </c>
      <c r="AJ503" s="29" t="n">
        <f aca="false">IF(OR(AI503="",N(O503)=0),"",AI503+AG503/O503)</f>
        <v>-0.137590168314187</v>
      </c>
      <c r="AK503" s="32" t="n">
        <f aca="false">IF(OR(AJ503="",N(AE503)=0),"",AJ503-AE503)</f>
        <v>0</v>
      </c>
      <c r="AL503" s="33" t="n">
        <f aca="false">IF(N(F503)=0,"",INDEX(Inputs!$B$28:$B$32,IFERROR(MATCH(F503,Inputs!$A$28:$A$32,1),0)+1))</f>
        <v>0.08</v>
      </c>
      <c r="AM503" s="34"/>
      <c r="AN503" s="33" t="n">
        <f aca="false">IF(N(AM503)&gt;0,AM503,AL503)</f>
        <v>0.08</v>
      </c>
      <c r="AO503" s="29" t="n">
        <f aca="false">IF(N(AN503)=0,"",AN503+IF(I503="yes",AN503*Inputs!$B$10*Inputs!$B$9,0)+IFERROR(INDEX(Inputs!$B$13:$B$15,MATCH(G503,Inputs!$A$13:$A$15,0)),0)+IFERROR(INDEX(Inputs!$B$18:$B$24,MATCH(H503,Inputs!$A$18:$A$24,0)),0))</f>
        <v>0.076</v>
      </c>
      <c r="AP503" s="28" t="n">
        <f aca="false">IF(OR(N(AO503)&lt;=0,N(AG503)=0,N(L503)=0),"",MIN(L503,AG503/AO503))</f>
        <v>29.6052631578947</v>
      </c>
      <c r="AQ503" s="29" t="n">
        <f aca="false">IF(OR(AP503="",N(O503)=0),"",AP503/O503-1)</f>
        <v>-0.198503873897943</v>
      </c>
      <c r="AR503" s="29" t="n">
        <f aca="false">IF(OR(AQ503="",N(O503)=0),"",AQ503+AG503/O503)</f>
        <v>-0.137590168314187</v>
      </c>
      <c r="AS503" s="32" t="n">
        <f aca="false">IF(OR(AR503="",N(AJ503)=0),"",AR503-AJ503)</f>
        <v>0</v>
      </c>
      <c r="AT503" s="28" t="n">
        <v>50</v>
      </c>
      <c r="AU503" s="28" t="n">
        <v>2.25</v>
      </c>
      <c r="AV503" s="28" t="n">
        <f aca="false">IF(N(AT503)&gt;0,AT503,L503)</f>
        <v>50</v>
      </c>
      <c r="AW503" s="28" t="n">
        <f aca="false">IF(AND(N(M503)&gt;0,N(AV503)&gt;0),M503*AV503,IF(N(AU503)&gt;0,AU503,N503))</f>
        <v>2.25</v>
      </c>
      <c r="AX503" s="29" t="n">
        <f aca="false">IF(N(AN503)=0,"",AN503+IF(I503="yes",AN503*Inputs!$B$10*Inputs!$B$9,0)+IFERROR(INDEX(Inputs!$B$13:$B$15,MATCH(G503,Inputs!$A$13:$A$15,0)),0)+IFERROR(INDEX(Inputs!$B$18:$B$24,MATCH(H503,Inputs!$A$18:$A$24,0)),0))</f>
        <v>0.076</v>
      </c>
      <c r="AY503" s="28" t="n">
        <f aca="false">IF(OR(N(AX503)&lt;=0,N(AW503)=0,N(AV503)=0),"",MIN(AV503,AW503/AX503))</f>
        <v>29.6052631578947</v>
      </c>
      <c r="AZ503" s="29" t="n">
        <f aca="false">IF(OR(AY503="",N(O503)=0),"",AY503/O503-1)</f>
        <v>-0.198503873897943</v>
      </c>
      <c r="BA503" s="29" t="n">
        <f aca="false">IF(OR(AZ503="",N(O503)=0),"",AZ503+AW503/O503)</f>
        <v>-0.137590168314187</v>
      </c>
      <c r="BB503" s="32" t="n">
        <f aca="false">IF(OR(BA503="",N(AR503)=0),"",BA503-AR503)</f>
        <v>0</v>
      </c>
      <c r="BC503" s="35" t="n">
        <f aca="false">IF(OR(BA503="",N(U503)=0),"",BA503-U503)</f>
        <v>0</v>
      </c>
      <c r="BD503" s="37"/>
    </row>
    <row r="504" customFormat="false" ht="15" hidden="false" customHeight="false" outlineLevel="0" collapsed="false">
      <c r="A504" s="2" t="s">
        <v>768</v>
      </c>
      <c r="B504" s="2" t="n">
        <v>384</v>
      </c>
      <c r="C504" s="2" t="s">
        <v>1061</v>
      </c>
      <c r="D504" s="2" t="s">
        <v>1062</v>
      </c>
      <c r="E504" s="2" t="s">
        <v>1063</v>
      </c>
      <c r="F504" s="27" t="n">
        <v>675</v>
      </c>
      <c r="G504" s="2" t="s">
        <v>51</v>
      </c>
      <c r="H504" s="2" t="s">
        <v>59</v>
      </c>
      <c r="I504" s="2" t="s">
        <v>151</v>
      </c>
      <c r="J504" s="2" t="s">
        <v>145</v>
      </c>
      <c r="K504" s="2" t="n">
        <v>4</v>
      </c>
      <c r="L504" s="28" t="n">
        <v>25</v>
      </c>
      <c r="M504" s="29" t="n">
        <v>0.0775</v>
      </c>
      <c r="N504" s="28" t="n">
        <v>1.9375</v>
      </c>
      <c r="O504" s="28" t="n">
        <v>25.33</v>
      </c>
      <c r="P504" s="2" t="s">
        <v>223</v>
      </c>
      <c r="Q504" s="29" t="n">
        <v>0.08</v>
      </c>
      <c r="R504" s="30" t="n">
        <v>0.08</v>
      </c>
      <c r="S504" s="31" t="n">
        <v>24.21875</v>
      </c>
      <c r="T504" s="30" t="n">
        <v>-0.0438709040663246</v>
      </c>
      <c r="U504" s="30" t="n">
        <v>0.0326194236083695</v>
      </c>
      <c r="V504" s="29" t="n">
        <v>0</v>
      </c>
      <c r="W504" s="29" t="n">
        <f aca="false">IF(N(Q504)=0,"",Q504+IF(I504="yes",Q504*Inputs!$B$10*Inputs!$B$9,0)+V504)</f>
        <v>0.076</v>
      </c>
      <c r="X504" s="28" t="n">
        <f aca="false">IF(OR(N(W504)&lt;=0,N(N504)=0,N(L504)=0),"",MIN(L504,N504/W504))</f>
        <v>25</v>
      </c>
      <c r="Y504" s="29" t="n">
        <f aca="false">IF(OR(X504="",N(O504)=0),"",X504/O504-1)</f>
        <v>-0.0130280300039478</v>
      </c>
      <c r="Z504" s="29" t="n">
        <f aca="false">IF(OR(Y504="",N(O504)=0),"",Y504+N504/O504)</f>
        <v>0.0634622976707462</v>
      </c>
      <c r="AA504" s="32" t="n">
        <f aca="false">IF(OR(Z504="",N(U504)=0),"",Z504-U504)</f>
        <v>0.0308428740623768</v>
      </c>
      <c r="AB504" s="29" t="n">
        <f aca="false">IF(N(Q504)=0,"",Q504+IF(I504="yes",Q504*Inputs!$B$10*Inputs!$B$9,0)+IFERROR(INDEX(Inputs!$B$13:$B$15,MATCH(G504,Inputs!$A$13:$A$15,0)),0)+IFERROR(INDEX(Inputs!$B$18:$B$24,MATCH(H504,Inputs!$A$18:$A$24,0)),0))</f>
        <v>0.076</v>
      </c>
      <c r="AC504" s="28" t="n">
        <f aca="false">IF(OR(N(AB504)&lt;=0,N(N504)=0,N(L504)=0),"",MIN(L504,N504/AB504))</f>
        <v>25</v>
      </c>
      <c r="AD504" s="29" t="n">
        <f aca="false">IF(OR(AC504="",N(O504)=0),"",AC504/O504-1)</f>
        <v>-0.0130280300039478</v>
      </c>
      <c r="AE504" s="29" t="n">
        <f aca="false">IF(OR(AD504="",N(O504)=0),"",AD504+N504/O504)</f>
        <v>0.0634622976707462</v>
      </c>
      <c r="AF504" s="32" t="n">
        <f aca="false">IF(OR(AE504="",N(Z504)=0),"",AE504-Z504)</f>
        <v>0</v>
      </c>
      <c r="AG504" s="28" t="n">
        <f aca="false">IF(AND(N(M504)&gt;0,N(L504)&gt;0),M504*L504,N504)</f>
        <v>1.9375</v>
      </c>
      <c r="AH504" s="28" t="n">
        <f aca="false">IF(OR(N(AB504)&lt;=0,N(AG504)=0,N(L504)=0),"",MIN(L504,AG504/AB504))</f>
        <v>25</v>
      </c>
      <c r="AI504" s="29" t="n">
        <f aca="false">IF(OR(AH504="",N(O504)=0),"",AH504/O504-1)</f>
        <v>-0.0130280300039478</v>
      </c>
      <c r="AJ504" s="29" t="n">
        <f aca="false">IF(OR(AI504="",N(O504)=0),"",AI504+AG504/O504)</f>
        <v>0.0634622976707462</v>
      </c>
      <c r="AK504" s="32" t="n">
        <f aca="false">IF(OR(AJ504="",N(AE504)=0),"",AJ504-AE504)</f>
        <v>0</v>
      </c>
      <c r="AL504" s="33" t="n">
        <f aca="false">IF(N(F504)=0,"",INDEX(Inputs!$B$28:$B$32,IFERROR(MATCH(F504,Inputs!$A$28:$A$32,1),0)+1))</f>
        <v>0.09</v>
      </c>
      <c r="AM504" s="34"/>
      <c r="AN504" s="33" t="n">
        <f aca="false">IF(N(AM504)&gt;0,AM504,AL504)</f>
        <v>0.09</v>
      </c>
      <c r="AO504" s="29" t="n">
        <f aca="false">IF(N(AN504)=0,"",AN504+IF(I504="yes",AN504*Inputs!$B$10*Inputs!$B$9,0)+IFERROR(INDEX(Inputs!$B$13:$B$15,MATCH(G504,Inputs!$A$13:$A$15,0)),0)+IFERROR(INDEX(Inputs!$B$18:$B$24,MATCH(H504,Inputs!$A$18:$A$24,0)),0))</f>
        <v>0.0855</v>
      </c>
      <c r="AP504" s="28" t="n">
        <f aca="false">IF(OR(N(AO504)&lt;=0,N(AG504)=0,N(L504)=0),"",MIN(L504,AG504/AO504))</f>
        <v>22.6608187134503</v>
      </c>
      <c r="AQ504" s="29" t="n">
        <f aca="false">IF(OR(AP504="",N(O504)=0),"",AP504/O504-1)</f>
        <v>-0.105376284506502</v>
      </c>
      <c r="AR504" s="29" t="n">
        <f aca="false">IF(OR(AQ504="",N(O504)=0),"",AQ504+AG504/O504)</f>
        <v>-0.0288859568318083</v>
      </c>
      <c r="AS504" s="32" t="n">
        <f aca="false">IF(OR(AR504="",N(AJ504)=0),"",AR504-AJ504)</f>
        <v>-0.0923482545025546</v>
      </c>
      <c r="AT504" s="28" t="n">
        <v>25</v>
      </c>
      <c r="AU504" s="28" t="n">
        <v>1.9375</v>
      </c>
      <c r="AV504" s="28" t="n">
        <f aca="false">IF(N(AT504)&gt;0,AT504,L504)</f>
        <v>25</v>
      </c>
      <c r="AW504" s="28" t="n">
        <f aca="false">IF(AND(N(M504)&gt;0,N(AV504)&gt;0),M504*AV504,IF(N(AU504)&gt;0,AU504,N504))</f>
        <v>1.9375</v>
      </c>
      <c r="AX504" s="29" t="n">
        <f aca="false">IF(N(AN504)=0,"",AN504+IF(I504="yes",AN504*Inputs!$B$10*Inputs!$B$9,0)+IFERROR(INDEX(Inputs!$B$13:$B$15,MATCH(G504,Inputs!$A$13:$A$15,0)),0)+IFERROR(INDEX(Inputs!$B$18:$B$24,MATCH(H504,Inputs!$A$18:$A$24,0)),0))</f>
        <v>0.0855</v>
      </c>
      <c r="AY504" s="28" t="n">
        <f aca="false">IF(OR(N(AX504)&lt;=0,N(AW504)=0,N(AV504)=0),"",MIN(AV504,AW504/AX504))</f>
        <v>22.6608187134503</v>
      </c>
      <c r="AZ504" s="29" t="n">
        <f aca="false">IF(OR(AY504="",N(O504)=0),"",AY504/O504-1)</f>
        <v>-0.105376284506502</v>
      </c>
      <c r="BA504" s="29" t="n">
        <f aca="false">IF(OR(AZ504="",N(O504)=0),"",AZ504+AW504/O504)</f>
        <v>-0.0288859568318083</v>
      </c>
      <c r="BB504" s="32" t="n">
        <f aca="false">IF(OR(BA504="",N(AR504)=0),"",BA504-AR504)</f>
        <v>0</v>
      </c>
      <c r="BC504" s="35" t="n">
        <f aca="false">IF(OR(BA504="",N(U504)=0),"",BA504-U504)</f>
        <v>-0.0615053804401778</v>
      </c>
      <c r="BD504" s="36" t="s">
        <v>224</v>
      </c>
    </row>
    <row r="505" customFormat="false" ht="15" hidden="false" customHeight="false" outlineLevel="0" collapsed="false">
      <c r="A505" s="2" t="s">
        <v>768</v>
      </c>
      <c r="B505" s="2" t="n">
        <v>388</v>
      </c>
      <c r="C505" s="2" t="s">
        <v>1064</v>
      </c>
      <c r="D505" s="2" t="s">
        <v>1065</v>
      </c>
      <c r="E505" s="2" t="s">
        <v>1066</v>
      </c>
      <c r="F505" s="27" t="n">
        <v>34400</v>
      </c>
      <c r="G505" s="2" t="s">
        <v>51</v>
      </c>
      <c r="H505" s="2" t="s">
        <v>59</v>
      </c>
      <c r="I505" s="2" t="s">
        <v>151</v>
      </c>
      <c r="J505" s="2" t="s">
        <v>145</v>
      </c>
      <c r="K505" s="2" t="n">
        <v>4</v>
      </c>
      <c r="L505" s="28" t="n">
        <v>25</v>
      </c>
      <c r="M505" s="29" t="n">
        <v>0.05625</v>
      </c>
      <c r="N505" s="28" t="n">
        <v>1.40625</v>
      </c>
      <c r="O505" s="28" t="n">
        <v>25.24</v>
      </c>
      <c r="P505" s="2" t="s">
        <v>146</v>
      </c>
      <c r="Q505" s="29" t="n">
        <v>0.08</v>
      </c>
      <c r="R505" s="30" t="n">
        <v>0.076</v>
      </c>
      <c r="S505" s="31" t="n">
        <v>18.5032894736842</v>
      </c>
      <c r="T505" s="30" t="n">
        <v>-0.266906122278756</v>
      </c>
      <c r="U505" s="30" t="n">
        <v>-0.211190987571941</v>
      </c>
      <c r="V505" s="29" t="n">
        <v>0</v>
      </c>
      <c r="W505" s="29" t="n">
        <f aca="false">IF(N(Q505)=0,"",Q505+IF(I505="yes",Q505*Inputs!$B$10*Inputs!$B$9,0)+V505)</f>
        <v>0.076</v>
      </c>
      <c r="X505" s="28" t="n">
        <f aca="false">IF(OR(N(W505)&lt;=0,N(N505)=0,N(L505)=0),"",MIN(L505,N505/W505))</f>
        <v>18.5032894736842</v>
      </c>
      <c r="Y505" s="29" t="n">
        <f aca="false">IF(OR(X505="",N(O505)=0),"",X505/O505-1)</f>
        <v>-0.266906122278755</v>
      </c>
      <c r="Z505" s="29" t="n">
        <f aca="false">IF(OR(Y505="",N(O505)=0),"",Y505+N505/O505)</f>
        <v>-0.211190987571941</v>
      </c>
      <c r="AA505" s="32" t="n">
        <f aca="false">IF(OR(Z505="",N(U505)=0),"",Z505-U505)</f>
        <v>0</v>
      </c>
      <c r="AB505" s="29" t="n">
        <f aca="false">IF(N(Q505)=0,"",Q505+IF(I505="yes",Q505*Inputs!$B$10*Inputs!$B$9,0)+IFERROR(INDEX(Inputs!$B$13:$B$15,MATCH(G505,Inputs!$A$13:$A$15,0)),0)+IFERROR(INDEX(Inputs!$B$18:$B$24,MATCH(H505,Inputs!$A$18:$A$24,0)),0))</f>
        <v>0.076</v>
      </c>
      <c r="AC505" s="28" t="n">
        <f aca="false">IF(OR(N(AB505)&lt;=0,N(N505)=0,N(L505)=0),"",MIN(L505,N505/AB505))</f>
        <v>18.5032894736842</v>
      </c>
      <c r="AD505" s="29" t="n">
        <f aca="false">IF(OR(AC505="",N(O505)=0),"",AC505/O505-1)</f>
        <v>-0.266906122278755</v>
      </c>
      <c r="AE505" s="29" t="n">
        <f aca="false">IF(OR(AD505="",N(O505)=0),"",AD505+N505/O505)</f>
        <v>-0.211190987571941</v>
      </c>
      <c r="AF505" s="32" t="n">
        <f aca="false">IF(OR(AE505="",N(Z505)=0),"",AE505-Z505)</f>
        <v>0</v>
      </c>
      <c r="AG505" s="28" t="n">
        <f aca="false">IF(AND(N(M505)&gt;0,N(L505)&gt;0),M505*L505,N505)</f>
        <v>1.40625</v>
      </c>
      <c r="AH505" s="28" t="n">
        <f aca="false">IF(OR(N(AB505)&lt;=0,N(AG505)=0,N(L505)=0),"",MIN(L505,AG505/AB505))</f>
        <v>18.5032894736842</v>
      </c>
      <c r="AI505" s="29" t="n">
        <f aca="false">IF(OR(AH505="",N(O505)=0),"",AH505/O505-1)</f>
        <v>-0.266906122278755</v>
      </c>
      <c r="AJ505" s="29" t="n">
        <f aca="false">IF(OR(AI505="",N(O505)=0),"",AI505+AG505/O505)</f>
        <v>-0.211190987571941</v>
      </c>
      <c r="AK505" s="32" t="n">
        <f aca="false">IF(OR(AJ505="",N(AE505)=0),"",AJ505-AE505)</f>
        <v>0</v>
      </c>
      <c r="AL505" s="33" t="n">
        <f aca="false">IF(N(F505)=0,"",INDEX(Inputs!$B$28:$B$32,IFERROR(MATCH(F505,Inputs!$A$28:$A$32,1),0)+1))</f>
        <v>0.075</v>
      </c>
      <c r="AM505" s="34"/>
      <c r="AN505" s="33" t="n">
        <f aca="false">IF(N(AM505)&gt;0,AM505,AL505)</f>
        <v>0.075</v>
      </c>
      <c r="AO505" s="29" t="n">
        <f aca="false">IF(N(AN505)=0,"",AN505+IF(I505="yes",AN505*Inputs!$B$10*Inputs!$B$9,0)+IFERROR(INDEX(Inputs!$B$13:$B$15,MATCH(G505,Inputs!$A$13:$A$15,0)),0)+IFERROR(INDEX(Inputs!$B$18:$B$24,MATCH(H505,Inputs!$A$18:$A$24,0)),0))</f>
        <v>0.07125</v>
      </c>
      <c r="AP505" s="28" t="n">
        <f aca="false">IF(OR(N(AO505)&lt;=0,N(AG505)=0,N(L505)=0),"",MIN(L505,AG505/AO505))</f>
        <v>19.7368421052632</v>
      </c>
      <c r="AQ505" s="29" t="n">
        <f aca="false">IF(OR(AP505="",N(O505)=0),"",AP505/O505-1)</f>
        <v>-0.218033197097339</v>
      </c>
      <c r="AR505" s="29" t="n">
        <f aca="false">IF(OR(AQ505="",N(O505)=0),"",AQ505+AG505/O505)</f>
        <v>-0.162318062390524</v>
      </c>
      <c r="AS505" s="32" t="n">
        <f aca="false">IF(OR(AR505="",N(AJ505)=0),"",AR505-AJ505)</f>
        <v>0.0488729251814164</v>
      </c>
      <c r="AT505" s="28" t="n">
        <v>25</v>
      </c>
      <c r="AU505" s="28" t="n">
        <v>1.41</v>
      </c>
      <c r="AV505" s="28" t="n">
        <f aca="false">IF(N(AT505)&gt;0,AT505,L505)</f>
        <v>25</v>
      </c>
      <c r="AW505" s="28" t="n">
        <f aca="false">IF(AND(N(M505)&gt;0,N(AV505)&gt;0),M505*AV505,IF(N(AU505)&gt;0,AU505,N505))</f>
        <v>1.40625</v>
      </c>
      <c r="AX505" s="29" t="n">
        <f aca="false">IF(N(AN505)=0,"",AN505+IF(I505="yes",AN505*Inputs!$B$10*Inputs!$B$9,0)+IFERROR(INDEX(Inputs!$B$13:$B$15,MATCH(G505,Inputs!$A$13:$A$15,0)),0)+IFERROR(INDEX(Inputs!$B$18:$B$24,MATCH(H505,Inputs!$A$18:$A$24,0)),0))</f>
        <v>0.07125</v>
      </c>
      <c r="AY505" s="28" t="n">
        <f aca="false">IF(OR(N(AX505)&lt;=0,N(AW505)=0,N(AV505)=0),"",MIN(AV505,AW505/AX505))</f>
        <v>19.7368421052632</v>
      </c>
      <c r="AZ505" s="29" t="n">
        <f aca="false">IF(OR(AY505="",N(O505)=0),"",AY505/O505-1)</f>
        <v>-0.218033197097339</v>
      </c>
      <c r="BA505" s="29" t="n">
        <f aca="false">IF(OR(AZ505="",N(O505)=0),"",AZ505+AW505/O505)</f>
        <v>-0.162318062390524</v>
      </c>
      <c r="BB505" s="32" t="n">
        <f aca="false">IF(OR(BA505="",N(AR505)=0),"",BA505-AR505)</f>
        <v>0</v>
      </c>
      <c r="BC505" s="35" t="n">
        <f aca="false">IF(OR(BA505="",N(U505)=0),"",BA505-U505)</f>
        <v>0.0488729251814165</v>
      </c>
      <c r="BD505" s="37"/>
    </row>
    <row r="506" customFormat="false" ht="15" hidden="false" customHeight="false" outlineLevel="0" collapsed="false">
      <c r="A506" s="2" t="s">
        <v>1067</v>
      </c>
      <c r="B506" s="2" t="n">
        <v>7</v>
      </c>
      <c r="C506" s="2" t="s">
        <v>1068</v>
      </c>
      <c r="D506" s="2" t="s">
        <v>1069</v>
      </c>
      <c r="E506" s="2" t="s">
        <v>1070</v>
      </c>
      <c r="F506" s="27" t="n">
        <v>374</v>
      </c>
      <c r="G506" s="2" t="s">
        <v>51</v>
      </c>
      <c r="H506" s="2" t="s">
        <v>58</v>
      </c>
      <c r="I506" s="2" t="s">
        <v>151</v>
      </c>
      <c r="J506" s="2" t="s">
        <v>145</v>
      </c>
      <c r="K506" s="2" t="n">
        <v>4</v>
      </c>
      <c r="L506" s="28" t="n">
        <v>25</v>
      </c>
      <c r="M506" s="29" t="n">
        <v>0.05625</v>
      </c>
      <c r="N506" s="28" t="n">
        <v>1.40625</v>
      </c>
      <c r="O506" s="28" t="n">
        <v>20.17</v>
      </c>
      <c r="P506" s="2" t="s">
        <v>146</v>
      </c>
      <c r="Q506" s="29" t="n">
        <v>0.085</v>
      </c>
      <c r="R506" s="30" t="n">
        <v>0.08075</v>
      </c>
      <c r="S506" s="31" t="n">
        <v>17.4148606811146</v>
      </c>
      <c r="T506" s="30" t="n">
        <v>-0.136595900787578</v>
      </c>
      <c r="U506" s="30" t="n">
        <v>-0.066876019776175</v>
      </c>
      <c r="V506" s="29" t="n">
        <v>0</v>
      </c>
      <c r="W506" s="29" t="n">
        <f aca="false">IF(N(Q506)=0,"",Q506+IF(I506="yes",Q506*Inputs!$B$10*Inputs!$B$9,0)+V506)</f>
        <v>0.08075</v>
      </c>
      <c r="X506" s="28" t="n">
        <f aca="false">IF(OR(N(W506)&lt;=0,N(N506)=0,N(L506)=0),"",MIN(L506,N506/W506))</f>
        <v>17.4148606811146</v>
      </c>
      <c r="Y506" s="29" t="n">
        <f aca="false">IF(OR(X506="",N(O506)=0),"",X506/O506-1)</f>
        <v>-0.136595900787578</v>
      </c>
      <c r="Z506" s="29" t="n">
        <f aca="false">IF(OR(Y506="",N(O506)=0),"",Y506+N506/O506)</f>
        <v>-0.066876019776175</v>
      </c>
      <c r="AA506" s="32" t="n">
        <f aca="false">IF(OR(Z506="",N(U506)=0),"",Z506-U506)</f>
        <v>0</v>
      </c>
      <c r="AB506" s="29" t="n">
        <f aca="false">IF(N(Q506)=0,"",Q506+IF(I506="yes",Q506*Inputs!$B$10*Inputs!$B$9,0)+IFERROR(INDEX(Inputs!$B$13:$B$15,MATCH(G506,Inputs!$A$13:$A$15,0)),0)+IFERROR(INDEX(Inputs!$B$18:$B$24,MATCH(H506,Inputs!$A$18:$A$24,0)),0))</f>
        <v>0.08075</v>
      </c>
      <c r="AC506" s="28" t="n">
        <f aca="false">IF(OR(N(AB506)&lt;=0,N(N506)=0,N(L506)=0),"",MIN(L506,N506/AB506))</f>
        <v>17.4148606811146</v>
      </c>
      <c r="AD506" s="29" t="n">
        <f aca="false">IF(OR(AC506="",N(O506)=0),"",AC506/O506-1)</f>
        <v>-0.136595900787578</v>
      </c>
      <c r="AE506" s="29" t="n">
        <f aca="false">IF(OR(AD506="",N(O506)=0),"",AD506+N506/O506)</f>
        <v>-0.066876019776175</v>
      </c>
      <c r="AF506" s="32" t="n">
        <f aca="false">IF(OR(AE506="",N(Z506)=0),"",AE506-Z506)</f>
        <v>0</v>
      </c>
      <c r="AG506" s="28" t="n">
        <f aca="false">IF(AND(N(M506)&gt;0,N(L506)&gt;0),M506*L506,N506)</f>
        <v>1.40625</v>
      </c>
      <c r="AH506" s="28" t="n">
        <f aca="false">IF(OR(N(AB506)&lt;=0,N(AG506)=0,N(L506)=0),"",MIN(L506,AG506/AB506))</f>
        <v>17.4148606811146</v>
      </c>
      <c r="AI506" s="29" t="n">
        <f aca="false">IF(OR(AH506="",N(O506)=0),"",AH506/O506-1)</f>
        <v>-0.136595900787578</v>
      </c>
      <c r="AJ506" s="29" t="n">
        <f aca="false">IF(OR(AI506="",N(O506)=0),"",AI506+AG506/O506)</f>
        <v>-0.066876019776175</v>
      </c>
      <c r="AK506" s="32" t="n">
        <f aca="false">IF(OR(AJ506="",N(AE506)=0),"",AJ506-AE506)</f>
        <v>0</v>
      </c>
      <c r="AL506" s="33" t="n">
        <f aca="false">IF(N(F506)=0,"",INDEX(Inputs!$B$28:$B$32,IFERROR(MATCH(F506,Inputs!$A$28:$A$32,1),0)+1))</f>
        <v>0.09</v>
      </c>
      <c r="AM506" s="34"/>
      <c r="AN506" s="33" t="n">
        <f aca="false">IF(N(AM506)&gt;0,AM506,AL506)</f>
        <v>0.09</v>
      </c>
      <c r="AO506" s="29" t="n">
        <f aca="false">IF(N(AN506)=0,"",AN506+IF(I506="yes",AN506*Inputs!$B$10*Inputs!$B$9,0)+IFERROR(INDEX(Inputs!$B$13:$B$15,MATCH(G506,Inputs!$A$13:$A$15,0)),0)+IFERROR(INDEX(Inputs!$B$18:$B$24,MATCH(H506,Inputs!$A$18:$A$24,0)),0))</f>
        <v>0.0855</v>
      </c>
      <c r="AP506" s="28" t="n">
        <f aca="false">IF(OR(N(AO506)&lt;=0,N(AG506)=0,N(L506)=0),"",MIN(L506,AG506/AO506))</f>
        <v>16.4473684210526</v>
      </c>
      <c r="AQ506" s="29" t="n">
        <f aca="false">IF(OR(AP506="",N(O506)=0),"",AP506/O506-1)</f>
        <v>-0.184562795188268</v>
      </c>
      <c r="AR506" s="29" t="n">
        <f aca="false">IF(OR(AQ506="",N(O506)=0),"",AQ506+AG506/O506)</f>
        <v>-0.114842914176865</v>
      </c>
      <c r="AS506" s="32" t="n">
        <f aca="false">IF(OR(AR506="",N(AJ506)=0),"",AR506-AJ506)</f>
        <v>-0.04796689440069</v>
      </c>
      <c r="AT506" s="28" t="n">
        <v>25</v>
      </c>
      <c r="AU506" s="28" t="n">
        <v>1.41</v>
      </c>
      <c r="AV506" s="28" t="n">
        <f aca="false">IF(N(AT506)&gt;0,AT506,L506)</f>
        <v>25</v>
      </c>
      <c r="AW506" s="28" t="n">
        <f aca="false">IF(AND(N(M506)&gt;0,N(AV506)&gt;0),M506*AV506,IF(N(AU506)&gt;0,AU506,N506))</f>
        <v>1.40625</v>
      </c>
      <c r="AX506" s="29" t="n">
        <f aca="false">IF(N(AN506)=0,"",AN506+IF(I506="yes",AN506*Inputs!$B$10*Inputs!$B$9,0)+IFERROR(INDEX(Inputs!$B$13:$B$15,MATCH(G506,Inputs!$A$13:$A$15,0)),0)+IFERROR(INDEX(Inputs!$B$18:$B$24,MATCH(H506,Inputs!$A$18:$A$24,0)),0))</f>
        <v>0.0855</v>
      </c>
      <c r="AY506" s="28" t="n">
        <f aca="false">IF(OR(N(AX506)&lt;=0,N(AW506)=0,N(AV506)=0),"",MIN(AV506,AW506/AX506))</f>
        <v>16.4473684210526</v>
      </c>
      <c r="AZ506" s="29" t="n">
        <f aca="false">IF(OR(AY506="",N(O506)=0),"",AY506/O506-1)</f>
        <v>-0.184562795188268</v>
      </c>
      <c r="BA506" s="29" t="n">
        <f aca="false">IF(OR(AZ506="",N(O506)=0),"",AZ506+AW506/O506)</f>
        <v>-0.114842914176865</v>
      </c>
      <c r="BB506" s="32" t="n">
        <f aca="false">IF(OR(BA506="",N(AR506)=0),"",BA506-AR506)</f>
        <v>0</v>
      </c>
      <c r="BC506" s="35" t="n">
        <f aca="false">IF(OR(BA506="",N(U506)=0),"",BA506-U506)</f>
        <v>-0.04796689440069</v>
      </c>
      <c r="BD506" s="37"/>
    </row>
    <row r="507" customFormat="false" ht="15" hidden="false" customHeight="false" outlineLevel="0" collapsed="false">
      <c r="A507" s="2" t="s">
        <v>1067</v>
      </c>
      <c r="B507" s="2" t="n">
        <v>11</v>
      </c>
      <c r="C507" s="2" t="s">
        <v>1071</v>
      </c>
      <c r="D507" s="2" t="s">
        <v>1072</v>
      </c>
      <c r="E507" s="2" t="s">
        <v>1073</v>
      </c>
      <c r="F507" s="27" t="n">
        <v>293</v>
      </c>
      <c r="G507" s="2" t="s">
        <v>51</v>
      </c>
      <c r="H507" s="2" t="s">
        <v>58</v>
      </c>
      <c r="I507" s="2" t="s">
        <v>151</v>
      </c>
      <c r="J507" s="2" t="s">
        <v>145</v>
      </c>
      <c r="K507" s="2" t="n">
        <v>4</v>
      </c>
      <c r="L507" s="28" t="n">
        <v>25</v>
      </c>
      <c r="M507" s="29" t="n">
        <v>0.055</v>
      </c>
      <c r="N507" s="28" t="n">
        <v>1.375</v>
      </c>
      <c r="O507" s="28" t="n">
        <v>19.7</v>
      </c>
      <c r="P507" s="2" t="s">
        <v>146</v>
      </c>
      <c r="Q507" s="29" t="n">
        <v>0.085</v>
      </c>
      <c r="R507" s="30" t="n">
        <v>0.08075</v>
      </c>
      <c r="S507" s="31" t="n">
        <v>17.0278637770898</v>
      </c>
      <c r="T507" s="30" t="n">
        <v>-0.135641432635036</v>
      </c>
      <c r="U507" s="30" t="n">
        <v>-0.0658444783203154</v>
      </c>
      <c r="V507" s="29" t="n">
        <v>0</v>
      </c>
      <c r="W507" s="29" t="n">
        <f aca="false">IF(N(Q507)=0,"",Q507+IF(I507="yes",Q507*Inputs!$B$10*Inputs!$B$9,0)+V507)</f>
        <v>0.08075</v>
      </c>
      <c r="X507" s="28" t="n">
        <f aca="false">IF(OR(N(W507)&lt;=0,N(N507)=0,N(L507)=0),"",MIN(L507,N507/W507))</f>
        <v>17.0278637770898</v>
      </c>
      <c r="Y507" s="29" t="n">
        <f aca="false">IF(OR(X507="",N(O507)=0),"",X507/O507-1)</f>
        <v>-0.135641432635036</v>
      </c>
      <c r="Z507" s="29" t="n">
        <f aca="false">IF(OR(Y507="",N(O507)=0),"",Y507+N507/O507)</f>
        <v>-0.0658444783203154</v>
      </c>
      <c r="AA507" s="32" t="n">
        <f aca="false">IF(OR(Z507="",N(U507)=0),"",Z507-U507)</f>
        <v>0</v>
      </c>
      <c r="AB507" s="29" t="n">
        <f aca="false">IF(N(Q507)=0,"",Q507+IF(I507="yes",Q507*Inputs!$B$10*Inputs!$B$9,0)+IFERROR(INDEX(Inputs!$B$13:$B$15,MATCH(G507,Inputs!$A$13:$A$15,0)),0)+IFERROR(INDEX(Inputs!$B$18:$B$24,MATCH(H507,Inputs!$A$18:$A$24,0)),0))</f>
        <v>0.08075</v>
      </c>
      <c r="AC507" s="28" t="n">
        <f aca="false">IF(OR(N(AB507)&lt;=0,N(N507)=0,N(L507)=0),"",MIN(L507,N507/AB507))</f>
        <v>17.0278637770898</v>
      </c>
      <c r="AD507" s="29" t="n">
        <f aca="false">IF(OR(AC507="",N(O507)=0),"",AC507/O507-1)</f>
        <v>-0.135641432635036</v>
      </c>
      <c r="AE507" s="29" t="n">
        <f aca="false">IF(OR(AD507="",N(O507)=0),"",AD507+N507/O507)</f>
        <v>-0.0658444783203154</v>
      </c>
      <c r="AF507" s="32" t="n">
        <f aca="false">IF(OR(AE507="",N(Z507)=0),"",AE507-Z507)</f>
        <v>0</v>
      </c>
      <c r="AG507" s="28" t="n">
        <f aca="false">IF(AND(N(M507)&gt;0,N(L507)&gt;0),M507*L507,N507)</f>
        <v>1.375</v>
      </c>
      <c r="AH507" s="28" t="n">
        <f aca="false">IF(OR(N(AB507)&lt;=0,N(AG507)=0,N(L507)=0),"",MIN(L507,AG507/AB507))</f>
        <v>17.0278637770898</v>
      </c>
      <c r="AI507" s="29" t="n">
        <f aca="false">IF(OR(AH507="",N(O507)=0),"",AH507/O507-1)</f>
        <v>-0.135641432635036</v>
      </c>
      <c r="AJ507" s="29" t="n">
        <f aca="false">IF(OR(AI507="",N(O507)=0),"",AI507+AG507/O507)</f>
        <v>-0.0658444783203154</v>
      </c>
      <c r="AK507" s="32" t="n">
        <f aca="false">IF(OR(AJ507="",N(AE507)=0),"",AJ507-AE507)</f>
        <v>0</v>
      </c>
      <c r="AL507" s="33" t="n">
        <f aca="false">IF(N(F507)=0,"",INDEX(Inputs!$B$28:$B$32,IFERROR(MATCH(F507,Inputs!$A$28:$A$32,1),0)+1))</f>
        <v>0.09</v>
      </c>
      <c r="AM507" s="34"/>
      <c r="AN507" s="33" t="n">
        <f aca="false">IF(N(AM507)&gt;0,AM507,AL507)</f>
        <v>0.09</v>
      </c>
      <c r="AO507" s="29" t="n">
        <f aca="false">IF(N(AN507)=0,"",AN507+IF(I507="yes",AN507*Inputs!$B$10*Inputs!$B$9,0)+IFERROR(INDEX(Inputs!$B$13:$B$15,MATCH(G507,Inputs!$A$13:$A$15,0)),0)+IFERROR(INDEX(Inputs!$B$18:$B$24,MATCH(H507,Inputs!$A$18:$A$24,0)),0))</f>
        <v>0.0855</v>
      </c>
      <c r="AP507" s="28" t="n">
        <f aca="false">IF(OR(N(AO507)&lt;=0,N(AG507)=0,N(L507)=0),"",MIN(L507,AG507/AO507))</f>
        <v>16.0818713450292</v>
      </c>
      <c r="AQ507" s="29" t="n">
        <f aca="false">IF(OR(AP507="",N(O507)=0),"",AP507/O507-1)</f>
        <v>-0.183661353044201</v>
      </c>
      <c r="AR507" s="29" t="n">
        <f aca="false">IF(OR(AQ507="",N(O507)=0),"",AQ507+AG507/O507)</f>
        <v>-0.11386439872948</v>
      </c>
      <c r="AS507" s="32" t="n">
        <f aca="false">IF(OR(AR507="",N(AJ507)=0),"",AR507-AJ507)</f>
        <v>-0.0480199204091646</v>
      </c>
      <c r="AT507" s="28" t="n">
        <v>25</v>
      </c>
      <c r="AU507" s="28" t="n">
        <v>1.38</v>
      </c>
      <c r="AV507" s="28" t="n">
        <f aca="false">IF(N(AT507)&gt;0,AT507,L507)</f>
        <v>25</v>
      </c>
      <c r="AW507" s="28" t="n">
        <f aca="false">IF(AND(N(M507)&gt;0,N(AV507)&gt;0),M507*AV507,IF(N(AU507)&gt;0,AU507,N507))</f>
        <v>1.375</v>
      </c>
      <c r="AX507" s="29" t="n">
        <f aca="false">IF(N(AN507)=0,"",AN507+IF(I507="yes",AN507*Inputs!$B$10*Inputs!$B$9,0)+IFERROR(INDEX(Inputs!$B$13:$B$15,MATCH(G507,Inputs!$A$13:$A$15,0)),0)+IFERROR(INDEX(Inputs!$B$18:$B$24,MATCH(H507,Inputs!$A$18:$A$24,0)),0))</f>
        <v>0.0855</v>
      </c>
      <c r="AY507" s="28" t="n">
        <f aca="false">IF(OR(N(AX507)&lt;=0,N(AW507)=0,N(AV507)=0),"",MIN(AV507,AW507/AX507))</f>
        <v>16.0818713450292</v>
      </c>
      <c r="AZ507" s="29" t="n">
        <f aca="false">IF(OR(AY507="",N(O507)=0),"",AY507/O507-1)</f>
        <v>-0.183661353044201</v>
      </c>
      <c r="BA507" s="29" t="n">
        <f aca="false">IF(OR(AZ507="",N(O507)=0),"",AZ507+AW507/O507)</f>
        <v>-0.11386439872948</v>
      </c>
      <c r="BB507" s="32" t="n">
        <f aca="false">IF(OR(BA507="",N(AR507)=0),"",BA507-AR507)</f>
        <v>0</v>
      </c>
      <c r="BC507" s="35" t="n">
        <f aca="false">IF(OR(BA507="",N(U507)=0),"",BA507-U507)</f>
        <v>-0.0480199204091646</v>
      </c>
      <c r="BD507" s="37"/>
    </row>
    <row r="508" customFormat="false" ht="15" hidden="false" customHeight="false" outlineLevel="0" collapsed="false">
      <c r="A508" s="2" t="s">
        <v>1067</v>
      </c>
      <c r="B508" s="2" t="n">
        <v>15</v>
      </c>
      <c r="C508" s="2" t="s">
        <v>1074</v>
      </c>
      <c r="D508" s="2" t="s">
        <v>1075</v>
      </c>
      <c r="E508" s="2" t="s">
        <v>1076</v>
      </c>
      <c r="F508" s="27" t="n">
        <v>177400</v>
      </c>
      <c r="G508" s="2" t="s">
        <v>52</v>
      </c>
      <c r="H508" s="2" t="s">
        <v>58</v>
      </c>
      <c r="I508" s="2" t="s">
        <v>144</v>
      </c>
      <c r="J508" s="2" t="s">
        <v>145</v>
      </c>
      <c r="K508" s="2" t="n">
        <v>4</v>
      </c>
      <c r="L508" s="28" t="n">
        <v>25</v>
      </c>
      <c r="M508" s="29" t="n">
        <v>0.0565</v>
      </c>
      <c r="N508" s="28" t="n">
        <v>1.4125</v>
      </c>
      <c r="O508" s="28" t="n">
        <v>20.81</v>
      </c>
      <c r="P508" s="2" t="s">
        <v>146</v>
      </c>
      <c r="Q508" s="29" t="n">
        <v>0.08</v>
      </c>
      <c r="R508" s="30" t="n">
        <v>0.075</v>
      </c>
      <c r="S508" s="31" t="n">
        <v>18.8333333333333</v>
      </c>
      <c r="T508" s="30" t="n">
        <v>-0.0949863847509209</v>
      </c>
      <c r="U508" s="30" t="n">
        <v>-0.02711036360724</v>
      </c>
      <c r="V508" s="29" t="n">
        <v>-0.005</v>
      </c>
      <c r="W508" s="29" t="n">
        <f aca="false">IF(N(Q508)=0,"",Q508+IF(I508="yes",Q508*Inputs!$B$10*Inputs!$B$9,0)+V508)</f>
        <v>0.075</v>
      </c>
      <c r="X508" s="28" t="n">
        <f aca="false">IF(OR(N(W508)&lt;=0,N(N508)=0,N(L508)=0),"",MIN(L508,N508/W508))</f>
        <v>18.8333333333333</v>
      </c>
      <c r="Y508" s="29" t="n">
        <f aca="false">IF(OR(X508="",N(O508)=0),"",X508/O508-1)</f>
        <v>-0.0949863847509209</v>
      </c>
      <c r="Z508" s="29" t="n">
        <f aca="false">IF(OR(Y508="",N(O508)=0),"",Y508+N508/O508)</f>
        <v>-0.02711036360724</v>
      </c>
      <c r="AA508" s="32" t="n">
        <f aca="false">IF(OR(Z508="",N(U508)=0),"",Z508-U508)</f>
        <v>0</v>
      </c>
      <c r="AB508" s="29" t="n">
        <f aca="false">IF(N(Q508)=0,"",Q508+IF(I508="yes",Q508*Inputs!$B$10*Inputs!$B$9,0)+IFERROR(INDEX(Inputs!$B$13:$B$15,MATCH(G508,Inputs!$A$13:$A$15,0)),0)+IFERROR(INDEX(Inputs!$B$18:$B$24,MATCH(H508,Inputs!$A$18:$A$24,0)),0))</f>
        <v>0.075</v>
      </c>
      <c r="AC508" s="28" t="n">
        <f aca="false">IF(OR(N(AB508)&lt;=0,N(N508)=0,N(L508)=0),"",MIN(L508,N508/AB508))</f>
        <v>18.8333333333333</v>
      </c>
      <c r="AD508" s="29" t="n">
        <f aca="false">IF(OR(AC508="",N(O508)=0),"",AC508/O508-1)</f>
        <v>-0.0949863847509209</v>
      </c>
      <c r="AE508" s="29" t="n">
        <f aca="false">IF(OR(AD508="",N(O508)=0),"",AD508+N508/O508)</f>
        <v>-0.02711036360724</v>
      </c>
      <c r="AF508" s="32" t="n">
        <f aca="false">IF(OR(AE508="",N(Z508)=0),"",AE508-Z508)</f>
        <v>0</v>
      </c>
      <c r="AG508" s="28" t="n">
        <f aca="false">IF(AND(N(M508)&gt;0,N(L508)&gt;0),M508*L508,N508)</f>
        <v>1.4125</v>
      </c>
      <c r="AH508" s="28" t="n">
        <f aca="false">IF(OR(N(AB508)&lt;=0,N(AG508)=0,N(L508)=0),"",MIN(L508,AG508/AB508))</f>
        <v>18.8333333333333</v>
      </c>
      <c r="AI508" s="29" t="n">
        <f aca="false">IF(OR(AH508="",N(O508)=0),"",AH508/O508-1)</f>
        <v>-0.0949863847509209</v>
      </c>
      <c r="AJ508" s="29" t="n">
        <f aca="false">IF(OR(AI508="",N(O508)=0),"",AI508+AG508/O508)</f>
        <v>-0.02711036360724</v>
      </c>
      <c r="AK508" s="32" t="n">
        <f aca="false">IF(OR(AJ508="",N(AE508)=0),"",AJ508-AE508)</f>
        <v>0</v>
      </c>
      <c r="AL508" s="33" t="n">
        <f aca="false">IF(N(F508)=0,"",INDEX(Inputs!$B$28:$B$32,IFERROR(MATCH(F508,Inputs!$A$28:$A$32,1),0)+1))</f>
        <v>0.075</v>
      </c>
      <c r="AM508" s="34"/>
      <c r="AN508" s="33" t="n">
        <f aca="false">IF(N(AM508)&gt;0,AM508,AL508)</f>
        <v>0.075</v>
      </c>
      <c r="AO508" s="29" t="n">
        <f aca="false">IF(N(AN508)=0,"",AN508+IF(I508="yes",AN508*Inputs!$B$10*Inputs!$B$9,0)+IFERROR(INDEX(Inputs!$B$13:$B$15,MATCH(G508,Inputs!$A$13:$A$15,0)),0)+IFERROR(INDEX(Inputs!$B$18:$B$24,MATCH(H508,Inputs!$A$18:$A$24,0)),0))</f>
        <v>0.07</v>
      </c>
      <c r="AP508" s="28" t="n">
        <f aca="false">IF(OR(N(AO508)&lt;=0,N(AG508)=0,N(L508)=0),"",MIN(L508,AG508/AO508))</f>
        <v>20.1785714285714</v>
      </c>
      <c r="AQ508" s="29" t="n">
        <f aca="false">IF(OR(AP508="",N(O508)=0),"",AP508/O508-1)</f>
        <v>-0.0303425550902724</v>
      </c>
      <c r="AR508" s="29" t="n">
        <f aca="false">IF(OR(AQ508="",N(O508)=0),"",AQ508+AG508/O508)</f>
        <v>0.0375334660534085</v>
      </c>
      <c r="AS508" s="32" t="n">
        <f aca="false">IF(OR(AR508="",N(AJ508)=0),"",AR508-AJ508)</f>
        <v>0.0646438296606485</v>
      </c>
      <c r="AT508" s="28" t="n">
        <v>25</v>
      </c>
      <c r="AU508" s="28" t="n">
        <v>1.41</v>
      </c>
      <c r="AV508" s="28" t="n">
        <f aca="false">IF(N(AT508)&gt;0,AT508,L508)</f>
        <v>25</v>
      </c>
      <c r="AW508" s="28" t="n">
        <f aca="false">IF(AND(N(M508)&gt;0,N(AV508)&gt;0),M508*AV508,IF(N(AU508)&gt;0,AU508,N508))</f>
        <v>1.4125</v>
      </c>
      <c r="AX508" s="29" t="n">
        <f aca="false">IF(N(AN508)=0,"",AN508+IF(I508="yes",AN508*Inputs!$B$10*Inputs!$B$9,0)+IFERROR(INDEX(Inputs!$B$13:$B$15,MATCH(G508,Inputs!$A$13:$A$15,0)),0)+IFERROR(INDEX(Inputs!$B$18:$B$24,MATCH(H508,Inputs!$A$18:$A$24,0)),0))</f>
        <v>0.07</v>
      </c>
      <c r="AY508" s="28" t="n">
        <f aca="false">IF(OR(N(AX508)&lt;=0,N(AW508)=0,N(AV508)=0),"",MIN(AV508,AW508/AX508))</f>
        <v>20.1785714285714</v>
      </c>
      <c r="AZ508" s="29" t="n">
        <f aca="false">IF(OR(AY508="",N(O508)=0),"",AY508/O508-1)</f>
        <v>-0.0303425550902724</v>
      </c>
      <c r="BA508" s="29" t="n">
        <f aca="false">IF(OR(AZ508="",N(O508)=0),"",AZ508+AW508/O508)</f>
        <v>0.0375334660534085</v>
      </c>
      <c r="BB508" s="32" t="n">
        <f aca="false">IF(OR(BA508="",N(AR508)=0),"",BA508-AR508)</f>
        <v>0</v>
      </c>
      <c r="BC508" s="35" t="n">
        <f aca="false">IF(OR(BA508="",N(U508)=0),"",BA508-U508)</f>
        <v>0.0646438296606485</v>
      </c>
      <c r="BD508" s="37"/>
    </row>
    <row r="509" customFormat="false" ht="15" hidden="false" customHeight="false" outlineLevel="0" collapsed="false">
      <c r="A509" s="2" t="s">
        <v>1067</v>
      </c>
      <c r="B509" s="2" t="n">
        <v>19</v>
      </c>
      <c r="C509" s="2" t="s">
        <v>1077</v>
      </c>
      <c r="D509" s="2" t="s">
        <v>1078</v>
      </c>
      <c r="E509" s="2" t="s">
        <v>1079</v>
      </c>
      <c r="F509" s="27" t="n">
        <v>361</v>
      </c>
      <c r="G509" s="2" t="s">
        <v>52</v>
      </c>
      <c r="H509" s="2" t="s">
        <v>58</v>
      </c>
      <c r="I509" s="2" t="s">
        <v>144</v>
      </c>
      <c r="J509" s="2" t="s">
        <v>145</v>
      </c>
      <c r="K509" s="2" t="n">
        <v>4</v>
      </c>
      <c r="L509" s="28" t="n">
        <v>25</v>
      </c>
      <c r="M509" s="29" t="n">
        <v>0.08</v>
      </c>
      <c r="N509" s="28" t="n">
        <v>2</v>
      </c>
      <c r="O509" s="28" t="n">
        <v>25.59</v>
      </c>
      <c r="P509" s="2" t="s">
        <v>223</v>
      </c>
      <c r="Q509" s="29" t="n">
        <v>0.09</v>
      </c>
      <c r="R509" s="30" t="n">
        <v>0.09</v>
      </c>
      <c r="S509" s="31" t="n">
        <v>22.2222222222222</v>
      </c>
      <c r="T509" s="30" t="n">
        <v>-0.131605227736529</v>
      </c>
      <c r="U509" s="30" t="n">
        <v>-0.0534496982328168</v>
      </c>
      <c r="V509" s="29" t="n">
        <v>-0.005</v>
      </c>
      <c r="W509" s="29" t="n">
        <f aca="false">IF(N(Q509)=0,"",Q509+IF(I509="yes",Q509*Inputs!$B$10*Inputs!$B$9,0)+V509)</f>
        <v>0.085</v>
      </c>
      <c r="X509" s="28" t="n">
        <f aca="false">IF(OR(N(W509)&lt;=0,N(N509)=0,N(L509)=0),"",MIN(L509,N509/W509))</f>
        <v>23.5294117647059</v>
      </c>
      <c r="Y509" s="29" t="n">
        <f aca="false">IF(OR(X509="",N(O509)=0),"",X509/O509-1)</f>
        <v>-0.0805231823092661</v>
      </c>
      <c r="Z509" s="29" t="n">
        <f aca="false">IF(OR(Y509="",N(O509)=0),"",Y509+N509/O509)</f>
        <v>-0.00236765280555375</v>
      </c>
      <c r="AA509" s="32" t="n">
        <f aca="false">IF(OR(Z509="",N(U509)=0),"",Z509-U509)</f>
        <v>0.051082045427263</v>
      </c>
      <c r="AB509" s="29" t="n">
        <f aca="false">IF(N(Q509)=0,"",Q509+IF(I509="yes",Q509*Inputs!$B$10*Inputs!$B$9,0)+IFERROR(INDEX(Inputs!$B$13:$B$15,MATCH(G509,Inputs!$A$13:$A$15,0)),0)+IFERROR(INDEX(Inputs!$B$18:$B$24,MATCH(H509,Inputs!$A$18:$A$24,0)),0))</f>
        <v>0.085</v>
      </c>
      <c r="AC509" s="28" t="n">
        <f aca="false">IF(OR(N(AB509)&lt;=0,N(N509)=0,N(L509)=0),"",MIN(L509,N509/AB509))</f>
        <v>23.5294117647059</v>
      </c>
      <c r="AD509" s="29" t="n">
        <f aca="false">IF(OR(AC509="",N(O509)=0),"",AC509/O509-1)</f>
        <v>-0.0805231823092661</v>
      </c>
      <c r="AE509" s="29" t="n">
        <f aca="false">IF(OR(AD509="",N(O509)=0),"",AD509+N509/O509)</f>
        <v>-0.00236765280555375</v>
      </c>
      <c r="AF509" s="32" t="n">
        <f aca="false">IF(OR(AE509="",N(Z509)=0),"",AE509-Z509)</f>
        <v>0</v>
      </c>
      <c r="AG509" s="28" t="n">
        <f aca="false">IF(AND(N(M509)&gt;0,N(L509)&gt;0),M509*L509,N509)</f>
        <v>2</v>
      </c>
      <c r="AH509" s="28" t="n">
        <f aca="false">IF(OR(N(AB509)&lt;=0,N(AG509)=0,N(L509)=0),"",MIN(L509,AG509/AB509))</f>
        <v>23.5294117647059</v>
      </c>
      <c r="AI509" s="29" t="n">
        <f aca="false">IF(OR(AH509="",N(O509)=0),"",AH509/O509-1)</f>
        <v>-0.0805231823092661</v>
      </c>
      <c r="AJ509" s="29" t="n">
        <f aca="false">IF(OR(AI509="",N(O509)=0),"",AI509+AG509/O509)</f>
        <v>-0.00236765280555375</v>
      </c>
      <c r="AK509" s="32" t="n">
        <f aca="false">IF(OR(AJ509="",N(AE509)=0),"",AJ509-AE509)</f>
        <v>0</v>
      </c>
      <c r="AL509" s="33" t="n">
        <f aca="false">IF(N(F509)=0,"",INDEX(Inputs!$B$28:$B$32,IFERROR(MATCH(F509,Inputs!$A$28:$A$32,1),0)+1))</f>
        <v>0.09</v>
      </c>
      <c r="AM509" s="34"/>
      <c r="AN509" s="33" t="n">
        <f aca="false">IF(N(AM509)&gt;0,AM509,AL509)</f>
        <v>0.09</v>
      </c>
      <c r="AO509" s="29" t="n">
        <f aca="false">IF(N(AN509)=0,"",AN509+IF(I509="yes",AN509*Inputs!$B$10*Inputs!$B$9,0)+IFERROR(INDEX(Inputs!$B$13:$B$15,MATCH(G509,Inputs!$A$13:$A$15,0)),0)+IFERROR(INDEX(Inputs!$B$18:$B$24,MATCH(H509,Inputs!$A$18:$A$24,0)),0))</f>
        <v>0.085</v>
      </c>
      <c r="AP509" s="28" t="n">
        <f aca="false">IF(OR(N(AO509)&lt;=0,N(AG509)=0,N(L509)=0),"",MIN(L509,AG509/AO509))</f>
        <v>23.5294117647059</v>
      </c>
      <c r="AQ509" s="29" t="n">
        <f aca="false">IF(OR(AP509="",N(O509)=0),"",AP509/O509-1)</f>
        <v>-0.0805231823092659</v>
      </c>
      <c r="AR509" s="29" t="n">
        <f aca="false">IF(OR(AQ509="",N(O509)=0),"",AQ509+AG509/O509)</f>
        <v>-0.00236765280555352</v>
      </c>
      <c r="AS509" s="32" t="n">
        <f aca="false">IF(OR(AR509="",N(AJ509)=0),"",AR509-AJ509)</f>
        <v>2.22044604925031E-016</v>
      </c>
      <c r="AT509" s="28" t="n">
        <v>25</v>
      </c>
      <c r="AU509" s="28" t="n">
        <v>2</v>
      </c>
      <c r="AV509" s="28" t="n">
        <f aca="false">IF(N(AT509)&gt;0,AT509,L509)</f>
        <v>25</v>
      </c>
      <c r="AW509" s="28" t="n">
        <f aca="false">IF(AND(N(M509)&gt;0,N(AV509)&gt;0),M509*AV509,IF(N(AU509)&gt;0,AU509,N509))</f>
        <v>2</v>
      </c>
      <c r="AX509" s="29" t="n">
        <f aca="false">IF(N(AN509)=0,"",AN509+IF(I509="yes",AN509*Inputs!$B$10*Inputs!$B$9,0)+IFERROR(INDEX(Inputs!$B$13:$B$15,MATCH(G509,Inputs!$A$13:$A$15,0)),0)+IFERROR(INDEX(Inputs!$B$18:$B$24,MATCH(H509,Inputs!$A$18:$A$24,0)),0))</f>
        <v>0.085</v>
      </c>
      <c r="AY509" s="28" t="n">
        <f aca="false">IF(OR(N(AX509)&lt;=0,N(AW509)=0,N(AV509)=0),"",MIN(AV509,AW509/AX509))</f>
        <v>23.5294117647059</v>
      </c>
      <c r="AZ509" s="29" t="n">
        <f aca="false">IF(OR(AY509="",N(O509)=0),"",AY509/O509-1)</f>
        <v>-0.0805231823092659</v>
      </c>
      <c r="BA509" s="29" t="n">
        <f aca="false">IF(OR(AZ509="",N(O509)=0),"",AZ509+AW509/O509)</f>
        <v>-0.00236765280555352</v>
      </c>
      <c r="BB509" s="32" t="n">
        <f aca="false">IF(OR(BA509="",N(AR509)=0),"",BA509-AR509)</f>
        <v>0</v>
      </c>
      <c r="BC509" s="35" t="n">
        <f aca="false">IF(OR(BA509="",N(U509)=0),"",BA509-U509)</f>
        <v>0.0510820454272632</v>
      </c>
      <c r="BD509" s="36" t="s">
        <v>224</v>
      </c>
    </row>
    <row r="510" customFormat="false" ht="15" hidden="false" customHeight="false" outlineLevel="0" collapsed="false">
      <c r="A510" s="2" t="s">
        <v>1067</v>
      </c>
      <c r="B510" s="2" t="n">
        <v>20</v>
      </c>
      <c r="C510" s="2" t="s">
        <v>1080</v>
      </c>
      <c r="D510" s="2" t="s">
        <v>1078</v>
      </c>
      <c r="E510" s="2" t="s">
        <v>1079</v>
      </c>
      <c r="F510" s="27" t="n">
        <v>361</v>
      </c>
      <c r="G510" s="2" t="s">
        <v>52</v>
      </c>
      <c r="H510" s="2" t="s">
        <v>58</v>
      </c>
      <c r="I510" s="2" t="s">
        <v>144</v>
      </c>
      <c r="J510" s="2" t="s">
        <v>145</v>
      </c>
      <c r="K510" s="2" t="n">
        <v>4</v>
      </c>
      <c r="L510" s="28" t="n">
        <v>25</v>
      </c>
      <c r="M510" s="29" t="n">
        <v>0.0575</v>
      </c>
      <c r="N510" s="28" t="n">
        <v>1.4375</v>
      </c>
      <c r="O510" s="28" t="n">
        <v>0</v>
      </c>
      <c r="P510" s="2" t="s">
        <v>146</v>
      </c>
      <c r="Q510" s="29" t="n">
        <v>0.09</v>
      </c>
      <c r="R510" s="30" t="n">
        <v>0.085</v>
      </c>
      <c r="S510" s="31" t="n">
        <v>16.9117647058824</v>
      </c>
      <c r="T510" s="30"/>
      <c r="U510" s="30"/>
      <c r="V510" s="29" t="n">
        <v>-0.005</v>
      </c>
      <c r="W510" s="29" t="n">
        <f aca="false">IF(N(Q510)=0,"",Q510+IF(I510="yes",Q510*Inputs!$B$10*Inputs!$B$9,0)+V510)</f>
        <v>0.085</v>
      </c>
      <c r="X510" s="28" t="n">
        <f aca="false">IF(OR(N(W510)&lt;=0,N(N510)=0,N(L510)=0),"",MIN(L510,N510/W510))</f>
        <v>16.9117647058824</v>
      </c>
      <c r="Y510" s="29" t="str">
        <f aca="false">IF(OR(X510="",N(O510)=0),"",X510/O510-1)</f>
        <v/>
      </c>
      <c r="Z510" s="29" t="str">
        <f aca="false">IF(OR(Y510="",N(O510)=0),"",Y510+N510/O510)</f>
        <v/>
      </c>
      <c r="AA510" s="32" t="str">
        <f aca="false">IF(OR(Z510="",N(U510)=0),"",Z510-U510)</f>
        <v/>
      </c>
      <c r="AB510" s="29" t="n">
        <f aca="false">IF(N(Q510)=0,"",Q510+IF(I510="yes",Q510*Inputs!$B$10*Inputs!$B$9,0)+IFERROR(INDEX(Inputs!$B$13:$B$15,MATCH(G510,Inputs!$A$13:$A$15,0)),0)+IFERROR(INDEX(Inputs!$B$18:$B$24,MATCH(H510,Inputs!$A$18:$A$24,0)),0))</f>
        <v>0.085</v>
      </c>
      <c r="AC510" s="28" t="n">
        <f aca="false">IF(OR(N(AB510)&lt;=0,N(N510)=0,N(L510)=0),"",MIN(L510,N510/AB510))</f>
        <v>16.9117647058824</v>
      </c>
      <c r="AD510" s="29" t="str">
        <f aca="false">IF(OR(AC510="",N(O510)=0),"",AC510/O510-1)</f>
        <v/>
      </c>
      <c r="AE510" s="29" t="str">
        <f aca="false">IF(OR(AD510="",N(O510)=0),"",AD510+N510/O510)</f>
        <v/>
      </c>
      <c r="AF510" s="32" t="str">
        <f aca="false">IF(OR(AE510="",N(Z510)=0),"",AE510-Z510)</f>
        <v/>
      </c>
      <c r="AG510" s="28" t="n">
        <f aca="false">IF(AND(N(M510)&gt;0,N(L510)&gt;0),M510*L510,N510)</f>
        <v>1.4375</v>
      </c>
      <c r="AH510" s="28" t="n">
        <f aca="false">IF(OR(N(AB510)&lt;=0,N(AG510)=0,N(L510)=0),"",MIN(L510,AG510/AB510))</f>
        <v>16.9117647058824</v>
      </c>
      <c r="AI510" s="29" t="str">
        <f aca="false">IF(OR(AH510="",N(O510)=0),"",AH510/O510-1)</f>
        <v/>
      </c>
      <c r="AJ510" s="29" t="str">
        <f aca="false">IF(OR(AI510="",N(O510)=0),"",AI510+AG510/O510)</f>
        <v/>
      </c>
      <c r="AK510" s="32" t="str">
        <f aca="false">IF(OR(AJ510="",N(AE510)=0),"",AJ510-AE510)</f>
        <v/>
      </c>
      <c r="AL510" s="33" t="n">
        <f aca="false">IF(N(F510)=0,"",INDEX(Inputs!$B$28:$B$32,IFERROR(MATCH(F510,Inputs!$A$28:$A$32,1),0)+1))</f>
        <v>0.09</v>
      </c>
      <c r="AM510" s="34"/>
      <c r="AN510" s="33" t="n">
        <f aca="false">IF(N(AM510)&gt;0,AM510,AL510)</f>
        <v>0.09</v>
      </c>
      <c r="AO510" s="29" t="n">
        <f aca="false">IF(N(AN510)=0,"",AN510+IF(I510="yes",AN510*Inputs!$B$10*Inputs!$B$9,0)+IFERROR(INDEX(Inputs!$B$13:$B$15,MATCH(G510,Inputs!$A$13:$A$15,0)),0)+IFERROR(INDEX(Inputs!$B$18:$B$24,MATCH(H510,Inputs!$A$18:$A$24,0)),0))</f>
        <v>0.085</v>
      </c>
      <c r="AP510" s="28" t="n">
        <f aca="false">IF(OR(N(AO510)&lt;=0,N(AG510)=0,N(L510)=0),"",MIN(L510,AG510/AO510))</f>
        <v>16.9117647058824</v>
      </c>
      <c r="AQ510" s="29" t="str">
        <f aca="false">IF(OR(AP510="",N(O510)=0),"",AP510/O510-1)</f>
        <v/>
      </c>
      <c r="AR510" s="29" t="str">
        <f aca="false">IF(OR(AQ510="",N(O510)=0),"",AQ510+AG510/O510)</f>
        <v/>
      </c>
      <c r="AS510" s="32" t="str">
        <f aca="false">IF(OR(AR510="",N(AJ510)=0),"",AR510-AJ510)</f>
        <v/>
      </c>
      <c r="AT510" s="28"/>
      <c r="AU510" s="28"/>
      <c r="AV510" s="28" t="n">
        <f aca="false">IF(N(AT510)&gt;0,AT510,L510)</f>
        <v>25</v>
      </c>
      <c r="AW510" s="28" t="n">
        <f aca="false">IF(AND(N(M510)&gt;0,N(AV510)&gt;0),M510*AV510,IF(N(AU510)&gt;0,AU510,N510))</f>
        <v>1.4375</v>
      </c>
      <c r="AX510" s="29" t="n">
        <f aca="false">IF(N(AN510)=0,"",AN510+IF(I510="yes",AN510*Inputs!$B$10*Inputs!$B$9,0)+IFERROR(INDEX(Inputs!$B$13:$B$15,MATCH(G510,Inputs!$A$13:$A$15,0)),0)+IFERROR(INDEX(Inputs!$B$18:$B$24,MATCH(H510,Inputs!$A$18:$A$24,0)),0))</f>
        <v>0.085</v>
      </c>
      <c r="AY510" s="28" t="n">
        <f aca="false">IF(OR(N(AX510)&lt;=0,N(AW510)=0,N(AV510)=0),"",MIN(AV510,AW510/AX510))</f>
        <v>16.9117647058824</v>
      </c>
      <c r="AZ510" s="29" t="str">
        <f aca="false">IF(OR(AY510="",N(O510)=0),"",AY510/O510-1)</f>
        <v/>
      </c>
      <c r="BA510" s="29" t="str">
        <f aca="false">IF(OR(AZ510="",N(O510)=0),"",AZ510+AW510/O510)</f>
        <v/>
      </c>
      <c r="BB510" s="32" t="str">
        <f aca="false">IF(OR(BA510="",N(AR510)=0),"",BA510-AR510)</f>
        <v/>
      </c>
      <c r="BC510" s="35" t="str">
        <f aca="false">IF(OR(BA510="",N(U510)=0),"",BA510-U510)</f>
        <v/>
      </c>
      <c r="BD510" s="36" t="s">
        <v>198</v>
      </c>
    </row>
    <row r="511" customFormat="false" ht="15" hidden="false" customHeight="false" outlineLevel="0" collapsed="false">
      <c r="A511" s="2" t="s">
        <v>1067</v>
      </c>
      <c r="B511" s="2" t="n">
        <v>21</v>
      </c>
      <c r="C511" s="2" t="s">
        <v>1081</v>
      </c>
      <c r="D511" s="2" t="s">
        <v>1078</v>
      </c>
      <c r="E511" s="2" t="s">
        <v>1079</v>
      </c>
      <c r="F511" s="27" t="n">
        <v>361</v>
      </c>
      <c r="G511" s="2" t="s">
        <v>52</v>
      </c>
      <c r="H511" s="2" t="s">
        <v>58</v>
      </c>
      <c r="I511" s="2" t="s">
        <v>144</v>
      </c>
      <c r="J511" s="2" t="s">
        <v>145</v>
      </c>
      <c r="K511" s="2" t="n">
        <v>4</v>
      </c>
      <c r="L511" s="28" t="n">
        <v>25</v>
      </c>
      <c r="M511" s="29" t="n">
        <v>0.055</v>
      </c>
      <c r="N511" s="28" t="n">
        <v>1.375</v>
      </c>
      <c r="O511" s="28" t="n">
        <v>0</v>
      </c>
      <c r="P511" s="2" t="s">
        <v>146</v>
      </c>
      <c r="Q511" s="29" t="n">
        <v>0.09</v>
      </c>
      <c r="R511" s="30" t="n">
        <v>0.085</v>
      </c>
      <c r="S511" s="31" t="n">
        <v>16.1764705882353</v>
      </c>
      <c r="T511" s="30"/>
      <c r="U511" s="30"/>
      <c r="V511" s="29" t="n">
        <v>-0.005</v>
      </c>
      <c r="W511" s="29" t="n">
        <f aca="false">IF(N(Q511)=0,"",Q511+IF(I511="yes",Q511*Inputs!$B$10*Inputs!$B$9,0)+V511)</f>
        <v>0.085</v>
      </c>
      <c r="X511" s="28" t="n">
        <f aca="false">IF(OR(N(W511)&lt;=0,N(N511)=0,N(L511)=0),"",MIN(L511,N511/W511))</f>
        <v>16.1764705882353</v>
      </c>
      <c r="Y511" s="29" t="str">
        <f aca="false">IF(OR(X511="",N(O511)=0),"",X511/O511-1)</f>
        <v/>
      </c>
      <c r="Z511" s="29" t="str">
        <f aca="false">IF(OR(Y511="",N(O511)=0),"",Y511+N511/O511)</f>
        <v/>
      </c>
      <c r="AA511" s="32" t="str">
        <f aca="false">IF(OR(Z511="",N(U511)=0),"",Z511-U511)</f>
        <v/>
      </c>
      <c r="AB511" s="29" t="n">
        <f aca="false">IF(N(Q511)=0,"",Q511+IF(I511="yes",Q511*Inputs!$B$10*Inputs!$B$9,0)+IFERROR(INDEX(Inputs!$B$13:$B$15,MATCH(G511,Inputs!$A$13:$A$15,0)),0)+IFERROR(INDEX(Inputs!$B$18:$B$24,MATCH(H511,Inputs!$A$18:$A$24,0)),0))</f>
        <v>0.085</v>
      </c>
      <c r="AC511" s="28" t="n">
        <f aca="false">IF(OR(N(AB511)&lt;=0,N(N511)=0,N(L511)=0),"",MIN(L511,N511/AB511))</f>
        <v>16.1764705882353</v>
      </c>
      <c r="AD511" s="29" t="str">
        <f aca="false">IF(OR(AC511="",N(O511)=0),"",AC511/O511-1)</f>
        <v/>
      </c>
      <c r="AE511" s="29" t="str">
        <f aca="false">IF(OR(AD511="",N(O511)=0),"",AD511+N511/O511)</f>
        <v/>
      </c>
      <c r="AF511" s="32" t="str">
        <f aca="false">IF(OR(AE511="",N(Z511)=0),"",AE511-Z511)</f>
        <v/>
      </c>
      <c r="AG511" s="28" t="n">
        <f aca="false">IF(AND(N(M511)&gt;0,N(L511)&gt;0),M511*L511,N511)</f>
        <v>1.375</v>
      </c>
      <c r="AH511" s="28" t="n">
        <f aca="false">IF(OR(N(AB511)&lt;=0,N(AG511)=0,N(L511)=0),"",MIN(L511,AG511/AB511))</f>
        <v>16.1764705882353</v>
      </c>
      <c r="AI511" s="29" t="str">
        <f aca="false">IF(OR(AH511="",N(O511)=0),"",AH511/O511-1)</f>
        <v/>
      </c>
      <c r="AJ511" s="29" t="str">
        <f aca="false">IF(OR(AI511="",N(O511)=0),"",AI511+AG511/O511)</f>
        <v/>
      </c>
      <c r="AK511" s="32" t="str">
        <f aca="false">IF(OR(AJ511="",N(AE511)=0),"",AJ511-AE511)</f>
        <v/>
      </c>
      <c r="AL511" s="33" t="n">
        <f aca="false">IF(N(F511)=0,"",INDEX(Inputs!$B$28:$B$32,IFERROR(MATCH(F511,Inputs!$A$28:$A$32,1),0)+1))</f>
        <v>0.09</v>
      </c>
      <c r="AM511" s="34"/>
      <c r="AN511" s="33" t="n">
        <f aca="false">IF(N(AM511)&gt;0,AM511,AL511)</f>
        <v>0.09</v>
      </c>
      <c r="AO511" s="29" t="n">
        <f aca="false">IF(N(AN511)=0,"",AN511+IF(I511="yes",AN511*Inputs!$B$10*Inputs!$B$9,0)+IFERROR(INDEX(Inputs!$B$13:$B$15,MATCH(G511,Inputs!$A$13:$A$15,0)),0)+IFERROR(INDEX(Inputs!$B$18:$B$24,MATCH(H511,Inputs!$A$18:$A$24,0)),0))</f>
        <v>0.085</v>
      </c>
      <c r="AP511" s="28" t="n">
        <f aca="false">IF(OR(N(AO511)&lt;=0,N(AG511)=0,N(L511)=0),"",MIN(L511,AG511/AO511))</f>
        <v>16.1764705882353</v>
      </c>
      <c r="AQ511" s="29" t="str">
        <f aca="false">IF(OR(AP511="",N(O511)=0),"",AP511/O511-1)</f>
        <v/>
      </c>
      <c r="AR511" s="29" t="str">
        <f aca="false">IF(OR(AQ511="",N(O511)=0),"",AQ511+AG511/O511)</f>
        <v/>
      </c>
      <c r="AS511" s="32" t="str">
        <f aca="false">IF(OR(AR511="",N(AJ511)=0),"",AR511-AJ511)</f>
        <v/>
      </c>
      <c r="AT511" s="28" t="n">
        <v>25</v>
      </c>
      <c r="AU511" s="28" t="n">
        <v>1.375</v>
      </c>
      <c r="AV511" s="28" t="n">
        <f aca="false">IF(N(AT511)&gt;0,AT511,L511)</f>
        <v>25</v>
      </c>
      <c r="AW511" s="28" t="n">
        <f aca="false">IF(AND(N(M511)&gt;0,N(AV511)&gt;0),M511*AV511,IF(N(AU511)&gt;0,AU511,N511))</f>
        <v>1.375</v>
      </c>
      <c r="AX511" s="29" t="n">
        <f aca="false">IF(N(AN511)=0,"",AN511+IF(I511="yes",AN511*Inputs!$B$10*Inputs!$B$9,0)+IFERROR(INDEX(Inputs!$B$13:$B$15,MATCH(G511,Inputs!$A$13:$A$15,0)),0)+IFERROR(INDEX(Inputs!$B$18:$B$24,MATCH(H511,Inputs!$A$18:$A$24,0)),0))</f>
        <v>0.085</v>
      </c>
      <c r="AY511" s="28" t="n">
        <f aca="false">IF(OR(N(AX511)&lt;=0,N(AW511)=0,N(AV511)=0),"",MIN(AV511,AW511/AX511))</f>
        <v>16.1764705882353</v>
      </c>
      <c r="AZ511" s="29" t="str">
        <f aca="false">IF(OR(AY511="",N(O511)=0),"",AY511/O511-1)</f>
        <v/>
      </c>
      <c r="BA511" s="29" t="str">
        <f aca="false">IF(OR(AZ511="",N(O511)=0),"",AZ511+AW511/O511)</f>
        <v/>
      </c>
      <c r="BB511" s="32" t="str">
        <f aca="false">IF(OR(BA511="",N(AR511)=0),"",BA511-AR511)</f>
        <v/>
      </c>
      <c r="BC511" s="35" t="str">
        <f aca="false">IF(OR(BA511="",N(U511)=0),"",BA511-U511)</f>
        <v/>
      </c>
      <c r="BD511" s="36" t="s">
        <v>299</v>
      </c>
    </row>
    <row r="512" customFormat="false" ht="15" hidden="false" customHeight="false" outlineLevel="0" collapsed="false">
      <c r="A512" s="2" t="s">
        <v>1067</v>
      </c>
      <c r="B512" s="2" t="n">
        <v>24</v>
      </c>
      <c r="C512" s="2" t="s">
        <v>818</v>
      </c>
      <c r="D512" s="2" t="s">
        <v>1082</v>
      </c>
      <c r="E512" s="2" t="s">
        <v>1083</v>
      </c>
      <c r="F512" s="27" t="n">
        <v>85</v>
      </c>
      <c r="G512" s="2" t="s">
        <v>51</v>
      </c>
      <c r="H512" s="2" t="s">
        <v>58</v>
      </c>
      <c r="I512" s="2" t="s">
        <v>151</v>
      </c>
      <c r="J512" s="2" t="s">
        <v>145</v>
      </c>
      <c r="K512" s="2" t="n">
        <v>4</v>
      </c>
      <c r="L512" s="28" t="n">
        <v>25</v>
      </c>
      <c r="M512" s="29" t="n">
        <v>0.0875</v>
      </c>
      <c r="N512" s="28" t="n">
        <v>2.1875</v>
      </c>
      <c r="O512" s="28" t="n">
        <v>0.48</v>
      </c>
      <c r="P512" s="2" t="s">
        <v>146</v>
      </c>
      <c r="Q512" s="29" t="n">
        <v>0.1</v>
      </c>
      <c r="R512" s="30" t="n">
        <v>0.095</v>
      </c>
      <c r="S512" s="31" t="n">
        <v>23.0263157894737</v>
      </c>
      <c r="T512" s="30" t="n">
        <v>46.9714912280702</v>
      </c>
      <c r="U512" s="30" t="n">
        <v>51.5287828947368</v>
      </c>
      <c r="V512" s="29" t="n">
        <v>0</v>
      </c>
      <c r="W512" s="29" t="n">
        <f aca="false">IF(N(Q512)=0,"",Q512+IF(I512="yes",Q512*Inputs!$B$10*Inputs!$B$9,0)+V512)</f>
        <v>0.095</v>
      </c>
      <c r="X512" s="28" t="n">
        <f aca="false">IF(OR(N(W512)&lt;=0,N(N512)=0,N(L512)=0),"",MIN(L512,N512/W512))</f>
        <v>23.0263157894737</v>
      </c>
      <c r="Y512" s="29" t="n">
        <f aca="false">IF(OR(X512="",N(O512)=0),"",X512/O512-1)</f>
        <v>46.9714912280702</v>
      </c>
      <c r="Z512" s="29" t="n">
        <f aca="false">IF(OR(Y512="",N(O512)=0),"",Y512+N512/O512)</f>
        <v>51.5287828947368</v>
      </c>
      <c r="AA512" s="32" t="n">
        <f aca="false">IF(OR(Z512="",N(U512)=0),"",Z512-U512)</f>
        <v>0</v>
      </c>
      <c r="AB512" s="29" t="n">
        <f aca="false">IF(N(Q512)=0,"",Q512+IF(I512="yes",Q512*Inputs!$B$10*Inputs!$B$9,0)+IFERROR(INDEX(Inputs!$B$13:$B$15,MATCH(G512,Inputs!$A$13:$A$15,0)),0)+IFERROR(INDEX(Inputs!$B$18:$B$24,MATCH(H512,Inputs!$A$18:$A$24,0)),0))</f>
        <v>0.095</v>
      </c>
      <c r="AC512" s="28" t="n">
        <f aca="false">IF(OR(N(AB512)&lt;=0,N(N512)=0,N(L512)=0),"",MIN(L512,N512/AB512))</f>
        <v>23.0263157894737</v>
      </c>
      <c r="AD512" s="29" t="n">
        <f aca="false">IF(OR(AC512="",N(O512)=0),"",AC512/O512-1)</f>
        <v>46.9714912280702</v>
      </c>
      <c r="AE512" s="29" t="n">
        <f aca="false">IF(OR(AD512="",N(O512)=0),"",AD512+N512/O512)</f>
        <v>51.5287828947368</v>
      </c>
      <c r="AF512" s="32" t="n">
        <f aca="false">IF(OR(AE512="",N(Z512)=0),"",AE512-Z512)</f>
        <v>0</v>
      </c>
      <c r="AG512" s="28" t="n">
        <f aca="false">IF(AND(N(M512)&gt;0,N(L512)&gt;0),M512*L512,N512)</f>
        <v>2.1875</v>
      </c>
      <c r="AH512" s="28" t="n">
        <f aca="false">IF(OR(N(AB512)&lt;=0,N(AG512)=0,N(L512)=0),"",MIN(L512,AG512/AB512))</f>
        <v>23.0263157894737</v>
      </c>
      <c r="AI512" s="29" t="n">
        <f aca="false">IF(OR(AH512="",N(O512)=0),"",AH512/O512-1)</f>
        <v>46.9714912280702</v>
      </c>
      <c r="AJ512" s="29" t="n">
        <f aca="false">IF(OR(AI512="",N(O512)=0),"",AI512+AG512/O512)</f>
        <v>51.5287828947368</v>
      </c>
      <c r="AK512" s="32" t="n">
        <f aca="false">IF(OR(AJ512="",N(AE512)=0),"",AJ512-AE512)</f>
        <v>0</v>
      </c>
      <c r="AL512" s="33" t="n">
        <f aca="false">IF(N(F512)=0,"",INDEX(Inputs!$B$28:$B$32,IFERROR(MATCH(F512,Inputs!$A$28:$A$32,1),0)+1))</f>
        <v>0.1</v>
      </c>
      <c r="AM512" s="34"/>
      <c r="AN512" s="33" t="n">
        <f aca="false">IF(N(AM512)&gt;0,AM512,AL512)</f>
        <v>0.1</v>
      </c>
      <c r="AO512" s="29" t="n">
        <f aca="false">IF(N(AN512)=0,"",AN512+IF(I512="yes",AN512*Inputs!$B$10*Inputs!$B$9,0)+IFERROR(INDEX(Inputs!$B$13:$B$15,MATCH(G512,Inputs!$A$13:$A$15,0)),0)+IFERROR(INDEX(Inputs!$B$18:$B$24,MATCH(H512,Inputs!$A$18:$A$24,0)),0))</f>
        <v>0.095</v>
      </c>
      <c r="AP512" s="28" t="n">
        <f aca="false">IF(OR(N(AO512)&lt;=0,N(AG512)=0,N(L512)=0),"",MIN(L512,AG512/AO512))</f>
        <v>23.0263157894737</v>
      </c>
      <c r="AQ512" s="29" t="n">
        <f aca="false">IF(OR(AP512="",N(O512)=0),"",AP512/O512-1)</f>
        <v>46.9714912280702</v>
      </c>
      <c r="AR512" s="29" t="n">
        <f aca="false">IF(OR(AQ512="",N(O512)=0),"",AQ512+AG512/O512)</f>
        <v>51.5287828947368</v>
      </c>
      <c r="AS512" s="32" t="n">
        <f aca="false">IF(OR(AR512="",N(AJ512)=0),"",AR512-AJ512)</f>
        <v>0</v>
      </c>
      <c r="AT512" s="28" t="n">
        <v>25</v>
      </c>
      <c r="AU512" s="28" t="n">
        <v>2.19</v>
      </c>
      <c r="AV512" s="28" t="n">
        <f aca="false">IF(N(AT512)&gt;0,AT512,L512)</f>
        <v>25</v>
      </c>
      <c r="AW512" s="28" t="n">
        <f aca="false">IF(AND(N(M512)&gt;0,N(AV512)&gt;0),M512*AV512,IF(N(AU512)&gt;0,AU512,N512))</f>
        <v>2.1875</v>
      </c>
      <c r="AX512" s="29" t="n">
        <f aca="false">IF(N(AN512)=0,"",AN512+IF(I512="yes",AN512*Inputs!$B$10*Inputs!$B$9,0)+IFERROR(INDEX(Inputs!$B$13:$B$15,MATCH(G512,Inputs!$A$13:$A$15,0)),0)+IFERROR(INDEX(Inputs!$B$18:$B$24,MATCH(H512,Inputs!$A$18:$A$24,0)),0))</f>
        <v>0.095</v>
      </c>
      <c r="AY512" s="28" t="n">
        <f aca="false">IF(OR(N(AX512)&lt;=0,N(AW512)=0,N(AV512)=0),"",MIN(AV512,AW512/AX512))</f>
        <v>23.0263157894737</v>
      </c>
      <c r="AZ512" s="29" t="n">
        <f aca="false">IF(OR(AY512="",N(O512)=0),"",AY512/O512-1)</f>
        <v>46.9714912280702</v>
      </c>
      <c r="BA512" s="29" t="n">
        <f aca="false">IF(OR(AZ512="",N(O512)=0),"",AZ512+AW512/O512)</f>
        <v>51.5287828947368</v>
      </c>
      <c r="BB512" s="32" t="n">
        <f aca="false">IF(OR(BA512="",N(AR512)=0),"",BA512-AR512)</f>
        <v>0</v>
      </c>
      <c r="BC512" s="35" t="n">
        <f aca="false">IF(OR(BA512="",N(U512)=0),"",BA512-U512)</f>
        <v>0</v>
      </c>
      <c r="BD512" s="37"/>
    </row>
    <row r="513" customFormat="false" ht="15" hidden="false" customHeight="false" outlineLevel="0" collapsed="false">
      <c r="A513" s="2" t="s">
        <v>1067</v>
      </c>
      <c r="B513" s="2" t="n">
        <v>28</v>
      </c>
      <c r="C513" s="2" t="s">
        <v>1084</v>
      </c>
      <c r="D513" s="2" t="s">
        <v>1085</v>
      </c>
      <c r="E513" s="2" t="s">
        <v>1086</v>
      </c>
      <c r="F513" s="27" t="n">
        <v>81100</v>
      </c>
      <c r="G513" s="2" t="s">
        <v>51</v>
      </c>
      <c r="H513" s="2" t="s">
        <v>58</v>
      </c>
      <c r="I513" s="2" t="s">
        <v>151</v>
      </c>
      <c r="J513" s="2" t="s">
        <v>145</v>
      </c>
      <c r="K513" s="2" t="n">
        <v>4</v>
      </c>
      <c r="L513" s="28" t="n">
        <v>100</v>
      </c>
      <c r="M513" s="29" t="n">
        <v>0.036</v>
      </c>
      <c r="N513" s="28" t="n">
        <v>3.6</v>
      </c>
      <c r="O513" s="28" t="n">
        <v>0</v>
      </c>
      <c r="P513" s="2" t="s">
        <v>146</v>
      </c>
      <c r="Q513" s="29" t="n">
        <v>0.08</v>
      </c>
      <c r="R513" s="30" t="n">
        <v>0.076</v>
      </c>
      <c r="S513" s="31" t="n">
        <v>47.3684210526316</v>
      </c>
      <c r="T513" s="30"/>
      <c r="U513" s="30"/>
      <c r="V513" s="29" t="n">
        <v>0</v>
      </c>
      <c r="W513" s="29" t="n">
        <f aca="false">IF(N(Q513)=0,"",Q513+IF(I513="yes",Q513*Inputs!$B$10*Inputs!$B$9,0)+V513)</f>
        <v>0.076</v>
      </c>
      <c r="X513" s="28" t="n">
        <f aca="false">IF(OR(N(W513)&lt;=0,N(N513)=0,N(L513)=0),"",MIN(L513,N513/W513))</f>
        <v>47.3684210526316</v>
      </c>
      <c r="Y513" s="29" t="str">
        <f aca="false">IF(OR(X513="",N(O513)=0),"",X513/O513-1)</f>
        <v/>
      </c>
      <c r="Z513" s="29" t="str">
        <f aca="false">IF(OR(Y513="",N(O513)=0),"",Y513+N513/O513)</f>
        <v/>
      </c>
      <c r="AA513" s="32" t="str">
        <f aca="false">IF(OR(Z513="",N(U513)=0),"",Z513-U513)</f>
        <v/>
      </c>
      <c r="AB513" s="29" t="n">
        <f aca="false">IF(N(Q513)=0,"",Q513+IF(I513="yes",Q513*Inputs!$B$10*Inputs!$B$9,0)+IFERROR(INDEX(Inputs!$B$13:$B$15,MATCH(G513,Inputs!$A$13:$A$15,0)),0)+IFERROR(INDEX(Inputs!$B$18:$B$24,MATCH(H513,Inputs!$A$18:$A$24,0)),0))</f>
        <v>0.076</v>
      </c>
      <c r="AC513" s="28" t="n">
        <f aca="false">IF(OR(N(AB513)&lt;=0,N(N513)=0,N(L513)=0),"",MIN(L513,N513/AB513))</f>
        <v>47.3684210526316</v>
      </c>
      <c r="AD513" s="29" t="str">
        <f aca="false">IF(OR(AC513="",N(O513)=0),"",AC513/O513-1)</f>
        <v/>
      </c>
      <c r="AE513" s="29" t="str">
        <f aca="false">IF(OR(AD513="",N(O513)=0),"",AD513+N513/O513)</f>
        <v/>
      </c>
      <c r="AF513" s="32" t="str">
        <f aca="false">IF(OR(AE513="",N(Z513)=0),"",AE513-Z513)</f>
        <v/>
      </c>
      <c r="AG513" s="28" t="n">
        <f aca="false">IF(AND(N(M513)&gt;0,N(L513)&gt;0),M513*L513,N513)</f>
        <v>3.6</v>
      </c>
      <c r="AH513" s="28" t="n">
        <f aca="false">IF(OR(N(AB513)&lt;=0,N(AG513)=0,N(L513)=0),"",MIN(L513,AG513/AB513))</f>
        <v>47.3684210526316</v>
      </c>
      <c r="AI513" s="29" t="str">
        <f aca="false">IF(OR(AH513="",N(O513)=0),"",AH513/O513-1)</f>
        <v/>
      </c>
      <c r="AJ513" s="29" t="str">
        <f aca="false">IF(OR(AI513="",N(O513)=0),"",AI513+AG513/O513)</f>
        <v/>
      </c>
      <c r="AK513" s="32" t="str">
        <f aca="false">IF(OR(AJ513="",N(AE513)=0),"",AJ513-AE513)</f>
        <v/>
      </c>
      <c r="AL513" s="33" t="n">
        <f aca="false">IF(N(F513)=0,"",INDEX(Inputs!$B$28:$B$32,IFERROR(MATCH(F513,Inputs!$A$28:$A$32,1),0)+1))</f>
        <v>0.075</v>
      </c>
      <c r="AM513" s="34"/>
      <c r="AN513" s="33" t="n">
        <f aca="false">IF(N(AM513)&gt;0,AM513,AL513)</f>
        <v>0.075</v>
      </c>
      <c r="AO513" s="29" t="n">
        <f aca="false">IF(N(AN513)=0,"",AN513+IF(I513="yes",AN513*Inputs!$B$10*Inputs!$B$9,0)+IFERROR(INDEX(Inputs!$B$13:$B$15,MATCH(G513,Inputs!$A$13:$A$15,0)),0)+IFERROR(INDEX(Inputs!$B$18:$B$24,MATCH(H513,Inputs!$A$18:$A$24,0)),0))</f>
        <v>0.07125</v>
      </c>
      <c r="AP513" s="28" t="n">
        <f aca="false">IF(OR(N(AO513)&lt;=0,N(AG513)=0,N(L513)=0),"",MIN(L513,AG513/AO513))</f>
        <v>50.5263157894737</v>
      </c>
      <c r="AQ513" s="29" t="str">
        <f aca="false">IF(OR(AP513="",N(O513)=0),"",AP513/O513-1)</f>
        <v/>
      </c>
      <c r="AR513" s="29" t="str">
        <f aca="false">IF(OR(AQ513="",N(O513)=0),"",AQ513+AG513/O513)</f>
        <v/>
      </c>
      <c r="AS513" s="32" t="str">
        <f aca="false">IF(OR(AR513="",N(AJ513)=0),"",AR513-AJ513)</f>
        <v/>
      </c>
      <c r="AT513" s="28"/>
      <c r="AU513" s="28"/>
      <c r="AV513" s="28" t="n">
        <f aca="false">IF(N(AT513)&gt;0,AT513,L513)</f>
        <v>100</v>
      </c>
      <c r="AW513" s="28" t="n">
        <f aca="false">IF(AND(N(M513)&gt;0,N(AV513)&gt;0),M513*AV513,IF(N(AU513)&gt;0,AU513,N513))</f>
        <v>3.6</v>
      </c>
      <c r="AX513" s="29" t="n">
        <f aca="false">IF(N(AN513)=0,"",AN513+IF(I513="yes",AN513*Inputs!$B$10*Inputs!$B$9,0)+IFERROR(INDEX(Inputs!$B$13:$B$15,MATCH(G513,Inputs!$A$13:$A$15,0)),0)+IFERROR(INDEX(Inputs!$B$18:$B$24,MATCH(H513,Inputs!$A$18:$A$24,0)),0))</f>
        <v>0.07125</v>
      </c>
      <c r="AY513" s="28" t="n">
        <f aca="false">IF(OR(N(AX513)&lt;=0,N(AW513)=0,N(AV513)=0),"",MIN(AV513,AW513/AX513))</f>
        <v>50.5263157894737</v>
      </c>
      <c r="AZ513" s="29" t="str">
        <f aca="false">IF(OR(AY513="",N(O513)=0),"",AY513/O513-1)</f>
        <v/>
      </c>
      <c r="BA513" s="29" t="str">
        <f aca="false">IF(OR(AZ513="",N(O513)=0),"",AZ513+AW513/O513)</f>
        <v/>
      </c>
      <c r="BB513" s="32" t="str">
        <f aca="false">IF(OR(BA513="",N(AR513)=0),"",BA513-AR513)</f>
        <v/>
      </c>
      <c r="BC513" s="35" t="str">
        <f aca="false">IF(OR(BA513="",N(U513)=0),"",BA513-U513)</f>
        <v/>
      </c>
      <c r="BD513" s="36" t="s">
        <v>198</v>
      </c>
    </row>
    <row r="514" customFormat="false" ht="15" hidden="false" customHeight="false" outlineLevel="0" collapsed="false">
      <c r="A514" s="2" t="s">
        <v>1067</v>
      </c>
      <c r="B514" s="2" t="n">
        <v>29</v>
      </c>
      <c r="C514" s="2" t="s">
        <v>1087</v>
      </c>
      <c r="D514" s="2" t="s">
        <v>1085</v>
      </c>
      <c r="E514" s="2" t="s">
        <v>1086</v>
      </c>
      <c r="F514" s="27" t="n">
        <v>81100</v>
      </c>
      <c r="G514" s="2" t="s">
        <v>51</v>
      </c>
      <c r="H514" s="2" t="s">
        <v>58</v>
      </c>
      <c r="I514" s="2" t="s">
        <v>151</v>
      </c>
      <c r="J514" s="2" t="s">
        <v>145</v>
      </c>
      <c r="K514" s="2" t="n">
        <v>4</v>
      </c>
      <c r="L514" s="28" t="n">
        <v>100</v>
      </c>
      <c r="M514" s="29" t="n">
        <v>0.039</v>
      </c>
      <c r="N514" s="28" t="n">
        <v>3.9</v>
      </c>
      <c r="O514" s="28" t="n">
        <v>0</v>
      </c>
      <c r="P514" s="2" t="s">
        <v>146</v>
      </c>
      <c r="Q514" s="29" t="n">
        <v>0.08</v>
      </c>
      <c r="R514" s="30" t="n">
        <v>0.076</v>
      </c>
      <c r="S514" s="31" t="n">
        <v>51.3157894736842</v>
      </c>
      <c r="T514" s="30"/>
      <c r="U514" s="30"/>
      <c r="V514" s="29" t="n">
        <v>0</v>
      </c>
      <c r="W514" s="29" t="n">
        <f aca="false">IF(N(Q514)=0,"",Q514+IF(I514="yes",Q514*Inputs!$B$10*Inputs!$B$9,0)+V514)</f>
        <v>0.076</v>
      </c>
      <c r="X514" s="28" t="n">
        <f aca="false">IF(OR(N(W514)&lt;=0,N(N514)=0,N(L514)=0),"",MIN(L514,N514/W514))</f>
        <v>51.3157894736842</v>
      </c>
      <c r="Y514" s="29" t="str">
        <f aca="false">IF(OR(X514="",N(O514)=0),"",X514/O514-1)</f>
        <v/>
      </c>
      <c r="Z514" s="29" t="str">
        <f aca="false">IF(OR(Y514="",N(O514)=0),"",Y514+N514/O514)</f>
        <v/>
      </c>
      <c r="AA514" s="32" t="str">
        <f aca="false">IF(OR(Z514="",N(U514)=0),"",Z514-U514)</f>
        <v/>
      </c>
      <c r="AB514" s="29" t="n">
        <f aca="false">IF(N(Q514)=0,"",Q514+IF(I514="yes",Q514*Inputs!$B$10*Inputs!$B$9,0)+IFERROR(INDEX(Inputs!$B$13:$B$15,MATCH(G514,Inputs!$A$13:$A$15,0)),0)+IFERROR(INDEX(Inputs!$B$18:$B$24,MATCH(H514,Inputs!$A$18:$A$24,0)),0))</f>
        <v>0.076</v>
      </c>
      <c r="AC514" s="28" t="n">
        <f aca="false">IF(OR(N(AB514)&lt;=0,N(N514)=0,N(L514)=0),"",MIN(L514,N514/AB514))</f>
        <v>51.3157894736842</v>
      </c>
      <c r="AD514" s="29" t="str">
        <f aca="false">IF(OR(AC514="",N(O514)=0),"",AC514/O514-1)</f>
        <v/>
      </c>
      <c r="AE514" s="29" t="str">
        <f aca="false">IF(OR(AD514="",N(O514)=0),"",AD514+N514/O514)</f>
        <v/>
      </c>
      <c r="AF514" s="32" t="str">
        <f aca="false">IF(OR(AE514="",N(Z514)=0),"",AE514-Z514)</f>
        <v/>
      </c>
      <c r="AG514" s="28" t="n">
        <f aca="false">IF(AND(N(M514)&gt;0,N(L514)&gt;0),M514*L514,N514)</f>
        <v>3.9</v>
      </c>
      <c r="AH514" s="28" t="n">
        <f aca="false">IF(OR(N(AB514)&lt;=0,N(AG514)=0,N(L514)=0),"",MIN(L514,AG514/AB514))</f>
        <v>51.3157894736842</v>
      </c>
      <c r="AI514" s="29" t="str">
        <f aca="false">IF(OR(AH514="",N(O514)=0),"",AH514/O514-1)</f>
        <v/>
      </c>
      <c r="AJ514" s="29" t="str">
        <f aca="false">IF(OR(AI514="",N(O514)=0),"",AI514+AG514/O514)</f>
        <v/>
      </c>
      <c r="AK514" s="32" t="str">
        <f aca="false">IF(OR(AJ514="",N(AE514)=0),"",AJ514-AE514)</f>
        <v/>
      </c>
      <c r="AL514" s="33" t="n">
        <f aca="false">IF(N(F514)=0,"",INDEX(Inputs!$B$28:$B$32,IFERROR(MATCH(F514,Inputs!$A$28:$A$32,1),0)+1))</f>
        <v>0.075</v>
      </c>
      <c r="AM514" s="34"/>
      <c r="AN514" s="33" t="n">
        <f aca="false">IF(N(AM514)&gt;0,AM514,AL514)</f>
        <v>0.075</v>
      </c>
      <c r="AO514" s="29" t="n">
        <f aca="false">IF(N(AN514)=0,"",AN514+IF(I514="yes",AN514*Inputs!$B$10*Inputs!$B$9,0)+IFERROR(INDEX(Inputs!$B$13:$B$15,MATCH(G514,Inputs!$A$13:$A$15,0)),0)+IFERROR(INDEX(Inputs!$B$18:$B$24,MATCH(H514,Inputs!$A$18:$A$24,0)),0))</f>
        <v>0.07125</v>
      </c>
      <c r="AP514" s="28" t="n">
        <f aca="false">IF(OR(N(AO514)&lt;=0,N(AG514)=0,N(L514)=0),"",MIN(L514,AG514/AO514))</f>
        <v>54.7368421052632</v>
      </c>
      <c r="AQ514" s="29" t="str">
        <f aca="false">IF(OR(AP514="",N(O514)=0),"",AP514/O514-1)</f>
        <v/>
      </c>
      <c r="AR514" s="29" t="str">
        <f aca="false">IF(OR(AQ514="",N(O514)=0),"",AQ514+AG514/O514)</f>
        <v/>
      </c>
      <c r="AS514" s="32" t="str">
        <f aca="false">IF(OR(AR514="",N(AJ514)=0),"",AR514-AJ514)</f>
        <v/>
      </c>
      <c r="AT514" s="28"/>
      <c r="AU514" s="28"/>
      <c r="AV514" s="28" t="n">
        <f aca="false">IF(N(AT514)&gt;0,AT514,L514)</f>
        <v>100</v>
      </c>
      <c r="AW514" s="28" t="n">
        <f aca="false">IF(AND(N(M514)&gt;0,N(AV514)&gt;0),M514*AV514,IF(N(AU514)&gt;0,AU514,N514))</f>
        <v>3.9</v>
      </c>
      <c r="AX514" s="29" t="n">
        <f aca="false">IF(N(AN514)=0,"",AN514+IF(I514="yes",AN514*Inputs!$B$10*Inputs!$B$9,0)+IFERROR(INDEX(Inputs!$B$13:$B$15,MATCH(G514,Inputs!$A$13:$A$15,0)),0)+IFERROR(INDEX(Inputs!$B$18:$B$24,MATCH(H514,Inputs!$A$18:$A$24,0)),0))</f>
        <v>0.07125</v>
      </c>
      <c r="AY514" s="28" t="n">
        <f aca="false">IF(OR(N(AX514)&lt;=0,N(AW514)=0,N(AV514)=0),"",MIN(AV514,AW514/AX514))</f>
        <v>54.7368421052632</v>
      </c>
      <c r="AZ514" s="29" t="str">
        <f aca="false">IF(OR(AY514="",N(O514)=0),"",AY514/O514-1)</f>
        <v/>
      </c>
      <c r="BA514" s="29" t="str">
        <f aca="false">IF(OR(AZ514="",N(O514)=0),"",AZ514+AW514/O514)</f>
        <v/>
      </c>
      <c r="BB514" s="32" t="str">
        <f aca="false">IF(OR(BA514="",N(AR514)=0),"",BA514-AR514)</f>
        <v/>
      </c>
      <c r="BC514" s="35" t="str">
        <f aca="false">IF(OR(BA514="",N(U514)=0),"",BA514-U514)</f>
        <v/>
      </c>
      <c r="BD514" s="36" t="s">
        <v>198</v>
      </c>
    </row>
    <row r="515" customFormat="false" ht="15" hidden="false" customHeight="false" outlineLevel="0" collapsed="false">
      <c r="A515" s="2" t="s">
        <v>1067</v>
      </c>
      <c r="B515" s="2" t="n">
        <v>30</v>
      </c>
      <c r="C515" s="2" t="s">
        <v>1088</v>
      </c>
      <c r="D515" s="2" t="s">
        <v>1085</v>
      </c>
      <c r="E515" s="2" t="s">
        <v>1086</v>
      </c>
      <c r="F515" s="27" t="n">
        <v>81100</v>
      </c>
      <c r="G515" s="2" t="s">
        <v>51</v>
      </c>
      <c r="H515" s="2" t="s">
        <v>58</v>
      </c>
      <c r="I515" s="2" t="s">
        <v>151</v>
      </c>
      <c r="J515" s="2" t="s">
        <v>145</v>
      </c>
      <c r="K515" s="2" t="n">
        <v>4</v>
      </c>
      <c r="L515" s="28" t="n">
        <v>100</v>
      </c>
      <c r="M515" s="29" t="n">
        <v>0.0444</v>
      </c>
      <c r="N515" s="28" t="n">
        <v>4.44</v>
      </c>
      <c r="O515" s="28" t="n">
        <v>61</v>
      </c>
      <c r="P515" s="2" t="s">
        <v>146</v>
      </c>
      <c r="Q515" s="29" t="n">
        <v>0.08</v>
      </c>
      <c r="R515" s="30" t="n">
        <v>0.076</v>
      </c>
      <c r="S515" s="31" t="n">
        <v>58.421052631579</v>
      </c>
      <c r="T515" s="30" t="n">
        <v>-0.0422778257118205</v>
      </c>
      <c r="U515" s="30" t="n">
        <v>0.0305090595340812</v>
      </c>
      <c r="V515" s="29" t="n">
        <v>0</v>
      </c>
      <c r="W515" s="29" t="n">
        <f aca="false">IF(N(Q515)=0,"",Q515+IF(I515="yes",Q515*Inputs!$B$10*Inputs!$B$9,0)+V515)</f>
        <v>0.076</v>
      </c>
      <c r="X515" s="28" t="n">
        <f aca="false">IF(OR(N(W515)&lt;=0,N(N515)=0,N(L515)=0),"",MIN(L515,N515/W515))</f>
        <v>58.421052631579</v>
      </c>
      <c r="Y515" s="29" t="n">
        <f aca="false">IF(OR(X515="",N(O515)=0),"",X515/O515-1)</f>
        <v>-0.0422778257118205</v>
      </c>
      <c r="Z515" s="29" t="n">
        <f aca="false">IF(OR(Y515="",N(O515)=0),"",Y515+N515/O515)</f>
        <v>0.0305090595340812</v>
      </c>
      <c r="AA515" s="32" t="n">
        <f aca="false">IF(OR(Z515="",N(U515)=0),"",Z515-U515)</f>
        <v>0</v>
      </c>
      <c r="AB515" s="29" t="n">
        <f aca="false">IF(N(Q515)=0,"",Q515+IF(I515="yes",Q515*Inputs!$B$10*Inputs!$B$9,0)+IFERROR(INDEX(Inputs!$B$13:$B$15,MATCH(G515,Inputs!$A$13:$A$15,0)),0)+IFERROR(INDEX(Inputs!$B$18:$B$24,MATCH(H515,Inputs!$A$18:$A$24,0)),0))</f>
        <v>0.076</v>
      </c>
      <c r="AC515" s="28" t="n">
        <f aca="false">IF(OR(N(AB515)&lt;=0,N(N515)=0,N(L515)=0),"",MIN(L515,N515/AB515))</f>
        <v>58.421052631579</v>
      </c>
      <c r="AD515" s="29" t="n">
        <f aca="false">IF(OR(AC515="",N(O515)=0),"",AC515/O515-1)</f>
        <v>-0.0422778257118205</v>
      </c>
      <c r="AE515" s="29" t="n">
        <f aca="false">IF(OR(AD515="",N(O515)=0),"",AD515+N515/O515)</f>
        <v>0.0305090595340812</v>
      </c>
      <c r="AF515" s="32" t="n">
        <f aca="false">IF(OR(AE515="",N(Z515)=0),"",AE515-Z515)</f>
        <v>0</v>
      </c>
      <c r="AG515" s="28" t="n">
        <f aca="false">IF(AND(N(M515)&gt;0,N(L515)&gt;0),M515*L515,N515)</f>
        <v>4.44</v>
      </c>
      <c r="AH515" s="28" t="n">
        <f aca="false">IF(OR(N(AB515)&lt;=0,N(AG515)=0,N(L515)=0),"",MIN(L515,AG515/AB515))</f>
        <v>58.421052631579</v>
      </c>
      <c r="AI515" s="29" t="n">
        <f aca="false">IF(OR(AH515="",N(O515)=0),"",AH515/O515-1)</f>
        <v>-0.0422778257118205</v>
      </c>
      <c r="AJ515" s="29" t="n">
        <f aca="false">IF(OR(AI515="",N(O515)=0),"",AI515+AG515/O515)</f>
        <v>0.0305090595340812</v>
      </c>
      <c r="AK515" s="32" t="n">
        <f aca="false">IF(OR(AJ515="",N(AE515)=0),"",AJ515-AE515)</f>
        <v>0</v>
      </c>
      <c r="AL515" s="33" t="n">
        <f aca="false">IF(N(F515)=0,"",INDEX(Inputs!$B$28:$B$32,IFERROR(MATCH(F515,Inputs!$A$28:$A$32,1),0)+1))</f>
        <v>0.075</v>
      </c>
      <c r="AM515" s="34"/>
      <c r="AN515" s="33" t="n">
        <f aca="false">IF(N(AM515)&gt;0,AM515,AL515)</f>
        <v>0.075</v>
      </c>
      <c r="AO515" s="29" t="n">
        <f aca="false">IF(N(AN515)=0,"",AN515+IF(I515="yes",AN515*Inputs!$B$10*Inputs!$B$9,0)+IFERROR(INDEX(Inputs!$B$13:$B$15,MATCH(G515,Inputs!$A$13:$A$15,0)),0)+IFERROR(INDEX(Inputs!$B$18:$B$24,MATCH(H515,Inputs!$A$18:$A$24,0)),0))</f>
        <v>0.07125</v>
      </c>
      <c r="AP515" s="28" t="n">
        <f aca="false">IF(OR(N(AO515)&lt;=0,N(AG515)=0,N(L515)=0),"",MIN(L515,AG515/AO515))</f>
        <v>62.3157894736842</v>
      </c>
      <c r="AQ515" s="29" t="n">
        <f aca="false">IF(OR(AP515="",N(O515)=0),"",AP515/O515-1)</f>
        <v>0.0215703192407248</v>
      </c>
      <c r="AR515" s="29" t="n">
        <f aca="false">IF(OR(AQ515="",N(O515)=0),"",AQ515+AG515/O515)</f>
        <v>0.0943572044866265</v>
      </c>
      <c r="AS515" s="32" t="n">
        <f aca="false">IF(OR(AR515="",N(AJ515)=0),"",AR515-AJ515)</f>
        <v>0.0638481449525453</v>
      </c>
      <c r="AT515" s="28" t="n">
        <v>100</v>
      </c>
      <c r="AU515" s="28" t="n">
        <v>4.44</v>
      </c>
      <c r="AV515" s="28" t="n">
        <f aca="false">IF(N(AT515)&gt;0,AT515,L515)</f>
        <v>100</v>
      </c>
      <c r="AW515" s="28" t="n">
        <f aca="false">IF(AND(N(M515)&gt;0,N(AV515)&gt;0),M515*AV515,IF(N(AU515)&gt;0,AU515,N515))</f>
        <v>4.44</v>
      </c>
      <c r="AX515" s="29" t="n">
        <f aca="false">IF(N(AN515)=0,"",AN515+IF(I515="yes",AN515*Inputs!$B$10*Inputs!$B$9,0)+IFERROR(INDEX(Inputs!$B$13:$B$15,MATCH(G515,Inputs!$A$13:$A$15,0)),0)+IFERROR(INDEX(Inputs!$B$18:$B$24,MATCH(H515,Inputs!$A$18:$A$24,0)),0))</f>
        <v>0.07125</v>
      </c>
      <c r="AY515" s="28" t="n">
        <f aca="false">IF(OR(N(AX515)&lt;=0,N(AW515)=0,N(AV515)=0),"",MIN(AV515,AW515/AX515))</f>
        <v>62.3157894736842</v>
      </c>
      <c r="AZ515" s="29" t="n">
        <f aca="false">IF(OR(AY515="",N(O515)=0),"",AY515/O515-1)</f>
        <v>0.0215703192407248</v>
      </c>
      <c r="BA515" s="29" t="n">
        <f aca="false">IF(OR(AZ515="",N(O515)=0),"",AZ515+AW515/O515)</f>
        <v>0.0943572044866265</v>
      </c>
      <c r="BB515" s="32" t="n">
        <f aca="false">IF(OR(BA515="",N(AR515)=0),"",BA515-AR515)</f>
        <v>0</v>
      </c>
      <c r="BC515" s="35" t="n">
        <f aca="false">IF(OR(BA515="",N(U515)=0),"",BA515-U515)</f>
        <v>0.0638481449525453</v>
      </c>
      <c r="BD515" s="37"/>
    </row>
    <row r="516" customFormat="false" ht="15" hidden="false" customHeight="false" outlineLevel="0" collapsed="false">
      <c r="A516" s="2" t="s">
        <v>1067</v>
      </c>
      <c r="B516" s="2" t="n">
        <v>31</v>
      </c>
      <c r="C516" s="2" t="s">
        <v>1089</v>
      </c>
      <c r="D516" s="2" t="s">
        <v>1085</v>
      </c>
      <c r="E516" s="2" t="s">
        <v>1086</v>
      </c>
      <c r="F516" s="27" t="n">
        <v>81100</v>
      </c>
      <c r="G516" s="2" t="s">
        <v>51</v>
      </c>
      <c r="H516" s="2" t="s">
        <v>58</v>
      </c>
      <c r="I516" s="2" t="s">
        <v>151</v>
      </c>
      <c r="J516" s="2" t="s">
        <v>145</v>
      </c>
      <c r="K516" s="2" t="n">
        <v>4</v>
      </c>
      <c r="L516" s="28" t="n">
        <v>100</v>
      </c>
      <c r="M516" s="29" t="n">
        <v>0.06</v>
      </c>
      <c r="N516" s="28" t="n">
        <v>6</v>
      </c>
      <c r="O516" s="28" t="n">
        <v>159.25</v>
      </c>
      <c r="P516" s="2" t="s">
        <v>146</v>
      </c>
      <c r="Q516" s="29" t="n">
        <v>0.08</v>
      </c>
      <c r="R516" s="30" t="n">
        <v>0.076</v>
      </c>
      <c r="S516" s="31" t="n">
        <v>78.9473684210526</v>
      </c>
      <c r="T516" s="30" t="n">
        <v>-0.504255143352888</v>
      </c>
      <c r="U516" s="30" t="n">
        <v>-0.466578534247707</v>
      </c>
      <c r="V516" s="29" t="n">
        <v>0</v>
      </c>
      <c r="W516" s="29" t="n">
        <f aca="false">IF(N(Q516)=0,"",Q516+IF(I516="yes",Q516*Inputs!$B$10*Inputs!$B$9,0)+V516)</f>
        <v>0.076</v>
      </c>
      <c r="X516" s="28" t="n">
        <f aca="false">IF(OR(N(W516)&lt;=0,N(N516)=0,N(L516)=0),"",MIN(L516,N516/W516))</f>
        <v>78.9473684210526</v>
      </c>
      <c r="Y516" s="29" t="n">
        <f aca="false">IF(OR(X516="",N(O516)=0),"",X516/O516-1)</f>
        <v>-0.504255143352888</v>
      </c>
      <c r="Z516" s="29" t="n">
        <f aca="false">IF(OR(Y516="",N(O516)=0),"",Y516+N516/O516)</f>
        <v>-0.466578534247707</v>
      </c>
      <c r="AA516" s="32" t="n">
        <f aca="false">IF(OR(Z516="",N(U516)=0),"",Z516-U516)</f>
        <v>0</v>
      </c>
      <c r="AB516" s="29" t="n">
        <f aca="false">IF(N(Q516)=0,"",Q516+IF(I516="yes",Q516*Inputs!$B$10*Inputs!$B$9,0)+IFERROR(INDEX(Inputs!$B$13:$B$15,MATCH(G516,Inputs!$A$13:$A$15,0)),0)+IFERROR(INDEX(Inputs!$B$18:$B$24,MATCH(H516,Inputs!$A$18:$A$24,0)),0))</f>
        <v>0.076</v>
      </c>
      <c r="AC516" s="28" t="n">
        <f aca="false">IF(OR(N(AB516)&lt;=0,N(N516)=0,N(L516)=0),"",MIN(L516,N516/AB516))</f>
        <v>78.9473684210526</v>
      </c>
      <c r="AD516" s="29" t="n">
        <f aca="false">IF(OR(AC516="",N(O516)=0),"",AC516/O516-1)</f>
        <v>-0.504255143352888</v>
      </c>
      <c r="AE516" s="29" t="n">
        <f aca="false">IF(OR(AD516="",N(O516)=0),"",AD516+N516/O516)</f>
        <v>-0.466578534247707</v>
      </c>
      <c r="AF516" s="32" t="n">
        <f aca="false">IF(OR(AE516="",N(Z516)=0),"",AE516-Z516)</f>
        <v>0</v>
      </c>
      <c r="AG516" s="28" t="n">
        <f aca="false">IF(AND(N(M516)&gt;0,N(L516)&gt;0),M516*L516,N516)</f>
        <v>6</v>
      </c>
      <c r="AH516" s="28" t="n">
        <f aca="false">IF(OR(N(AB516)&lt;=0,N(AG516)=0,N(L516)=0),"",MIN(L516,AG516/AB516))</f>
        <v>78.9473684210526</v>
      </c>
      <c r="AI516" s="29" t="n">
        <f aca="false">IF(OR(AH516="",N(O516)=0),"",AH516/O516-1)</f>
        <v>-0.504255143352888</v>
      </c>
      <c r="AJ516" s="29" t="n">
        <f aca="false">IF(OR(AI516="",N(O516)=0),"",AI516+AG516/O516)</f>
        <v>-0.466578534247707</v>
      </c>
      <c r="AK516" s="32" t="n">
        <f aca="false">IF(OR(AJ516="",N(AE516)=0),"",AJ516-AE516)</f>
        <v>0</v>
      </c>
      <c r="AL516" s="33" t="n">
        <f aca="false">IF(N(F516)=0,"",INDEX(Inputs!$B$28:$B$32,IFERROR(MATCH(F516,Inputs!$A$28:$A$32,1),0)+1))</f>
        <v>0.075</v>
      </c>
      <c r="AM516" s="34"/>
      <c r="AN516" s="33" t="n">
        <f aca="false">IF(N(AM516)&gt;0,AM516,AL516)</f>
        <v>0.075</v>
      </c>
      <c r="AO516" s="29" t="n">
        <f aca="false">IF(N(AN516)=0,"",AN516+IF(I516="yes",AN516*Inputs!$B$10*Inputs!$B$9,0)+IFERROR(INDEX(Inputs!$B$13:$B$15,MATCH(G516,Inputs!$A$13:$A$15,0)),0)+IFERROR(INDEX(Inputs!$B$18:$B$24,MATCH(H516,Inputs!$A$18:$A$24,0)),0))</f>
        <v>0.07125</v>
      </c>
      <c r="AP516" s="28" t="n">
        <f aca="false">IF(OR(N(AO516)&lt;=0,N(AG516)=0,N(L516)=0),"",MIN(L516,AG516/AO516))</f>
        <v>84.2105263157895</v>
      </c>
      <c r="AQ516" s="29" t="n">
        <f aca="false">IF(OR(AP516="",N(O516)=0),"",AP516/O516-1)</f>
        <v>-0.47120548624308</v>
      </c>
      <c r="AR516" s="29" t="n">
        <f aca="false">IF(OR(AQ516="",N(O516)=0),"",AQ516+AG516/O516)</f>
        <v>-0.4335288771379</v>
      </c>
      <c r="AS516" s="32" t="n">
        <f aca="false">IF(OR(AR516="",N(AJ516)=0),"",AR516-AJ516)</f>
        <v>0.0330496571098075</v>
      </c>
      <c r="AT516" s="28" t="n">
        <v>100</v>
      </c>
      <c r="AU516" s="28" t="n">
        <v>6</v>
      </c>
      <c r="AV516" s="28" t="n">
        <f aca="false">IF(N(AT516)&gt;0,AT516,L516)</f>
        <v>100</v>
      </c>
      <c r="AW516" s="28" t="n">
        <f aca="false">IF(AND(N(M516)&gt;0,N(AV516)&gt;0),M516*AV516,IF(N(AU516)&gt;0,AU516,N516))</f>
        <v>6</v>
      </c>
      <c r="AX516" s="29" t="n">
        <f aca="false">IF(N(AN516)=0,"",AN516+IF(I516="yes",AN516*Inputs!$B$10*Inputs!$B$9,0)+IFERROR(INDEX(Inputs!$B$13:$B$15,MATCH(G516,Inputs!$A$13:$A$15,0)),0)+IFERROR(INDEX(Inputs!$B$18:$B$24,MATCH(H516,Inputs!$A$18:$A$24,0)),0))</f>
        <v>0.07125</v>
      </c>
      <c r="AY516" s="28" t="n">
        <f aca="false">IF(OR(N(AX516)&lt;=0,N(AW516)=0,N(AV516)=0),"",MIN(AV516,AW516/AX516))</f>
        <v>84.2105263157895</v>
      </c>
      <c r="AZ516" s="29" t="n">
        <f aca="false">IF(OR(AY516="",N(O516)=0),"",AY516/O516-1)</f>
        <v>-0.47120548624308</v>
      </c>
      <c r="BA516" s="29" t="n">
        <f aca="false">IF(OR(AZ516="",N(O516)=0),"",AZ516+AW516/O516)</f>
        <v>-0.4335288771379</v>
      </c>
      <c r="BB516" s="32" t="n">
        <f aca="false">IF(OR(BA516="",N(AR516)=0),"",BA516-AR516)</f>
        <v>0</v>
      </c>
      <c r="BC516" s="35" t="n">
        <f aca="false">IF(OR(BA516="",N(U516)=0),"",BA516-U516)</f>
        <v>0.0330496571098075</v>
      </c>
      <c r="BD516" s="37"/>
    </row>
    <row r="517" customFormat="false" ht="15" hidden="false" customHeight="false" outlineLevel="0" collapsed="false">
      <c r="A517" s="2" t="s">
        <v>1067</v>
      </c>
      <c r="B517" s="2" t="n">
        <v>32</v>
      </c>
      <c r="C517" s="2" t="s">
        <v>1090</v>
      </c>
      <c r="D517" s="2" t="s">
        <v>1085</v>
      </c>
      <c r="E517" s="2" t="s">
        <v>1086</v>
      </c>
      <c r="F517" s="27" t="n">
        <v>81100</v>
      </c>
      <c r="G517" s="2" t="s">
        <v>51</v>
      </c>
      <c r="H517" s="2" t="s">
        <v>58</v>
      </c>
      <c r="I517" s="2" t="s">
        <v>151</v>
      </c>
      <c r="J517" s="2" t="s">
        <v>145</v>
      </c>
      <c r="K517" s="2" t="n">
        <v>4</v>
      </c>
      <c r="L517" s="28" t="n">
        <v>100</v>
      </c>
      <c r="M517" s="29" t="n">
        <v>0.034</v>
      </c>
      <c r="N517" s="28" t="n">
        <v>3.4</v>
      </c>
      <c r="O517" s="28" t="n">
        <v>55.15</v>
      </c>
      <c r="P517" s="2" t="s">
        <v>146</v>
      </c>
      <c r="Q517" s="29" t="n">
        <v>0.08</v>
      </c>
      <c r="R517" s="30" t="n">
        <v>0.076</v>
      </c>
      <c r="S517" s="31" t="n">
        <v>44.7368421052632</v>
      </c>
      <c r="T517" s="30" t="n">
        <v>-0.188815193014267</v>
      </c>
      <c r="U517" s="30" t="n">
        <v>-0.127165147683352</v>
      </c>
      <c r="V517" s="29" t="n">
        <v>0</v>
      </c>
      <c r="W517" s="29" t="n">
        <f aca="false">IF(N(Q517)=0,"",Q517+IF(I517="yes",Q517*Inputs!$B$10*Inputs!$B$9,0)+V517)</f>
        <v>0.076</v>
      </c>
      <c r="X517" s="28" t="n">
        <f aca="false">IF(OR(N(W517)&lt;=0,N(N517)=0,N(L517)=0),"",MIN(L517,N517/W517))</f>
        <v>44.7368421052632</v>
      </c>
      <c r="Y517" s="29" t="n">
        <f aca="false">IF(OR(X517="",N(O517)=0),"",X517/O517-1)</f>
        <v>-0.188815193014268</v>
      </c>
      <c r="Z517" s="29" t="n">
        <f aca="false">IF(OR(Y517="",N(O517)=0),"",Y517+N517/O517)</f>
        <v>-0.127165147683352</v>
      </c>
      <c r="AA517" s="32" t="n">
        <f aca="false">IF(OR(Z517="",N(U517)=0),"",Z517-U517)</f>
        <v>0</v>
      </c>
      <c r="AB517" s="29" t="n">
        <f aca="false">IF(N(Q517)=0,"",Q517+IF(I517="yes",Q517*Inputs!$B$10*Inputs!$B$9,0)+IFERROR(INDEX(Inputs!$B$13:$B$15,MATCH(G517,Inputs!$A$13:$A$15,0)),0)+IFERROR(INDEX(Inputs!$B$18:$B$24,MATCH(H517,Inputs!$A$18:$A$24,0)),0))</f>
        <v>0.076</v>
      </c>
      <c r="AC517" s="28" t="n">
        <f aca="false">IF(OR(N(AB517)&lt;=0,N(N517)=0,N(L517)=0),"",MIN(L517,N517/AB517))</f>
        <v>44.7368421052632</v>
      </c>
      <c r="AD517" s="29" t="n">
        <f aca="false">IF(OR(AC517="",N(O517)=0),"",AC517/O517-1)</f>
        <v>-0.188815193014268</v>
      </c>
      <c r="AE517" s="29" t="n">
        <f aca="false">IF(OR(AD517="",N(O517)=0),"",AD517+N517/O517)</f>
        <v>-0.127165147683352</v>
      </c>
      <c r="AF517" s="32" t="n">
        <f aca="false">IF(OR(AE517="",N(Z517)=0),"",AE517-Z517)</f>
        <v>0</v>
      </c>
      <c r="AG517" s="28" t="n">
        <f aca="false">IF(AND(N(M517)&gt;0,N(L517)&gt;0),M517*L517,N517)</f>
        <v>3.4</v>
      </c>
      <c r="AH517" s="28" t="n">
        <f aca="false">IF(OR(N(AB517)&lt;=0,N(AG517)=0,N(L517)=0),"",MIN(L517,AG517/AB517))</f>
        <v>44.7368421052632</v>
      </c>
      <c r="AI517" s="29" t="n">
        <f aca="false">IF(OR(AH517="",N(O517)=0),"",AH517/O517-1)</f>
        <v>-0.188815193014267</v>
      </c>
      <c r="AJ517" s="29" t="n">
        <f aca="false">IF(OR(AI517="",N(O517)=0),"",AI517+AG517/O517)</f>
        <v>-0.127165147683352</v>
      </c>
      <c r="AK517" s="32" t="n">
        <f aca="false">IF(OR(AJ517="",N(AE517)=0),"",AJ517-AE517)</f>
        <v>0</v>
      </c>
      <c r="AL517" s="33" t="n">
        <f aca="false">IF(N(F517)=0,"",INDEX(Inputs!$B$28:$B$32,IFERROR(MATCH(F517,Inputs!$A$28:$A$32,1),0)+1))</f>
        <v>0.075</v>
      </c>
      <c r="AM517" s="34"/>
      <c r="AN517" s="33" t="n">
        <f aca="false">IF(N(AM517)&gt;0,AM517,AL517)</f>
        <v>0.075</v>
      </c>
      <c r="AO517" s="29" t="n">
        <f aca="false">IF(N(AN517)=0,"",AN517+IF(I517="yes",AN517*Inputs!$B$10*Inputs!$B$9,0)+IFERROR(INDEX(Inputs!$B$13:$B$15,MATCH(G517,Inputs!$A$13:$A$15,0)),0)+IFERROR(INDEX(Inputs!$B$18:$B$24,MATCH(H517,Inputs!$A$18:$A$24,0)),0))</f>
        <v>0.07125</v>
      </c>
      <c r="AP517" s="28" t="n">
        <f aca="false">IF(OR(N(AO517)&lt;=0,N(AG517)=0,N(L517)=0),"",MIN(L517,AG517/AO517))</f>
        <v>47.719298245614</v>
      </c>
      <c r="AQ517" s="29" t="n">
        <f aca="false">IF(OR(AP517="",N(O517)=0),"",AP517/O517-1)</f>
        <v>-0.134736205881885</v>
      </c>
      <c r="AR517" s="29" t="n">
        <f aca="false">IF(OR(AQ517="",N(O517)=0),"",AQ517+AG517/O517)</f>
        <v>-0.0730861605509695</v>
      </c>
      <c r="AS517" s="32" t="n">
        <f aca="false">IF(OR(AR517="",N(AJ517)=0),"",AR517-AJ517)</f>
        <v>0.0540789871323822</v>
      </c>
      <c r="AT517" s="28" t="n">
        <v>100</v>
      </c>
      <c r="AU517" s="28" t="n">
        <v>3.4</v>
      </c>
      <c r="AV517" s="28" t="n">
        <f aca="false">IF(N(AT517)&gt;0,AT517,L517)</f>
        <v>100</v>
      </c>
      <c r="AW517" s="28" t="n">
        <f aca="false">IF(AND(N(M517)&gt;0,N(AV517)&gt;0),M517*AV517,IF(N(AU517)&gt;0,AU517,N517))</f>
        <v>3.4</v>
      </c>
      <c r="AX517" s="29" t="n">
        <f aca="false">IF(N(AN517)=0,"",AN517+IF(I517="yes",AN517*Inputs!$B$10*Inputs!$B$9,0)+IFERROR(INDEX(Inputs!$B$13:$B$15,MATCH(G517,Inputs!$A$13:$A$15,0)),0)+IFERROR(INDEX(Inputs!$B$18:$B$24,MATCH(H517,Inputs!$A$18:$A$24,0)),0))</f>
        <v>0.07125</v>
      </c>
      <c r="AY517" s="28" t="n">
        <f aca="false">IF(OR(N(AX517)&lt;=0,N(AW517)=0,N(AV517)=0),"",MIN(AV517,AW517/AX517))</f>
        <v>47.719298245614</v>
      </c>
      <c r="AZ517" s="29" t="n">
        <f aca="false">IF(OR(AY517="",N(O517)=0),"",AY517/O517-1)</f>
        <v>-0.134736205881885</v>
      </c>
      <c r="BA517" s="29" t="n">
        <f aca="false">IF(OR(AZ517="",N(O517)=0),"",AZ517+AW517/O517)</f>
        <v>-0.0730861605509695</v>
      </c>
      <c r="BB517" s="32" t="n">
        <f aca="false">IF(OR(BA517="",N(AR517)=0),"",BA517-AR517)</f>
        <v>0</v>
      </c>
      <c r="BC517" s="35" t="n">
        <f aca="false">IF(OR(BA517="",N(U517)=0),"",BA517-U517)</f>
        <v>0.0540789871323822</v>
      </c>
      <c r="BD517" s="37"/>
    </row>
    <row r="518" customFormat="false" ht="15" hidden="false" customHeight="false" outlineLevel="0" collapsed="false">
      <c r="A518" s="2" t="s">
        <v>1067</v>
      </c>
      <c r="B518" s="2" t="n">
        <v>35</v>
      </c>
      <c r="C518" s="2" t="s">
        <v>1091</v>
      </c>
      <c r="D518" s="2" t="s">
        <v>1092</v>
      </c>
      <c r="E518" s="2" t="s">
        <v>1093</v>
      </c>
      <c r="F518" s="27" t="n">
        <v>2100</v>
      </c>
      <c r="G518" s="2" t="s">
        <v>51</v>
      </c>
      <c r="H518" s="2" t="s">
        <v>58</v>
      </c>
      <c r="I518" s="2" t="s">
        <v>144</v>
      </c>
      <c r="J518" s="2" t="s">
        <v>145</v>
      </c>
      <c r="K518" s="2" t="n">
        <v>4</v>
      </c>
      <c r="L518" s="28" t="n">
        <v>25</v>
      </c>
      <c r="M518" s="29" t="n">
        <v>0.09</v>
      </c>
      <c r="N518" s="28" t="n">
        <v>2.25</v>
      </c>
      <c r="O518" s="28" t="n">
        <v>25.93</v>
      </c>
      <c r="P518" s="2" t="s">
        <v>146</v>
      </c>
      <c r="Q518" s="29" t="n">
        <v>0.085</v>
      </c>
      <c r="R518" s="30" t="n">
        <v>0.085</v>
      </c>
      <c r="S518" s="31" t="n">
        <v>25</v>
      </c>
      <c r="T518" s="30" t="n">
        <v>-0.0358657925183186</v>
      </c>
      <c r="U518" s="30" t="n">
        <v>0.0509062861550328</v>
      </c>
      <c r="V518" s="29" t="n">
        <v>0</v>
      </c>
      <c r="W518" s="29" t="n">
        <f aca="false">IF(N(Q518)=0,"",Q518+IF(I518="yes",Q518*Inputs!$B$10*Inputs!$B$9,0)+V518)</f>
        <v>0.085</v>
      </c>
      <c r="X518" s="28" t="n">
        <f aca="false">IF(OR(N(W518)&lt;=0,N(N518)=0,N(L518)=0),"",MIN(L518,N518/W518))</f>
        <v>25</v>
      </c>
      <c r="Y518" s="29" t="n">
        <f aca="false">IF(OR(X518="",N(O518)=0),"",X518/O518-1)</f>
        <v>-0.0358657925183186</v>
      </c>
      <c r="Z518" s="29" t="n">
        <f aca="false">IF(OR(Y518="",N(O518)=0),"",Y518+N518/O518)</f>
        <v>0.0509062861550328</v>
      </c>
      <c r="AA518" s="32" t="n">
        <f aca="false">IF(OR(Z518="",N(U518)=0),"",Z518-U518)</f>
        <v>0</v>
      </c>
      <c r="AB518" s="29" t="n">
        <f aca="false">IF(N(Q518)=0,"",Q518+IF(I518="yes",Q518*Inputs!$B$10*Inputs!$B$9,0)+IFERROR(INDEX(Inputs!$B$13:$B$15,MATCH(G518,Inputs!$A$13:$A$15,0)),0)+IFERROR(INDEX(Inputs!$B$18:$B$24,MATCH(H518,Inputs!$A$18:$A$24,0)),0))</f>
        <v>0.085</v>
      </c>
      <c r="AC518" s="28" t="n">
        <f aca="false">IF(OR(N(AB518)&lt;=0,N(N518)=0,N(L518)=0),"",MIN(L518,N518/AB518))</f>
        <v>25</v>
      </c>
      <c r="AD518" s="29" t="n">
        <f aca="false">IF(OR(AC518="",N(O518)=0),"",AC518/O518-1)</f>
        <v>-0.0358657925183186</v>
      </c>
      <c r="AE518" s="29" t="n">
        <f aca="false">IF(OR(AD518="",N(O518)=0),"",AD518+N518/O518)</f>
        <v>0.0509062861550328</v>
      </c>
      <c r="AF518" s="32" t="n">
        <f aca="false">IF(OR(AE518="",N(Z518)=0),"",AE518-Z518)</f>
        <v>0</v>
      </c>
      <c r="AG518" s="28" t="n">
        <f aca="false">IF(AND(N(M518)&gt;0,N(L518)&gt;0),M518*L518,N518)</f>
        <v>2.25</v>
      </c>
      <c r="AH518" s="28" t="n">
        <f aca="false">IF(OR(N(AB518)&lt;=0,N(AG518)=0,N(L518)=0),"",MIN(L518,AG518/AB518))</f>
        <v>25</v>
      </c>
      <c r="AI518" s="29" t="n">
        <f aca="false">IF(OR(AH518="",N(O518)=0),"",AH518/O518-1)</f>
        <v>-0.0358657925183186</v>
      </c>
      <c r="AJ518" s="29" t="n">
        <f aca="false">IF(OR(AI518="",N(O518)=0),"",AI518+AG518/O518)</f>
        <v>0.0509062861550328</v>
      </c>
      <c r="AK518" s="32" t="n">
        <f aca="false">IF(OR(AJ518="",N(AE518)=0),"",AJ518-AE518)</f>
        <v>0</v>
      </c>
      <c r="AL518" s="33" t="n">
        <f aca="false">IF(N(F518)=0,"",INDEX(Inputs!$B$28:$B$32,IFERROR(MATCH(F518,Inputs!$A$28:$A$32,1),0)+1))</f>
        <v>0.085</v>
      </c>
      <c r="AM518" s="34"/>
      <c r="AN518" s="33" t="n">
        <f aca="false">IF(N(AM518)&gt;0,AM518,AL518)</f>
        <v>0.085</v>
      </c>
      <c r="AO518" s="29" t="n">
        <f aca="false">IF(N(AN518)=0,"",AN518+IF(I518="yes",AN518*Inputs!$B$10*Inputs!$B$9,0)+IFERROR(INDEX(Inputs!$B$13:$B$15,MATCH(G518,Inputs!$A$13:$A$15,0)),0)+IFERROR(INDEX(Inputs!$B$18:$B$24,MATCH(H518,Inputs!$A$18:$A$24,0)),0))</f>
        <v>0.085</v>
      </c>
      <c r="AP518" s="28" t="n">
        <f aca="false">IF(OR(N(AO518)&lt;=0,N(AG518)=0,N(L518)=0),"",MIN(L518,AG518/AO518))</f>
        <v>25</v>
      </c>
      <c r="AQ518" s="29" t="n">
        <f aca="false">IF(OR(AP518="",N(O518)=0),"",AP518/O518-1)</f>
        <v>-0.0358657925183186</v>
      </c>
      <c r="AR518" s="29" t="n">
        <f aca="false">IF(OR(AQ518="",N(O518)=0),"",AQ518+AG518/O518)</f>
        <v>0.0509062861550328</v>
      </c>
      <c r="AS518" s="32" t="n">
        <f aca="false">IF(OR(AR518="",N(AJ518)=0),"",AR518-AJ518)</f>
        <v>0</v>
      </c>
      <c r="AT518" s="28" t="n">
        <v>25</v>
      </c>
      <c r="AU518" s="28" t="n">
        <v>2.25</v>
      </c>
      <c r="AV518" s="28" t="n">
        <f aca="false">IF(N(AT518)&gt;0,AT518,L518)</f>
        <v>25</v>
      </c>
      <c r="AW518" s="28" t="n">
        <f aca="false">IF(AND(N(M518)&gt;0,N(AV518)&gt;0),M518*AV518,IF(N(AU518)&gt;0,AU518,N518))</f>
        <v>2.25</v>
      </c>
      <c r="AX518" s="29" t="n">
        <f aca="false">IF(N(AN518)=0,"",AN518+IF(I518="yes",AN518*Inputs!$B$10*Inputs!$B$9,0)+IFERROR(INDEX(Inputs!$B$13:$B$15,MATCH(G518,Inputs!$A$13:$A$15,0)),0)+IFERROR(INDEX(Inputs!$B$18:$B$24,MATCH(H518,Inputs!$A$18:$A$24,0)),0))</f>
        <v>0.085</v>
      </c>
      <c r="AY518" s="28" t="n">
        <f aca="false">IF(OR(N(AX518)&lt;=0,N(AW518)=0,N(AV518)=0),"",MIN(AV518,AW518/AX518))</f>
        <v>25</v>
      </c>
      <c r="AZ518" s="29" t="n">
        <f aca="false">IF(OR(AY518="",N(O518)=0),"",AY518/O518-1)</f>
        <v>-0.0358657925183186</v>
      </c>
      <c r="BA518" s="29" t="n">
        <f aca="false">IF(OR(AZ518="",N(O518)=0),"",AZ518+AW518/O518)</f>
        <v>0.0509062861550328</v>
      </c>
      <c r="BB518" s="32" t="n">
        <f aca="false">IF(OR(BA518="",N(AR518)=0),"",BA518-AR518)</f>
        <v>0</v>
      </c>
      <c r="BC518" s="35" t="n">
        <f aca="false">IF(OR(BA518="",N(U518)=0),"",BA518-U518)</f>
        <v>0</v>
      </c>
      <c r="BD518" s="37"/>
    </row>
    <row r="519" customFormat="false" ht="15" hidden="false" customHeight="false" outlineLevel="0" collapsed="false">
      <c r="A519" s="2" t="s">
        <v>1067</v>
      </c>
      <c r="B519" s="2" t="n">
        <v>36</v>
      </c>
      <c r="C519" s="2" t="s">
        <v>1094</v>
      </c>
      <c r="D519" s="2" t="s">
        <v>1092</v>
      </c>
      <c r="E519" s="2" t="s">
        <v>1093</v>
      </c>
      <c r="F519" s="27" t="n">
        <v>2100</v>
      </c>
      <c r="G519" s="2" t="s">
        <v>51</v>
      </c>
      <c r="H519" s="2" t="s">
        <v>59</v>
      </c>
      <c r="I519" s="2" t="s">
        <v>144</v>
      </c>
      <c r="J519" s="2" t="s">
        <v>145</v>
      </c>
      <c r="K519" s="2" t="n">
        <v>4</v>
      </c>
      <c r="L519" s="28" t="n">
        <v>25</v>
      </c>
      <c r="M519" s="29" t="n">
        <v>0.09625</v>
      </c>
      <c r="N519" s="28" t="n">
        <v>2.40625</v>
      </c>
      <c r="O519" s="28" t="n">
        <v>25.75</v>
      </c>
      <c r="P519" s="2" t="s">
        <v>146</v>
      </c>
      <c r="Q519" s="29" t="n">
        <v>0.085</v>
      </c>
      <c r="R519" s="30" t="n">
        <v>0.085</v>
      </c>
      <c r="S519" s="31" t="n">
        <v>25</v>
      </c>
      <c r="T519" s="30" t="n">
        <v>-0.029126213592233</v>
      </c>
      <c r="U519" s="30" t="n">
        <v>0.0643203883495146</v>
      </c>
      <c r="V519" s="29" t="n">
        <v>0</v>
      </c>
      <c r="W519" s="29" t="n">
        <f aca="false">IF(N(Q519)=0,"",Q519+IF(I519="yes",Q519*Inputs!$B$10*Inputs!$B$9,0)+V519)</f>
        <v>0.085</v>
      </c>
      <c r="X519" s="28" t="n">
        <f aca="false">IF(OR(N(W519)&lt;=0,N(N519)=0,N(L519)=0),"",MIN(L519,N519/W519))</f>
        <v>25</v>
      </c>
      <c r="Y519" s="29" t="n">
        <f aca="false">IF(OR(X519="",N(O519)=0),"",X519/O519-1)</f>
        <v>-0.029126213592233</v>
      </c>
      <c r="Z519" s="29" t="n">
        <f aca="false">IF(OR(Y519="",N(O519)=0),"",Y519+N519/O519)</f>
        <v>0.0643203883495146</v>
      </c>
      <c r="AA519" s="32" t="n">
        <f aca="false">IF(OR(Z519="",N(U519)=0),"",Z519-U519)</f>
        <v>0</v>
      </c>
      <c r="AB519" s="29" t="n">
        <f aca="false">IF(N(Q519)=0,"",Q519+IF(I519="yes",Q519*Inputs!$B$10*Inputs!$B$9,0)+IFERROR(INDEX(Inputs!$B$13:$B$15,MATCH(G519,Inputs!$A$13:$A$15,0)),0)+IFERROR(INDEX(Inputs!$B$18:$B$24,MATCH(H519,Inputs!$A$18:$A$24,0)),0))</f>
        <v>0.085</v>
      </c>
      <c r="AC519" s="28" t="n">
        <f aca="false">IF(OR(N(AB519)&lt;=0,N(N519)=0,N(L519)=0),"",MIN(L519,N519/AB519))</f>
        <v>25</v>
      </c>
      <c r="AD519" s="29" t="n">
        <f aca="false">IF(OR(AC519="",N(O519)=0),"",AC519/O519-1)</f>
        <v>-0.029126213592233</v>
      </c>
      <c r="AE519" s="29" t="n">
        <f aca="false">IF(OR(AD519="",N(O519)=0),"",AD519+N519/O519)</f>
        <v>0.0643203883495146</v>
      </c>
      <c r="AF519" s="32" t="n">
        <f aca="false">IF(OR(AE519="",N(Z519)=0),"",AE519-Z519)</f>
        <v>0</v>
      </c>
      <c r="AG519" s="28" t="n">
        <f aca="false">IF(AND(N(M519)&gt;0,N(L519)&gt;0),M519*L519,N519)</f>
        <v>2.40625</v>
      </c>
      <c r="AH519" s="28" t="n">
        <f aca="false">IF(OR(N(AB519)&lt;=0,N(AG519)=0,N(L519)=0),"",MIN(L519,AG519/AB519))</f>
        <v>25</v>
      </c>
      <c r="AI519" s="29" t="n">
        <f aca="false">IF(OR(AH519="",N(O519)=0),"",AH519/O519-1)</f>
        <v>-0.029126213592233</v>
      </c>
      <c r="AJ519" s="29" t="n">
        <f aca="false">IF(OR(AI519="",N(O519)=0),"",AI519+AG519/O519)</f>
        <v>0.0643203883495146</v>
      </c>
      <c r="AK519" s="32" t="n">
        <f aca="false">IF(OR(AJ519="",N(AE519)=0),"",AJ519-AE519)</f>
        <v>0</v>
      </c>
      <c r="AL519" s="33" t="n">
        <f aca="false">IF(N(F519)=0,"",INDEX(Inputs!$B$28:$B$32,IFERROR(MATCH(F519,Inputs!$A$28:$A$32,1),0)+1))</f>
        <v>0.085</v>
      </c>
      <c r="AM519" s="34"/>
      <c r="AN519" s="33" t="n">
        <f aca="false">IF(N(AM519)&gt;0,AM519,AL519)</f>
        <v>0.085</v>
      </c>
      <c r="AO519" s="29" t="n">
        <f aca="false">IF(N(AN519)=0,"",AN519+IF(I519="yes",AN519*Inputs!$B$10*Inputs!$B$9,0)+IFERROR(INDEX(Inputs!$B$13:$B$15,MATCH(G519,Inputs!$A$13:$A$15,0)),0)+IFERROR(INDEX(Inputs!$B$18:$B$24,MATCH(H519,Inputs!$A$18:$A$24,0)),0))</f>
        <v>0.085</v>
      </c>
      <c r="AP519" s="28" t="n">
        <f aca="false">IF(OR(N(AO519)&lt;=0,N(AG519)=0,N(L519)=0),"",MIN(L519,AG519/AO519))</f>
        <v>25</v>
      </c>
      <c r="AQ519" s="29" t="n">
        <f aca="false">IF(OR(AP519="",N(O519)=0),"",AP519/O519-1)</f>
        <v>-0.029126213592233</v>
      </c>
      <c r="AR519" s="29" t="n">
        <f aca="false">IF(OR(AQ519="",N(O519)=0),"",AQ519+AG519/O519)</f>
        <v>0.0643203883495146</v>
      </c>
      <c r="AS519" s="32" t="n">
        <f aca="false">IF(OR(AR519="",N(AJ519)=0),"",AR519-AJ519)</f>
        <v>0</v>
      </c>
      <c r="AT519" s="28" t="n">
        <v>25</v>
      </c>
      <c r="AU519" s="28" t="n">
        <v>2.41</v>
      </c>
      <c r="AV519" s="28" t="n">
        <f aca="false">IF(N(AT519)&gt;0,AT519,L519)</f>
        <v>25</v>
      </c>
      <c r="AW519" s="28" t="n">
        <f aca="false">IF(AND(N(M519)&gt;0,N(AV519)&gt;0),M519*AV519,IF(N(AU519)&gt;0,AU519,N519))</f>
        <v>2.40625</v>
      </c>
      <c r="AX519" s="29" t="n">
        <f aca="false">IF(N(AN519)=0,"",AN519+IF(I519="yes",AN519*Inputs!$B$10*Inputs!$B$9,0)+IFERROR(INDEX(Inputs!$B$13:$B$15,MATCH(G519,Inputs!$A$13:$A$15,0)),0)+IFERROR(INDEX(Inputs!$B$18:$B$24,MATCH(H519,Inputs!$A$18:$A$24,0)),0))</f>
        <v>0.085</v>
      </c>
      <c r="AY519" s="28" t="n">
        <f aca="false">IF(OR(N(AX519)&lt;=0,N(AW519)=0,N(AV519)=0),"",MIN(AV519,AW519/AX519))</f>
        <v>25</v>
      </c>
      <c r="AZ519" s="29" t="n">
        <f aca="false">IF(OR(AY519="",N(O519)=0),"",AY519/O519-1)</f>
        <v>-0.029126213592233</v>
      </c>
      <c r="BA519" s="29" t="n">
        <f aca="false">IF(OR(AZ519="",N(O519)=0),"",AZ519+AW519/O519)</f>
        <v>0.0643203883495146</v>
      </c>
      <c r="BB519" s="32" t="n">
        <f aca="false">IF(OR(BA519="",N(AR519)=0),"",BA519-AR519)</f>
        <v>0</v>
      </c>
      <c r="BC519" s="35" t="n">
        <f aca="false">IF(OR(BA519="",N(U519)=0),"",BA519-U519)</f>
        <v>0</v>
      </c>
      <c r="BD519" s="37"/>
    </row>
    <row r="520" customFormat="false" ht="15" hidden="false" customHeight="false" outlineLevel="0" collapsed="false">
      <c r="A520" s="2" t="s">
        <v>1067</v>
      </c>
      <c r="B520" s="2" t="n">
        <v>39</v>
      </c>
      <c r="C520" s="2" t="s">
        <v>1095</v>
      </c>
      <c r="D520" s="2" t="s">
        <v>1096</v>
      </c>
      <c r="E520" s="2" t="s">
        <v>1097</v>
      </c>
      <c r="F520" s="27" t="n">
        <v>20000</v>
      </c>
      <c r="G520" s="2" t="s">
        <v>51</v>
      </c>
      <c r="H520" s="2" t="s">
        <v>61</v>
      </c>
      <c r="I520" s="2" t="s">
        <v>151</v>
      </c>
      <c r="J520" s="2" t="s">
        <v>145</v>
      </c>
      <c r="K520" s="2" t="n">
        <v>4</v>
      </c>
      <c r="L520" s="28" t="n">
        <v>25</v>
      </c>
      <c r="M520" s="29" t="n">
        <v>0.065</v>
      </c>
      <c r="N520" s="28" t="n">
        <v>1.625</v>
      </c>
      <c r="O520" s="28" t="n">
        <v>0</v>
      </c>
      <c r="P520" s="2" t="s">
        <v>146</v>
      </c>
      <c r="Q520" s="29" t="n">
        <v>0.08</v>
      </c>
      <c r="R520" s="30" t="n">
        <v>0.076</v>
      </c>
      <c r="S520" s="31" t="n">
        <v>21.3815789473684</v>
      </c>
      <c r="T520" s="30"/>
      <c r="U520" s="30"/>
      <c r="V520" s="29" t="n">
        <v>0</v>
      </c>
      <c r="W520" s="29" t="n">
        <f aca="false">IF(N(Q520)=0,"",Q520+IF(I520="yes",Q520*Inputs!$B$10*Inputs!$B$9,0)+V520)</f>
        <v>0.076</v>
      </c>
      <c r="X520" s="28" t="n">
        <f aca="false">IF(OR(N(W520)&lt;=0,N(N520)=0,N(L520)=0),"",MIN(L520,N520/W520))</f>
        <v>21.3815789473684</v>
      </c>
      <c r="Y520" s="29" t="str">
        <f aca="false">IF(OR(X520="",N(O520)=0),"",X520/O520-1)</f>
        <v/>
      </c>
      <c r="Z520" s="29" t="str">
        <f aca="false">IF(OR(Y520="",N(O520)=0),"",Y520+N520/O520)</f>
        <v/>
      </c>
      <c r="AA520" s="32" t="str">
        <f aca="false">IF(OR(Z520="",N(U520)=0),"",Z520-U520)</f>
        <v/>
      </c>
      <c r="AB520" s="29" t="n">
        <f aca="false">IF(N(Q520)=0,"",Q520+IF(I520="yes",Q520*Inputs!$B$10*Inputs!$B$9,0)+IFERROR(INDEX(Inputs!$B$13:$B$15,MATCH(G520,Inputs!$A$13:$A$15,0)),0)+IFERROR(INDEX(Inputs!$B$18:$B$24,MATCH(H520,Inputs!$A$18:$A$24,0)),0))</f>
        <v>0.076</v>
      </c>
      <c r="AC520" s="28" t="n">
        <f aca="false">IF(OR(N(AB520)&lt;=0,N(N520)=0,N(L520)=0),"",MIN(L520,N520/AB520))</f>
        <v>21.3815789473684</v>
      </c>
      <c r="AD520" s="29" t="str">
        <f aca="false">IF(OR(AC520="",N(O520)=0),"",AC520/O520-1)</f>
        <v/>
      </c>
      <c r="AE520" s="29" t="str">
        <f aca="false">IF(OR(AD520="",N(O520)=0),"",AD520+N520/O520)</f>
        <v/>
      </c>
      <c r="AF520" s="32" t="str">
        <f aca="false">IF(OR(AE520="",N(Z520)=0),"",AE520-Z520)</f>
        <v/>
      </c>
      <c r="AG520" s="28" t="n">
        <f aca="false">IF(AND(N(M520)&gt;0,N(L520)&gt;0),M520*L520,N520)</f>
        <v>1.625</v>
      </c>
      <c r="AH520" s="28" t="n">
        <f aca="false">IF(OR(N(AB520)&lt;=0,N(AG520)=0,N(L520)=0),"",MIN(L520,AG520/AB520))</f>
        <v>21.3815789473684</v>
      </c>
      <c r="AI520" s="29" t="str">
        <f aca="false">IF(OR(AH520="",N(O520)=0),"",AH520/O520-1)</f>
        <v/>
      </c>
      <c r="AJ520" s="29" t="str">
        <f aca="false">IF(OR(AI520="",N(O520)=0),"",AI520+AG520/O520)</f>
        <v/>
      </c>
      <c r="AK520" s="32" t="str">
        <f aca="false">IF(OR(AJ520="",N(AE520)=0),"",AJ520-AE520)</f>
        <v/>
      </c>
      <c r="AL520" s="33" t="n">
        <f aca="false">IF(N(F520)=0,"",INDEX(Inputs!$B$28:$B$32,IFERROR(MATCH(F520,Inputs!$A$28:$A$32,1),0)+1))</f>
        <v>0.075</v>
      </c>
      <c r="AM520" s="34"/>
      <c r="AN520" s="33" t="n">
        <f aca="false">IF(N(AM520)&gt;0,AM520,AL520)</f>
        <v>0.075</v>
      </c>
      <c r="AO520" s="29" t="n">
        <f aca="false">IF(N(AN520)=0,"",AN520+IF(I520="yes",AN520*Inputs!$B$10*Inputs!$B$9,0)+IFERROR(INDEX(Inputs!$B$13:$B$15,MATCH(G520,Inputs!$A$13:$A$15,0)),0)+IFERROR(INDEX(Inputs!$B$18:$B$24,MATCH(H520,Inputs!$A$18:$A$24,0)),0))</f>
        <v>0.07125</v>
      </c>
      <c r="AP520" s="28" t="n">
        <f aca="false">IF(OR(N(AO520)&lt;=0,N(AG520)=0,N(L520)=0),"",MIN(L520,AG520/AO520))</f>
        <v>22.8070175438597</v>
      </c>
      <c r="AQ520" s="29" t="str">
        <f aca="false">IF(OR(AP520="",N(O520)=0),"",AP520/O520-1)</f>
        <v/>
      </c>
      <c r="AR520" s="29" t="str">
        <f aca="false">IF(OR(AQ520="",N(O520)=0),"",AQ520+AG520/O520)</f>
        <v/>
      </c>
      <c r="AS520" s="32" t="str">
        <f aca="false">IF(OR(AR520="",N(AJ520)=0),"",AR520-AJ520)</f>
        <v/>
      </c>
      <c r="AT520" s="28"/>
      <c r="AU520" s="28"/>
      <c r="AV520" s="28" t="n">
        <f aca="false">IF(N(AT520)&gt;0,AT520,L520)</f>
        <v>25</v>
      </c>
      <c r="AW520" s="28" t="n">
        <f aca="false">IF(AND(N(M520)&gt;0,N(AV520)&gt;0),M520*AV520,IF(N(AU520)&gt;0,AU520,N520))</f>
        <v>1.625</v>
      </c>
      <c r="AX520" s="29" t="n">
        <f aca="false">IF(N(AN520)=0,"",AN520+IF(I520="yes",AN520*Inputs!$B$10*Inputs!$B$9,0)+IFERROR(INDEX(Inputs!$B$13:$B$15,MATCH(G520,Inputs!$A$13:$A$15,0)),0)+IFERROR(INDEX(Inputs!$B$18:$B$24,MATCH(H520,Inputs!$A$18:$A$24,0)),0))</f>
        <v>0.07125</v>
      </c>
      <c r="AY520" s="28" t="n">
        <f aca="false">IF(OR(N(AX520)&lt;=0,N(AW520)=0,N(AV520)=0),"",MIN(AV520,AW520/AX520))</f>
        <v>22.8070175438597</v>
      </c>
      <c r="AZ520" s="29" t="str">
        <f aca="false">IF(OR(AY520="",N(O520)=0),"",AY520/O520-1)</f>
        <v/>
      </c>
      <c r="BA520" s="29" t="str">
        <f aca="false">IF(OR(AZ520="",N(O520)=0),"",AZ520+AW520/O520)</f>
        <v/>
      </c>
      <c r="BB520" s="32" t="str">
        <f aca="false">IF(OR(BA520="",N(AR520)=0),"",BA520-AR520)</f>
        <v/>
      </c>
      <c r="BC520" s="35" t="str">
        <f aca="false">IF(OR(BA520="",N(U520)=0),"",BA520-U520)</f>
        <v/>
      </c>
      <c r="BD520" s="36" t="s">
        <v>198</v>
      </c>
    </row>
    <row r="521" customFormat="false" ht="15" hidden="false" customHeight="false" outlineLevel="0" collapsed="false">
      <c r="A521" s="2" t="s">
        <v>1067</v>
      </c>
      <c r="B521" s="2" t="n">
        <v>40</v>
      </c>
      <c r="C521" s="2" t="s">
        <v>1098</v>
      </c>
      <c r="D521" s="2" t="s">
        <v>1096</v>
      </c>
      <c r="E521" s="2" t="s">
        <v>1097</v>
      </c>
      <c r="F521" s="27" t="n">
        <v>20000</v>
      </c>
      <c r="G521" s="2" t="s">
        <v>51</v>
      </c>
      <c r="H521" s="2" t="s">
        <v>64</v>
      </c>
      <c r="I521" s="2" t="s">
        <v>144</v>
      </c>
      <c r="J521" s="2" t="s">
        <v>145</v>
      </c>
      <c r="K521" s="2" t="n">
        <v>4</v>
      </c>
      <c r="L521" s="28" t="n">
        <v>100</v>
      </c>
      <c r="M521" s="29" t="n">
        <v>0.0775</v>
      </c>
      <c r="N521" s="28" t="n">
        <v>7.75</v>
      </c>
      <c r="O521" s="28" t="n">
        <v>0</v>
      </c>
      <c r="P521" s="2" t="s">
        <v>146</v>
      </c>
      <c r="Q521" s="29" t="n">
        <v>0.08</v>
      </c>
      <c r="R521" s="30" t="n">
        <v>0.08</v>
      </c>
      <c r="S521" s="31" t="n">
        <v>96.875</v>
      </c>
      <c r="T521" s="30"/>
      <c r="U521" s="30"/>
      <c r="V521" s="29" t="n">
        <v>0</v>
      </c>
      <c r="W521" s="29" t="n">
        <f aca="false">IF(N(Q521)=0,"",Q521+IF(I521="yes",Q521*Inputs!$B$10*Inputs!$B$9,0)+V521)</f>
        <v>0.08</v>
      </c>
      <c r="X521" s="28" t="n">
        <f aca="false">IF(OR(N(W521)&lt;=0,N(N521)=0,N(L521)=0),"",MIN(L521,N521/W521))</f>
        <v>96.875</v>
      </c>
      <c r="Y521" s="29" t="str">
        <f aca="false">IF(OR(X521="",N(O521)=0),"",X521/O521-1)</f>
        <v/>
      </c>
      <c r="Z521" s="29" t="str">
        <f aca="false">IF(OR(Y521="",N(O521)=0),"",Y521+N521/O521)</f>
        <v/>
      </c>
      <c r="AA521" s="32" t="str">
        <f aca="false">IF(OR(Z521="",N(U521)=0),"",Z521-U521)</f>
        <v/>
      </c>
      <c r="AB521" s="29" t="n">
        <f aca="false">IF(N(Q521)=0,"",Q521+IF(I521="yes",Q521*Inputs!$B$10*Inputs!$B$9,0)+IFERROR(INDEX(Inputs!$B$13:$B$15,MATCH(G521,Inputs!$A$13:$A$15,0)),0)+IFERROR(INDEX(Inputs!$B$18:$B$24,MATCH(H521,Inputs!$A$18:$A$24,0)),0))</f>
        <v>0.08</v>
      </c>
      <c r="AC521" s="28" t="n">
        <f aca="false">IF(OR(N(AB521)&lt;=0,N(N521)=0,N(L521)=0),"",MIN(L521,N521/AB521))</f>
        <v>96.875</v>
      </c>
      <c r="AD521" s="29" t="str">
        <f aca="false">IF(OR(AC521="",N(O521)=0),"",AC521/O521-1)</f>
        <v/>
      </c>
      <c r="AE521" s="29" t="str">
        <f aca="false">IF(OR(AD521="",N(O521)=0),"",AD521+N521/O521)</f>
        <v/>
      </c>
      <c r="AF521" s="32" t="str">
        <f aca="false">IF(OR(AE521="",N(Z521)=0),"",AE521-Z521)</f>
        <v/>
      </c>
      <c r="AG521" s="28" t="n">
        <f aca="false">IF(AND(N(M521)&gt;0,N(L521)&gt;0),M521*L521,N521)</f>
        <v>7.75</v>
      </c>
      <c r="AH521" s="28" t="n">
        <f aca="false">IF(OR(N(AB521)&lt;=0,N(AG521)=0,N(L521)=0),"",MIN(L521,AG521/AB521))</f>
        <v>96.875</v>
      </c>
      <c r="AI521" s="29" t="str">
        <f aca="false">IF(OR(AH521="",N(O521)=0),"",AH521/O521-1)</f>
        <v/>
      </c>
      <c r="AJ521" s="29" t="str">
        <f aca="false">IF(OR(AI521="",N(O521)=0),"",AI521+AG521/O521)</f>
        <v/>
      </c>
      <c r="AK521" s="32" t="str">
        <f aca="false">IF(OR(AJ521="",N(AE521)=0),"",AJ521-AE521)</f>
        <v/>
      </c>
      <c r="AL521" s="33" t="n">
        <f aca="false">IF(N(F521)=0,"",INDEX(Inputs!$B$28:$B$32,IFERROR(MATCH(F521,Inputs!$A$28:$A$32,1),0)+1))</f>
        <v>0.075</v>
      </c>
      <c r="AM521" s="34"/>
      <c r="AN521" s="33" t="n">
        <f aca="false">IF(N(AM521)&gt;0,AM521,AL521)</f>
        <v>0.075</v>
      </c>
      <c r="AO521" s="29" t="n">
        <f aca="false">IF(N(AN521)=0,"",AN521+IF(I521="yes",AN521*Inputs!$B$10*Inputs!$B$9,0)+IFERROR(INDEX(Inputs!$B$13:$B$15,MATCH(G521,Inputs!$A$13:$A$15,0)),0)+IFERROR(INDEX(Inputs!$B$18:$B$24,MATCH(H521,Inputs!$A$18:$A$24,0)),0))</f>
        <v>0.075</v>
      </c>
      <c r="AP521" s="28" t="n">
        <f aca="false">IF(OR(N(AO521)&lt;=0,N(AG521)=0,N(L521)=0),"",MIN(L521,AG521/AO521))</f>
        <v>100</v>
      </c>
      <c r="AQ521" s="29" t="str">
        <f aca="false">IF(OR(AP521="",N(O521)=0),"",AP521/O521-1)</f>
        <v/>
      </c>
      <c r="AR521" s="29" t="str">
        <f aca="false">IF(OR(AQ521="",N(O521)=0),"",AQ521+AG521/O521)</f>
        <v/>
      </c>
      <c r="AS521" s="32" t="str">
        <f aca="false">IF(OR(AR521="",N(AJ521)=0),"",AR521-AJ521)</f>
        <v/>
      </c>
      <c r="AT521" s="28"/>
      <c r="AU521" s="28"/>
      <c r="AV521" s="28" t="n">
        <f aca="false">IF(N(AT521)&gt;0,AT521,L521)</f>
        <v>100</v>
      </c>
      <c r="AW521" s="28" t="n">
        <f aca="false">IF(AND(N(M521)&gt;0,N(AV521)&gt;0),M521*AV521,IF(N(AU521)&gt;0,AU521,N521))</f>
        <v>7.75</v>
      </c>
      <c r="AX521" s="29" t="n">
        <f aca="false">IF(N(AN521)=0,"",AN521+IF(I521="yes",AN521*Inputs!$B$10*Inputs!$B$9,0)+IFERROR(INDEX(Inputs!$B$13:$B$15,MATCH(G521,Inputs!$A$13:$A$15,0)),0)+IFERROR(INDEX(Inputs!$B$18:$B$24,MATCH(H521,Inputs!$A$18:$A$24,0)),0))</f>
        <v>0.075</v>
      </c>
      <c r="AY521" s="28" t="n">
        <f aca="false">IF(OR(N(AX521)&lt;=0,N(AW521)=0,N(AV521)=0),"",MIN(AV521,AW521/AX521))</f>
        <v>100</v>
      </c>
      <c r="AZ521" s="29" t="str">
        <f aca="false">IF(OR(AY521="",N(O521)=0),"",AY521/O521-1)</f>
        <v/>
      </c>
      <c r="BA521" s="29" t="str">
        <f aca="false">IF(OR(AZ521="",N(O521)=0),"",AZ521+AW521/O521)</f>
        <v/>
      </c>
      <c r="BB521" s="32" t="str">
        <f aca="false">IF(OR(BA521="",N(AR521)=0),"",BA521-AR521)</f>
        <v/>
      </c>
      <c r="BC521" s="35" t="str">
        <f aca="false">IF(OR(BA521="",N(U521)=0),"",BA521-U521)</f>
        <v/>
      </c>
      <c r="BD521" s="36" t="s">
        <v>198</v>
      </c>
    </row>
    <row r="522" customFormat="false" ht="15" hidden="false" customHeight="false" outlineLevel="0" collapsed="false">
      <c r="A522" s="2" t="s">
        <v>1067</v>
      </c>
      <c r="B522" s="2" t="n">
        <v>43</v>
      </c>
      <c r="C522" s="2" t="s">
        <v>1099</v>
      </c>
      <c r="D522" s="2" t="s">
        <v>1100</v>
      </c>
      <c r="E522" s="2" t="s">
        <v>1101</v>
      </c>
      <c r="F522" s="27" t="n">
        <v>17600</v>
      </c>
      <c r="G522" s="2" t="s">
        <v>51</v>
      </c>
      <c r="H522" s="2" t="s">
        <v>59</v>
      </c>
      <c r="I522" s="2" t="s">
        <v>144</v>
      </c>
      <c r="J522" s="2" t="s">
        <v>145</v>
      </c>
      <c r="K522" s="2" t="n">
        <v>4</v>
      </c>
      <c r="L522" s="28" t="n">
        <v>25</v>
      </c>
      <c r="M522" s="29" t="n">
        <v>0.0695</v>
      </c>
      <c r="N522" s="28" t="n">
        <v>1.7375</v>
      </c>
      <c r="O522" s="28" t="n">
        <v>25.77</v>
      </c>
      <c r="P522" s="2" t="s">
        <v>146</v>
      </c>
      <c r="Q522" s="29" t="n">
        <v>0.08</v>
      </c>
      <c r="R522" s="30" t="n">
        <v>0.08</v>
      </c>
      <c r="S522" s="31" t="n">
        <v>21.71875</v>
      </c>
      <c r="T522" s="30" t="n">
        <v>-0.15720799379123</v>
      </c>
      <c r="U522" s="30" t="n">
        <v>-0.0897846332945285</v>
      </c>
      <c r="V522" s="29" t="n">
        <v>0</v>
      </c>
      <c r="W522" s="29" t="n">
        <f aca="false">IF(N(Q522)=0,"",Q522+IF(I522="yes",Q522*Inputs!$B$10*Inputs!$B$9,0)+V522)</f>
        <v>0.08</v>
      </c>
      <c r="X522" s="28" t="n">
        <f aca="false">IF(OR(N(W522)&lt;=0,N(N522)=0,N(L522)=0),"",MIN(L522,N522/W522))</f>
        <v>21.71875</v>
      </c>
      <c r="Y522" s="29" t="n">
        <f aca="false">IF(OR(X522="",N(O522)=0),"",X522/O522-1)</f>
        <v>-0.15720799379123</v>
      </c>
      <c r="Z522" s="29" t="n">
        <f aca="false">IF(OR(Y522="",N(O522)=0),"",Y522+N522/O522)</f>
        <v>-0.0897846332945285</v>
      </c>
      <c r="AA522" s="32" t="n">
        <f aca="false">IF(OR(Z522="",N(U522)=0),"",Z522-U522)</f>
        <v>0</v>
      </c>
      <c r="AB522" s="29" t="n">
        <f aca="false">IF(N(Q522)=0,"",Q522+IF(I522="yes",Q522*Inputs!$B$10*Inputs!$B$9,0)+IFERROR(INDEX(Inputs!$B$13:$B$15,MATCH(G522,Inputs!$A$13:$A$15,0)),0)+IFERROR(INDEX(Inputs!$B$18:$B$24,MATCH(H522,Inputs!$A$18:$A$24,0)),0))</f>
        <v>0.08</v>
      </c>
      <c r="AC522" s="28" t="n">
        <f aca="false">IF(OR(N(AB522)&lt;=0,N(N522)=0,N(L522)=0),"",MIN(L522,N522/AB522))</f>
        <v>21.71875</v>
      </c>
      <c r="AD522" s="29" t="n">
        <f aca="false">IF(OR(AC522="",N(O522)=0),"",AC522/O522-1)</f>
        <v>-0.15720799379123</v>
      </c>
      <c r="AE522" s="29" t="n">
        <f aca="false">IF(OR(AD522="",N(O522)=0),"",AD522+N522/O522)</f>
        <v>-0.0897846332945285</v>
      </c>
      <c r="AF522" s="32" t="n">
        <f aca="false">IF(OR(AE522="",N(Z522)=0),"",AE522-Z522)</f>
        <v>0</v>
      </c>
      <c r="AG522" s="28" t="n">
        <f aca="false">IF(AND(N(M522)&gt;0,N(L522)&gt;0),M522*L522,N522)</f>
        <v>1.7375</v>
      </c>
      <c r="AH522" s="28" t="n">
        <f aca="false">IF(OR(N(AB522)&lt;=0,N(AG522)=0,N(L522)=0),"",MIN(L522,AG522/AB522))</f>
        <v>21.71875</v>
      </c>
      <c r="AI522" s="29" t="n">
        <f aca="false">IF(OR(AH522="",N(O522)=0),"",AH522/O522-1)</f>
        <v>-0.15720799379123</v>
      </c>
      <c r="AJ522" s="29" t="n">
        <f aca="false">IF(OR(AI522="",N(O522)=0),"",AI522+AG522/O522)</f>
        <v>-0.0897846332945284</v>
      </c>
      <c r="AK522" s="32" t="n">
        <f aca="false">IF(OR(AJ522="",N(AE522)=0),"",AJ522-AE522)</f>
        <v>0</v>
      </c>
      <c r="AL522" s="33" t="n">
        <f aca="false">IF(N(F522)=0,"",INDEX(Inputs!$B$28:$B$32,IFERROR(MATCH(F522,Inputs!$A$28:$A$32,1),0)+1))</f>
        <v>0.08</v>
      </c>
      <c r="AM522" s="34"/>
      <c r="AN522" s="33" t="n">
        <f aca="false">IF(N(AM522)&gt;0,AM522,AL522)</f>
        <v>0.08</v>
      </c>
      <c r="AO522" s="29" t="n">
        <f aca="false">IF(N(AN522)=0,"",AN522+IF(I522="yes",AN522*Inputs!$B$10*Inputs!$B$9,0)+IFERROR(INDEX(Inputs!$B$13:$B$15,MATCH(G522,Inputs!$A$13:$A$15,0)),0)+IFERROR(INDEX(Inputs!$B$18:$B$24,MATCH(H522,Inputs!$A$18:$A$24,0)),0))</f>
        <v>0.08</v>
      </c>
      <c r="AP522" s="28" t="n">
        <f aca="false">IF(OR(N(AO522)&lt;=0,N(AG522)=0,N(L522)=0),"",MIN(L522,AG522/AO522))</f>
        <v>21.71875</v>
      </c>
      <c r="AQ522" s="29" t="n">
        <f aca="false">IF(OR(AP522="",N(O522)=0),"",AP522/O522-1)</f>
        <v>-0.15720799379123</v>
      </c>
      <c r="AR522" s="29" t="n">
        <f aca="false">IF(OR(AQ522="",N(O522)=0),"",AQ522+AG522/O522)</f>
        <v>-0.0897846332945284</v>
      </c>
      <c r="AS522" s="32" t="n">
        <f aca="false">IF(OR(AR522="",N(AJ522)=0),"",AR522-AJ522)</f>
        <v>0</v>
      </c>
      <c r="AT522" s="28" t="n">
        <v>25</v>
      </c>
      <c r="AU522" s="28" t="n">
        <v>2.632715</v>
      </c>
      <c r="AV522" s="28" t="n">
        <f aca="false">IF(N(AT522)&gt;0,AT522,L522)</f>
        <v>25</v>
      </c>
      <c r="AW522" s="28" t="n">
        <f aca="false">IF(AND(N(M522)&gt;0,N(AV522)&gt;0),M522*AV522,IF(N(AU522)&gt;0,AU522,N522))</f>
        <v>1.7375</v>
      </c>
      <c r="AX522" s="29" t="n">
        <f aca="false">IF(N(AN522)=0,"",AN522+IF(I522="yes",AN522*Inputs!$B$10*Inputs!$B$9,0)+IFERROR(INDEX(Inputs!$B$13:$B$15,MATCH(G522,Inputs!$A$13:$A$15,0)),0)+IFERROR(INDEX(Inputs!$B$18:$B$24,MATCH(H522,Inputs!$A$18:$A$24,0)),0))</f>
        <v>0.08</v>
      </c>
      <c r="AY522" s="28" t="n">
        <f aca="false">IF(OR(N(AX522)&lt;=0,N(AW522)=0,N(AV522)=0),"",MIN(AV522,AW522/AX522))</f>
        <v>21.71875</v>
      </c>
      <c r="AZ522" s="29" t="n">
        <f aca="false">IF(OR(AY522="",N(O522)=0),"",AY522/O522-1)</f>
        <v>-0.15720799379123</v>
      </c>
      <c r="BA522" s="29" t="n">
        <f aca="false">IF(OR(AZ522="",N(O522)=0),"",AZ522+AW522/O522)</f>
        <v>-0.0897846332945284</v>
      </c>
      <c r="BB522" s="32" t="n">
        <f aca="false">IF(OR(BA522="",N(AR522)=0),"",BA522-AR522)</f>
        <v>0</v>
      </c>
      <c r="BC522" s="35" t="n">
        <f aca="false">IF(OR(BA522="",N(U522)=0),"",BA522-U522)</f>
        <v>0</v>
      </c>
      <c r="BD522" s="37"/>
    </row>
    <row r="523" customFormat="false" ht="15" hidden="false" customHeight="false" outlineLevel="0" collapsed="false">
      <c r="A523" s="2" t="s">
        <v>1067</v>
      </c>
      <c r="B523" s="2" t="n">
        <v>44</v>
      </c>
      <c r="C523" s="2" t="s">
        <v>1102</v>
      </c>
      <c r="D523" s="2" t="s">
        <v>1100</v>
      </c>
      <c r="E523" s="2" t="s">
        <v>1101</v>
      </c>
      <c r="F523" s="27" t="n">
        <v>17600</v>
      </c>
      <c r="G523" s="2" t="s">
        <v>51</v>
      </c>
      <c r="H523" s="2" t="s">
        <v>59</v>
      </c>
      <c r="I523" s="2" t="s">
        <v>144</v>
      </c>
      <c r="J523" s="2" t="s">
        <v>145</v>
      </c>
      <c r="K523" s="2" t="n">
        <v>4</v>
      </c>
      <c r="L523" s="28" t="n">
        <v>25</v>
      </c>
      <c r="M523" s="29" t="n">
        <v>0.065</v>
      </c>
      <c r="N523" s="28" t="n">
        <v>1.625</v>
      </c>
      <c r="O523" s="28" t="n">
        <v>25.47</v>
      </c>
      <c r="P523" s="2" t="s">
        <v>146</v>
      </c>
      <c r="Q523" s="29" t="n">
        <v>0.08</v>
      </c>
      <c r="R523" s="30" t="n">
        <v>0.08</v>
      </c>
      <c r="S523" s="31" t="n">
        <v>20.3125</v>
      </c>
      <c r="T523" s="30" t="n">
        <v>-0.202493129171574</v>
      </c>
      <c r="U523" s="30" t="n">
        <v>-0.1386925795053</v>
      </c>
      <c r="V523" s="29" t="n">
        <v>0</v>
      </c>
      <c r="W523" s="29" t="n">
        <f aca="false">IF(N(Q523)=0,"",Q523+IF(I523="yes",Q523*Inputs!$B$10*Inputs!$B$9,0)+V523)</f>
        <v>0.08</v>
      </c>
      <c r="X523" s="28" t="n">
        <f aca="false">IF(OR(N(W523)&lt;=0,N(N523)=0,N(L523)=0),"",MIN(L523,N523/W523))</f>
        <v>20.3125</v>
      </c>
      <c r="Y523" s="29" t="n">
        <f aca="false">IF(OR(X523="",N(O523)=0),"",X523/O523-1)</f>
        <v>-0.202493129171574</v>
      </c>
      <c r="Z523" s="29" t="n">
        <f aca="false">IF(OR(Y523="",N(O523)=0),"",Y523+N523/O523)</f>
        <v>-0.1386925795053</v>
      </c>
      <c r="AA523" s="32" t="n">
        <f aca="false">IF(OR(Z523="",N(U523)=0),"",Z523-U523)</f>
        <v>0</v>
      </c>
      <c r="AB523" s="29" t="n">
        <f aca="false">IF(N(Q523)=0,"",Q523+IF(I523="yes",Q523*Inputs!$B$10*Inputs!$B$9,0)+IFERROR(INDEX(Inputs!$B$13:$B$15,MATCH(G523,Inputs!$A$13:$A$15,0)),0)+IFERROR(INDEX(Inputs!$B$18:$B$24,MATCH(H523,Inputs!$A$18:$A$24,0)),0))</f>
        <v>0.08</v>
      </c>
      <c r="AC523" s="28" t="n">
        <f aca="false">IF(OR(N(AB523)&lt;=0,N(N523)=0,N(L523)=0),"",MIN(L523,N523/AB523))</f>
        <v>20.3125</v>
      </c>
      <c r="AD523" s="29" t="n">
        <f aca="false">IF(OR(AC523="",N(O523)=0),"",AC523/O523-1)</f>
        <v>-0.202493129171574</v>
      </c>
      <c r="AE523" s="29" t="n">
        <f aca="false">IF(OR(AD523="",N(O523)=0),"",AD523+N523/O523)</f>
        <v>-0.1386925795053</v>
      </c>
      <c r="AF523" s="32" t="n">
        <f aca="false">IF(OR(AE523="",N(Z523)=0),"",AE523-Z523)</f>
        <v>0</v>
      </c>
      <c r="AG523" s="28" t="n">
        <f aca="false">IF(AND(N(M523)&gt;0,N(L523)&gt;0),M523*L523,N523)</f>
        <v>1.625</v>
      </c>
      <c r="AH523" s="28" t="n">
        <f aca="false">IF(OR(N(AB523)&lt;=0,N(AG523)=0,N(L523)=0),"",MIN(L523,AG523/AB523))</f>
        <v>20.3125</v>
      </c>
      <c r="AI523" s="29" t="n">
        <f aca="false">IF(OR(AH523="",N(O523)=0),"",AH523/O523-1)</f>
        <v>-0.202493129171574</v>
      </c>
      <c r="AJ523" s="29" t="n">
        <f aca="false">IF(OR(AI523="",N(O523)=0),"",AI523+AG523/O523)</f>
        <v>-0.1386925795053</v>
      </c>
      <c r="AK523" s="32" t="n">
        <f aca="false">IF(OR(AJ523="",N(AE523)=0),"",AJ523-AE523)</f>
        <v>0</v>
      </c>
      <c r="AL523" s="33" t="n">
        <f aca="false">IF(N(F523)=0,"",INDEX(Inputs!$B$28:$B$32,IFERROR(MATCH(F523,Inputs!$A$28:$A$32,1),0)+1))</f>
        <v>0.08</v>
      </c>
      <c r="AM523" s="34"/>
      <c r="AN523" s="33" t="n">
        <f aca="false">IF(N(AM523)&gt;0,AM523,AL523)</f>
        <v>0.08</v>
      </c>
      <c r="AO523" s="29" t="n">
        <f aca="false">IF(N(AN523)=0,"",AN523+IF(I523="yes",AN523*Inputs!$B$10*Inputs!$B$9,0)+IFERROR(INDEX(Inputs!$B$13:$B$15,MATCH(G523,Inputs!$A$13:$A$15,0)),0)+IFERROR(INDEX(Inputs!$B$18:$B$24,MATCH(H523,Inputs!$A$18:$A$24,0)),0))</f>
        <v>0.08</v>
      </c>
      <c r="AP523" s="28" t="n">
        <f aca="false">IF(OR(N(AO523)&lt;=0,N(AG523)=0,N(L523)=0),"",MIN(L523,AG523/AO523))</f>
        <v>20.3125</v>
      </c>
      <c r="AQ523" s="29" t="n">
        <f aca="false">IF(OR(AP523="",N(O523)=0),"",AP523/O523-1)</f>
        <v>-0.202493129171574</v>
      </c>
      <c r="AR523" s="29" t="n">
        <f aca="false">IF(OR(AQ523="",N(O523)=0),"",AQ523+AG523/O523)</f>
        <v>-0.1386925795053</v>
      </c>
      <c r="AS523" s="32" t="n">
        <f aca="false">IF(OR(AR523="",N(AJ523)=0),"",AR523-AJ523)</f>
        <v>0</v>
      </c>
      <c r="AT523" s="28" t="n">
        <v>25</v>
      </c>
      <c r="AU523" s="28" t="n">
        <v>2.427465</v>
      </c>
      <c r="AV523" s="28" t="n">
        <f aca="false">IF(N(AT523)&gt;0,AT523,L523)</f>
        <v>25</v>
      </c>
      <c r="AW523" s="28" t="n">
        <f aca="false">IF(AND(N(M523)&gt;0,N(AV523)&gt;0),M523*AV523,IF(N(AU523)&gt;0,AU523,N523))</f>
        <v>1.625</v>
      </c>
      <c r="AX523" s="29" t="n">
        <f aca="false">IF(N(AN523)=0,"",AN523+IF(I523="yes",AN523*Inputs!$B$10*Inputs!$B$9,0)+IFERROR(INDEX(Inputs!$B$13:$B$15,MATCH(G523,Inputs!$A$13:$A$15,0)),0)+IFERROR(INDEX(Inputs!$B$18:$B$24,MATCH(H523,Inputs!$A$18:$A$24,0)),0))</f>
        <v>0.08</v>
      </c>
      <c r="AY523" s="28" t="n">
        <f aca="false">IF(OR(N(AX523)&lt;=0,N(AW523)=0,N(AV523)=0),"",MIN(AV523,AW523/AX523))</f>
        <v>20.3125</v>
      </c>
      <c r="AZ523" s="29" t="n">
        <f aca="false">IF(OR(AY523="",N(O523)=0),"",AY523/O523-1)</f>
        <v>-0.202493129171574</v>
      </c>
      <c r="BA523" s="29" t="n">
        <f aca="false">IF(OR(AZ523="",N(O523)=0),"",AZ523+AW523/O523)</f>
        <v>-0.1386925795053</v>
      </c>
      <c r="BB523" s="32" t="n">
        <f aca="false">IF(OR(BA523="",N(AR523)=0),"",BA523-AR523)</f>
        <v>0</v>
      </c>
      <c r="BC523" s="35" t="n">
        <f aca="false">IF(OR(BA523="",N(U523)=0),"",BA523-U523)</f>
        <v>0</v>
      </c>
      <c r="BD523" s="37"/>
    </row>
    <row r="524" customFormat="false" ht="15" hidden="false" customHeight="false" outlineLevel="0" collapsed="false">
      <c r="A524" s="2" t="s">
        <v>1067</v>
      </c>
      <c r="B524" s="2" t="n">
        <v>45</v>
      </c>
      <c r="C524" s="2" t="s">
        <v>1103</v>
      </c>
      <c r="D524" s="2" t="s">
        <v>1100</v>
      </c>
      <c r="E524" s="2" t="s">
        <v>1101</v>
      </c>
      <c r="F524" s="27" t="n">
        <v>17600</v>
      </c>
      <c r="G524" s="2" t="s">
        <v>51</v>
      </c>
      <c r="H524" s="2" t="s">
        <v>59</v>
      </c>
      <c r="I524" s="2" t="s">
        <v>144</v>
      </c>
      <c r="J524" s="2" t="s">
        <v>145</v>
      </c>
      <c r="K524" s="2" t="n">
        <v>4</v>
      </c>
      <c r="L524" s="28" t="n">
        <v>25</v>
      </c>
      <c r="M524" s="29" t="n">
        <v>0.0675</v>
      </c>
      <c r="N524" s="28" t="n">
        <v>1.6875</v>
      </c>
      <c r="O524" s="28" t="n">
        <v>25.45</v>
      </c>
      <c r="P524" s="2" t="s">
        <v>146</v>
      </c>
      <c r="Q524" s="29" t="n">
        <v>0.08</v>
      </c>
      <c r="R524" s="30" t="n">
        <v>0.08</v>
      </c>
      <c r="S524" s="31" t="n">
        <v>21.09375</v>
      </c>
      <c r="T524" s="30" t="n">
        <v>-0.171168958742633</v>
      </c>
      <c r="U524" s="30" t="n">
        <v>-0.104862475442043</v>
      </c>
      <c r="V524" s="29" t="n">
        <v>0</v>
      </c>
      <c r="W524" s="29" t="n">
        <f aca="false">IF(N(Q524)=0,"",Q524+IF(I524="yes",Q524*Inputs!$B$10*Inputs!$B$9,0)+V524)</f>
        <v>0.08</v>
      </c>
      <c r="X524" s="28" t="n">
        <f aca="false">IF(OR(N(W524)&lt;=0,N(N524)=0,N(L524)=0),"",MIN(L524,N524/W524))</f>
        <v>21.09375</v>
      </c>
      <c r="Y524" s="29" t="n">
        <f aca="false">IF(OR(X524="",N(O524)=0),"",X524/O524-1)</f>
        <v>-0.171168958742633</v>
      </c>
      <c r="Z524" s="29" t="n">
        <f aca="false">IF(OR(Y524="",N(O524)=0),"",Y524+N524/O524)</f>
        <v>-0.104862475442043</v>
      </c>
      <c r="AA524" s="32" t="n">
        <f aca="false">IF(OR(Z524="",N(U524)=0),"",Z524-U524)</f>
        <v>0</v>
      </c>
      <c r="AB524" s="29" t="n">
        <f aca="false">IF(N(Q524)=0,"",Q524+IF(I524="yes",Q524*Inputs!$B$10*Inputs!$B$9,0)+IFERROR(INDEX(Inputs!$B$13:$B$15,MATCH(G524,Inputs!$A$13:$A$15,0)),0)+IFERROR(INDEX(Inputs!$B$18:$B$24,MATCH(H524,Inputs!$A$18:$A$24,0)),0))</f>
        <v>0.08</v>
      </c>
      <c r="AC524" s="28" t="n">
        <f aca="false">IF(OR(N(AB524)&lt;=0,N(N524)=0,N(L524)=0),"",MIN(L524,N524/AB524))</f>
        <v>21.09375</v>
      </c>
      <c r="AD524" s="29" t="n">
        <f aca="false">IF(OR(AC524="",N(O524)=0),"",AC524/O524-1)</f>
        <v>-0.171168958742633</v>
      </c>
      <c r="AE524" s="29" t="n">
        <f aca="false">IF(OR(AD524="",N(O524)=0),"",AD524+N524/O524)</f>
        <v>-0.104862475442043</v>
      </c>
      <c r="AF524" s="32" t="n">
        <f aca="false">IF(OR(AE524="",N(Z524)=0),"",AE524-Z524)</f>
        <v>0</v>
      </c>
      <c r="AG524" s="28" t="n">
        <f aca="false">IF(AND(N(M524)&gt;0,N(L524)&gt;0),M524*L524,N524)</f>
        <v>1.6875</v>
      </c>
      <c r="AH524" s="28" t="n">
        <f aca="false">IF(OR(N(AB524)&lt;=0,N(AG524)=0,N(L524)=0),"",MIN(L524,AG524/AB524))</f>
        <v>21.09375</v>
      </c>
      <c r="AI524" s="29" t="n">
        <f aca="false">IF(OR(AH524="",N(O524)=0),"",AH524/O524-1)</f>
        <v>-0.171168958742633</v>
      </c>
      <c r="AJ524" s="29" t="n">
        <f aca="false">IF(OR(AI524="",N(O524)=0),"",AI524+AG524/O524)</f>
        <v>-0.104862475442043</v>
      </c>
      <c r="AK524" s="32" t="n">
        <f aca="false">IF(OR(AJ524="",N(AE524)=0),"",AJ524-AE524)</f>
        <v>0</v>
      </c>
      <c r="AL524" s="33" t="n">
        <f aca="false">IF(N(F524)=0,"",INDEX(Inputs!$B$28:$B$32,IFERROR(MATCH(F524,Inputs!$A$28:$A$32,1),0)+1))</f>
        <v>0.08</v>
      </c>
      <c r="AM524" s="34"/>
      <c r="AN524" s="33" t="n">
        <f aca="false">IF(N(AM524)&gt;0,AM524,AL524)</f>
        <v>0.08</v>
      </c>
      <c r="AO524" s="29" t="n">
        <f aca="false">IF(N(AN524)=0,"",AN524+IF(I524="yes",AN524*Inputs!$B$10*Inputs!$B$9,0)+IFERROR(INDEX(Inputs!$B$13:$B$15,MATCH(G524,Inputs!$A$13:$A$15,0)),0)+IFERROR(INDEX(Inputs!$B$18:$B$24,MATCH(H524,Inputs!$A$18:$A$24,0)),0))</f>
        <v>0.08</v>
      </c>
      <c r="AP524" s="28" t="n">
        <f aca="false">IF(OR(N(AO524)&lt;=0,N(AG524)=0,N(L524)=0),"",MIN(L524,AG524/AO524))</f>
        <v>21.09375</v>
      </c>
      <c r="AQ524" s="29" t="n">
        <f aca="false">IF(OR(AP524="",N(O524)=0),"",AP524/O524-1)</f>
        <v>-0.171168958742633</v>
      </c>
      <c r="AR524" s="29" t="n">
        <f aca="false">IF(OR(AQ524="",N(O524)=0),"",AQ524+AG524/O524)</f>
        <v>-0.104862475442043</v>
      </c>
      <c r="AS524" s="32" t="n">
        <f aca="false">IF(OR(AR524="",N(AJ524)=0),"",AR524-AJ524)</f>
        <v>0</v>
      </c>
      <c r="AT524" s="28" t="n">
        <v>25</v>
      </c>
      <c r="AU524" s="28" t="n">
        <v>1.6875</v>
      </c>
      <c r="AV524" s="28" t="n">
        <f aca="false">IF(N(AT524)&gt;0,AT524,L524)</f>
        <v>25</v>
      </c>
      <c r="AW524" s="28" t="n">
        <f aca="false">IF(AND(N(M524)&gt;0,N(AV524)&gt;0),M524*AV524,IF(N(AU524)&gt;0,AU524,N524))</f>
        <v>1.6875</v>
      </c>
      <c r="AX524" s="29" t="n">
        <f aca="false">IF(N(AN524)=0,"",AN524+IF(I524="yes",AN524*Inputs!$B$10*Inputs!$B$9,0)+IFERROR(INDEX(Inputs!$B$13:$B$15,MATCH(G524,Inputs!$A$13:$A$15,0)),0)+IFERROR(INDEX(Inputs!$B$18:$B$24,MATCH(H524,Inputs!$A$18:$A$24,0)),0))</f>
        <v>0.08</v>
      </c>
      <c r="AY524" s="28" t="n">
        <f aca="false">IF(OR(N(AX524)&lt;=0,N(AW524)=0,N(AV524)=0),"",MIN(AV524,AW524/AX524))</f>
        <v>21.09375</v>
      </c>
      <c r="AZ524" s="29" t="n">
        <f aca="false">IF(OR(AY524="",N(O524)=0),"",AY524/O524-1)</f>
        <v>-0.171168958742633</v>
      </c>
      <c r="BA524" s="29" t="n">
        <f aca="false">IF(OR(AZ524="",N(O524)=0),"",AZ524+AW524/O524)</f>
        <v>-0.104862475442043</v>
      </c>
      <c r="BB524" s="32" t="n">
        <f aca="false">IF(OR(BA524="",N(AR524)=0),"",BA524-AR524)</f>
        <v>0</v>
      </c>
      <c r="BC524" s="35" t="n">
        <f aca="false">IF(OR(BA524="",N(U524)=0),"",BA524-U524)</f>
        <v>0</v>
      </c>
      <c r="BD524" s="37"/>
    </row>
    <row r="525" customFormat="false" ht="15" hidden="false" customHeight="false" outlineLevel="0" collapsed="false">
      <c r="A525" s="2" t="s">
        <v>1067</v>
      </c>
      <c r="B525" s="2" t="n">
        <v>48</v>
      </c>
      <c r="C525" s="2" t="s">
        <v>1104</v>
      </c>
      <c r="D525" s="2" t="s">
        <v>1105</v>
      </c>
      <c r="E525" s="2" t="s">
        <v>143</v>
      </c>
      <c r="F525" s="27"/>
      <c r="G525" s="2" t="s">
        <v>51</v>
      </c>
      <c r="H525" s="2" t="s">
        <v>58</v>
      </c>
      <c r="I525" s="2" t="s">
        <v>151</v>
      </c>
      <c r="J525" s="2" t="s">
        <v>145</v>
      </c>
      <c r="K525" s="2" t="n">
        <v>4</v>
      </c>
      <c r="L525" s="28" t="n">
        <v>25</v>
      </c>
      <c r="M525" s="29" t="n">
        <v>0.0875</v>
      </c>
      <c r="N525" s="28" t="n">
        <v>2.1875</v>
      </c>
      <c r="O525" s="28" t="n">
        <v>0</v>
      </c>
      <c r="P525" s="2" t="s">
        <v>146</v>
      </c>
      <c r="Q525" s="29" t="n">
        <v>0</v>
      </c>
      <c r="R525" s="30" t="n">
        <v>0</v>
      </c>
      <c r="S525" s="31"/>
      <c r="T525" s="30"/>
      <c r="U525" s="30"/>
      <c r="V525" s="29" t="n">
        <v>0</v>
      </c>
      <c r="W525" s="29" t="str">
        <f aca="false">IF(N(Q525)=0,"",Q525+IF(I525="yes",Q525*Inputs!$B$10*Inputs!$B$9,0)+V525)</f>
        <v/>
      </c>
      <c r="X525" s="28" t="str">
        <f aca="false">IF(OR(N(W525)&lt;=0,N(N525)=0,N(L525)=0),"",MIN(L525,N525/W525))</f>
        <v/>
      </c>
      <c r="Y525" s="29" t="str">
        <f aca="false">IF(OR(X525="",N(O525)=0),"",X525/O525-1)</f>
        <v/>
      </c>
      <c r="Z525" s="29" t="str">
        <f aca="false">IF(OR(Y525="",N(O525)=0),"",Y525+N525/O525)</f>
        <v/>
      </c>
      <c r="AA525" s="32" t="str">
        <f aca="false">IF(OR(Z525="",N(U525)=0),"",Z525-U525)</f>
        <v/>
      </c>
      <c r="AB525" s="29" t="str">
        <f aca="false">IF(N(Q525)=0,"",Q525+IF(I525="yes",Q525*Inputs!$B$10*Inputs!$B$9,0)+IFERROR(INDEX(Inputs!$B$13:$B$15,MATCH(G525,Inputs!$A$13:$A$15,0)),0)+IFERROR(INDEX(Inputs!$B$18:$B$24,MATCH(H525,Inputs!$A$18:$A$24,0)),0))</f>
        <v/>
      </c>
      <c r="AC525" s="28" t="str">
        <f aca="false">IF(OR(N(AB525)&lt;=0,N(N525)=0,N(L525)=0),"",MIN(L525,N525/AB525))</f>
        <v/>
      </c>
      <c r="AD525" s="29" t="str">
        <f aca="false">IF(OR(AC525="",N(O525)=0),"",AC525/O525-1)</f>
        <v/>
      </c>
      <c r="AE525" s="29" t="str">
        <f aca="false">IF(OR(AD525="",N(O525)=0),"",AD525+N525/O525)</f>
        <v/>
      </c>
      <c r="AF525" s="32" t="str">
        <f aca="false">IF(OR(AE525="",N(Z525)=0),"",AE525-Z525)</f>
        <v/>
      </c>
      <c r="AG525" s="28" t="n">
        <f aca="false">IF(AND(N(M525)&gt;0,N(L525)&gt;0),M525*L525,N525)</f>
        <v>2.1875</v>
      </c>
      <c r="AH525" s="28" t="str">
        <f aca="false">IF(OR(N(AB525)&lt;=0,N(AG525)=0,N(L525)=0),"",MIN(L525,AG525/AB525))</f>
        <v/>
      </c>
      <c r="AI525" s="29" t="str">
        <f aca="false">IF(OR(AH525="",N(O525)=0),"",AH525/O525-1)</f>
        <v/>
      </c>
      <c r="AJ525" s="29" t="str">
        <f aca="false">IF(OR(AI525="",N(O525)=0),"",AI525+AG525/O525)</f>
        <v/>
      </c>
      <c r="AK525" s="32" t="str">
        <f aca="false">IF(OR(AJ525="",N(AE525)=0),"",AJ525-AE525)</f>
        <v/>
      </c>
      <c r="AL525" s="33" t="str">
        <f aca="false">IF(N(F525)=0,"",INDEX(Inputs!$B$28:$B$32,IFERROR(MATCH(F525,Inputs!$A$28:$A$32,1),0)+1))</f>
        <v/>
      </c>
      <c r="AM525" s="34"/>
      <c r="AN525" s="33" t="str">
        <f aca="false">IF(N(AM525)&gt;0,AM525,AL525)</f>
        <v/>
      </c>
      <c r="AO525" s="29" t="str">
        <f aca="false">IF(N(AN525)=0,"",AN525+IF(I525="yes",AN525*Inputs!$B$10*Inputs!$B$9,0)+IFERROR(INDEX(Inputs!$B$13:$B$15,MATCH(G525,Inputs!$A$13:$A$15,0)),0)+IFERROR(INDEX(Inputs!$B$18:$B$24,MATCH(H525,Inputs!$A$18:$A$24,0)),0))</f>
        <v/>
      </c>
      <c r="AP525" s="28" t="str">
        <f aca="false">IF(OR(N(AO525)&lt;=0,N(AG525)=0,N(L525)=0),"",MIN(L525,AG525/AO525))</f>
        <v/>
      </c>
      <c r="AQ525" s="29" t="str">
        <f aca="false">IF(OR(AP525="",N(O525)=0),"",AP525/O525-1)</f>
        <v/>
      </c>
      <c r="AR525" s="29" t="str">
        <f aca="false">IF(OR(AQ525="",N(O525)=0),"",AQ525+AG525/O525)</f>
        <v/>
      </c>
      <c r="AS525" s="32" t="str">
        <f aca="false">IF(OR(AR525="",N(AJ525)=0),"",AR525-AJ525)</f>
        <v/>
      </c>
      <c r="AT525" s="28"/>
      <c r="AU525" s="28"/>
      <c r="AV525" s="28" t="n">
        <f aca="false">IF(N(AT525)&gt;0,AT525,L525)</f>
        <v>25</v>
      </c>
      <c r="AW525" s="28" t="n">
        <f aca="false">IF(AND(N(M525)&gt;0,N(AV525)&gt;0),M525*AV525,IF(N(AU525)&gt;0,AU525,N525))</f>
        <v>2.1875</v>
      </c>
      <c r="AX525" s="29" t="str">
        <f aca="false">IF(N(AN525)=0,"",AN525+IF(I525="yes",AN525*Inputs!$B$10*Inputs!$B$9,0)+IFERROR(INDEX(Inputs!$B$13:$B$15,MATCH(G525,Inputs!$A$13:$A$15,0)),0)+IFERROR(INDEX(Inputs!$B$18:$B$24,MATCH(H525,Inputs!$A$18:$A$24,0)),0))</f>
        <v/>
      </c>
      <c r="AY525" s="28" t="str">
        <f aca="false">IF(OR(N(AX525)&lt;=0,N(AW525)=0,N(AV525)=0),"",MIN(AV525,AW525/AX525))</f>
        <v/>
      </c>
      <c r="AZ525" s="29" t="str">
        <f aca="false">IF(OR(AY525="",N(O525)=0),"",AY525/O525-1)</f>
        <v/>
      </c>
      <c r="BA525" s="29" t="str">
        <f aca="false">IF(OR(AZ525="",N(O525)=0),"",AZ525+AW525/O525)</f>
        <v/>
      </c>
      <c r="BB525" s="32" t="str">
        <f aca="false">IF(OR(BA525="",N(AR525)=0),"",BA525-AR525)</f>
        <v/>
      </c>
      <c r="BC525" s="35" t="str">
        <f aca="false">IF(OR(BA525="",N(U525)=0),"",BA525-U525)</f>
        <v/>
      </c>
      <c r="BD525" s="36" t="s">
        <v>147</v>
      </c>
    </row>
    <row r="526" customFormat="false" ht="15" hidden="false" customHeight="false" outlineLevel="0" collapsed="false">
      <c r="A526" s="2" t="s">
        <v>1067</v>
      </c>
      <c r="B526" s="2" t="n">
        <v>49</v>
      </c>
      <c r="C526" s="2" t="s">
        <v>1106</v>
      </c>
      <c r="D526" s="2" t="s">
        <v>1105</v>
      </c>
      <c r="E526" s="2" t="s">
        <v>143</v>
      </c>
      <c r="F526" s="27"/>
      <c r="G526" s="2" t="s">
        <v>51</v>
      </c>
      <c r="H526" s="2" t="s">
        <v>58</v>
      </c>
      <c r="I526" s="2" t="s">
        <v>151</v>
      </c>
      <c r="J526" s="2" t="s">
        <v>145</v>
      </c>
      <c r="K526" s="2" t="n">
        <v>4</v>
      </c>
      <c r="L526" s="28" t="n">
        <v>25</v>
      </c>
      <c r="M526" s="29" t="n">
        <v>0.08625</v>
      </c>
      <c r="N526" s="28" t="n">
        <v>2.15625</v>
      </c>
      <c r="O526" s="28" t="n">
        <v>0</v>
      </c>
      <c r="P526" s="2" t="s">
        <v>146</v>
      </c>
      <c r="Q526" s="29" t="n">
        <v>0</v>
      </c>
      <c r="R526" s="30" t="n">
        <v>0</v>
      </c>
      <c r="S526" s="31"/>
      <c r="T526" s="30"/>
      <c r="U526" s="30"/>
      <c r="V526" s="29" t="n">
        <v>0</v>
      </c>
      <c r="W526" s="29" t="str">
        <f aca="false">IF(N(Q526)=0,"",Q526+IF(I526="yes",Q526*Inputs!$B$10*Inputs!$B$9,0)+V526)</f>
        <v/>
      </c>
      <c r="X526" s="28" t="str">
        <f aca="false">IF(OR(N(W526)&lt;=0,N(N526)=0,N(L526)=0),"",MIN(L526,N526/W526))</f>
        <v/>
      </c>
      <c r="Y526" s="29" t="str">
        <f aca="false">IF(OR(X526="",N(O526)=0),"",X526/O526-1)</f>
        <v/>
      </c>
      <c r="Z526" s="29" t="str">
        <f aca="false">IF(OR(Y526="",N(O526)=0),"",Y526+N526/O526)</f>
        <v/>
      </c>
      <c r="AA526" s="32" t="str">
        <f aca="false">IF(OR(Z526="",N(U526)=0),"",Z526-U526)</f>
        <v/>
      </c>
      <c r="AB526" s="29" t="str">
        <f aca="false">IF(N(Q526)=0,"",Q526+IF(I526="yes",Q526*Inputs!$B$10*Inputs!$B$9,0)+IFERROR(INDEX(Inputs!$B$13:$B$15,MATCH(G526,Inputs!$A$13:$A$15,0)),0)+IFERROR(INDEX(Inputs!$B$18:$B$24,MATCH(H526,Inputs!$A$18:$A$24,0)),0))</f>
        <v/>
      </c>
      <c r="AC526" s="28" t="str">
        <f aca="false">IF(OR(N(AB526)&lt;=0,N(N526)=0,N(L526)=0),"",MIN(L526,N526/AB526))</f>
        <v/>
      </c>
      <c r="AD526" s="29" t="str">
        <f aca="false">IF(OR(AC526="",N(O526)=0),"",AC526/O526-1)</f>
        <v/>
      </c>
      <c r="AE526" s="29" t="str">
        <f aca="false">IF(OR(AD526="",N(O526)=0),"",AD526+N526/O526)</f>
        <v/>
      </c>
      <c r="AF526" s="32" t="str">
        <f aca="false">IF(OR(AE526="",N(Z526)=0),"",AE526-Z526)</f>
        <v/>
      </c>
      <c r="AG526" s="28" t="n">
        <f aca="false">IF(AND(N(M526)&gt;0,N(L526)&gt;0),M526*L526,N526)</f>
        <v>2.15625</v>
      </c>
      <c r="AH526" s="28" t="str">
        <f aca="false">IF(OR(N(AB526)&lt;=0,N(AG526)=0,N(L526)=0),"",MIN(L526,AG526/AB526))</f>
        <v/>
      </c>
      <c r="AI526" s="29" t="str">
        <f aca="false">IF(OR(AH526="",N(O526)=0),"",AH526/O526-1)</f>
        <v/>
      </c>
      <c r="AJ526" s="29" t="str">
        <f aca="false">IF(OR(AI526="",N(O526)=0),"",AI526+AG526/O526)</f>
        <v/>
      </c>
      <c r="AK526" s="32" t="str">
        <f aca="false">IF(OR(AJ526="",N(AE526)=0),"",AJ526-AE526)</f>
        <v/>
      </c>
      <c r="AL526" s="33" t="str">
        <f aca="false">IF(N(F526)=0,"",INDEX(Inputs!$B$28:$B$32,IFERROR(MATCH(F526,Inputs!$A$28:$A$32,1),0)+1))</f>
        <v/>
      </c>
      <c r="AM526" s="34"/>
      <c r="AN526" s="33" t="str">
        <f aca="false">IF(N(AM526)&gt;0,AM526,AL526)</f>
        <v/>
      </c>
      <c r="AO526" s="29" t="str">
        <f aca="false">IF(N(AN526)=0,"",AN526+IF(I526="yes",AN526*Inputs!$B$10*Inputs!$B$9,0)+IFERROR(INDEX(Inputs!$B$13:$B$15,MATCH(G526,Inputs!$A$13:$A$15,0)),0)+IFERROR(INDEX(Inputs!$B$18:$B$24,MATCH(H526,Inputs!$A$18:$A$24,0)),0))</f>
        <v/>
      </c>
      <c r="AP526" s="28" t="str">
        <f aca="false">IF(OR(N(AO526)&lt;=0,N(AG526)=0,N(L526)=0),"",MIN(L526,AG526/AO526))</f>
        <v/>
      </c>
      <c r="AQ526" s="29" t="str">
        <f aca="false">IF(OR(AP526="",N(O526)=0),"",AP526/O526-1)</f>
        <v/>
      </c>
      <c r="AR526" s="29" t="str">
        <f aca="false">IF(OR(AQ526="",N(O526)=0),"",AQ526+AG526/O526)</f>
        <v/>
      </c>
      <c r="AS526" s="32" t="str">
        <f aca="false">IF(OR(AR526="",N(AJ526)=0),"",AR526-AJ526)</f>
        <v/>
      </c>
      <c r="AT526" s="28"/>
      <c r="AU526" s="28"/>
      <c r="AV526" s="28" t="n">
        <f aca="false">IF(N(AT526)&gt;0,AT526,L526)</f>
        <v>25</v>
      </c>
      <c r="AW526" s="28" t="n">
        <f aca="false">IF(AND(N(M526)&gt;0,N(AV526)&gt;0),M526*AV526,IF(N(AU526)&gt;0,AU526,N526))</f>
        <v>2.15625</v>
      </c>
      <c r="AX526" s="29" t="str">
        <f aca="false">IF(N(AN526)=0,"",AN526+IF(I526="yes",AN526*Inputs!$B$10*Inputs!$B$9,0)+IFERROR(INDEX(Inputs!$B$13:$B$15,MATCH(G526,Inputs!$A$13:$A$15,0)),0)+IFERROR(INDEX(Inputs!$B$18:$B$24,MATCH(H526,Inputs!$A$18:$A$24,0)),0))</f>
        <v/>
      </c>
      <c r="AY526" s="28" t="str">
        <f aca="false">IF(OR(N(AX526)&lt;=0,N(AW526)=0,N(AV526)=0),"",MIN(AV526,AW526/AX526))</f>
        <v/>
      </c>
      <c r="AZ526" s="29" t="str">
        <f aca="false">IF(OR(AY526="",N(O526)=0),"",AY526/O526-1)</f>
        <v/>
      </c>
      <c r="BA526" s="29" t="str">
        <f aca="false">IF(OR(AZ526="",N(O526)=0),"",AZ526+AW526/O526)</f>
        <v/>
      </c>
      <c r="BB526" s="32" t="str">
        <f aca="false">IF(OR(BA526="",N(AR526)=0),"",BA526-AR526)</f>
        <v/>
      </c>
      <c r="BC526" s="35" t="str">
        <f aca="false">IF(OR(BA526="",N(U526)=0),"",BA526-U526)</f>
        <v/>
      </c>
      <c r="BD526" s="36" t="s">
        <v>147</v>
      </c>
    </row>
    <row r="527" customFormat="false" ht="15" hidden="false" customHeight="false" outlineLevel="0" collapsed="false">
      <c r="A527" s="2" t="s">
        <v>1067</v>
      </c>
      <c r="B527" s="2" t="n">
        <v>52</v>
      </c>
      <c r="C527" s="2" t="s">
        <v>1107</v>
      </c>
      <c r="D527" s="2" t="s">
        <v>1108</v>
      </c>
      <c r="E527" s="2" t="s">
        <v>1109</v>
      </c>
      <c r="F527" s="27" t="n">
        <v>325</v>
      </c>
      <c r="G527" s="2" t="s">
        <v>51</v>
      </c>
      <c r="H527" s="2" t="s">
        <v>58</v>
      </c>
      <c r="I527" s="2" t="s">
        <v>144</v>
      </c>
      <c r="J527" s="2" t="s">
        <v>145</v>
      </c>
      <c r="K527" s="2" t="n">
        <v>4</v>
      </c>
      <c r="L527" s="28" t="n">
        <v>25</v>
      </c>
      <c r="M527" s="29" t="n">
        <v>0.085</v>
      </c>
      <c r="N527" s="28" t="n">
        <v>2.125</v>
      </c>
      <c r="O527" s="28" t="n">
        <v>24.85</v>
      </c>
      <c r="P527" s="2" t="s">
        <v>146</v>
      </c>
      <c r="Q527" s="29" t="n">
        <v>0.085</v>
      </c>
      <c r="R527" s="30" t="n">
        <v>0.085</v>
      </c>
      <c r="S527" s="31" t="n">
        <v>25</v>
      </c>
      <c r="T527" s="30" t="n">
        <v>0.00603621730382264</v>
      </c>
      <c r="U527" s="30" t="n">
        <v>0.0915492957746476</v>
      </c>
      <c r="V527" s="29" t="n">
        <v>0</v>
      </c>
      <c r="W527" s="29" t="n">
        <f aca="false">IF(N(Q527)=0,"",Q527+IF(I527="yes",Q527*Inputs!$B$10*Inputs!$B$9,0)+V527)</f>
        <v>0.085</v>
      </c>
      <c r="X527" s="28" t="n">
        <f aca="false">IF(OR(N(W527)&lt;=0,N(N527)=0,N(L527)=0),"",MIN(L527,N527/W527))</f>
        <v>25</v>
      </c>
      <c r="Y527" s="29" t="n">
        <f aca="false">IF(OR(X527="",N(O527)=0),"",X527/O527-1)</f>
        <v>0.00603621730382264</v>
      </c>
      <c r="Z527" s="29" t="n">
        <f aca="false">IF(OR(Y527="",N(O527)=0),"",Y527+N527/O527)</f>
        <v>0.0915492957746476</v>
      </c>
      <c r="AA527" s="32" t="n">
        <f aca="false">IF(OR(Z527="",N(U527)=0),"",Z527-U527)</f>
        <v>0</v>
      </c>
      <c r="AB527" s="29" t="n">
        <f aca="false">IF(N(Q527)=0,"",Q527+IF(I527="yes",Q527*Inputs!$B$10*Inputs!$B$9,0)+IFERROR(INDEX(Inputs!$B$13:$B$15,MATCH(G527,Inputs!$A$13:$A$15,0)),0)+IFERROR(INDEX(Inputs!$B$18:$B$24,MATCH(H527,Inputs!$A$18:$A$24,0)),0))</f>
        <v>0.085</v>
      </c>
      <c r="AC527" s="28" t="n">
        <f aca="false">IF(OR(N(AB527)&lt;=0,N(N527)=0,N(L527)=0),"",MIN(L527,N527/AB527))</f>
        <v>25</v>
      </c>
      <c r="AD527" s="29" t="n">
        <f aca="false">IF(OR(AC527="",N(O527)=0),"",AC527/O527-1)</f>
        <v>0.00603621730382264</v>
      </c>
      <c r="AE527" s="29" t="n">
        <f aca="false">IF(OR(AD527="",N(O527)=0),"",AD527+N527/O527)</f>
        <v>0.0915492957746476</v>
      </c>
      <c r="AF527" s="32" t="n">
        <f aca="false">IF(OR(AE527="",N(Z527)=0),"",AE527-Z527)</f>
        <v>0</v>
      </c>
      <c r="AG527" s="28" t="n">
        <f aca="false">IF(AND(N(M527)&gt;0,N(L527)&gt;0),M527*L527,N527)</f>
        <v>2.125</v>
      </c>
      <c r="AH527" s="28" t="n">
        <f aca="false">IF(OR(N(AB527)&lt;=0,N(AG527)=0,N(L527)=0),"",MIN(L527,AG527/AB527))</f>
        <v>25</v>
      </c>
      <c r="AI527" s="29" t="n">
        <f aca="false">IF(OR(AH527="",N(O527)=0),"",AH527/O527-1)</f>
        <v>0.00603621730382264</v>
      </c>
      <c r="AJ527" s="29" t="n">
        <f aca="false">IF(OR(AI527="",N(O527)=0),"",AI527+AG527/O527)</f>
        <v>0.0915492957746476</v>
      </c>
      <c r="AK527" s="32" t="n">
        <f aca="false">IF(OR(AJ527="",N(AE527)=0),"",AJ527-AE527)</f>
        <v>0</v>
      </c>
      <c r="AL527" s="33" t="n">
        <f aca="false">IF(N(F527)=0,"",INDEX(Inputs!$B$28:$B$32,IFERROR(MATCH(F527,Inputs!$A$28:$A$32,1),0)+1))</f>
        <v>0.09</v>
      </c>
      <c r="AM527" s="34"/>
      <c r="AN527" s="33" t="n">
        <f aca="false">IF(N(AM527)&gt;0,AM527,AL527)</f>
        <v>0.09</v>
      </c>
      <c r="AO527" s="29" t="n">
        <f aca="false">IF(N(AN527)=0,"",AN527+IF(I527="yes",AN527*Inputs!$B$10*Inputs!$B$9,0)+IFERROR(INDEX(Inputs!$B$13:$B$15,MATCH(G527,Inputs!$A$13:$A$15,0)),0)+IFERROR(INDEX(Inputs!$B$18:$B$24,MATCH(H527,Inputs!$A$18:$A$24,0)),0))</f>
        <v>0.09</v>
      </c>
      <c r="AP527" s="28" t="n">
        <f aca="false">IF(OR(N(AO527)&lt;=0,N(AG527)=0,N(L527)=0),"",MIN(L527,AG527/AO527))</f>
        <v>23.6111111111111</v>
      </c>
      <c r="AQ527" s="29" t="n">
        <f aca="false">IF(OR(AP527="",N(O527)=0),"",AP527/O527-1)</f>
        <v>-0.0498546836575007</v>
      </c>
      <c r="AR527" s="29" t="n">
        <f aca="false">IF(OR(AQ527="",N(O527)=0),"",AQ527+AG527/O527)</f>
        <v>0.0356583948133243</v>
      </c>
      <c r="AS527" s="32" t="n">
        <f aca="false">IF(OR(AR527="",N(AJ527)=0),"",AR527-AJ527)</f>
        <v>-0.0558909009613233</v>
      </c>
      <c r="AT527" s="28" t="n">
        <v>25</v>
      </c>
      <c r="AU527" s="28" t="n">
        <v>2.125</v>
      </c>
      <c r="AV527" s="28" t="n">
        <f aca="false">IF(N(AT527)&gt;0,AT527,L527)</f>
        <v>25</v>
      </c>
      <c r="AW527" s="28" t="n">
        <f aca="false">IF(AND(N(M527)&gt;0,N(AV527)&gt;0),M527*AV527,IF(N(AU527)&gt;0,AU527,N527))</f>
        <v>2.125</v>
      </c>
      <c r="AX527" s="29" t="n">
        <f aca="false">IF(N(AN527)=0,"",AN527+IF(I527="yes",AN527*Inputs!$B$10*Inputs!$B$9,0)+IFERROR(INDEX(Inputs!$B$13:$B$15,MATCH(G527,Inputs!$A$13:$A$15,0)),0)+IFERROR(INDEX(Inputs!$B$18:$B$24,MATCH(H527,Inputs!$A$18:$A$24,0)),0))</f>
        <v>0.09</v>
      </c>
      <c r="AY527" s="28" t="n">
        <f aca="false">IF(OR(N(AX527)&lt;=0,N(AW527)=0,N(AV527)=0),"",MIN(AV527,AW527/AX527))</f>
        <v>23.6111111111111</v>
      </c>
      <c r="AZ527" s="29" t="n">
        <f aca="false">IF(OR(AY527="",N(O527)=0),"",AY527/O527-1)</f>
        <v>-0.0498546836575007</v>
      </c>
      <c r="BA527" s="29" t="n">
        <f aca="false">IF(OR(AZ527="",N(O527)=0),"",AZ527+AW527/O527)</f>
        <v>0.0356583948133243</v>
      </c>
      <c r="BB527" s="32" t="n">
        <f aca="false">IF(OR(BA527="",N(AR527)=0),"",BA527-AR527)</f>
        <v>0</v>
      </c>
      <c r="BC527" s="35" t="n">
        <f aca="false">IF(OR(BA527="",N(U527)=0),"",BA527-U527)</f>
        <v>-0.0558909009613233</v>
      </c>
      <c r="BD527" s="37"/>
    </row>
    <row r="528" customFormat="false" ht="15" hidden="false" customHeight="false" outlineLevel="0" collapsed="false">
      <c r="A528" s="2" t="s">
        <v>1067</v>
      </c>
      <c r="B528" s="2" t="n">
        <v>56</v>
      </c>
      <c r="C528" s="2" t="s">
        <v>1110</v>
      </c>
      <c r="D528" s="2" t="s">
        <v>1110</v>
      </c>
      <c r="E528" s="2" t="s">
        <v>1111</v>
      </c>
      <c r="F528" s="27" t="n">
        <v>213</v>
      </c>
      <c r="G528" s="2" t="s">
        <v>52</v>
      </c>
      <c r="H528" s="2" t="s">
        <v>58</v>
      </c>
      <c r="I528" s="2" t="s">
        <v>144</v>
      </c>
      <c r="J528" s="2" t="s">
        <v>145</v>
      </c>
      <c r="K528" s="2" t="n">
        <v>4</v>
      </c>
      <c r="L528" s="28" t="n">
        <v>25</v>
      </c>
      <c r="M528" s="29" t="n">
        <v>0.055</v>
      </c>
      <c r="N528" s="28" t="n">
        <v>1.375</v>
      </c>
      <c r="O528" s="28" t="n">
        <v>21.51</v>
      </c>
      <c r="P528" s="2" t="s">
        <v>146</v>
      </c>
      <c r="Q528" s="29" t="n">
        <v>0.08</v>
      </c>
      <c r="R528" s="30" t="n">
        <v>0.075</v>
      </c>
      <c r="S528" s="31" t="n">
        <v>18.3333333333333</v>
      </c>
      <c r="T528" s="30" t="n">
        <v>-0.147683248101658</v>
      </c>
      <c r="U528" s="30" t="n">
        <v>-0.0837594917092825</v>
      </c>
      <c r="V528" s="29" t="n">
        <v>-0.005</v>
      </c>
      <c r="W528" s="29" t="n">
        <f aca="false">IF(N(Q528)=0,"",Q528+IF(I528="yes",Q528*Inputs!$B$10*Inputs!$B$9,0)+V528)</f>
        <v>0.075</v>
      </c>
      <c r="X528" s="28" t="n">
        <f aca="false">IF(OR(N(W528)&lt;=0,N(N528)=0,N(L528)=0),"",MIN(L528,N528/W528))</f>
        <v>18.3333333333333</v>
      </c>
      <c r="Y528" s="29" t="n">
        <f aca="false">IF(OR(X528="",N(O528)=0),"",X528/O528-1)</f>
        <v>-0.147683248101658</v>
      </c>
      <c r="Z528" s="29" t="n">
        <f aca="false">IF(OR(Y528="",N(O528)=0),"",Y528+N528/O528)</f>
        <v>-0.0837594917092825</v>
      </c>
      <c r="AA528" s="32" t="n">
        <f aca="false">IF(OR(Z528="",N(U528)=0),"",Z528-U528)</f>
        <v>0</v>
      </c>
      <c r="AB528" s="29" t="n">
        <f aca="false">IF(N(Q528)=0,"",Q528+IF(I528="yes",Q528*Inputs!$B$10*Inputs!$B$9,0)+IFERROR(INDEX(Inputs!$B$13:$B$15,MATCH(G528,Inputs!$A$13:$A$15,0)),0)+IFERROR(INDEX(Inputs!$B$18:$B$24,MATCH(H528,Inputs!$A$18:$A$24,0)),0))</f>
        <v>0.075</v>
      </c>
      <c r="AC528" s="28" t="n">
        <f aca="false">IF(OR(N(AB528)&lt;=0,N(N528)=0,N(L528)=0),"",MIN(L528,N528/AB528))</f>
        <v>18.3333333333333</v>
      </c>
      <c r="AD528" s="29" t="n">
        <f aca="false">IF(OR(AC528="",N(O528)=0),"",AC528/O528-1)</f>
        <v>-0.147683248101658</v>
      </c>
      <c r="AE528" s="29" t="n">
        <f aca="false">IF(OR(AD528="",N(O528)=0),"",AD528+N528/O528)</f>
        <v>-0.0837594917092825</v>
      </c>
      <c r="AF528" s="32" t="n">
        <f aca="false">IF(OR(AE528="",N(Z528)=0),"",AE528-Z528)</f>
        <v>0</v>
      </c>
      <c r="AG528" s="28" t="n">
        <f aca="false">IF(AND(N(M528)&gt;0,N(L528)&gt;0),M528*L528,N528)</f>
        <v>1.375</v>
      </c>
      <c r="AH528" s="28" t="n">
        <f aca="false">IF(OR(N(AB528)&lt;=0,N(AG528)=0,N(L528)=0),"",MIN(L528,AG528/AB528))</f>
        <v>18.3333333333333</v>
      </c>
      <c r="AI528" s="29" t="n">
        <f aca="false">IF(OR(AH528="",N(O528)=0),"",AH528/O528-1)</f>
        <v>-0.147683248101658</v>
      </c>
      <c r="AJ528" s="29" t="n">
        <f aca="false">IF(OR(AI528="",N(O528)=0),"",AI528+AG528/O528)</f>
        <v>-0.0837594917092825</v>
      </c>
      <c r="AK528" s="32" t="n">
        <f aca="false">IF(OR(AJ528="",N(AE528)=0),"",AJ528-AE528)</f>
        <v>0</v>
      </c>
      <c r="AL528" s="33" t="n">
        <f aca="false">IF(N(F528)=0,"",INDEX(Inputs!$B$28:$B$32,IFERROR(MATCH(F528,Inputs!$A$28:$A$32,1),0)+1))</f>
        <v>0.1</v>
      </c>
      <c r="AM528" s="34"/>
      <c r="AN528" s="33" t="n">
        <f aca="false">IF(N(AM528)&gt;0,AM528,AL528)</f>
        <v>0.1</v>
      </c>
      <c r="AO528" s="29" t="n">
        <f aca="false">IF(N(AN528)=0,"",AN528+IF(I528="yes",AN528*Inputs!$B$10*Inputs!$B$9,0)+IFERROR(INDEX(Inputs!$B$13:$B$15,MATCH(G528,Inputs!$A$13:$A$15,0)),0)+IFERROR(INDEX(Inputs!$B$18:$B$24,MATCH(H528,Inputs!$A$18:$A$24,0)),0))</f>
        <v>0.095</v>
      </c>
      <c r="AP528" s="28" t="n">
        <f aca="false">IF(OR(N(AO528)&lt;=0,N(AG528)=0,N(L528)=0),"",MIN(L528,AG528/AO528))</f>
        <v>14.4736842105263</v>
      </c>
      <c r="AQ528" s="29" t="n">
        <f aca="false">IF(OR(AP528="",N(O528)=0),"",AP528/O528-1)</f>
        <v>-0.327118353764467</v>
      </c>
      <c r="AR528" s="29" t="n">
        <f aca="false">IF(OR(AQ528="",N(O528)=0),"",AQ528+AG528/O528)</f>
        <v>-0.263194597372091</v>
      </c>
      <c r="AS528" s="32" t="n">
        <f aca="false">IF(OR(AR528="",N(AJ528)=0),"",AR528-AJ528)</f>
        <v>-0.179435105662809</v>
      </c>
      <c r="AT528" s="28" t="n">
        <v>25</v>
      </c>
      <c r="AU528" s="28" t="n">
        <v>1.38</v>
      </c>
      <c r="AV528" s="28" t="n">
        <f aca="false">IF(N(AT528)&gt;0,AT528,L528)</f>
        <v>25</v>
      </c>
      <c r="AW528" s="28" t="n">
        <f aca="false">IF(AND(N(M528)&gt;0,N(AV528)&gt;0),M528*AV528,IF(N(AU528)&gt;0,AU528,N528))</f>
        <v>1.375</v>
      </c>
      <c r="AX528" s="29" t="n">
        <f aca="false">IF(N(AN528)=0,"",AN528+IF(I528="yes",AN528*Inputs!$B$10*Inputs!$B$9,0)+IFERROR(INDEX(Inputs!$B$13:$B$15,MATCH(G528,Inputs!$A$13:$A$15,0)),0)+IFERROR(INDEX(Inputs!$B$18:$B$24,MATCH(H528,Inputs!$A$18:$A$24,0)),0))</f>
        <v>0.095</v>
      </c>
      <c r="AY528" s="28" t="n">
        <f aca="false">IF(OR(N(AX528)&lt;=0,N(AW528)=0,N(AV528)=0),"",MIN(AV528,AW528/AX528))</f>
        <v>14.4736842105263</v>
      </c>
      <c r="AZ528" s="29" t="n">
        <f aca="false">IF(OR(AY528="",N(O528)=0),"",AY528/O528-1)</f>
        <v>-0.327118353764467</v>
      </c>
      <c r="BA528" s="29" t="n">
        <f aca="false">IF(OR(AZ528="",N(O528)=0),"",AZ528+AW528/O528)</f>
        <v>-0.263194597372091</v>
      </c>
      <c r="BB528" s="32" t="n">
        <f aca="false">IF(OR(BA528="",N(AR528)=0),"",BA528-AR528)</f>
        <v>0</v>
      </c>
      <c r="BC528" s="35" t="n">
        <f aca="false">IF(OR(BA528="",N(U528)=0),"",BA528-U528)</f>
        <v>-0.179435105662809</v>
      </c>
      <c r="BD528" s="37"/>
    </row>
    <row r="529" customFormat="false" ht="15" hidden="false" customHeight="false" outlineLevel="0" collapsed="false">
      <c r="A529" s="2" t="s">
        <v>1067</v>
      </c>
      <c r="B529" s="2" t="n">
        <v>60</v>
      </c>
      <c r="C529" s="2" t="s">
        <v>1112</v>
      </c>
      <c r="D529" s="2" t="s">
        <v>1113</v>
      </c>
      <c r="E529" s="2" t="s">
        <v>1114</v>
      </c>
      <c r="F529" s="27" t="n">
        <v>5700</v>
      </c>
      <c r="G529" s="2" t="s">
        <v>51</v>
      </c>
      <c r="H529" s="2" t="s">
        <v>59</v>
      </c>
      <c r="I529" s="2" t="s">
        <v>144</v>
      </c>
      <c r="J529" s="2" t="s">
        <v>145</v>
      </c>
      <c r="K529" s="2" t="n">
        <v>4</v>
      </c>
      <c r="L529" s="28" t="n">
        <v>25</v>
      </c>
      <c r="M529" s="29" t="n">
        <v>0.075</v>
      </c>
      <c r="N529" s="28" t="n">
        <v>1.875</v>
      </c>
      <c r="O529" s="28" t="n">
        <v>25.47</v>
      </c>
      <c r="P529" s="2" t="s">
        <v>146</v>
      </c>
      <c r="Q529" s="29" t="n">
        <v>0.09</v>
      </c>
      <c r="R529" s="30" t="n">
        <v>0.09</v>
      </c>
      <c r="S529" s="31" t="n">
        <v>20.8333333333333</v>
      </c>
      <c r="T529" s="30" t="n">
        <v>-0.182044235047769</v>
      </c>
      <c r="U529" s="30" t="n">
        <v>-0.108428216202068</v>
      </c>
      <c r="V529" s="29" t="n">
        <v>0</v>
      </c>
      <c r="W529" s="29" t="n">
        <f aca="false">IF(N(Q529)=0,"",Q529+IF(I529="yes",Q529*Inputs!$B$10*Inputs!$B$9,0)+V529)</f>
        <v>0.09</v>
      </c>
      <c r="X529" s="28" t="n">
        <f aca="false">IF(OR(N(W529)&lt;=0,N(N529)=0,N(L529)=0),"",MIN(L529,N529/W529))</f>
        <v>20.8333333333333</v>
      </c>
      <c r="Y529" s="29" t="n">
        <f aca="false">IF(OR(X529="",N(O529)=0),"",X529/O529-1)</f>
        <v>-0.182044235047769</v>
      </c>
      <c r="Z529" s="29" t="n">
        <f aca="false">IF(OR(Y529="",N(O529)=0),"",Y529+N529/O529)</f>
        <v>-0.108428216202068</v>
      </c>
      <c r="AA529" s="32" t="n">
        <f aca="false">IF(OR(Z529="",N(U529)=0),"",Z529-U529)</f>
        <v>0</v>
      </c>
      <c r="AB529" s="29" t="n">
        <f aca="false">IF(N(Q529)=0,"",Q529+IF(I529="yes",Q529*Inputs!$B$10*Inputs!$B$9,0)+IFERROR(INDEX(Inputs!$B$13:$B$15,MATCH(G529,Inputs!$A$13:$A$15,0)),0)+IFERROR(INDEX(Inputs!$B$18:$B$24,MATCH(H529,Inputs!$A$18:$A$24,0)),0))</f>
        <v>0.09</v>
      </c>
      <c r="AC529" s="28" t="n">
        <f aca="false">IF(OR(N(AB529)&lt;=0,N(N529)=0,N(L529)=0),"",MIN(L529,N529/AB529))</f>
        <v>20.8333333333333</v>
      </c>
      <c r="AD529" s="29" t="n">
        <f aca="false">IF(OR(AC529="",N(O529)=0),"",AC529/O529-1)</f>
        <v>-0.182044235047769</v>
      </c>
      <c r="AE529" s="29" t="n">
        <f aca="false">IF(OR(AD529="",N(O529)=0),"",AD529+N529/O529)</f>
        <v>-0.108428216202068</v>
      </c>
      <c r="AF529" s="32" t="n">
        <f aca="false">IF(OR(AE529="",N(Z529)=0),"",AE529-Z529)</f>
        <v>0</v>
      </c>
      <c r="AG529" s="28" t="n">
        <f aca="false">IF(AND(N(M529)&gt;0,N(L529)&gt;0),M529*L529,N529)</f>
        <v>1.875</v>
      </c>
      <c r="AH529" s="28" t="n">
        <f aca="false">IF(OR(N(AB529)&lt;=0,N(AG529)=0,N(L529)=0),"",MIN(L529,AG529/AB529))</f>
        <v>20.8333333333333</v>
      </c>
      <c r="AI529" s="29" t="n">
        <f aca="false">IF(OR(AH529="",N(O529)=0),"",AH529/O529-1)</f>
        <v>-0.182044235047769</v>
      </c>
      <c r="AJ529" s="29" t="n">
        <f aca="false">IF(OR(AI529="",N(O529)=0),"",AI529+AG529/O529)</f>
        <v>-0.108428216202068</v>
      </c>
      <c r="AK529" s="32" t="n">
        <f aca="false">IF(OR(AJ529="",N(AE529)=0),"",AJ529-AE529)</f>
        <v>0</v>
      </c>
      <c r="AL529" s="33" t="n">
        <f aca="false">IF(N(F529)=0,"",INDEX(Inputs!$B$28:$B$32,IFERROR(MATCH(F529,Inputs!$A$28:$A$32,1),0)+1))</f>
        <v>0.08</v>
      </c>
      <c r="AM529" s="34"/>
      <c r="AN529" s="33" t="n">
        <f aca="false">IF(N(AM529)&gt;0,AM529,AL529)</f>
        <v>0.08</v>
      </c>
      <c r="AO529" s="29" t="n">
        <f aca="false">IF(N(AN529)=0,"",AN529+IF(I529="yes",AN529*Inputs!$B$10*Inputs!$B$9,0)+IFERROR(INDEX(Inputs!$B$13:$B$15,MATCH(G529,Inputs!$A$13:$A$15,0)),0)+IFERROR(INDEX(Inputs!$B$18:$B$24,MATCH(H529,Inputs!$A$18:$A$24,0)),0))</f>
        <v>0.08</v>
      </c>
      <c r="AP529" s="28" t="n">
        <f aca="false">IF(OR(N(AO529)&lt;=0,N(AG529)=0,N(L529)=0),"",MIN(L529,AG529/AO529))</f>
        <v>23.4375</v>
      </c>
      <c r="AQ529" s="29" t="n">
        <f aca="false">IF(OR(AP529="",N(O529)=0),"",AP529/O529-1)</f>
        <v>-0.0797997644287397</v>
      </c>
      <c r="AR529" s="29" t="n">
        <f aca="false">IF(OR(AQ529="",N(O529)=0),"",AQ529+AG529/O529)</f>
        <v>-0.00618374558303887</v>
      </c>
      <c r="AS529" s="32" t="n">
        <f aca="false">IF(OR(AR529="",N(AJ529)=0),"",AR529-AJ529)</f>
        <v>0.102244470619029</v>
      </c>
      <c r="AT529" s="28" t="n">
        <v>25</v>
      </c>
      <c r="AU529" s="28" t="n">
        <v>1.88</v>
      </c>
      <c r="AV529" s="28" t="n">
        <f aca="false">IF(N(AT529)&gt;0,AT529,L529)</f>
        <v>25</v>
      </c>
      <c r="AW529" s="28" t="n">
        <f aca="false">IF(AND(N(M529)&gt;0,N(AV529)&gt;0),M529*AV529,IF(N(AU529)&gt;0,AU529,N529))</f>
        <v>1.875</v>
      </c>
      <c r="AX529" s="29" t="n">
        <f aca="false">IF(N(AN529)=0,"",AN529+IF(I529="yes",AN529*Inputs!$B$10*Inputs!$B$9,0)+IFERROR(INDEX(Inputs!$B$13:$B$15,MATCH(G529,Inputs!$A$13:$A$15,0)),0)+IFERROR(INDEX(Inputs!$B$18:$B$24,MATCH(H529,Inputs!$A$18:$A$24,0)),0))</f>
        <v>0.08</v>
      </c>
      <c r="AY529" s="28" t="n">
        <f aca="false">IF(OR(N(AX529)&lt;=0,N(AW529)=0,N(AV529)=0),"",MIN(AV529,AW529/AX529))</f>
        <v>23.4375</v>
      </c>
      <c r="AZ529" s="29" t="n">
        <f aca="false">IF(OR(AY529="",N(O529)=0),"",AY529/O529-1)</f>
        <v>-0.0797997644287397</v>
      </c>
      <c r="BA529" s="29" t="n">
        <f aca="false">IF(OR(AZ529="",N(O529)=0),"",AZ529+AW529/O529)</f>
        <v>-0.00618374558303887</v>
      </c>
      <c r="BB529" s="32" t="n">
        <f aca="false">IF(OR(BA529="",N(AR529)=0),"",BA529-AR529)</f>
        <v>0</v>
      </c>
      <c r="BC529" s="35" t="n">
        <f aca="false">IF(OR(BA529="",N(U529)=0),"",BA529-U529)</f>
        <v>0.102244470619029</v>
      </c>
      <c r="BD529" s="37"/>
    </row>
    <row r="530" customFormat="false" ht="15" hidden="false" customHeight="false" outlineLevel="0" collapsed="false">
      <c r="A530" s="2" t="s">
        <v>1067</v>
      </c>
      <c r="B530" s="2" t="n">
        <v>61</v>
      </c>
      <c r="C530" s="2" t="s">
        <v>1115</v>
      </c>
      <c r="D530" s="2" t="s">
        <v>1113</v>
      </c>
      <c r="E530" s="2" t="s">
        <v>1114</v>
      </c>
      <c r="F530" s="27" t="n">
        <v>5700</v>
      </c>
      <c r="G530" s="2" t="s">
        <v>51</v>
      </c>
      <c r="H530" s="2" t="s">
        <v>59</v>
      </c>
      <c r="I530" s="2" t="s">
        <v>144</v>
      </c>
      <c r="J530" s="2" t="s">
        <v>145</v>
      </c>
      <c r="K530" s="2" t="n">
        <v>4</v>
      </c>
      <c r="L530" s="28" t="n">
        <v>25</v>
      </c>
      <c r="M530" s="29" t="n">
        <v>0.0712</v>
      </c>
      <c r="N530" s="28" t="n">
        <v>1.78</v>
      </c>
      <c r="O530" s="28" t="n">
        <v>25.27</v>
      </c>
      <c r="P530" s="2" t="s">
        <v>146</v>
      </c>
      <c r="Q530" s="29" t="n">
        <v>0.09</v>
      </c>
      <c r="R530" s="30" t="n">
        <v>0.09</v>
      </c>
      <c r="S530" s="31" t="n">
        <v>19.7777777777778</v>
      </c>
      <c r="T530" s="30" t="n">
        <v>-0.217341599613068</v>
      </c>
      <c r="U530" s="30" t="n">
        <v>-0.146902343578244</v>
      </c>
      <c r="V530" s="29" t="n">
        <v>0</v>
      </c>
      <c r="W530" s="29" t="n">
        <f aca="false">IF(N(Q530)=0,"",Q530+IF(I530="yes",Q530*Inputs!$B$10*Inputs!$B$9,0)+V530)</f>
        <v>0.09</v>
      </c>
      <c r="X530" s="28" t="n">
        <f aca="false">IF(OR(N(W530)&lt;=0,N(N530)=0,N(L530)=0),"",MIN(L530,N530/W530))</f>
        <v>19.7777777777778</v>
      </c>
      <c r="Y530" s="29" t="n">
        <f aca="false">IF(OR(X530="",N(O530)=0),"",X530/O530-1)</f>
        <v>-0.217341599613068</v>
      </c>
      <c r="Z530" s="29" t="n">
        <f aca="false">IF(OR(Y530="",N(O530)=0),"",Y530+N530/O530)</f>
        <v>-0.146902343578244</v>
      </c>
      <c r="AA530" s="32" t="n">
        <f aca="false">IF(OR(Z530="",N(U530)=0),"",Z530-U530)</f>
        <v>0</v>
      </c>
      <c r="AB530" s="29" t="n">
        <f aca="false">IF(N(Q530)=0,"",Q530+IF(I530="yes",Q530*Inputs!$B$10*Inputs!$B$9,0)+IFERROR(INDEX(Inputs!$B$13:$B$15,MATCH(G530,Inputs!$A$13:$A$15,0)),0)+IFERROR(INDEX(Inputs!$B$18:$B$24,MATCH(H530,Inputs!$A$18:$A$24,0)),0))</f>
        <v>0.09</v>
      </c>
      <c r="AC530" s="28" t="n">
        <f aca="false">IF(OR(N(AB530)&lt;=0,N(N530)=0,N(L530)=0),"",MIN(L530,N530/AB530))</f>
        <v>19.7777777777778</v>
      </c>
      <c r="AD530" s="29" t="n">
        <f aca="false">IF(OR(AC530="",N(O530)=0),"",AC530/O530-1)</f>
        <v>-0.217341599613068</v>
      </c>
      <c r="AE530" s="29" t="n">
        <f aca="false">IF(OR(AD530="",N(O530)=0),"",AD530+N530/O530)</f>
        <v>-0.146902343578244</v>
      </c>
      <c r="AF530" s="32" t="n">
        <f aca="false">IF(OR(AE530="",N(Z530)=0),"",AE530-Z530)</f>
        <v>0</v>
      </c>
      <c r="AG530" s="28" t="n">
        <f aca="false">IF(AND(N(M530)&gt;0,N(L530)&gt;0),M530*L530,N530)</f>
        <v>1.78</v>
      </c>
      <c r="AH530" s="28" t="n">
        <f aca="false">IF(OR(N(AB530)&lt;=0,N(AG530)=0,N(L530)=0),"",MIN(L530,AG530/AB530))</f>
        <v>19.7777777777778</v>
      </c>
      <c r="AI530" s="29" t="n">
        <f aca="false">IF(OR(AH530="",N(O530)=0),"",AH530/O530-1)</f>
        <v>-0.217341599613068</v>
      </c>
      <c r="AJ530" s="29" t="n">
        <f aca="false">IF(OR(AI530="",N(O530)=0),"",AI530+AG530/O530)</f>
        <v>-0.146902343578244</v>
      </c>
      <c r="AK530" s="32" t="n">
        <f aca="false">IF(OR(AJ530="",N(AE530)=0),"",AJ530-AE530)</f>
        <v>0</v>
      </c>
      <c r="AL530" s="33" t="n">
        <f aca="false">IF(N(F530)=0,"",INDEX(Inputs!$B$28:$B$32,IFERROR(MATCH(F530,Inputs!$A$28:$A$32,1),0)+1))</f>
        <v>0.08</v>
      </c>
      <c r="AM530" s="34"/>
      <c r="AN530" s="33" t="n">
        <f aca="false">IF(N(AM530)&gt;0,AM530,AL530)</f>
        <v>0.08</v>
      </c>
      <c r="AO530" s="29" t="n">
        <f aca="false">IF(N(AN530)=0,"",AN530+IF(I530="yes",AN530*Inputs!$B$10*Inputs!$B$9,0)+IFERROR(INDEX(Inputs!$B$13:$B$15,MATCH(G530,Inputs!$A$13:$A$15,0)),0)+IFERROR(INDEX(Inputs!$B$18:$B$24,MATCH(H530,Inputs!$A$18:$A$24,0)),0))</f>
        <v>0.08</v>
      </c>
      <c r="AP530" s="28" t="n">
        <f aca="false">IF(OR(N(AO530)&lt;=0,N(AG530)=0,N(L530)=0),"",MIN(L530,AG530/AO530))</f>
        <v>22.25</v>
      </c>
      <c r="AQ530" s="29" t="n">
        <f aca="false">IF(OR(AP530="",N(O530)=0),"",AP530/O530-1)</f>
        <v>-0.119509299564701</v>
      </c>
      <c r="AR530" s="29" t="n">
        <f aca="false">IF(OR(AQ530="",N(O530)=0),"",AQ530+AG530/O530)</f>
        <v>-0.0490700435298773</v>
      </c>
      <c r="AS530" s="32" t="n">
        <f aca="false">IF(OR(AR530="",N(AJ530)=0),"",AR530-AJ530)</f>
        <v>0.0978323000483666</v>
      </c>
      <c r="AT530" s="28" t="n">
        <v>25</v>
      </c>
      <c r="AU530" s="28" t="n">
        <v>1.78</v>
      </c>
      <c r="AV530" s="28" t="n">
        <f aca="false">IF(N(AT530)&gt;0,AT530,L530)</f>
        <v>25</v>
      </c>
      <c r="AW530" s="28" t="n">
        <f aca="false">IF(AND(N(M530)&gt;0,N(AV530)&gt;0),M530*AV530,IF(N(AU530)&gt;0,AU530,N530))</f>
        <v>1.78</v>
      </c>
      <c r="AX530" s="29" t="n">
        <f aca="false">IF(N(AN530)=0,"",AN530+IF(I530="yes",AN530*Inputs!$B$10*Inputs!$B$9,0)+IFERROR(INDEX(Inputs!$B$13:$B$15,MATCH(G530,Inputs!$A$13:$A$15,0)),0)+IFERROR(INDEX(Inputs!$B$18:$B$24,MATCH(H530,Inputs!$A$18:$A$24,0)),0))</f>
        <v>0.08</v>
      </c>
      <c r="AY530" s="28" t="n">
        <f aca="false">IF(OR(N(AX530)&lt;=0,N(AW530)=0,N(AV530)=0),"",MIN(AV530,AW530/AX530))</f>
        <v>22.25</v>
      </c>
      <c r="AZ530" s="29" t="n">
        <f aca="false">IF(OR(AY530="",N(O530)=0),"",AY530/O530-1)</f>
        <v>-0.119509299564701</v>
      </c>
      <c r="BA530" s="29" t="n">
        <f aca="false">IF(OR(AZ530="",N(O530)=0),"",AZ530+AW530/O530)</f>
        <v>-0.0490700435298773</v>
      </c>
      <c r="BB530" s="32" t="n">
        <f aca="false">IF(OR(BA530="",N(AR530)=0),"",BA530-AR530)</f>
        <v>0</v>
      </c>
      <c r="BC530" s="35" t="n">
        <f aca="false">IF(OR(BA530="",N(U530)=0),"",BA530-U530)</f>
        <v>0.0978323000483667</v>
      </c>
      <c r="BD530" s="37"/>
    </row>
    <row r="531" customFormat="false" ht="15" hidden="false" customHeight="false" outlineLevel="0" collapsed="false">
      <c r="A531" s="2" t="s">
        <v>1067</v>
      </c>
      <c r="B531" s="2" t="n">
        <v>62</v>
      </c>
      <c r="C531" s="2" t="s">
        <v>1116</v>
      </c>
      <c r="D531" s="2" t="s">
        <v>1113</v>
      </c>
      <c r="E531" s="2" t="s">
        <v>1114</v>
      </c>
      <c r="F531" s="27" t="n">
        <v>5700</v>
      </c>
      <c r="G531" s="2" t="s">
        <v>51</v>
      </c>
      <c r="H531" s="2" t="s">
        <v>59</v>
      </c>
      <c r="I531" s="2" t="s">
        <v>144</v>
      </c>
      <c r="J531" s="2" t="s">
        <v>145</v>
      </c>
      <c r="K531" s="2" t="n">
        <v>4</v>
      </c>
      <c r="L531" s="28" t="n">
        <v>25</v>
      </c>
      <c r="M531" s="29" t="n">
        <v>0.06375</v>
      </c>
      <c r="N531" s="28" t="n">
        <v>1.59375</v>
      </c>
      <c r="O531" s="28" t="n">
        <v>24.76</v>
      </c>
      <c r="P531" s="2" t="s">
        <v>146</v>
      </c>
      <c r="Q531" s="29" t="n">
        <v>0.0695430277437367</v>
      </c>
      <c r="R531" s="30" t="n">
        <v>0.0695430277437367</v>
      </c>
      <c r="S531" s="31" t="n">
        <v>22.9174663759666</v>
      </c>
      <c r="T531" s="30" t="n">
        <v>-0.0744157360271956</v>
      </c>
      <c r="U531" s="30" t="n">
        <v>-0.0100478038785688</v>
      </c>
      <c r="V531" s="29" t="n">
        <v>0</v>
      </c>
      <c r="W531" s="29" t="n">
        <f aca="false">IF(N(Q531)=0,"",Q531+IF(I531="yes",Q531*Inputs!$B$10*Inputs!$B$9,0)+V531)</f>
        <v>0.0695430277437367</v>
      </c>
      <c r="X531" s="28" t="n">
        <f aca="false">IF(OR(N(W531)&lt;=0,N(N531)=0,N(L531)=0),"",MIN(L531,N531/W531))</f>
        <v>22.9174663759666</v>
      </c>
      <c r="Y531" s="29" t="n">
        <f aca="false">IF(OR(X531="",N(O531)=0),"",X531/O531-1)</f>
        <v>-0.0744157360271956</v>
      </c>
      <c r="Z531" s="29" t="n">
        <f aca="false">IF(OR(Y531="",N(O531)=0),"",Y531+N531/O531)</f>
        <v>-0.0100478038785688</v>
      </c>
      <c r="AA531" s="32" t="n">
        <f aca="false">IF(OR(Z531="",N(U531)=0),"",Z531-U531)</f>
        <v>0</v>
      </c>
      <c r="AB531" s="29" t="n">
        <f aca="false">IF(N(Q531)=0,"",Q531+IF(I531="yes",Q531*Inputs!$B$10*Inputs!$B$9,0)+IFERROR(INDEX(Inputs!$B$13:$B$15,MATCH(G531,Inputs!$A$13:$A$15,0)),0)+IFERROR(INDEX(Inputs!$B$18:$B$24,MATCH(H531,Inputs!$A$18:$A$24,0)),0))</f>
        <v>0.0695430277437367</v>
      </c>
      <c r="AC531" s="28" t="n">
        <f aca="false">IF(OR(N(AB531)&lt;=0,N(N531)=0,N(L531)=0),"",MIN(L531,N531/AB531))</f>
        <v>22.9174663759666</v>
      </c>
      <c r="AD531" s="29" t="n">
        <f aca="false">IF(OR(AC531="",N(O531)=0),"",AC531/O531-1)</f>
        <v>-0.0744157360271956</v>
      </c>
      <c r="AE531" s="29" t="n">
        <f aca="false">IF(OR(AD531="",N(O531)=0),"",AD531+N531/O531)</f>
        <v>-0.0100478038785688</v>
      </c>
      <c r="AF531" s="32" t="n">
        <f aca="false">IF(OR(AE531="",N(Z531)=0),"",AE531-Z531)</f>
        <v>0</v>
      </c>
      <c r="AG531" s="28" t="n">
        <f aca="false">IF(AND(N(M531)&gt;0,N(L531)&gt;0),M531*L531,N531)</f>
        <v>1.59375</v>
      </c>
      <c r="AH531" s="28" t="n">
        <f aca="false">IF(OR(N(AB531)&lt;=0,N(AG531)=0,N(L531)=0),"",MIN(L531,AG531/AB531))</f>
        <v>22.9174663759666</v>
      </c>
      <c r="AI531" s="29" t="n">
        <f aca="false">IF(OR(AH531="",N(O531)=0),"",AH531/O531-1)</f>
        <v>-0.0744157360271956</v>
      </c>
      <c r="AJ531" s="29" t="n">
        <f aca="false">IF(OR(AI531="",N(O531)=0),"",AI531+AG531/O531)</f>
        <v>-0.0100478038785688</v>
      </c>
      <c r="AK531" s="32" t="n">
        <f aca="false">IF(OR(AJ531="",N(AE531)=0),"",AJ531-AE531)</f>
        <v>0</v>
      </c>
      <c r="AL531" s="33" t="n">
        <f aca="false">IF(N(F531)=0,"",INDEX(Inputs!$B$28:$B$32,IFERROR(MATCH(F531,Inputs!$A$28:$A$32,1),0)+1))</f>
        <v>0.08</v>
      </c>
      <c r="AM531" s="34"/>
      <c r="AN531" s="33" t="n">
        <f aca="false">IF(N(AM531)&gt;0,AM531,AL531)</f>
        <v>0.08</v>
      </c>
      <c r="AO531" s="29" t="n">
        <f aca="false">IF(N(AN531)=0,"",AN531+IF(I531="yes",AN531*Inputs!$B$10*Inputs!$B$9,0)+IFERROR(INDEX(Inputs!$B$13:$B$15,MATCH(G531,Inputs!$A$13:$A$15,0)),0)+IFERROR(INDEX(Inputs!$B$18:$B$24,MATCH(H531,Inputs!$A$18:$A$24,0)),0))</f>
        <v>0.08</v>
      </c>
      <c r="AP531" s="28" t="n">
        <f aca="false">IF(OR(N(AO531)&lt;=0,N(AG531)=0,N(L531)=0),"",MIN(L531,AG531/AO531))</f>
        <v>19.921875</v>
      </c>
      <c r="AQ531" s="29" t="n">
        <f aca="false">IF(OR(AP531="",N(O531)=0),"",AP531/O531-1)</f>
        <v>-0.195400848142165</v>
      </c>
      <c r="AR531" s="29" t="n">
        <f aca="false">IF(OR(AQ531="",N(O531)=0),"",AQ531+AG531/O531)</f>
        <v>-0.131032915993538</v>
      </c>
      <c r="AS531" s="32" t="n">
        <f aca="false">IF(OR(AR531="",N(AJ531)=0),"",AR531-AJ531)</f>
        <v>-0.120985112114969</v>
      </c>
      <c r="AT531" s="28" t="n">
        <v>25</v>
      </c>
      <c r="AU531" s="28" t="n">
        <v>1.59375</v>
      </c>
      <c r="AV531" s="28" t="n">
        <f aca="false">IF(N(AT531)&gt;0,AT531,L531)</f>
        <v>25</v>
      </c>
      <c r="AW531" s="28" t="n">
        <f aca="false">IF(AND(N(M531)&gt;0,N(AV531)&gt;0),M531*AV531,IF(N(AU531)&gt;0,AU531,N531))</f>
        <v>1.59375</v>
      </c>
      <c r="AX531" s="29" t="n">
        <f aca="false">IF(N(AN531)=0,"",AN531+IF(I531="yes",AN531*Inputs!$B$10*Inputs!$B$9,0)+IFERROR(INDEX(Inputs!$B$13:$B$15,MATCH(G531,Inputs!$A$13:$A$15,0)),0)+IFERROR(INDEX(Inputs!$B$18:$B$24,MATCH(H531,Inputs!$A$18:$A$24,0)),0))</f>
        <v>0.08</v>
      </c>
      <c r="AY531" s="28" t="n">
        <f aca="false">IF(OR(N(AX531)&lt;=0,N(AW531)=0,N(AV531)=0),"",MIN(AV531,AW531/AX531))</f>
        <v>19.921875</v>
      </c>
      <c r="AZ531" s="29" t="n">
        <f aca="false">IF(OR(AY531="",N(O531)=0),"",AY531/O531-1)</f>
        <v>-0.195400848142165</v>
      </c>
      <c r="BA531" s="29" t="n">
        <f aca="false">IF(OR(AZ531="",N(O531)=0),"",AZ531+AW531/O531)</f>
        <v>-0.131032915993538</v>
      </c>
      <c r="BB531" s="32" t="n">
        <f aca="false">IF(OR(BA531="",N(AR531)=0),"",BA531-AR531)</f>
        <v>0</v>
      </c>
      <c r="BC531" s="35" t="n">
        <f aca="false">IF(OR(BA531="",N(U531)=0),"",BA531-U531)</f>
        <v>-0.120985112114969</v>
      </c>
      <c r="BD531" s="37"/>
    </row>
    <row r="532" customFormat="false" ht="15" hidden="false" customHeight="false" outlineLevel="0" collapsed="false">
      <c r="A532" s="2" t="s">
        <v>1067</v>
      </c>
      <c r="B532" s="2" t="n">
        <v>63</v>
      </c>
      <c r="C532" s="2" t="s">
        <v>1117</v>
      </c>
      <c r="D532" s="2" t="s">
        <v>1113</v>
      </c>
      <c r="E532" s="2" t="s">
        <v>1114</v>
      </c>
      <c r="F532" s="27" t="n">
        <v>5700</v>
      </c>
      <c r="G532" s="2" t="s">
        <v>51</v>
      </c>
      <c r="H532" s="2" t="s">
        <v>61</v>
      </c>
      <c r="I532" s="2" t="s">
        <v>144</v>
      </c>
      <c r="J532" s="2" t="s">
        <v>145</v>
      </c>
      <c r="K532" s="2" t="n">
        <v>4</v>
      </c>
      <c r="L532" s="28" t="n">
        <v>25</v>
      </c>
      <c r="M532" s="29" t="n">
        <v>0.07</v>
      </c>
      <c r="N532" s="28" t="n">
        <v>1.75</v>
      </c>
      <c r="O532" s="28" t="n">
        <v>25.09</v>
      </c>
      <c r="P532" s="2" t="s">
        <v>146</v>
      </c>
      <c r="Q532" s="29" t="n">
        <v>0.0695430277437367</v>
      </c>
      <c r="R532" s="30" t="n">
        <v>0.0695430277437367</v>
      </c>
      <c r="S532" s="31" t="n">
        <v>25</v>
      </c>
      <c r="T532" s="30" t="n">
        <v>-0.00358708648864092</v>
      </c>
      <c r="U532" s="30" t="n">
        <v>0.0661618174571542</v>
      </c>
      <c r="V532" s="29" t="n">
        <v>0</v>
      </c>
      <c r="W532" s="29" t="n">
        <f aca="false">IF(N(Q532)=0,"",Q532+IF(I532="yes",Q532*Inputs!$B$10*Inputs!$B$9,0)+V532)</f>
        <v>0.0695430277437367</v>
      </c>
      <c r="X532" s="28" t="n">
        <f aca="false">IF(OR(N(W532)&lt;=0,N(N532)=0,N(L532)=0),"",MIN(L532,N532/W532))</f>
        <v>25</v>
      </c>
      <c r="Y532" s="29" t="n">
        <f aca="false">IF(OR(X532="",N(O532)=0),"",X532/O532-1)</f>
        <v>-0.00358708648864092</v>
      </c>
      <c r="Z532" s="29" t="n">
        <f aca="false">IF(OR(Y532="",N(O532)=0),"",Y532+N532/O532)</f>
        <v>0.0661618174571542</v>
      </c>
      <c r="AA532" s="32" t="n">
        <f aca="false">IF(OR(Z532="",N(U532)=0),"",Z532-U532)</f>
        <v>0</v>
      </c>
      <c r="AB532" s="29" t="n">
        <f aca="false">IF(N(Q532)=0,"",Q532+IF(I532="yes",Q532*Inputs!$B$10*Inputs!$B$9,0)+IFERROR(INDEX(Inputs!$B$13:$B$15,MATCH(G532,Inputs!$A$13:$A$15,0)),0)+IFERROR(INDEX(Inputs!$B$18:$B$24,MATCH(H532,Inputs!$A$18:$A$24,0)),0))</f>
        <v>0.0695430277437367</v>
      </c>
      <c r="AC532" s="28" t="n">
        <f aca="false">IF(OR(N(AB532)&lt;=0,N(N532)=0,N(L532)=0),"",MIN(L532,N532/AB532))</f>
        <v>25</v>
      </c>
      <c r="AD532" s="29" t="n">
        <f aca="false">IF(OR(AC532="",N(O532)=0),"",AC532/O532-1)</f>
        <v>-0.00358708648864092</v>
      </c>
      <c r="AE532" s="29" t="n">
        <f aca="false">IF(OR(AD532="",N(O532)=0),"",AD532+N532/O532)</f>
        <v>0.0661618174571542</v>
      </c>
      <c r="AF532" s="32" t="n">
        <f aca="false">IF(OR(AE532="",N(Z532)=0),"",AE532-Z532)</f>
        <v>0</v>
      </c>
      <c r="AG532" s="28" t="n">
        <f aca="false">IF(AND(N(M532)&gt;0,N(L532)&gt;0),M532*L532,N532)</f>
        <v>1.75</v>
      </c>
      <c r="AH532" s="28" t="n">
        <f aca="false">IF(OR(N(AB532)&lt;=0,N(AG532)=0,N(L532)=0),"",MIN(L532,AG532/AB532))</f>
        <v>25</v>
      </c>
      <c r="AI532" s="29" t="n">
        <f aca="false">IF(OR(AH532="",N(O532)=0),"",AH532/O532-1)</f>
        <v>-0.00358708648864092</v>
      </c>
      <c r="AJ532" s="29" t="n">
        <f aca="false">IF(OR(AI532="",N(O532)=0),"",AI532+AG532/O532)</f>
        <v>0.0661618174571542</v>
      </c>
      <c r="AK532" s="32" t="n">
        <f aca="false">IF(OR(AJ532="",N(AE532)=0),"",AJ532-AE532)</f>
        <v>0</v>
      </c>
      <c r="AL532" s="33" t="n">
        <f aca="false">IF(N(F532)=0,"",INDEX(Inputs!$B$28:$B$32,IFERROR(MATCH(F532,Inputs!$A$28:$A$32,1),0)+1))</f>
        <v>0.08</v>
      </c>
      <c r="AM532" s="34"/>
      <c r="AN532" s="33" t="n">
        <f aca="false">IF(N(AM532)&gt;0,AM532,AL532)</f>
        <v>0.08</v>
      </c>
      <c r="AO532" s="29" t="n">
        <f aca="false">IF(N(AN532)=0,"",AN532+IF(I532="yes",AN532*Inputs!$B$10*Inputs!$B$9,0)+IFERROR(INDEX(Inputs!$B$13:$B$15,MATCH(G532,Inputs!$A$13:$A$15,0)),0)+IFERROR(INDEX(Inputs!$B$18:$B$24,MATCH(H532,Inputs!$A$18:$A$24,0)),0))</f>
        <v>0.08</v>
      </c>
      <c r="AP532" s="28" t="n">
        <f aca="false">IF(OR(N(AO532)&lt;=0,N(AG532)=0,N(L532)=0),"",MIN(L532,AG532/AO532))</f>
        <v>21.875</v>
      </c>
      <c r="AQ532" s="29" t="n">
        <f aca="false">IF(OR(AP532="",N(O532)=0),"",AP532/O532-1)</f>
        <v>-0.128138700677561</v>
      </c>
      <c r="AR532" s="29" t="n">
        <f aca="false">IF(OR(AQ532="",N(O532)=0),"",AQ532+AG532/O532)</f>
        <v>-0.0583897967317655</v>
      </c>
      <c r="AS532" s="32" t="n">
        <f aca="false">IF(OR(AR532="",N(AJ532)=0),"",AR532-AJ532)</f>
        <v>-0.12455161418892</v>
      </c>
      <c r="AT532" s="28" t="n">
        <v>25</v>
      </c>
      <c r="AU532" s="28" t="n">
        <v>1.75</v>
      </c>
      <c r="AV532" s="28" t="n">
        <f aca="false">IF(N(AT532)&gt;0,AT532,L532)</f>
        <v>25</v>
      </c>
      <c r="AW532" s="28" t="n">
        <f aca="false">IF(AND(N(M532)&gt;0,N(AV532)&gt;0),M532*AV532,IF(N(AU532)&gt;0,AU532,N532))</f>
        <v>1.75</v>
      </c>
      <c r="AX532" s="29" t="n">
        <f aca="false">IF(N(AN532)=0,"",AN532+IF(I532="yes",AN532*Inputs!$B$10*Inputs!$B$9,0)+IFERROR(INDEX(Inputs!$B$13:$B$15,MATCH(G532,Inputs!$A$13:$A$15,0)),0)+IFERROR(INDEX(Inputs!$B$18:$B$24,MATCH(H532,Inputs!$A$18:$A$24,0)),0))</f>
        <v>0.08</v>
      </c>
      <c r="AY532" s="28" t="n">
        <f aca="false">IF(OR(N(AX532)&lt;=0,N(AW532)=0,N(AV532)=0),"",MIN(AV532,AW532/AX532))</f>
        <v>21.875</v>
      </c>
      <c r="AZ532" s="29" t="n">
        <f aca="false">IF(OR(AY532="",N(O532)=0),"",AY532/O532-1)</f>
        <v>-0.128138700677561</v>
      </c>
      <c r="BA532" s="29" t="n">
        <f aca="false">IF(OR(AZ532="",N(O532)=0),"",AZ532+AW532/O532)</f>
        <v>-0.0583897967317655</v>
      </c>
      <c r="BB532" s="32" t="n">
        <f aca="false">IF(OR(BA532="",N(AR532)=0),"",BA532-AR532)</f>
        <v>0</v>
      </c>
      <c r="BC532" s="35" t="n">
        <f aca="false">IF(OR(BA532="",N(U532)=0),"",BA532-U532)</f>
        <v>-0.12455161418892</v>
      </c>
      <c r="BD532" s="37"/>
    </row>
    <row r="533" customFormat="false" ht="15" hidden="false" customHeight="false" outlineLevel="0" collapsed="false">
      <c r="A533" s="2" t="s">
        <v>1067</v>
      </c>
      <c r="B533" s="2" t="n">
        <v>66</v>
      </c>
      <c r="C533" s="2" t="s">
        <v>1118</v>
      </c>
      <c r="D533" s="2" t="s">
        <v>1119</v>
      </c>
      <c r="E533" s="2" t="s">
        <v>143</v>
      </c>
      <c r="F533" s="27"/>
      <c r="G533" s="2" t="s">
        <v>51</v>
      </c>
      <c r="H533" s="2" t="s">
        <v>59</v>
      </c>
      <c r="I533" s="2" t="s">
        <v>144</v>
      </c>
      <c r="J533" s="2" t="s">
        <v>145</v>
      </c>
      <c r="K533" s="2" t="n">
        <v>4</v>
      </c>
      <c r="L533" s="28" t="n">
        <v>25</v>
      </c>
      <c r="M533" s="29" t="n">
        <v>0.085</v>
      </c>
      <c r="N533" s="28" t="n">
        <v>2.125</v>
      </c>
      <c r="O533" s="28" t="n">
        <v>0</v>
      </c>
      <c r="P533" s="2" t="s">
        <v>146</v>
      </c>
      <c r="Q533" s="29" t="n">
        <v>0</v>
      </c>
      <c r="R533" s="30" t="n">
        <v>0</v>
      </c>
      <c r="S533" s="31"/>
      <c r="T533" s="30"/>
      <c r="U533" s="30"/>
      <c r="V533" s="29" t="n">
        <v>0</v>
      </c>
      <c r="W533" s="29" t="str">
        <f aca="false">IF(N(Q533)=0,"",Q533+IF(I533="yes",Q533*Inputs!$B$10*Inputs!$B$9,0)+V533)</f>
        <v/>
      </c>
      <c r="X533" s="28" t="str">
        <f aca="false">IF(OR(N(W533)&lt;=0,N(N533)=0,N(L533)=0),"",MIN(L533,N533/W533))</f>
        <v/>
      </c>
      <c r="Y533" s="29" t="str">
        <f aca="false">IF(OR(X533="",N(O533)=0),"",X533/O533-1)</f>
        <v/>
      </c>
      <c r="Z533" s="29" t="str">
        <f aca="false">IF(OR(Y533="",N(O533)=0),"",Y533+N533/O533)</f>
        <v/>
      </c>
      <c r="AA533" s="32" t="str">
        <f aca="false">IF(OR(Z533="",N(U533)=0),"",Z533-U533)</f>
        <v/>
      </c>
      <c r="AB533" s="29" t="str">
        <f aca="false">IF(N(Q533)=0,"",Q533+IF(I533="yes",Q533*Inputs!$B$10*Inputs!$B$9,0)+IFERROR(INDEX(Inputs!$B$13:$B$15,MATCH(G533,Inputs!$A$13:$A$15,0)),0)+IFERROR(INDEX(Inputs!$B$18:$B$24,MATCH(H533,Inputs!$A$18:$A$24,0)),0))</f>
        <v/>
      </c>
      <c r="AC533" s="28" t="str">
        <f aca="false">IF(OR(N(AB533)&lt;=0,N(N533)=0,N(L533)=0),"",MIN(L533,N533/AB533))</f>
        <v/>
      </c>
      <c r="AD533" s="29" t="str">
        <f aca="false">IF(OR(AC533="",N(O533)=0),"",AC533/O533-1)</f>
        <v/>
      </c>
      <c r="AE533" s="29" t="str">
        <f aca="false">IF(OR(AD533="",N(O533)=0),"",AD533+N533/O533)</f>
        <v/>
      </c>
      <c r="AF533" s="32" t="str">
        <f aca="false">IF(OR(AE533="",N(Z533)=0),"",AE533-Z533)</f>
        <v/>
      </c>
      <c r="AG533" s="28" t="n">
        <f aca="false">IF(AND(N(M533)&gt;0,N(L533)&gt;0),M533*L533,N533)</f>
        <v>2.125</v>
      </c>
      <c r="AH533" s="28" t="str">
        <f aca="false">IF(OR(N(AB533)&lt;=0,N(AG533)=0,N(L533)=0),"",MIN(L533,AG533/AB533))</f>
        <v/>
      </c>
      <c r="AI533" s="29" t="str">
        <f aca="false">IF(OR(AH533="",N(O533)=0),"",AH533/O533-1)</f>
        <v/>
      </c>
      <c r="AJ533" s="29" t="str">
        <f aca="false">IF(OR(AI533="",N(O533)=0),"",AI533+AG533/O533)</f>
        <v/>
      </c>
      <c r="AK533" s="32" t="str">
        <f aca="false">IF(OR(AJ533="",N(AE533)=0),"",AJ533-AE533)</f>
        <v/>
      </c>
      <c r="AL533" s="33" t="str">
        <f aca="false">IF(N(F533)=0,"",INDEX(Inputs!$B$28:$B$32,IFERROR(MATCH(F533,Inputs!$A$28:$A$32,1),0)+1))</f>
        <v/>
      </c>
      <c r="AM533" s="34"/>
      <c r="AN533" s="33" t="str">
        <f aca="false">IF(N(AM533)&gt;0,AM533,AL533)</f>
        <v/>
      </c>
      <c r="AO533" s="29" t="str">
        <f aca="false">IF(N(AN533)=0,"",AN533+IF(I533="yes",AN533*Inputs!$B$10*Inputs!$B$9,0)+IFERROR(INDEX(Inputs!$B$13:$B$15,MATCH(G533,Inputs!$A$13:$A$15,0)),0)+IFERROR(INDEX(Inputs!$B$18:$B$24,MATCH(H533,Inputs!$A$18:$A$24,0)),0))</f>
        <v/>
      </c>
      <c r="AP533" s="28" t="str">
        <f aca="false">IF(OR(N(AO533)&lt;=0,N(AG533)=0,N(L533)=0),"",MIN(L533,AG533/AO533))</f>
        <v/>
      </c>
      <c r="AQ533" s="29" t="str">
        <f aca="false">IF(OR(AP533="",N(O533)=0),"",AP533/O533-1)</f>
        <v/>
      </c>
      <c r="AR533" s="29" t="str">
        <f aca="false">IF(OR(AQ533="",N(O533)=0),"",AQ533+AG533/O533)</f>
        <v/>
      </c>
      <c r="AS533" s="32" t="str">
        <f aca="false">IF(OR(AR533="",N(AJ533)=0),"",AR533-AJ533)</f>
        <v/>
      </c>
      <c r="AT533" s="28"/>
      <c r="AU533" s="28"/>
      <c r="AV533" s="28" t="n">
        <f aca="false">IF(N(AT533)&gt;0,AT533,L533)</f>
        <v>25</v>
      </c>
      <c r="AW533" s="28" t="n">
        <f aca="false">IF(AND(N(M533)&gt;0,N(AV533)&gt;0),M533*AV533,IF(N(AU533)&gt;0,AU533,N533))</f>
        <v>2.125</v>
      </c>
      <c r="AX533" s="29" t="str">
        <f aca="false">IF(N(AN533)=0,"",AN533+IF(I533="yes",AN533*Inputs!$B$10*Inputs!$B$9,0)+IFERROR(INDEX(Inputs!$B$13:$B$15,MATCH(G533,Inputs!$A$13:$A$15,0)),0)+IFERROR(INDEX(Inputs!$B$18:$B$24,MATCH(H533,Inputs!$A$18:$A$24,0)),0))</f>
        <v/>
      </c>
      <c r="AY533" s="28" t="str">
        <f aca="false">IF(OR(N(AX533)&lt;=0,N(AW533)=0,N(AV533)=0),"",MIN(AV533,AW533/AX533))</f>
        <v/>
      </c>
      <c r="AZ533" s="29" t="str">
        <f aca="false">IF(OR(AY533="",N(O533)=0),"",AY533/O533-1)</f>
        <v/>
      </c>
      <c r="BA533" s="29" t="str">
        <f aca="false">IF(OR(AZ533="",N(O533)=0),"",AZ533+AW533/O533)</f>
        <v/>
      </c>
      <c r="BB533" s="32" t="str">
        <f aca="false">IF(OR(BA533="",N(AR533)=0),"",BA533-AR533)</f>
        <v/>
      </c>
      <c r="BC533" s="35" t="str">
        <f aca="false">IF(OR(BA533="",N(U533)=0),"",BA533-U533)</f>
        <v/>
      </c>
      <c r="BD533" s="36" t="s">
        <v>147</v>
      </c>
    </row>
    <row r="534" customFormat="false" ht="15" hidden="false" customHeight="false" outlineLevel="0" collapsed="false">
      <c r="A534" s="2" t="s">
        <v>1067</v>
      </c>
      <c r="B534" s="2" t="n">
        <v>67</v>
      </c>
      <c r="C534" s="2" t="s">
        <v>1120</v>
      </c>
      <c r="D534" s="2" t="s">
        <v>1119</v>
      </c>
      <c r="E534" s="2" t="s">
        <v>143</v>
      </c>
      <c r="F534" s="27"/>
      <c r="G534" s="2" t="s">
        <v>51</v>
      </c>
      <c r="H534" s="2" t="s">
        <v>59</v>
      </c>
      <c r="I534" s="2" t="s">
        <v>144</v>
      </c>
      <c r="J534" s="2" t="s">
        <v>145</v>
      </c>
      <c r="K534" s="2" t="n">
        <v>4</v>
      </c>
      <c r="L534" s="28" t="n">
        <v>25</v>
      </c>
      <c r="M534" s="29" t="n">
        <v>0.07625</v>
      </c>
      <c r="N534" s="28" t="n">
        <v>1.90625</v>
      </c>
      <c r="O534" s="28" t="n">
        <v>0</v>
      </c>
      <c r="P534" s="2" t="s">
        <v>146</v>
      </c>
      <c r="Q534" s="29" t="n">
        <v>0</v>
      </c>
      <c r="R534" s="30" t="n">
        <v>0</v>
      </c>
      <c r="S534" s="31"/>
      <c r="T534" s="30"/>
      <c r="U534" s="30"/>
      <c r="V534" s="29" t="n">
        <v>0</v>
      </c>
      <c r="W534" s="29" t="str">
        <f aca="false">IF(N(Q534)=0,"",Q534+IF(I534="yes",Q534*Inputs!$B$10*Inputs!$B$9,0)+V534)</f>
        <v/>
      </c>
      <c r="X534" s="28" t="str">
        <f aca="false">IF(OR(N(W534)&lt;=0,N(N534)=0,N(L534)=0),"",MIN(L534,N534/W534))</f>
        <v/>
      </c>
      <c r="Y534" s="29" t="str">
        <f aca="false">IF(OR(X534="",N(O534)=0),"",X534/O534-1)</f>
        <v/>
      </c>
      <c r="Z534" s="29" t="str">
        <f aca="false">IF(OR(Y534="",N(O534)=0),"",Y534+N534/O534)</f>
        <v/>
      </c>
      <c r="AA534" s="32" t="str">
        <f aca="false">IF(OR(Z534="",N(U534)=0),"",Z534-U534)</f>
        <v/>
      </c>
      <c r="AB534" s="29" t="str">
        <f aca="false">IF(N(Q534)=0,"",Q534+IF(I534="yes",Q534*Inputs!$B$10*Inputs!$B$9,0)+IFERROR(INDEX(Inputs!$B$13:$B$15,MATCH(G534,Inputs!$A$13:$A$15,0)),0)+IFERROR(INDEX(Inputs!$B$18:$B$24,MATCH(H534,Inputs!$A$18:$A$24,0)),0))</f>
        <v/>
      </c>
      <c r="AC534" s="28" t="str">
        <f aca="false">IF(OR(N(AB534)&lt;=0,N(N534)=0,N(L534)=0),"",MIN(L534,N534/AB534))</f>
        <v/>
      </c>
      <c r="AD534" s="29" t="str">
        <f aca="false">IF(OR(AC534="",N(O534)=0),"",AC534/O534-1)</f>
        <v/>
      </c>
      <c r="AE534" s="29" t="str">
        <f aca="false">IF(OR(AD534="",N(O534)=0),"",AD534+N534/O534)</f>
        <v/>
      </c>
      <c r="AF534" s="32" t="str">
        <f aca="false">IF(OR(AE534="",N(Z534)=0),"",AE534-Z534)</f>
        <v/>
      </c>
      <c r="AG534" s="28" t="n">
        <f aca="false">IF(AND(N(M534)&gt;0,N(L534)&gt;0),M534*L534,N534)</f>
        <v>1.90625</v>
      </c>
      <c r="AH534" s="28" t="str">
        <f aca="false">IF(OR(N(AB534)&lt;=0,N(AG534)=0,N(L534)=0),"",MIN(L534,AG534/AB534))</f>
        <v/>
      </c>
      <c r="AI534" s="29" t="str">
        <f aca="false">IF(OR(AH534="",N(O534)=0),"",AH534/O534-1)</f>
        <v/>
      </c>
      <c r="AJ534" s="29" t="str">
        <f aca="false">IF(OR(AI534="",N(O534)=0),"",AI534+AG534/O534)</f>
        <v/>
      </c>
      <c r="AK534" s="32" t="str">
        <f aca="false">IF(OR(AJ534="",N(AE534)=0),"",AJ534-AE534)</f>
        <v/>
      </c>
      <c r="AL534" s="33" t="str">
        <f aca="false">IF(N(F534)=0,"",INDEX(Inputs!$B$28:$B$32,IFERROR(MATCH(F534,Inputs!$A$28:$A$32,1),0)+1))</f>
        <v/>
      </c>
      <c r="AM534" s="34"/>
      <c r="AN534" s="33" t="str">
        <f aca="false">IF(N(AM534)&gt;0,AM534,AL534)</f>
        <v/>
      </c>
      <c r="AO534" s="29" t="str">
        <f aca="false">IF(N(AN534)=0,"",AN534+IF(I534="yes",AN534*Inputs!$B$10*Inputs!$B$9,0)+IFERROR(INDEX(Inputs!$B$13:$B$15,MATCH(G534,Inputs!$A$13:$A$15,0)),0)+IFERROR(INDEX(Inputs!$B$18:$B$24,MATCH(H534,Inputs!$A$18:$A$24,0)),0))</f>
        <v/>
      </c>
      <c r="AP534" s="28" t="str">
        <f aca="false">IF(OR(N(AO534)&lt;=0,N(AG534)=0,N(L534)=0),"",MIN(L534,AG534/AO534))</f>
        <v/>
      </c>
      <c r="AQ534" s="29" t="str">
        <f aca="false">IF(OR(AP534="",N(O534)=0),"",AP534/O534-1)</f>
        <v/>
      </c>
      <c r="AR534" s="29" t="str">
        <f aca="false">IF(OR(AQ534="",N(O534)=0),"",AQ534+AG534/O534)</f>
        <v/>
      </c>
      <c r="AS534" s="32" t="str">
        <f aca="false">IF(OR(AR534="",N(AJ534)=0),"",AR534-AJ534)</f>
        <v/>
      </c>
      <c r="AT534" s="28"/>
      <c r="AU534" s="28"/>
      <c r="AV534" s="28" t="n">
        <f aca="false">IF(N(AT534)&gt;0,AT534,L534)</f>
        <v>25</v>
      </c>
      <c r="AW534" s="28" t="n">
        <f aca="false">IF(AND(N(M534)&gt;0,N(AV534)&gt;0),M534*AV534,IF(N(AU534)&gt;0,AU534,N534))</f>
        <v>1.90625</v>
      </c>
      <c r="AX534" s="29" t="str">
        <f aca="false">IF(N(AN534)=0,"",AN534+IF(I534="yes",AN534*Inputs!$B$10*Inputs!$B$9,0)+IFERROR(INDEX(Inputs!$B$13:$B$15,MATCH(G534,Inputs!$A$13:$A$15,0)),0)+IFERROR(INDEX(Inputs!$B$18:$B$24,MATCH(H534,Inputs!$A$18:$A$24,0)),0))</f>
        <v/>
      </c>
      <c r="AY534" s="28" t="str">
        <f aca="false">IF(OR(N(AX534)&lt;=0,N(AW534)=0,N(AV534)=0),"",MIN(AV534,AW534/AX534))</f>
        <v/>
      </c>
      <c r="AZ534" s="29" t="str">
        <f aca="false">IF(OR(AY534="",N(O534)=0),"",AY534/O534-1)</f>
        <v/>
      </c>
      <c r="BA534" s="29" t="str">
        <f aca="false">IF(OR(AZ534="",N(O534)=0),"",AZ534+AW534/O534)</f>
        <v/>
      </c>
      <c r="BB534" s="32" t="str">
        <f aca="false">IF(OR(BA534="",N(AR534)=0),"",BA534-AR534)</f>
        <v/>
      </c>
      <c r="BC534" s="35" t="str">
        <f aca="false">IF(OR(BA534="",N(U534)=0),"",BA534-U534)</f>
        <v/>
      </c>
      <c r="BD534" s="36" t="s">
        <v>147</v>
      </c>
    </row>
    <row r="535" customFormat="false" ht="15" hidden="false" customHeight="false" outlineLevel="0" collapsed="false">
      <c r="A535" s="2" t="s">
        <v>1067</v>
      </c>
      <c r="B535" s="2" t="n">
        <v>68</v>
      </c>
      <c r="C535" s="2" t="s">
        <v>1121</v>
      </c>
      <c r="D535" s="2" t="s">
        <v>1119</v>
      </c>
      <c r="E535" s="2" t="s">
        <v>143</v>
      </c>
      <c r="F535" s="27"/>
      <c r="G535" s="2" t="s">
        <v>51</v>
      </c>
      <c r="H535" s="2" t="s">
        <v>59</v>
      </c>
      <c r="I535" s="2" t="s">
        <v>144</v>
      </c>
      <c r="J535" s="2" t="s">
        <v>145</v>
      </c>
      <c r="K535" s="2" t="n">
        <v>4</v>
      </c>
      <c r="L535" s="28" t="n">
        <v>25</v>
      </c>
      <c r="M535" s="29" t="n">
        <v>0.09</v>
      </c>
      <c r="N535" s="28" t="n">
        <v>2.25</v>
      </c>
      <c r="O535" s="28" t="n">
        <v>0</v>
      </c>
      <c r="P535" s="2" t="s">
        <v>146</v>
      </c>
      <c r="Q535" s="29" t="n">
        <v>0</v>
      </c>
      <c r="R535" s="30" t="n">
        <v>0</v>
      </c>
      <c r="S535" s="31"/>
      <c r="T535" s="30"/>
      <c r="U535" s="30"/>
      <c r="V535" s="29" t="n">
        <v>0</v>
      </c>
      <c r="W535" s="29" t="str">
        <f aca="false">IF(N(Q535)=0,"",Q535+IF(I535="yes",Q535*Inputs!$B$10*Inputs!$B$9,0)+V535)</f>
        <v/>
      </c>
      <c r="X535" s="28" t="str">
        <f aca="false">IF(OR(N(W535)&lt;=0,N(N535)=0,N(L535)=0),"",MIN(L535,N535/W535))</f>
        <v/>
      </c>
      <c r="Y535" s="29" t="str">
        <f aca="false">IF(OR(X535="",N(O535)=0),"",X535/O535-1)</f>
        <v/>
      </c>
      <c r="Z535" s="29" t="str">
        <f aca="false">IF(OR(Y535="",N(O535)=0),"",Y535+N535/O535)</f>
        <v/>
      </c>
      <c r="AA535" s="32" t="str">
        <f aca="false">IF(OR(Z535="",N(U535)=0),"",Z535-U535)</f>
        <v/>
      </c>
      <c r="AB535" s="29" t="str">
        <f aca="false">IF(N(Q535)=0,"",Q535+IF(I535="yes",Q535*Inputs!$B$10*Inputs!$B$9,0)+IFERROR(INDEX(Inputs!$B$13:$B$15,MATCH(G535,Inputs!$A$13:$A$15,0)),0)+IFERROR(INDEX(Inputs!$B$18:$B$24,MATCH(H535,Inputs!$A$18:$A$24,0)),0))</f>
        <v/>
      </c>
      <c r="AC535" s="28" t="str">
        <f aca="false">IF(OR(N(AB535)&lt;=0,N(N535)=0,N(L535)=0),"",MIN(L535,N535/AB535))</f>
        <v/>
      </c>
      <c r="AD535" s="29" t="str">
        <f aca="false">IF(OR(AC535="",N(O535)=0),"",AC535/O535-1)</f>
        <v/>
      </c>
      <c r="AE535" s="29" t="str">
        <f aca="false">IF(OR(AD535="",N(O535)=0),"",AD535+N535/O535)</f>
        <v/>
      </c>
      <c r="AF535" s="32" t="str">
        <f aca="false">IF(OR(AE535="",N(Z535)=0),"",AE535-Z535)</f>
        <v/>
      </c>
      <c r="AG535" s="28" t="n">
        <f aca="false">IF(AND(N(M535)&gt;0,N(L535)&gt;0),M535*L535,N535)</f>
        <v>2.25</v>
      </c>
      <c r="AH535" s="28" t="str">
        <f aca="false">IF(OR(N(AB535)&lt;=0,N(AG535)=0,N(L535)=0),"",MIN(L535,AG535/AB535))</f>
        <v/>
      </c>
      <c r="AI535" s="29" t="str">
        <f aca="false">IF(OR(AH535="",N(O535)=0),"",AH535/O535-1)</f>
        <v/>
      </c>
      <c r="AJ535" s="29" t="str">
        <f aca="false">IF(OR(AI535="",N(O535)=0),"",AI535+AG535/O535)</f>
        <v/>
      </c>
      <c r="AK535" s="32" t="str">
        <f aca="false">IF(OR(AJ535="",N(AE535)=0),"",AJ535-AE535)</f>
        <v/>
      </c>
      <c r="AL535" s="33" t="str">
        <f aca="false">IF(N(F535)=0,"",INDEX(Inputs!$B$28:$B$32,IFERROR(MATCH(F535,Inputs!$A$28:$A$32,1),0)+1))</f>
        <v/>
      </c>
      <c r="AM535" s="34"/>
      <c r="AN535" s="33" t="str">
        <f aca="false">IF(N(AM535)&gt;0,AM535,AL535)</f>
        <v/>
      </c>
      <c r="AO535" s="29" t="str">
        <f aca="false">IF(N(AN535)=0,"",AN535+IF(I535="yes",AN535*Inputs!$B$10*Inputs!$B$9,0)+IFERROR(INDEX(Inputs!$B$13:$B$15,MATCH(G535,Inputs!$A$13:$A$15,0)),0)+IFERROR(INDEX(Inputs!$B$18:$B$24,MATCH(H535,Inputs!$A$18:$A$24,0)),0))</f>
        <v/>
      </c>
      <c r="AP535" s="28" t="str">
        <f aca="false">IF(OR(N(AO535)&lt;=0,N(AG535)=0,N(L535)=0),"",MIN(L535,AG535/AO535))</f>
        <v/>
      </c>
      <c r="AQ535" s="29" t="str">
        <f aca="false">IF(OR(AP535="",N(O535)=0),"",AP535/O535-1)</f>
        <v/>
      </c>
      <c r="AR535" s="29" t="str">
        <f aca="false">IF(OR(AQ535="",N(O535)=0),"",AQ535+AG535/O535)</f>
        <v/>
      </c>
      <c r="AS535" s="32" t="str">
        <f aca="false">IF(OR(AR535="",N(AJ535)=0),"",AR535-AJ535)</f>
        <v/>
      </c>
      <c r="AT535" s="28"/>
      <c r="AU535" s="28"/>
      <c r="AV535" s="28" t="n">
        <f aca="false">IF(N(AT535)&gt;0,AT535,L535)</f>
        <v>25</v>
      </c>
      <c r="AW535" s="28" t="n">
        <f aca="false">IF(AND(N(M535)&gt;0,N(AV535)&gt;0),M535*AV535,IF(N(AU535)&gt;0,AU535,N535))</f>
        <v>2.25</v>
      </c>
      <c r="AX535" s="29" t="str">
        <f aca="false">IF(N(AN535)=0,"",AN535+IF(I535="yes",AN535*Inputs!$B$10*Inputs!$B$9,0)+IFERROR(INDEX(Inputs!$B$13:$B$15,MATCH(G535,Inputs!$A$13:$A$15,0)),0)+IFERROR(INDEX(Inputs!$B$18:$B$24,MATCH(H535,Inputs!$A$18:$A$24,0)),0))</f>
        <v/>
      </c>
      <c r="AY535" s="28" t="str">
        <f aca="false">IF(OR(N(AX535)&lt;=0,N(AW535)=0,N(AV535)=0),"",MIN(AV535,AW535/AX535))</f>
        <v/>
      </c>
      <c r="AZ535" s="29" t="str">
        <f aca="false">IF(OR(AY535="",N(O535)=0),"",AY535/O535-1)</f>
        <v/>
      </c>
      <c r="BA535" s="29" t="str">
        <f aca="false">IF(OR(AZ535="",N(O535)=0),"",AZ535+AW535/O535)</f>
        <v/>
      </c>
      <c r="BB535" s="32" t="str">
        <f aca="false">IF(OR(BA535="",N(AR535)=0),"",BA535-AR535)</f>
        <v/>
      </c>
      <c r="BC535" s="35" t="str">
        <f aca="false">IF(OR(BA535="",N(U535)=0),"",BA535-U535)</f>
        <v/>
      </c>
      <c r="BD535" s="36" t="s">
        <v>147</v>
      </c>
    </row>
    <row r="536" customFormat="false" ht="15" hidden="false" customHeight="false" outlineLevel="0" collapsed="false">
      <c r="A536" s="2" t="s">
        <v>1067</v>
      </c>
      <c r="B536" s="2" t="n">
        <v>69</v>
      </c>
      <c r="C536" s="2" t="s">
        <v>1122</v>
      </c>
      <c r="D536" s="2" t="s">
        <v>1119</v>
      </c>
      <c r="E536" s="2" t="s">
        <v>143</v>
      </c>
      <c r="F536" s="27"/>
      <c r="G536" s="2" t="s">
        <v>52</v>
      </c>
      <c r="H536" s="2" t="s">
        <v>59</v>
      </c>
      <c r="I536" s="2" t="s">
        <v>144</v>
      </c>
      <c r="J536" s="2" t="s">
        <v>145</v>
      </c>
      <c r="K536" s="2" t="n">
        <v>4</v>
      </c>
      <c r="L536" s="28" t="n">
        <v>25</v>
      </c>
      <c r="M536" s="29" t="n">
        <v>0.07625</v>
      </c>
      <c r="N536" s="28" t="n">
        <v>1.90625</v>
      </c>
      <c r="O536" s="28" t="n">
        <v>0</v>
      </c>
      <c r="P536" s="2" t="s">
        <v>146</v>
      </c>
      <c r="Q536" s="29" t="n">
        <v>0</v>
      </c>
      <c r="R536" s="30" t="n">
        <v>0</v>
      </c>
      <c r="S536" s="31"/>
      <c r="T536" s="30"/>
      <c r="U536" s="30"/>
      <c r="V536" s="29" t="n">
        <v>-0.005</v>
      </c>
      <c r="W536" s="29" t="str">
        <f aca="false">IF(N(Q536)=0,"",Q536+IF(I536="yes",Q536*Inputs!$B$10*Inputs!$B$9,0)+V536)</f>
        <v/>
      </c>
      <c r="X536" s="28" t="str">
        <f aca="false">IF(OR(N(W536)&lt;=0,N(N536)=0,N(L536)=0),"",MIN(L536,N536/W536))</f>
        <v/>
      </c>
      <c r="Y536" s="29" t="str">
        <f aca="false">IF(OR(X536="",N(O536)=0),"",X536/O536-1)</f>
        <v/>
      </c>
      <c r="Z536" s="29" t="str">
        <f aca="false">IF(OR(Y536="",N(O536)=0),"",Y536+N536/O536)</f>
        <v/>
      </c>
      <c r="AA536" s="32" t="str">
        <f aca="false">IF(OR(Z536="",N(U536)=0),"",Z536-U536)</f>
        <v/>
      </c>
      <c r="AB536" s="29" t="str">
        <f aca="false">IF(N(Q536)=0,"",Q536+IF(I536="yes",Q536*Inputs!$B$10*Inputs!$B$9,0)+IFERROR(INDEX(Inputs!$B$13:$B$15,MATCH(G536,Inputs!$A$13:$A$15,0)),0)+IFERROR(INDEX(Inputs!$B$18:$B$24,MATCH(H536,Inputs!$A$18:$A$24,0)),0))</f>
        <v/>
      </c>
      <c r="AC536" s="28" t="str">
        <f aca="false">IF(OR(N(AB536)&lt;=0,N(N536)=0,N(L536)=0),"",MIN(L536,N536/AB536))</f>
        <v/>
      </c>
      <c r="AD536" s="29" t="str">
        <f aca="false">IF(OR(AC536="",N(O536)=0),"",AC536/O536-1)</f>
        <v/>
      </c>
      <c r="AE536" s="29" t="str">
        <f aca="false">IF(OR(AD536="",N(O536)=0),"",AD536+N536/O536)</f>
        <v/>
      </c>
      <c r="AF536" s="32" t="str">
        <f aca="false">IF(OR(AE536="",N(Z536)=0),"",AE536-Z536)</f>
        <v/>
      </c>
      <c r="AG536" s="28" t="n">
        <f aca="false">IF(AND(N(M536)&gt;0,N(L536)&gt;0),M536*L536,N536)</f>
        <v>1.90625</v>
      </c>
      <c r="AH536" s="28" t="str">
        <f aca="false">IF(OR(N(AB536)&lt;=0,N(AG536)=0,N(L536)=0),"",MIN(L536,AG536/AB536))</f>
        <v/>
      </c>
      <c r="AI536" s="29" t="str">
        <f aca="false">IF(OR(AH536="",N(O536)=0),"",AH536/O536-1)</f>
        <v/>
      </c>
      <c r="AJ536" s="29" t="str">
        <f aca="false">IF(OR(AI536="",N(O536)=0),"",AI536+AG536/O536)</f>
        <v/>
      </c>
      <c r="AK536" s="32" t="str">
        <f aca="false">IF(OR(AJ536="",N(AE536)=0),"",AJ536-AE536)</f>
        <v/>
      </c>
      <c r="AL536" s="33" t="str">
        <f aca="false">IF(N(F536)=0,"",INDEX(Inputs!$B$28:$B$32,IFERROR(MATCH(F536,Inputs!$A$28:$A$32,1),0)+1))</f>
        <v/>
      </c>
      <c r="AM536" s="34"/>
      <c r="AN536" s="33" t="str">
        <f aca="false">IF(N(AM536)&gt;0,AM536,AL536)</f>
        <v/>
      </c>
      <c r="AO536" s="29" t="str">
        <f aca="false">IF(N(AN536)=0,"",AN536+IF(I536="yes",AN536*Inputs!$B$10*Inputs!$B$9,0)+IFERROR(INDEX(Inputs!$B$13:$B$15,MATCH(G536,Inputs!$A$13:$A$15,0)),0)+IFERROR(INDEX(Inputs!$B$18:$B$24,MATCH(H536,Inputs!$A$18:$A$24,0)),0))</f>
        <v/>
      </c>
      <c r="AP536" s="28" t="str">
        <f aca="false">IF(OR(N(AO536)&lt;=0,N(AG536)=0,N(L536)=0),"",MIN(L536,AG536/AO536))</f>
        <v/>
      </c>
      <c r="AQ536" s="29" t="str">
        <f aca="false">IF(OR(AP536="",N(O536)=0),"",AP536/O536-1)</f>
        <v/>
      </c>
      <c r="AR536" s="29" t="str">
        <f aca="false">IF(OR(AQ536="",N(O536)=0),"",AQ536+AG536/O536)</f>
        <v/>
      </c>
      <c r="AS536" s="32" t="str">
        <f aca="false">IF(OR(AR536="",N(AJ536)=0),"",AR536-AJ536)</f>
        <v/>
      </c>
      <c r="AT536" s="28"/>
      <c r="AU536" s="28"/>
      <c r="AV536" s="28" t="n">
        <f aca="false">IF(N(AT536)&gt;0,AT536,L536)</f>
        <v>25</v>
      </c>
      <c r="AW536" s="28" t="n">
        <f aca="false">IF(AND(N(M536)&gt;0,N(AV536)&gt;0),M536*AV536,IF(N(AU536)&gt;0,AU536,N536))</f>
        <v>1.90625</v>
      </c>
      <c r="AX536" s="29" t="str">
        <f aca="false">IF(N(AN536)=0,"",AN536+IF(I536="yes",AN536*Inputs!$B$10*Inputs!$B$9,0)+IFERROR(INDEX(Inputs!$B$13:$B$15,MATCH(G536,Inputs!$A$13:$A$15,0)),0)+IFERROR(INDEX(Inputs!$B$18:$B$24,MATCH(H536,Inputs!$A$18:$A$24,0)),0))</f>
        <v/>
      </c>
      <c r="AY536" s="28" t="str">
        <f aca="false">IF(OR(N(AX536)&lt;=0,N(AW536)=0,N(AV536)=0),"",MIN(AV536,AW536/AX536))</f>
        <v/>
      </c>
      <c r="AZ536" s="29" t="str">
        <f aca="false">IF(OR(AY536="",N(O536)=0),"",AY536/O536-1)</f>
        <v/>
      </c>
      <c r="BA536" s="29" t="str">
        <f aca="false">IF(OR(AZ536="",N(O536)=0),"",AZ536+AW536/O536)</f>
        <v/>
      </c>
      <c r="BB536" s="32" t="str">
        <f aca="false">IF(OR(BA536="",N(AR536)=0),"",BA536-AR536)</f>
        <v/>
      </c>
      <c r="BC536" s="35" t="str">
        <f aca="false">IF(OR(BA536="",N(U536)=0),"",BA536-U536)</f>
        <v/>
      </c>
      <c r="BD536" s="36" t="s">
        <v>147</v>
      </c>
    </row>
    <row r="537" customFormat="false" ht="15" hidden="false" customHeight="false" outlineLevel="0" collapsed="false">
      <c r="A537" s="2" t="s">
        <v>1067</v>
      </c>
      <c r="B537" s="2" t="n">
        <v>72</v>
      </c>
      <c r="C537" s="2" t="s">
        <v>1123</v>
      </c>
      <c r="D537" s="2" t="s">
        <v>1124</v>
      </c>
      <c r="E537" s="2" t="s">
        <v>143</v>
      </c>
      <c r="F537" s="27"/>
      <c r="G537" s="2" t="s">
        <v>51</v>
      </c>
      <c r="H537" s="2" t="s">
        <v>58</v>
      </c>
      <c r="I537" s="2" t="s">
        <v>144</v>
      </c>
      <c r="J537" s="2" t="s">
        <v>145</v>
      </c>
      <c r="K537" s="2" t="n">
        <v>4</v>
      </c>
      <c r="L537" s="28" t="n">
        <v>25</v>
      </c>
      <c r="M537" s="29" t="n">
        <v>0.06</v>
      </c>
      <c r="N537" s="28" t="n">
        <v>1.5</v>
      </c>
      <c r="O537" s="28"/>
      <c r="P537" s="2" t="s">
        <v>146</v>
      </c>
      <c r="Q537" s="29" t="n">
        <v>0</v>
      </c>
      <c r="R537" s="30" t="n">
        <v>0</v>
      </c>
      <c r="S537" s="31"/>
      <c r="T537" s="30"/>
      <c r="U537" s="30"/>
      <c r="V537" s="29" t="n">
        <v>0</v>
      </c>
      <c r="W537" s="29" t="str">
        <f aca="false">IF(N(Q537)=0,"",Q537+IF(I537="yes",Q537*Inputs!$B$10*Inputs!$B$9,0)+V537)</f>
        <v/>
      </c>
      <c r="X537" s="28" t="str">
        <f aca="false">IF(OR(N(W537)&lt;=0,N(N537)=0,N(L537)=0),"",MIN(L537,N537/W537))</f>
        <v/>
      </c>
      <c r="Y537" s="29" t="str">
        <f aca="false">IF(OR(X537="",N(O537)=0),"",X537/O537-1)</f>
        <v/>
      </c>
      <c r="Z537" s="29" t="str">
        <f aca="false">IF(OR(Y537="",N(O537)=0),"",Y537+N537/O537)</f>
        <v/>
      </c>
      <c r="AA537" s="32" t="str">
        <f aca="false">IF(OR(Z537="",N(U537)=0),"",Z537-U537)</f>
        <v/>
      </c>
      <c r="AB537" s="29" t="str">
        <f aca="false">IF(N(Q537)=0,"",Q537+IF(I537="yes",Q537*Inputs!$B$10*Inputs!$B$9,0)+IFERROR(INDEX(Inputs!$B$13:$B$15,MATCH(G537,Inputs!$A$13:$A$15,0)),0)+IFERROR(INDEX(Inputs!$B$18:$B$24,MATCH(H537,Inputs!$A$18:$A$24,0)),0))</f>
        <v/>
      </c>
      <c r="AC537" s="28" t="str">
        <f aca="false">IF(OR(N(AB537)&lt;=0,N(N537)=0,N(L537)=0),"",MIN(L537,N537/AB537))</f>
        <v/>
      </c>
      <c r="AD537" s="29" t="str">
        <f aca="false">IF(OR(AC537="",N(O537)=0),"",AC537/O537-1)</f>
        <v/>
      </c>
      <c r="AE537" s="29" t="str">
        <f aca="false">IF(OR(AD537="",N(O537)=0),"",AD537+N537/O537)</f>
        <v/>
      </c>
      <c r="AF537" s="32" t="str">
        <f aca="false">IF(OR(AE537="",N(Z537)=0),"",AE537-Z537)</f>
        <v/>
      </c>
      <c r="AG537" s="28" t="n">
        <f aca="false">IF(AND(N(M537)&gt;0,N(L537)&gt;0),M537*L537,N537)</f>
        <v>1.5</v>
      </c>
      <c r="AH537" s="28" t="str">
        <f aca="false">IF(OR(N(AB537)&lt;=0,N(AG537)=0,N(L537)=0),"",MIN(L537,AG537/AB537))</f>
        <v/>
      </c>
      <c r="AI537" s="29" t="str">
        <f aca="false">IF(OR(AH537="",N(O537)=0),"",AH537/O537-1)</f>
        <v/>
      </c>
      <c r="AJ537" s="29" t="str">
        <f aca="false">IF(OR(AI537="",N(O537)=0),"",AI537+AG537/O537)</f>
        <v/>
      </c>
      <c r="AK537" s="32" t="str">
        <f aca="false">IF(OR(AJ537="",N(AE537)=0),"",AJ537-AE537)</f>
        <v/>
      </c>
      <c r="AL537" s="33" t="str">
        <f aca="false">IF(N(F537)=0,"",INDEX(Inputs!$B$28:$B$32,IFERROR(MATCH(F537,Inputs!$A$28:$A$32,1),0)+1))</f>
        <v/>
      </c>
      <c r="AM537" s="34"/>
      <c r="AN537" s="33" t="str">
        <f aca="false">IF(N(AM537)&gt;0,AM537,AL537)</f>
        <v/>
      </c>
      <c r="AO537" s="29" t="str">
        <f aca="false">IF(N(AN537)=0,"",AN537+IF(I537="yes",AN537*Inputs!$B$10*Inputs!$B$9,0)+IFERROR(INDEX(Inputs!$B$13:$B$15,MATCH(G537,Inputs!$A$13:$A$15,0)),0)+IFERROR(INDEX(Inputs!$B$18:$B$24,MATCH(H537,Inputs!$A$18:$A$24,0)),0))</f>
        <v/>
      </c>
      <c r="AP537" s="28" t="str">
        <f aca="false">IF(OR(N(AO537)&lt;=0,N(AG537)=0,N(L537)=0),"",MIN(L537,AG537/AO537))</f>
        <v/>
      </c>
      <c r="AQ537" s="29" t="str">
        <f aca="false">IF(OR(AP537="",N(O537)=0),"",AP537/O537-1)</f>
        <v/>
      </c>
      <c r="AR537" s="29" t="str">
        <f aca="false">IF(OR(AQ537="",N(O537)=0),"",AQ537+AG537/O537)</f>
        <v/>
      </c>
      <c r="AS537" s="32" t="str">
        <f aca="false">IF(OR(AR537="",N(AJ537)=0),"",AR537-AJ537)</f>
        <v/>
      </c>
      <c r="AT537" s="28"/>
      <c r="AU537" s="28"/>
      <c r="AV537" s="28" t="n">
        <f aca="false">IF(N(AT537)&gt;0,AT537,L537)</f>
        <v>25</v>
      </c>
      <c r="AW537" s="28" t="n">
        <f aca="false">IF(AND(N(M537)&gt;0,N(AV537)&gt;0),M537*AV537,IF(N(AU537)&gt;0,AU537,N537))</f>
        <v>1.5</v>
      </c>
      <c r="AX537" s="29" t="str">
        <f aca="false">IF(N(AN537)=0,"",AN537+IF(I537="yes",AN537*Inputs!$B$10*Inputs!$B$9,0)+IFERROR(INDEX(Inputs!$B$13:$B$15,MATCH(G537,Inputs!$A$13:$A$15,0)),0)+IFERROR(INDEX(Inputs!$B$18:$B$24,MATCH(H537,Inputs!$A$18:$A$24,0)),0))</f>
        <v/>
      </c>
      <c r="AY537" s="28" t="str">
        <f aca="false">IF(OR(N(AX537)&lt;=0,N(AW537)=0,N(AV537)=0),"",MIN(AV537,AW537/AX537))</f>
        <v/>
      </c>
      <c r="AZ537" s="29" t="str">
        <f aca="false">IF(OR(AY537="",N(O537)=0),"",AY537/O537-1)</f>
        <v/>
      </c>
      <c r="BA537" s="29" t="str">
        <f aca="false">IF(OR(AZ537="",N(O537)=0),"",AZ537+AW537/O537)</f>
        <v/>
      </c>
      <c r="BB537" s="32" t="str">
        <f aca="false">IF(OR(BA537="",N(AR537)=0),"",BA537-AR537)</f>
        <v/>
      </c>
      <c r="BC537" s="35" t="str">
        <f aca="false">IF(OR(BA537="",N(U537)=0),"",BA537-U537)</f>
        <v/>
      </c>
      <c r="BD537" s="36" t="s">
        <v>147</v>
      </c>
    </row>
    <row r="538" customFormat="false" ht="15" hidden="false" customHeight="false" outlineLevel="0" collapsed="false">
      <c r="A538" s="2" t="s">
        <v>1067</v>
      </c>
      <c r="B538" s="2" t="n">
        <v>76</v>
      </c>
      <c r="C538" s="2" t="s">
        <v>1125</v>
      </c>
      <c r="D538" s="2" t="s">
        <v>1126</v>
      </c>
      <c r="E538" s="2" t="s">
        <v>1127</v>
      </c>
      <c r="F538" s="27" t="n">
        <v>33400</v>
      </c>
      <c r="G538" s="2" t="s">
        <v>51</v>
      </c>
      <c r="H538" s="2" t="s">
        <v>58</v>
      </c>
      <c r="I538" s="2" t="s">
        <v>151</v>
      </c>
      <c r="J538" s="2" t="s">
        <v>145</v>
      </c>
      <c r="K538" s="2" t="n">
        <v>4</v>
      </c>
      <c r="L538" s="28" t="n">
        <v>25</v>
      </c>
      <c r="M538" s="29" t="n">
        <v>0.047</v>
      </c>
      <c r="N538" s="28" t="n">
        <v>1.175</v>
      </c>
      <c r="O538" s="28" t="n">
        <v>18.45</v>
      </c>
      <c r="P538" s="2" t="s">
        <v>146</v>
      </c>
      <c r="Q538" s="29" t="n">
        <v>0.08</v>
      </c>
      <c r="R538" s="30" t="n">
        <v>0.076</v>
      </c>
      <c r="S538" s="31" t="n">
        <v>15.4605263157895</v>
      </c>
      <c r="T538" s="30" t="n">
        <v>-0.16203109399515</v>
      </c>
      <c r="U538" s="30" t="n">
        <v>-0.0983454571387818</v>
      </c>
      <c r="V538" s="29" t="n">
        <v>0</v>
      </c>
      <c r="W538" s="29" t="n">
        <f aca="false">IF(N(Q538)=0,"",Q538+IF(I538="yes",Q538*Inputs!$B$10*Inputs!$B$9,0)+V538)</f>
        <v>0.076</v>
      </c>
      <c r="X538" s="28" t="n">
        <f aca="false">IF(OR(N(W538)&lt;=0,N(N538)=0,N(L538)=0),"",MIN(L538,N538/W538))</f>
        <v>15.4605263157895</v>
      </c>
      <c r="Y538" s="29" t="n">
        <f aca="false">IF(OR(X538="",N(O538)=0),"",X538/O538-1)</f>
        <v>-0.16203109399515</v>
      </c>
      <c r="Z538" s="29" t="n">
        <f aca="false">IF(OR(Y538="",N(O538)=0),"",Y538+N538/O538)</f>
        <v>-0.0983454571387818</v>
      </c>
      <c r="AA538" s="32" t="n">
        <f aca="false">IF(OR(Z538="",N(U538)=0),"",Z538-U538)</f>
        <v>0</v>
      </c>
      <c r="AB538" s="29" t="n">
        <f aca="false">IF(N(Q538)=0,"",Q538+IF(I538="yes",Q538*Inputs!$B$10*Inputs!$B$9,0)+IFERROR(INDEX(Inputs!$B$13:$B$15,MATCH(G538,Inputs!$A$13:$A$15,0)),0)+IFERROR(INDEX(Inputs!$B$18:$B$24,MATCH(H538,Inputs!$A$18:$A$24,0)),0))</f>
        <v>0.076</v>
      </c>
      <c r="AC538" s="28" t="n">
        <f aca="false">IF(OR(N(AB538)&lt;=0,N(N538)=0,N(L538)=0),"",MIN(L538,N538/AB538))</f>
        <v>15.4605263157895</v>
      </c>
      <c r="AD538" s="29" t="n">
        <f aca="false">IF(OR(AC538="",N(O538)=0),"",AC538/O538-1)</f>
        <v>-0.16203109399515</v>
      </c>
      <c r="AE538" s="29" t="n">
        <f aca="false">IF(OR(AD538="",N(O538)=0),"",AD538+N538/O538)</f>
        <v>-0.0983454571387818</v>
      </c>
      <c r="AF538" s="32" t="n">
        <f aca="false">IF(OR(AE538="",N(Z538)=0),"",AE538-Z538)</f>
        <v>0</v>
      </c>
      <c r="AG538" s="28" t="n">
        <f aca="false">IF(AND(N(M538)&gt;0,N(L538)&gt;0),M538*L538,N538)</f>
        <v>1.175</v>
      </c>
      <c r="AH538" s="28" t="n">
        <f aca="false">IF(OR(N(AB538)&lt;=0,N(AG538)=0,N(L538)=0),"",MIN(L538,AG538/AB538))</f>
        <v>15.4605263157895</v>
      </c>
      <c r="AI538" s="29" t="n">
        <f aca="false">IF(OR(AH538="",N(O538)=0),"",AH538/O538-1)</f>
        <v>-0.16203109399515</v>
      </c>
      <c r="AJ538" s="29" t="n">
        <f aca="false">IF(OR(AI538="",N(O538)=0),"",AI538+AG538/O538)</f>
        <v>-0.0983454571387818</v>
      </c>
      <c r="AK538" s="32" t="n">
        <f aca="false">IF(OR(AJ538="",N(AE538)=0),"",AJ538-AE538)</f>
        <v>0</v>
      </c>
      <c r="AL538" s="33" t="n">
        <f aca="false">IF(N(F538)=0,"",INDEX(Inputs!$B$28:$B$32,IFERROR(MATCH(F538,Inputs!$A$28:$A$32,1),0)+1))</f>
        <v>0.075</v>
      </c>
      <c r="AM538" s="34"/>
      <c r="AN538" s="33" t="n">
        <f aca="false">IF(N(AM538)&gt;0,AM538,AL538)</f>
        <v>0.075</v>
      </c>
      <c r="AO538" s="29" t="n">
        <f aca="false">IF(N(AN538)=0,"",AN538+IF(I538="yes",AN538*Inputs!$B$10*Inputs!$B$9,0)+IFERROR(INDEX(Inputs!$B$13:$B$15,MATCH(G538,Inputs!$A$13:$A$15,0)),0)+IFERROR(INDEX(Inputs!$B$18:$B$24,MATCH(H538,Inputs!$A$18:$A$24,0)),0))</f>
        <v>0.07125</v>
      </c>
      <c r="AP538" s="28" t="n">
        <f aca="false">IF(OR(N(AO538)&lt;=0,N(AG538)=0,N(L538)=0),"",MIN(L538,AG538/AO538))</f>
        <v>16.4912280701754</v>
      </c>
      <c r="AQ538" s="29" t="n">
        <f aca="false">IF(OR(AP538="",N(O538)=0),"",AP538/O538-1)</f>
        <v>-0.106166500261494</v>
      </c>
      <c r="AR538" s="29" t="n">
        <f aca="false">IF(OR(AQ538="",N(O538)=0),"",AQ538+AG538/O538)</f>
        <v>-0.0424808634051251</v>
      </c>
      <c r="AS538" s="32" t="n">
        <f aca="false">IF(OR(AR538="",N(AJ538)=0),"",AR538-AJ538)</f>
        <v>0.0558645937336567</v>
      </c>
      <c r="AT538" s="28" t="n">
        <v>25</v>
      </c>
      <c r="AU538" s="28" t="n">
        <v>1.18</v>
      </c>
      <c r="AV538" s="28" t="n">
        <f aca="false">IF(N(AT538)&gt;0,AT538,L538)</f>
        <v>25</v>
      </c>
      <c r="AW538" s="28" t="n">
        <f aca="false">IF(AND(N(M538)&gt;0,N(AV538)&gt;0),M538*AV538,IF(N(AU538)&gt;0,AU538,N538))</f>
        <v>1.175</v>
      </c>
      <c r="AX538" s="29" t="n">
        <f aca="false">IF(N(AN538)=0,"",AN538+IF(I538="yes",AN538*Inputs!$B$10*Inputs!$B$9,0)+IFERROR(INDEX(Inputs!$B$13:$B$15,MATCH(G538,Inputs!$A$13:$A$15,0)),0)+IFERROR(INDEX(Inputs!$B$18:$B$24,MATCH(H538,Inputs!$A$18:$A$24,0)),0))</f>
        <v>0.07125</v>
      </c>
      <c r="AY538" s="28" t="n">
        <f aca="false">IF(OR(N(AX538)&lt;=0,N(AW538)=0,N(AV538)=0),"",MIN(AV538,AW538/AX538))</f>
        <v>16.4912280701754</v>
      </c>
      <c r="AZ538" s="29" t="n">
        <f aca="false">IF(OR(AY538="",N(O538)=0),"",AY538/O538-1)</f>
        <v>-0.106166500261494</v>
      </c>
      <c r="BA538" s="29" t="n">
        <f aca="false">IF(OR(AZ538="",N(O538)=0),"",AZ538+AW538/O538)</f>
        <v>-0.0424808634051251</v>
      </c>
      <c r="BB538" s="32" t="n">
        <f aca="false">IF(OR(BA538="",N(AR538)=0),"",BA538-AR538)</f>
        <v>0</v>
      </c>
      <c r="BC538" s="35" t="n">
        <f aca="false">IF(OR(BA538="",N(U538)=0),"",BA538-U538)</f>
        <v>0.0558645937336567</v>
      </c>
      <c r="BD538" s="37"/>
    </row>
    <row r="539" customFormat="false" ht="15" hidden="false" customHeight="false" outlineLevel="0" collapsed="false">
      <c r="A539" s="2" t="s">
        <v>1067</v>
      </c>
      <c r="B539" s="2" t="n">
        <v>80</v>
      </c>
      <c r="C539" s="2" t="s">
        <v>1128</v>
      </c>
      <c r="D539" s="2" t="s">
        <v>1129</v>
      </c>
      <c r="E539" s="2" t="s">
        <v>1130</v>
      </c>
      <c r="F539" s="27" t="n">
        <v>300</v>
      </c>
      <c r="G539" s="2" t="s">
        <v>51</v>
      </c>
      <c r="H539" s="2" t="s">
        <v>58</v>
      </c>
      <c r="I539" s="2" t="s">
        <v>144</v>
      </c>
      <c r="J539" s="2" t="s">
        <v>145</v>
      </c>
      <c r="K539" s="2" t="n">
        <v>4</v>
      </c>
      <c r="L539" s="28" t="n">
        <v>25</v>
      </c>
      <c r="M539" s="29" t="n">
        <v>0.055</v>
      </c>
      <c r="N539" s="28" t="n">
        <v>1.375</v>
      </c>
      <c r="O539" s="28" t="n">
        <v>13.17</v>
      </c>
      <c r="P539" s="2" t="s">
        <v>223</v>
      </c>
      <c r="Q539" s="29" t="n">
        <v>0.1</v>
      </c>
      <c r="R539" s="30" t="n">
        <v>0.1</v>
      </c>
      <c r="S539" s="31" t="n">
        <v>13.75</v>
      </c>
      <c r="T539" s="30" t="n">
        <v>0.0440394836750191</v>
      </c>
      <c r="U539" s="30" t="n">
        <v>0.148443432042521</v>
      </c>
      <c r="V539" s="29" t="n">
        <v>0</v>
      </c>
      <c r="W539" s="29" t="n">
        <f aca="false">IF(N(Q539)=0,"",Q539+IF(I539="yes",Q539*Inputs!$B$10*Inputs!$B$9,0)+V539)</f>
        <v>0.1</v>
      </c>
      <c r="X539" s="28" t="n">
        <f aca="false">IF(OR(N(W539)&lt;=0,N(N539)=0,N(L539)=0),"",MIN(L539,N539/W539))</f>
        <v>13.75</v>
      </c>
      <c r="Y539" s="29" t="n">
        <f aca="false">IF(OR(X539="",N(O539)=0),"",X539/O539-1)</f>
        <v>0.0440394836750191</v>
      </c>
      <c r="Z539" s="29" t="n">
        <f aca="false">IF(OR(Y539="",N(O539)=0),"",Y539+N539/O539)</f>
        <v>0.148443432042521</v>
      </c>
      <c r="AA539" s="32" t="n">
        <f aca="false">IF(OR(Z539="",N(U539)=0),"",Z539-U539)</f>
        <v>0</v>
      </c>
      <c r="AB539" s="29" t="n">
        <f aca="false">IF(N(Q539)=0,"",Q539+IF(I539="yes",Q539*Inputs!$B$10*Inputs!$B$9,0)+IFERROR(INDEX(Inputs!$B$13:$B$15,MATCH(G539,Inputs!$A$13:$A$15,0)),0)+IFERROR(INDEX(Inputs!$B$18:$B$24,MATCH(H539,Inputs!$A$18:$A$24,0)),0))</f>
        <v>0.1</v>
      </c>
      <c r="AC539" s="28" t="n">
        <f aca="false">IF(OR(N(AB539)&lt;=0,N(N539)=0,N(L539)=0),"",MIN(L539,N539/AB539))</f>
        <v>13.75</v>
      </c>
      <c r="AD539" s="29" t="n">
        <f aca="false">IF(OR(AC539="",N(O539)=0),"",AC539/O539-1)</f>
        <v>0.0440394836750191</v>
      </c>
      <c r="AE539" s="29" t="n">
        <f aca="false">IF(OR(AD539="",N(O539)=0),"",AD539+N539/O539)</f>
        <v>0.148443432042521</v>
      </c>
      <c r="AF539" s="32" t="n">
        <f aca="false">IF(OR(AE539="",N(Z539)=0),"",AE539-Z539)</f>
        <v>0</v>
      </c>
      <c r="AG539" s="28" t="n">
        <f aca="false">IF(AND(N(M539)&gt;0,N(L539)&gt;0),M539*L539,N539)</f>
        <v>1.375</v>
      </c>
      <c r="AH539" s="28" t="n">
        <f aca="false">IF(OR(N(AB539)&lt;=0,N(AG539)=0,N(L539)=0),"",MIN(L539,AG539/AB539))</f>
        <v>13.75</v>
      </c>
      <c r="AI539" s="29" t="n">
        <f aca="false">IF(OR(AH539="",N(O539)=0),"",AH539/O539-1)</f>
        <v>0.0440394836750191</v>
      </c>
      <c r="AJ539" s="29" t="n">
        <f aca="false">IF(OR(AI539="",N(O539)=0),"",AI539+AG539/O539)</f>
        <v>0.148443432042521</v>
      </c>
      <c r="AK539" s="32" t="n">
        <f aca="false">IF(OR(AJ539="",N(AE539)=0),"",AJ539-AE539)</f>
        <v>0</v>
      </c>
      <c r="AL539" s="33" t="n">
        <f aca="false">IF(N(F539)=0,"",INDEX(Inputs!$B$28:$B$32,IFERROR(MATCH(F539,Inputs!$A$28:$A$32,1),0)+1))</f>
        <v>0.09</v>
      </c>
      <c r="AM539" s="34"/>
      <c r="AN539" s="33" t="n">
        <f aca="false">IF(N(AM539)&gt;0,AM539,AL539)</f>
        <v>0.09</v>
      </c>
      <c r="AO539" s="29" t="n">
        <f aca="false">IF(N(AN539)=0,"",AN539+IF(I539="yes",AN539*Inputs!$B$10*Inputs!$B$9,0)+IFERROR(INDEX(Inputs!$B$13:$B$15,MATCH(G539,Inputs!$A$13:$A$15,0)),0)+IFERROR(INDEX(Inputs!$B$18:$B$24,MATCH(H539,Inputs!$A$18:$A$24,0)),0))</f>
        <v>0.09</v>
      </c>
      <c r="AP539" s="28" t="n">
        <f aca="false">IF(OR(N(AO539)&lt;=0,N(AG539)=0,N(L539)=0),"",MIN(L539,AG539/AO539))</f>
        <v>15.2777777777778</v>
      </c>
      <c r="AQ539" s="29" t="n">
        <f aca="false">IF(OR(AP539="",N(O539)=0),"",AP539/O539-1)</f>
        <v>0.160043870750021</v>
      </c>
      <c r="AR539" s="29" t="n">
        <f aca="false">IF(OR(AQ539="",N(O539)=0),"",AQ539+AG539/O539)</f>
        <v>0.264447819117523</v>
      </c>
      <c r="AS539" s="32" t="n">
        <f aca="false">IF(OR(AR539="",N(AJ539)=0),"",AR539-AJ539)</f>
        <v>0.116004387075002</v>
      </c>
      <c r="AT539" s="28" t="n">
        <v>25</v>
      </c>
      <c r="AU539" s="28" t="n">
        <v>1.375</v>
      </c>
      <c r="AV539" s="28" t="n">
        <f aca="false">IF(N(AT539)&gt;0,AT539,L539)</f>
        <v>25</v>
      </c>
      <c r="AW539" s="28" t="n">
        <f aca="false">IF(AND(N(M539)&gt;0,N(AV539)&gt;0),M539*AV539,IF(N(AU539)&gt;0,AU539,N539))</f>
        <v>1.375</v>
      </c>
      <c r="AX539" s="29" t="n">
        <f aca="false">IF(N(AN539)=0,"",AN539+IF(I539="yes",AN539*Inputs!$B$10*Inputs!$B$9,0)+IFERROR(INDEX(Inputs!$B$13:$B$15,MATCH(G539,Inputs!$A$13:$A$15,0)),0)+IFERROR(INDEX(Inputs!$B$18:$B$24,MATCH(H539,Inputs!$A$18:$A$24,0)),0))</f>
        <v>0.09</v>
      </c>
      <c r="AY539" s="28" t="n">
        <f aca="false">IF(OR(N(AX539)&lt;=0,N(AW539)=0,N(AV539)=0),"",MIN(AV539,AW539/AX539))</f>
        <v>15.2777777777778</v>
      </c>
      <c r="AZ539" s="29" t="n">
        <f aca="false">IF(OR(AY539="",N(O539)=0),"",AY539/O539-1)</f>
        <v>0.160043870750021</v>
      </c>
      <c r="BA539" s="29" t="n">
        <f aca="false">IF(OR(AZ539="",N(O539)=0),"",AZ539+AW539/O539)</f>
        <v>0.264447819117523</v>
      </c>
      <c r="BB539" s="32" t="n">
        <f aca="false">IF(OR(BA539="",N(AR539)=0),"",BA539-AR539)</f>
        <v>0</v>
      </c>
      <c r="BC539" s="35" t="n">
        <f aca="false">IF(OR(BA539="",N(U539)=0),"",BA539-U539)</f>
        <v>0.116004387075002</v>
      </c>
      <c r="BD539" s="36" t="s">
        <v>224</v>
      </c>
    </row>
    <row r="540" customFormat="false" ht="15" hidden="false" customHeight="false" outlineLevel="0" collapsed="false">
      <c r="A540" s="2" t="s">
        <v>1067</v>
      </c>
      <c r="B540" s="2" t="n">
        <v>84</v>
      </c>
      <c r="C540" s="2" t="s">
        <v>1131</v>
      </c>
      <c r="D540" s="2" t="s">
        <v>1132</v>
      </c>
      <c r="E540" s="2" t="s">
        <v>143</v>
      </c>
      <c r="F540" s="27"/>
      <c r="G540" s="2" t="s">
        <v>51</v>
      </c>
      <c r="H540" s="2" t="s">
        <v>59</v>
      </c>
      <c r="I540" s="2" t="s">
        <v>151</v>
      </c>
      <c r="J540" s="2" t="s">
        <v>145</v>
      </c>
      <c r="K540" s="2" t="n">
        <v>4</v>
      </c>
      <c r="L540" s="28" t="n">
        <v>25</v>
      </c>
      <c r="M540" s="29" t="n">
        <v>0.06375</v>
      </c>
      <c r="N540" s="28" t="n">
        <v>1.59375</v>
      </c>
      <c r="O540" s="28" t="n">
        <v>0</v>
      </c>
      <c r="P540" s="2" t="s">
        <v>146</v>
      </c>
      <c r="Q540" s="29" t="n">
        <v>0</v>
      </c>
      <c r="R540" s="30" t="n">
        <v>0</v>
      </c>
      <c r="S540" s="31"/>
      <c r="T540" s="30"/>
      <c r="U540" s="30"/>
      <c r="V540" s="29" t="n">
        <v>0</v>
      </c>
      <c r="W540" s="29" t="str">
        <f aca="false">IF(N(Q540)=0,"",Q540+IF(I540="yes",Q540*Inputs!$B$10*Inputs!$B$9,0)+V540)</f>
        <v/>
      </c>
      <c r="X540" s="28" t="str">
        <f aca="false">IF(OR(N(W540)&lt;=0,N(N540)=0,N(L540)=0),"",MIN(L540,N540/W540))</f>
        <v/>
      </c>
      <c r="Y540" s="29" t="str">
        <f aca="false">IF(OR(X540="",N(O540)=0),"",X540/O540-1)</f>
        <v/>
      </c>
      <c r="Z540" s="29" t="str">
        <f aca="false">IF(OR(Y540="",N(O540)=0),"",Y540+N540/O540)</f>
        <v/>
      </c>
      <c r="AA540" s="32" t="str">
        <f aca="false">IF(OR(Z540="",N(U540)=0),"",Z540-U540)</f>
        <v/>
      </c>
      <c r="AB540" s="29" t="str">
        <f aca="false">IF(N(Q540)=0,"",Q540+IF(I540="yes",Q540*Inputs!$B$10*Inputs!$B$9,0)+IFERROR(INDEX(Inputs!$B$13:$B$15,MATCH(G540,Inputs!$A$13:$A$15,0)),0)+IFERROR(INDEX(Inputs!$B$18:$B$24,MATCH(H540,Inputs!$A$18:$A$24,0)),0))</f>
        <v/>
      </c>
      <c r="AC540" s="28" t="str">
        <f aca="false">IF(OR(N(AB540)&lt;=0,N(N540)=0,N(L540)=0),"",MIN(L540,N540/AB540))</f>
        <v/>
      </c>
      <c r="AD540" s="29" t="str">
        <f aca="false">IF(OR(AC540="",N(O540)=0),"",AC540/O540-1)</f>
        <v/>
      </c>
      <c r="AE540" s="29" t="str">
        <f aca="false">IF(OR(AD540="",N(O540)=0),"",AD540+N540/O540)</f>
        <v/>
      </c>
      <c r="AF540" s="32" t="str">
        <f aca="false">IF(OR(AE540="",N(Z540)=0),"",AE540-Z540)</f>
        <v/>
      </c>
      <c r="AG540" s="28" t="n">
        <f aca="false">IF(AND(N(M540)&gt;0,N(L540)&gt;0),M540*L540,N540)</f>
        <v>1.59375</v>
      </c>
      <c r="AH540" s="28" t="str">
        <f aca="false">IF(OR(N(AB540)&lt;=0,N(AG540)=0,N(L540)=0),"",MIN(L540,AG540/AB540))</f>
        <v/>
      </c>
      <c r="AI540" s="29" t="str">
        <f aca="false">IF(OR(AH540="",N(O540)=0),"",AH540/O540-1)</f>
        <v/>
      </c>
      <c r="AJ540" s="29" t="str">
        <f aca="false">IF(OR(AI540="",N(O540)=0),"",AI540+AG540/O540)</f>
        <v/>
      </c>
      <c r="AK540" s="32" t="str">
        <f aca="false">IF(OR(AJ540="",N(AE540)=0),"",AJ540-AE540)</f>
        <v/>
      </c>
      <c r="AL540" s="33" t="str">
        <f aca="false">IF(N(F540)=0,"",INDEX(Inputs!$B$28:$B$32,IFERROR(MATCH(F540,Inputs!$A$28:$A$32,1),0)+1))</f>
        <v/>
      </c>
      <c r="AM540" s="34"/>
      <c r="AN540" s="33" t="str">
        <f aca="false">IF(N(AM540)&gt;0,AM540,AL540)</f>
        <v/>
      </c>
      <c r="AO540" s="29" t="str">
        <f aca="false">IF(N(AN540)=0,"",AN540+IF(I540="yes",AN540*Inputs!$B$10*Inputs!$B$9,0)+IFERROR(INDEX(Inputs!$B$13:$B$15,MATCH(G540,Inputs!$A$13:$A$15,0)),0)+IFERROR(INDEX(Inputs!$B$18:$B$24,MATCH(H540,Inputs!$A$18:$A$24,0)),0))</f>
        <v/>
      </c>
      <c r="AP540" s="28" t="str">
        <f aca="false">IF(OR(N(AO540)&lt;=0,N(AG540)=0,N(L540)=0),"",MIN(L540,AG540/AO540))</f>
        <v/>
      </c>
      <c r="AQ540" s="29" t="str">
        <f aca="false">IF(OR(AP540="",N(O540)=0),"",AP540/O540-1)</f>
        <v/>
      </c>
      <c r="AR540" s="29" t="str">
        <f aca="false">IF(OR(AQ540="",N(O540)=0),"",AQ540+AG540/O540)</f>
        <v/>
      </c>
      <c r="AS540" s="32" t="str">
        <f aca="false">IF(OR(AR540="",N(AJ540)=0),"",AR540-AJ540)</f>
        <v/>
      </c>
      <c r="AT540" s="28"/>
      <c r="AU540" s="28"/>
      <c r="AV540" s="28" t="n">
        <f aca="false">IF(N(AT540)&gt;0,AT540,L540)</f>
        <v>25</v>
      </c>
      <c r="AW540" s="28" t="n">
        <f aca="false">IF(AND(N(M540)&gt;0,N(AV540)&gt;0),M540*AV540,IF(N(AU540)&gt;0,AU540,N540))</f>
        <v>1.59375</v>
      </c>
      <c r="AX540" s="29" t="str">
        <f aca="false">IF(N(AN540)=0,"",AN540+IF(I540="yes",AN540*Inputs!$B$10*Inputs!$B$9,0)+IFERROR(INDEX(Inputs!$B$13:$B$15,MATCH(G540,Inputs!$A$13:$A$15,0)),0)+IFERROR(INDEX(Inputs!$B$18:$B$24,MATCH(H540,Inputs!$A$18:$A$24,0)),0))</f>
        <v/>
      </c>
      <c r="AY540" s="28" t="str">
        <f aca="false">IF(OR(N(AX540)&lt;=0,N(AW540)=0,N(AV540)=0),"",MIN(AV540,AW540/AX540))</f>
        <v/>
      </c>
      <c r="AZ540" s="29" t="str">
        <f aca="false">IF(OR(AY540="",N(O540)=0),"",AY540/O540-1)</f>
        <v/>
      </c>
      <c r="BA540" s="29" t="str">
        <f aca="false">IF(OR(AZ540="",N(O540)=0),"",AZ540+AW540/O540)</f>
        <v/>
      </c>
      <c r="BB540" s="32" t="str">
        <f aca="false">IF(OR(BA540="",N(AR540)=0),"",BA540-AR540)</f>
        <v/>
      </c>
      <c r="BC540" s="35" t="str">
        <f aca="false">IF(OR(BA540="",N(U540)=0),"",BA540-U540)</f>
        <v/>
      </c>
      <c r="BD540" s="36" t="s">
        <v>147</v>
      </c>
    </row>
    <row r="541" customFormat="false" ht="15" hidden="false" customHeight="false" outlineLevel="0" collapsed="false">
      <c r="A541" s="2" t="s">
        <v>1067</v>
      </c>
      <c r="B541" s="2" t="n">
        <v>85</v>
      </c>
      <c r="C541" s="2" t="s">
        <v>1133</v>
      </c>
      <c r="D541" s="2" t="s">
        <v>1132</v>
      </c>
      <c r="E541" s="2" t="s">
        <v>143</v>
      </c>
      <c r="F541" s="27"/>
      <c r="G541" s="2" t="s">
        <v>54</v>
      </c>
      <c r="H541" s="2" t="s">
        <v>58</v>
      </c>
      <c r="I541" s="2" t="s">
        <v>144</v>
      </c>
      <c r="J541" s="2" t="s">
        <v>145</v>
      </c>
      <c r="K541" s="2" t="n">
        <v>4</v>
      </c>
      <c r="L541" s="28" t="n">
        <v>50</v>
      </c>
      <c r="M541" s="29" t="n">
        <v>0.06</v>
      </c>
      <c r="N541" s="28" t="n">
        <v>3</v>
      </c>
      <c r="O541" s="28" t="n">
        <v>0</v>
      </c>
      <c r="P541" s="2" t="s">
        <v>146</v>
      </c>
      <c r="Q541" s="29" t="n">
        <v>0</v>
      </c>
      <c r="R541" s="30" t="n">
        <v>0</v>
      </c>
      <c r="S541" s="31"/>
      <c r="T541" s="30"/>
      <c r="U541" s="30"/>
      <c r="V541" s="29" t="n">
        <v>-0.005</v>
      </c>
      <c r="W541" s="29" t="str">
        <f aca="false">IF(N(Q541)=0,"",Q541+IF(I541="yes",Q541*Inputs!$B$10*Inputs!$B$9,0)+V541)</f>
        <v/>
      </c>
      <c r="X541" s="28" t="str">
        <f aca="false">IF(OR(N(W541)&lt;=0,N(N541)=0,N(L541)=0),"",MIN(L541,N541/W541))</f>
        <v/>
      </c>
      <c r="Y541" s="29" t="str">
        <f aca="false">IF(OR(X541="",N(O541)=0),"",X541/O541-1)</f>
        <v/>
      </c>
      <c r="Z541" s="29" t="str">
        <f aca="false">IF(OR(Y541="",N(O541)=0),"",Y541+N541/O541)</f>
        <v/>
      </c>
      <c r="AA541" s="32" t="str">
        <f aca="false">IF(OR(Z541="",N(U541)=0),"",Z541-U541)</f>
        <v/>
      </c>
      <c r="AB541" s="29" t="str">
        <f aca="false">IF(N(Q541)=0,"",Q541+IF(I541="yes",Q541*Inputs!$B$10*Inputs!$B$9,0)+IFERROR(INDEX(Inputs!$B$13:$B$15,MATCH(G541,Inputs!$A$13:$A$15,0)),0)+IFERROR(INDEX(Inputs!$B$18:$B$24,MATCH(H541,Inputs!$A$18:$A$24,0)),0))</f>
        <v/>
      </c>
      <c r="AC541" s="28" t="str">
        <f aca="false">IF(OR(N(AB541)&lt;=0,N(N541)=0,N(L541)=0),"",MIN(L541,N541/AB541))</f>
        <v/>
      </c>
      <c r="AD541" s="29" t="str">
        <f aca="false">IF(OR(AC541="",N(O541)=0),"",AC541/O541-1)</f>
        <v/>
      </c>
      <c r="AE541" s="29" t="str">
        <f aca="false">IF(OR(AD541="",N(O541)=0),"",AD541+N541/O541)</f>
        <v/>
      </c>
      <c r="AF541" s="32" t="str">
        <f aca="false">IF(OR(AE541="",N(Z541)=0),"",AE541-Z541)</f>
        <v/>
      </c>
      <c r="AG541" s="28" t="n">
        <f aca="false">IF(AND(N(M541)&gt;0,N(L541)&gt;0),M541*L541,N541)</f>
        <v>3</v>
      </c>
      <c r="AH541" s="28" t="str">
        <f aca="false">IF(OR(N(AB541)&lt;=0,N(AG541)=0,N(L541)=0),"",MIN(L541,AG541/AB541))</f>
        <v/>
      </c>
      <c r="AI541" s="29" t="str">
        <f aca="false">IF(OR(AH541="",N(O541)=0),"",AH541/O541-1)</f>
        <v/>
      </c>
      <c r="AJ541" s="29" t="str">
        <f aca="false">IF(OR(AI541="",N(O541)=0),"",AI541+AG541/O541)</f>
        <v/>
      </c>
      <c r="AK541" s="32" t="str">
        <f aca="false">IF(OR(AJ541="",N(AE541)=0),"",AJ541-AE541)</f>
        <v/>
      </c>
      <c r="AL541" s="33" t="str">
        <f aca="false">IF(N(F541)=0,"",INDEX(Inputs!$B$28:$B$32,IFERROR(MATCH(F541,Inputs!$A$28:$A$32,1),0)+1))</f>
        <v/>
      </c>
      <c r="AM541" s="34"/>
      <c r="AN541" s="33" t="str">
        <f aca="false">IF(N(AM541)&gt;0,AM541,AL541)</f>
        <v/>
      </c>
      <c r="AO541" s="29" t="str">
        <f aca="false">IF(N(AN541)=0,"",AN541+IF(I541="yes",AN541*Inputs!$B$10*Inputs!$B$9,0)+IFERROR(INDEX(Inputs!$B$13:$B$15,MATCH(G541,Inputs!$A$13:$A$15,0)),0)+IFERROR(INDEX(Inputs!$B$18:$B$24,MATCH(H541,Inputs!$A$18:$A$24,0)),0))</f>
        <v/>
      </c>
      <c r="AP541" s="28" t="str">
        <f aca="false">IF(OR(N(AO541)&lt;=0,N(AG541)=0,N(L541)=0),"",MIN(L541,AG541/AO541))</f>
        <v/>
      </c>
      <c r="AQ541" s="29" t="str">
        <f aca="false">IF(OR(AP541="",N(O541)=0),"",AP541/O541-1)</f>
        <v/>
      </c>
      <c r="AR541" s="29" t="str">
        <f aca="false">IF(OR(AQ541="",N(O541)=0),"",AQ541+AG541/O541)</f>
        <v/>
      </c>
      <c r="AS541" s="32" t="str">
        <f aca="false">IF(OR(AR541="",N(AJ541)=0),"",AR541-AJ541)</f>
        <v/>
      </c>
      <c r="AT541" s="28"/>
      <c r="AU541" s="28"/>
      <c r="AV541" s="28" t="n">
        <f aca="false">IF(N(AT541)&gt;0,AT541,L541)</f>
        <v>50</v>
      </c>
      <c r="AW541" s="28" t="n">
        <f aca="false">IF(AND(N(M541)&gt;0,N(AV541)&gt;0),M541*AV541,IF(N(AU541)&gt;0,AU541,N541))</f>
        <v>3</v>
      </c>
      <c r="AX541" s="29" t="str">
        <f aca="false">IF(N(AN541)=0,"",AN541+IF(I541="yes",AN541*Inputs!$B$10*Inputs!$B$9,0)+IFERROR(INDEX(Inputs!$B$13:$B$15,MATCH(G541,Inputs!$A$13:$A$15,0)),0)+IFERROR(INDEX(Inputs!$B$18:$B$24,MATCH(H541,Inputs!$A$18:$A$24,0)),0))</f>
        <v/>
      </c>
      <c r="AY541" s="28" t="str">
        <f aca="false">IF(OR(N(AX541)&lt;=0,N(AW541)=0,N(AV541)=0),"",MIN(AV541,AW541/AX541))</f>
        <v/>
      </c>
      <c r="AZ541" s="29" t="str">
        <f aca="false">IF(OR(AY541="",N(O541)=0),"",AY541/O541-1)</f>
        <v/>
      </c>
      <c r="BA541" s="29" t="str">
        <f aca="false">IF(OR(AZ541="",N(O541)=0),"",AZ541+AW541/O541)</f>
        <v/>
      </c>
      <c r="BB541" s="32" t="str">
        <f aca="false">IF(OR(BA541="",N(AR541)=0),"",BA541-AR541)</f>
        <v/>
      </c>
      <c r="BC541" s="35" t="str">
        <f aca="false">IF(OR(BA541="",N(U541)=0),"",BA541-U541)</f>
        <v/>
      </c>
      <c r="BD541" s="36" t="s">
        <v>147</v>
      </c>
    </row>
    <row r="542" customFormat="false" ht="15" hidden="false" customHeight="false" outlineLevel="0" collapsed="false">
      <c r="A542" s="2" t="s">
        <v>1067</v>
      </c>
      <c r="B542" s="2" t="n">
        <v>88</v>
      </c>
      <c r="C542" s="2" t="s">
        <v>1134</v>
      </c>
      <c r="D542" s="2" t="s">
        <v>1135</v>
      </c>
      <c r="E542" s="2" t="s">
        <v>143</v>
      </c>
      <c r="F542" s="27"/>
      <c r="G542" s="2" t="s">
        <v>51</v>
      </c>
      <c r="H542" s="2" t="s">
        <v>59</v>
      </c>
      <c r="I542" s="2" t="s">
        <v>144</v>
      </c>
      <c r="J542" s="2" t="s">
        <v>145</v>
      </c>
      <c r="K542" s="2" t="n">
        <v>4</v>
      </c>
      <c r="L542" s="28" t="n">
        <v>25</v>
      </c>
      <c r="M542" s="29" t="n">
        <v>0.06875</v>
      </c>
      <c r="N542" s="28" t="n">
        <v>1.71875</v>
      </c>
      <c r="O542" s="28" t="n">
        <v>0</v>
      </c>
      <c r="P542" s="2" t="s">
        <v>146</v>
      </c>
      <c r="Q542" s="29" t="n">
        <v>0</v>
      </c>
      <c r="R542" s="30" t="n">
        <v>0</v>
      </c>
      <c r="S542" s="31"/>
      <c r="T542" s="30"/>
      <c r="U542" s="30"/>
      <c r="V542" s="29" t="n">
        <v>0</v>
      </c>
      <c r="W542" s="29" t="str">
        <f aca="false">IF(N(Q542)=0,"",Q542+IF(I542="yes",Q542*Inputs!$B$10*Inputs!$B$9,0)+V542)</f>
        <v/>
      </c>
      <c r="X542" s="28" t="str">
        <f aca="false">IF(OR(N(W542)&lt;=0,N(N542)=0,N(L542)=0),"",MIN(L542,N542/W542))</f>
        <v/>
      </c>
      <c r="Y542" s="29" t="str">
        <f aca="false">IF(OR(X542="",N(O542)=0),"",X542/O542-1)</f>
        <v/>
      </c>
      <c r="Z542" s="29" t="str">
        <f aca="false">IF(OR(Y542="",N(O542)=0),"",Y542+N542/O542)</f>
        <v/>
      </c>
      <c r="AA542" s="32" t="str">
        <f aca="false">IF(OR(Z542="",N(U542)=0),"",Z542-U542)</f>
        <v/>
      </c>
      <c r="AB542" s="29" t="str">
        <f aca="false">IF(N(Q542)=0,"",Q542+IF(I542="yes",Q542*Inputs!$B$10*Inputs!$B$9,0)+IFERROR(INDEX(Inputs!$B$13:$B$15,MATCH(G542,Inputs!$A$13:$A$15,0)),0)+IFERROR(INDEX(Inputs!$B$18:$B$24,MATCH(H542,Inputs!$A$18:$A$24,0)),0))</f>
        <v/>
      </c>
      <c r="AC542" s="28" t="str">
        <f aca="false">IF(OR(N(AB542)&lt;=0,N(N542)=0,N(L542)=0),"",MIN(L542,N542/AB542))</f>
        <v/>
      </c>
      <c r="AD542" s="29" t="str">
        <f aca="false">IF(OR(AC542="",N(O542)=0),"",AC542/O542-1)</f>
        <v/>
      </c>
      <c r="AE542" s="29" t="str">
        <f aca="false">IF(OR(AD542="",N(O542)=0),"",AD542+N542/O542)</f>
        <v/>
      </c>
      <c r="AF542" s="32" t="str">
        <f aca="false">IF(OR(AE542="",N(Z542)=0),"",AE542-Z542)</f>
        <v/>
      </c>
      <c r="AG542" s="28" t="n">
        <f aca="false">IF(AND(N(M542)&gt;0,N(L542)&gt;0),M542*L542,N542)</f>
        <v>1.71875</v>
      </c>
      <c r="AH542" s="28" t="str">
        <f aca="false">IF(OR(N(AB542)&lt;=0,N(AG542)=0,N(L542)=0),"",MIN(L542,AG542/AB542))</f>
        <v/>
      </c>
      <c r="AI542" s="29" t="str">
        <f aca="false">IF(OR(AH542="",N(O542)=0),"",AH542/O542-1)</f>
        <v/>
      </c>
      <c r="AJ542" s="29" t="str">
        <f aca="false">IF(OR(AI542="",N(O542)=0),"",AI542+AG542/O542)</f>
        <v/>
      </c>
      <c r="AK542" s="32" t="str">
        <f aca="false">IF(OR(AJ542="",N(AE542)=0),"",AJ542-AE542)</f>
        <v/>
      </c>
      <c r="AL542" s="33" t="str">
        <f aca="false">IF(N(F542)=0,"",INDEX(Inputs!$B$28:$B$32,IFERROR(MATCH(F542,Inputs!$A$28:$A$32,1),0)+1))</f>
        <v/>
      </c>
      <c r="AM542" s="34"/>
      <c r="AN542" s="33" t="str">
        <f aca="false">IF(N(AM542)&gt;0,AM542,AL542)</f>
        <v/>
      </c>
      <c r="AO542" s="29" t="str">
        <f aca="false">IF(N(AN542)=0,"",AN542+IF(I542="yes",AN542*Inputs!$B$10*Inputs!$B$9,0)+IFERROR(INDEX(Inputs!$B$13:$B$15,MATCH(G542,Inputs!$A$13:$A$15,0)),0)+IFERROR(INDEX(Inputs!$B$18:$B$24,MATCH(H542,Inputs!$A$18:$A$24,0)),0))</f>
        <v/>
      </c>
      <c r="AP542" s="28" t="str">
        <f aca="false">IF(OR(N(AO542)&lt;=0,N(AG542)=0,N(L542)=0),"",MIN(L542,AG542/AO542))</f>
        <v/>
      </c>
      <c r="AQ542" s="29" t="str">
        <f aca="false">IF(OR(AP542="",N(O542)=0),"",AP542/O542-1)</f>
        <v/>
      </c>
      <c r="AR542" s="29" t="str">
        <f aca="false">IF(OR(AQ542="",N(O542)=0),"",AQ542+AG542/O542)</f>
        <v/>
      </c>
      <c r="AS542" s="32" t="str">
        <f aca="false">IF(OR(AR542="",N(AJ542)=0),"",AR542-AJ542)</f>
        <v/>
      </c>
      <c r="AT542" s="28"/>
      <c r="AU542" s="28"/>
      <c r="AV542" s="28" t="n">
        <f aca="false">IF(N(AT542)&gt;0,AT542,L542)</f>
        <v>25</v>
      </c>
      <c r="AW542" s="28" t="n">
        <f aca="false">IF(AND(N(M542)&gt;0,N(AV542)&gt;0),M542*AV542,IF(N(AU542)&gt;0,AU542,N542))</f>
        <v>1.71875</v>
      </c>
      <c r="AX542" s="29" t="str">
        <f aca="false">IF(N(AN542)=0,"",AN542+IF(I542="yes",AN542*Inputs!$B$10*Inputs!$B$9,0)+IFERROR(INDEX(Inputs!$B$13:$B$15,MATCH(G542,Inputs!$A$13:$A$15,0)),0)+IFERROR(INDEX(Inputs!$B$18:$B$24,MATCH(H542,Inputs!$A$18:$A$24,0)),0))</f>
        <v/>
      </c>
      <c r="AY542" s="28" t="str">
        <f aca="false">IF(OR(N(AX542)&lt;=0,N(AW542)=0,N(AV542)=0),"",MIN(AV542,AW542/AX542))</f>
        <v/>
      </c>
      <c r="AZ542" s="29" t="str">
        <f aca="false">IF(OR(AY542="",N(O542)=0),"",AY542/O542-1)</f>
        <v/>
      </c>
      <c r="BA542" s="29" t="str">
        <f aca="false">IF(OR(AZ542="",N(O542)=0),"",AZ542+AW542/O542)</f>
        <v/>
      </c>
      <c r="BB542" s="32" t="str">
        <f aca="false">IF(OR(BA542="",N(AR542)=0),"",BA542-AR542)</f>
        <v/>
      </c>
      <c r="BC542" s="35" t="str">
        <f aca="false">IF(OR(BA542="",N(U542)=0),"",BA542-U542)</f>
        <v/>
      </c>
      <c r="BD542" s="36" t="s">
        <v>147</v>
      </c>
    </row>
    <row r="543" customFormat="false" ht="15" hidden="false" customHeight="false" outlineLevel="0" collapsed="false">
      <c r="A543" s="2" t="s">
        <v>1067</v>
      </c>
      <c r="B543" s="2" t="n">
        <v>89</v>
      </c>
      <c r="C543" s="2" t="s">
        <v>1136</v>
      </c>
      <c r="D543" s="2" t="s">
        <v>1135</v>
      </c>
      <c r="E543" s="2" t="s">
        <v>143</v>
      </c>
      <c r="F543" s="27"/>
      <c r="G543" s="2" t="s">
        <v>51</v>
      </c>
      <c r="H543" s="2" t="s">
        <v>59</v>
      </c>
      <c r="I543" s="2" t="s">
        <v>144</v>
      </c>
      <c r="J543" s="2" t="s">
        <v>145</v>
      </c>
      <c r="K543" s="2" t="n">
        <v>4</v>
      </c>
      <c r="L543" s="28" t="n">
        <v>25</v>
      </c>
      <c r="M543" s="29" t="n">
        <v>0.07875</v>
      </c>
      <c r="N543" s="28" t="n">
        <v>1.96875</v>
      </c>
      <c r="O543" s="28" t="n">
        <v>0</v>
      </c>
      <c r="P543" s="2" t="s">
        <v>146</v>
      </c>
      <c r="Q543" s="29" t="n">
        <v>0</v>
      </c>
      <c r="R543" s="30" t="n">
        <v>0</v>
      </c>
      <c r="S543" s="31"/>
      <c r="T543" s="30"/>
      <c r="U543" s="30"/>
      <c r="V543" s="29" t="n">
        <v>0</v>
      </c>
      <c r="W543" s="29" t="str">
        <f aca="false">IF(N(Q543)=0,"",Q543+IF(I543="yes",Q543*Inputs!$B$10*Inputs!$B$9,0)+V543)</f>
        <v/>
      </c>
      <c r="X543" s="28" t="str">
        <f aca="false">IF(OR(N(W543)&lt;=0,N(N543)=0,N(L543)=0),"",MIN(L543,N543/W543))</f>
        <v/>
      </c>
      <c r="Y543" s="29" t="str">
        <f aca="false">IF(OR(X543="",N(O543)=0),"",X543/O543-1)</f>
        <v/>
      </c>
      <c r="Z543" s="29" t="str">
        <f aca="false">IF(OR(Y543="",N(O543)=0),"",Y543+N543/O543)</f>
        <v/>
      </c>
      <c r="AA543" s="32" t="str">
        <f aca="false">IF(OR(Z543="",N(U543)=0),"",Z543-U543)</f>
        <v/>
      </c>
      <c r="AB543" s="29" t="str">
        <f aca="false">IF(N(Q543)=0,"",Q543+IF(I543="yes",Q543*Inputs!$B$10*Inputs!$B$9,0)+IFERROR(INDEX(Inputs!$B$13:$B$15,MATCH(G543,Inputs!$A$13:$A$15,0)),0)+IFERROR(INDEX(Inputs!$B$18:$B$24,MATCH(H543,Inputs!$A$18:$A$24,0)),0))</f>
        <v/>
      </c>
      <c r="AC543" s="28" t="str">
        <f aca="false">IF(OR(N(AB543)&lt;=0,N(N543)=0,N(L543)=0),"",MIN(L543,N543/AB543))</f>
        <v/>
      </c>
      <c r="AD543" s="29" t="str">
        <f aca="false">IF(OR(AC543="",N(O543)=0),"",AC543/O543-1)</f>
        <v/>
      </c>
      <c r="AE543" s="29" t="str">
        <f aca="false">IF(OR(AD543="",N(O543)=0),"",AD543+N543/O543)</f>
        <v/>
      </c>
      <c r="AF543" s="32" t="str">
        <f aca="false">IF(OR(AE543="",N(Z543)=0),"",AE543-Z543)</f>
        <v/>
      </c>
      <c r="AG543" s="28" t="n">
        <f aca="false">IF(AND(N(M543)&gt;0,N(L543)&gt;0),M543*L543,N543)</f>
        <v>1.96875</v>
      </c>
      <c r="AH543" s="28" t="str">
        <f aca="false">IF(OR(N(AB543)&lt;=0,N(AG543)=0,N(L543)=0),"",MIN(L543,AG543/AB543))</f>
        <v/>
      </c>
      <c r="AI543" s="29" t="str">
        <f aca="false">IF(OR(AH543="",N(O543)=0),"",AH543/O543-1)</f>
        <v/>
      </c>
      <c r="AJ543" s="29" t="str">
        <f aca="false">IF(OR(AI543="",N(O543)=0),"",AI543+AG543/O543)</f>
        <v/>
      </c>
      <c r="AK543" s="32" t="str">
        <f aca="false">IF(OR(AJ543="",N(AE543)=0),"",AJ543-AE543)</f>
        <v/>
      </c>
      <c r="AL543" s="33" t="str">
        <f aca="false">IF(N(F543)=0,"",INDEX(Inputs!$B$28:$B$32,IFERROR(MATCH(F543,Inputs!$A$28:$A$32,1),0)+1))</f>
        <v/>
      </c>
      <c r="AM543" s="34"/>
      <c r="AN543" s="33" t="str">
        <f aca="false">IF(N(AM543)&gt;0,AM543,AL543)</f>
        <v/>
      </c>
      <c r="AO543" s="29" t="str">
        <f aca="false">IF(N(AN543)=0,"",AN543+IF(I543="yes",AN543*Inputs!$B$10*Inputs!$B$9,0)+IFERROR(INDEX(Inputs!$B$13:$B$15,MATCH(G543,Inputs!$A$13:$A$15,0)),0)+IFERROR(INDEX(Inputs!$B$18:$B$24,MATCH(H543,Inputs!$A$18:$A$24,0)),0))</f>
        <v/>
      </c>
      <c r="AP543" s="28" t="str">
        <f aca="false">IF(OR(N(AO543)&lt;=0,N(AG543)=0,N(L543)=0),"",MIN(L543,AG543/AO543))</f>
        <v/>
      </c>
      <c r="AQ543" s="29" t="str">
        <f aca="false">IF(OR(AP543="",N(O543)=0),"",AP543/O543-1)</f>
        <v/>
      </c>
      <c r="AR543" s="29" t="str">
        <f aca="false">IF(OR(AQ543="",N(O543)=0),"",AQ543+AG543/O543)</f>
        <v/>
      </c>
      <c r="AS543" s="32" t="str">
        <f aca="false">IF(OR(AR543="",N(AJ543)=0),"",AR543-AJ543)</f>
        <v/>
      </c>
      <c r="AT543" s="28"/>
      <c r="AU543" s="28"/>
      <c r="AV543" s="28" t="n">
        <f aca="false">IF(N(AT543)&gt;0,AT543,L543)</f>
        <v>25</v>
      </c>
      <c r="AW543" s="28" t="n">
        <f aca="false">IF(AND(N(M543)&gt;0,N(AV543)&gt;0),M543*AV543,IF(N(AU543)&gt;0,AU543,N543))</f>
        <v>1.96875</v>
      </c>
      <c r="AX543" s="29" t="str">
        <f aca="false">IF(N(AN543)=0,"",AN543+IF(I543="yes",AN543*Inputs!$B$10*Inputs!$B$9,0)+IFERROR(INDEX(Inputs!$B$13:$B$15,MATCH(G543,Inputs!$A$13:$A$15,0)),0)+IFERROR(INDEX(Inputs!$B$18:$B$24,MATCH(H543,Inputs!$A$18:$A$24,0)),0))</f>
        <v/>
      </c>
      <c r="AY543" s="28" t="str">
        <f aca="false">IF(OR(N(AX543)&lt;=0,N(AW543)=0,N(AV543)=0),"",MIN(AV543,AW543/AX543))</f>
        <v/>
      </c>
      <c r="AZ543" s="29" t="str">
        <f aca="false">IF(OR(AY543="",N(O543)=0),"",AY543/O543-1)</f>
        <v/>
      </c>
      <c r="BA543" s="29" t="str">
        <f aca="false">IF(OR(AZ543="",N(O543)=0),"",AZ543+AW543/O543)</f>
        <v/>
      </c>
      <c r="BB543" s="32" t="str">
        <f aca="false">IF(OR(BA543="",N(AR543)=0),"",BA543-AR543)</f>
        <v/>
      </c>
      <c r="BC543" s="35" t="str">
        <f aca="false">IF(OR(BA543="",N(U543)=0),"",BA543-U543)</f>
        <v/>
      </c>
      <c r="BD543" s="36" t="s">
        <v>147</v>
      </c>
    </row>
    <row r="544" customFormat="false" ht="15" hidden="false" customHeight="false" outlineLevel="0" collapsed="false">
      <c r="A544" s="2" t="s">
        <v>1067</v>
      </c>
      <c r="B544" s="2" t="n">
        <v>90</v>
      </c>
      <c r="C544" s="2" t="s">
        <v>1137</v>
      </c>
      <c r="D544" s="2" t="s">
        <v>1135</v>
      </c>
      <c r="E544" s="2" t="s">
        <v>143</v>
      </c>
      <c r="F544" s="27"/>
      <c r="G544" s="2" t="s">
        <v>51</v>
      </c>
      <c r="H544" s="2" t="s">
        <v>59</v>
      </c>
      <c r="I544" s="2" t="s">
        <v>144</v>
      </c>
      <c r="J544" s="2" t="s">
        <v>145</v>
      </c>
      <c r="K544" s="2" t="n">
        <v>4</v>
      </c>
      <c r="L544" s="28" t="n">
        <v>25</v>
      </c>
      <c r="M544" s="29" t="n">
        <v>0.08</v>
      </c>
      <c r="N544" s="28" t="n">
        <v>2</v>
      </c>
      <c r="O544" s="28" t="n">
        <v>0</v>
      </c>
      <c r="P544" s="2" t="s">
        <v>146</v>
      </c>
      <c r="Q544" s="29" t="n">
        <v>0</v>
      </c>
      <c r="R544" s="30" t="n">
        <v>0</v>
      </c>
      <c r="S544" s="31"/>
      <c r="T544" s="30"/>
      <c r="U544" s="30"/>
      <c r="V544" s="29" t="n">
        <v>0</v>
      </c>
      <c r="W544" s="29" t="str">
        <f aca="false">IF(N(Q544)=0,"",Q544+IF(I544="yes",Q544*Inputs!$B$10*Inputs!$B$9,0)+V544)</f>
        <v/>
      </c>
      <c r="X544" s="28" t="str">
        <f aca="false">IF(OR(N(W544)&lt;=0,N(N544)=0,N(L544)=0),"",MIN(L544,N544/W544))</f>
        <v/>
      </c>
      <c r="Y544" s="29" t="str">
        <f aca="false">IF(OR(X544="",N(O544)=0),"",X544/O544-1)</f>
        <v/>
      </c>
      <c r="Z544" s="29" t="str">
        <f aca="false">IF(OR(Y544="",N(O544)=0),"",Y544+N544/O544)</f>
        <v/>
      </c>
      <c r="AA544" s="32" t="str">
        <f aca="false">IF(OR(Z544="",N(U544)=0),"",Z544-U544)</f>
        <v/>
      </c>
      <c r="AB544" s="29" t="str">
        <f aca="false">IF(N(Q544)=0,"",Q544+IF(I544="yes",Q544*Inputs!$B$10*Inputs!$B$9,0)+IFERROR(INDEX(Inputs!$B$13:$B$15,MATCH(G544,Inputs!$A$13:$A$15,0)),0)+IFERROR(INDEX(Inputs!$B$18:$B$24,MATCH(H544,Inputs!$A$18:$A$24,0)),0))</f>
        <v/>
      </c>
      <c r="AC544" s="28" t="str">
        <f aca="false">IF(OR(N(AB544)&lt;=0,N(N544)=0,N(L544)=0),"",MIN(L544,N544/AB544))</f>
        <v/>
      </c>
      <c r="AD544" s="29" t="str">
        <f aca="false">IF(OR(AC544="",N(O544)=0),"",AC544/O544-1)</f>
        <v/>
      </c>
      <c r="AE544" s="29" t="str">
        <f aca="false">IF(OR(AD544="",N(O544)=0),"",AD544+N544/O544)</f>
        <v/>
      </c>
      <c r="AF544" s="32" t="str">
        <f aca="false">IF(OR(AE544="",N(Z544)=0),"",AE544-Z544)</f>
        <v/>
      </c>
      <c r="AG544" s="28" t="n">
        <f aca="false">IF(AND(N(M544)&gt;0,N(L544)&gt;0),M544*L544,N544)</f>
        <v>2</v>
      </c>
      <c r="AH544" s="28" t="str">
        <f aca="false">IF(OR(N(AB544)&lt;=0,N(AG544)=0,N(L544)=0),"",MIN(L544,AG544/AB544))</f>
        <v/>
      </c>
      <c r="AI544" s="29" t="str">
        <f aca="false">IF(OR(AH544="",N(O544)=0),"",AH544/O544-1)</f>
        <v/>
      </c>
      <c r="AJ544" s="29" t="str">
        <f aca="false">IF(OR(AI544="",N(O544)=0),"",AI544+AG544/O544)</f>
        <v/>
      </c>
      <c r="AK544" s="32" t="str">
        <f aca="false">IF(OR(AJ544="",N(AE544)=0),"",AJ544-AE544)</f>
        <v/>
      </c>
      <c r="AL544" s="33" t="str">
        <f aca="false">IF(N(F544)=0,"",INDEX(Inputs!$B$28:$B$32,IFERROR(MATCH(F544,Inputs!$A$28:$A$32,1),0)+1))</f>
        <v/>
      </c>
      <c r="AM544" s="34"/>
      <c r="AN544" s="33" t="str">
        <f aca="false">IF(N(AM544)&gt;0,AM544,AL544)</f>
        <v/>
      </c>
      <c r="AO544" s="29" t="str">
        <f aca="false">IF(N(AN544)=0,"",AN544+IF(I544="yes",AN544*Inputs!$B$10*Inputs!$B$9,0)+IFERROR(INDEX(Inputs!$B$13:$B$15,MATCH(G544,Inputs!$A$13:$A$15,0)),0)+IFERROR(INDEX(Inputs!$B$18:$B$24,MATCH(H544,Inputs!$A$18:$A$24,0)),0))</f>
        <v/>
      </c>
      <c r="AP544" s="28" t="str">
        <f aca="false">IF(OR(N(AO544)&lt;=0,N(AG544)=0,N(L544)=0),"",MIN(L544,AG544/AO544))</f>
        <v/>
      </c>
      <c r="AQ544" s="29" t="str">
        <f aca="false">IF(OR(AP544="",N(O544)=0),"",AP544/O544-1)</f>
        <v/>
      </c>
      <c r="AR544" s="29" t="str">
        <f aca="false">IF(OR(AQ544="",N(O544)=0),"",AQ544+AG544/O544)</f>
        <v/>
      </c>
      <c r="AS544" s="32" t="str">
        <f aca="false">IF(OR(AR544="",N(AJ544)=0),"",AR544-AJ544)</f>
        <v/>
      </c>
      <c r="AT544" s="28"/>
      <c r="AU544" s="28"/>
      <c r="AV544" s="28" t="n">
        <f aca="false">IF(N(AT544)&gt;0,AT544,L544)</f>
        <v>25</v>
      </c>
      <c r="AW544" s="28" t="n">
        <f aca="false">IF(AND(N(M544)&gt;0,N(AV544)&gt;0),M544*AV544,IF(N(AU544)&gt;0,AU544,N544))</f>
        <v>2</v>
      </c>
      <c r="AX544" s="29" t="str">
        <f aca="false">IF(N(AN544)=0,"",AN544+IF(I544="yes",AN544*Inputs!$B$10*Inputs!$B$9,0)+IFERROR(INDEX(Inputs!$B$13:$B$15,MATCH(G544,Inputs!$A$13:$A$15,0)),0)+IFERROR(INDEX(Inputs!$B$18:$B$24,MATCH(H544,Inputs!$A$18:$A$24,0)),0))</f>
        <v/>
      </c>
      <c r="AY544" s="28" t="str">
        <f aca="false">IF(OR(N(AX544)&lt;=0,N(AW544)=0,N(AV544)=0),"",MIN(AV544,AW544/AX544))</f>
        <v/>
      </c>
      <c r="AZ544" s="29" t="str">
        <f aca="false">IF(OR(AY544="",N(O544)=0),"",AY544/O544-1)</f>
        <v/>
      </c>
      <c r="BA544" s="29" t="str">
        <f aca="false">IF(OR(AZ544="",N(O544)=0),"",AZ544+AW544/O544)</f>
        <v/>
      </c>
      <c r="BB544" s="32" t="str">
        <f aca="false">IF(OR(BA544="",N(AR544)=0),"",BA544-AR544)</f>
        <v/>
      </c>
      <c r="BC544" s="35" t="str">
        <f aca="false">IF(OR(BA544="",N(U544)=0),"",BA544-U544)</f>
        <v/>
      </c>
      <c r="BD544" s="36" t="s">
        <v>147</v>
      </c>
    </row>
    <row r="545" customFormat="false" ht="15" hidden="false" customHeight="false" outlineLevel="0" collapsed="false">
      <c r="A545" s="2" t="s">
        <v>1067</v>
      </c>
      <c r="B545" s="2" t="n">
        <v>91</v>
      </c>
      <c r="C545" s="2" t="s">
        <v>1138</v>
      </c>
      <c r="D545" s="2" t="s">
        <v>1135</v>
      </c>
      <c r="E545" s="2" t="s">
        <v>143</v>
      </c>
      <c r="F545" s="27"/>
      <c r="G545" s="2" t="s">
        <v>51</v>
      </c>
      <c r="H545" s="2" t="s">
        <v>58</v>
      </c>
      <c r="I545" s="2" t="s">
        <v>144</v>
      </c>
      <c r="J545" s="2" t="s">
        <v>145</v>
      </c>
      <c r="K545" s="2" t="n">
        <v>4</v>
      </c>
      <c r="L545" s="28" t="n">
        <v>25</v>
      </c>
      <c r="M545" s="29" t="n">
        <v>0.07</v>
      </c>
      <c r="N545" s="28" t="n">
        <v>1.75</v>
      </c>
      <c r="O545" s="28" t="n">
        <v>0</v>
      </c>
      <c r="P545" s="2" t="s">
        <v>223</v>
      </c>
      <c r="Q545" s="29" t="n">
        <v>0</v>
      </c>
      <c r="R545" s="30" t="n">
        <v>0</v>
      </c>
      <c r="S545" s="31"/>
      <c r="T545" s="30"/>
      <c r="U545" s="30"/>
      <c r="V545" s="29" t="n">
        <v>0</v>
      </c>
      <c r="W545" s="29" t="str">
        <f aca="false">IF(N(Q545)=0,"",Q545+IF(I545="yes",Q545*Inputs!$B$10*Inputs!$B$9,0)+V545)</f>
        <v/>
      </c>
      <c r="X545" s="28" t="str">
        <f aca="false">IF(OR(N(W545)&lt;=0,N(N545)=0,N(L545)=0),"",MIN(L545,N545/W545))</f>
        <v/>
      </c>
      <c r="Y545" s="29" t="str">
        <f aca="false">IF(OR(X545="",N(O545)=0),"",X545/O545-1)</f>
        <v/>
      </c>
      <c r="Z545" s="29" t="str">
        <f aca="false">IF(OR(Y545="",N(O545)=0),"",Y545+N545/O545)</f>
        <v/>
      </c>
      <c r="AA545" s="32" t="str">
        <f aca="false">IF(OR(Z545="",N(U545)=0),"",Z545-U545)</f>
        <v/>
      </c>
      <c r="AB545" s="29" t="str">
        <f aca="false">IF(N(Q545)=0,"",Q545+IF(I545="yes",Q545*Inputs!$B$10*Inputs!$B$9,0)+IFERROR(INDEX(Inputs!$B$13:$B$15,MATCH(G545,Inputs!$A$13:$A$15,0)),0)+IFERROR(INDEX(Inputs!$B$18:$B$24,MATCH(H545,Inputs!$A$18:$A$24,0)),0))</f>
        <v/>
      </c>
      <c r="AC545" s="28" t="str">
        <f aca="false">IF(OR(N(AB545)&lt;=0,N(N545)=0,N(L545)=0),"",MIN(L545,N545/AB545))</f>
        <v/>
      </c>
      <c r="AD545" s="29" t="str">
        <f aca="false">IF(OR(AC545="",N(O545)=0),"",AC545/O545-1)</f>
        <v/>
      </c>
      <c r="AE545" s="29" t="str">
        <f aca="false">IF(OR(AD545="",N(O545)=0),"",AD545+N545/O545)</f>
        <v/>
      </c>
      <c r="AF545" s="32" t="str">
        <f aca="false">IF(OR(AE545="",N(Z545)=0),"",AE545-Z545)</f>
        <v/>
      </c>
      <c r="AG545" s="28" t="n">
        <f aca="false">IF(AND(N(M545)&gt;0,N(L545)&gt;0),M545*L545,N545)</f>
        <v>1.75</v>
      </c>
      <c r="AH545" s="28" t="str">
        <f aca="false">IF(OR(N(AB545)&lt;=0,N(AG545)=0,N(L545)=0),"",MIN(L545,AG545/AB545))</f>
        <v/>
      </c>
      <c r="AI545" s="29" t="str">
        <f aca="false">IF(OR(AH545="",N(O545)=0),"",AH545/O545-1)</f>
        <v/>
      </c>
      <c r="AJ545" s="29" t="str">
        <f aca="false">IF(OR(AI545="",N(O545)=0),"",AI545+AG545/O545)</f>
        <v/>
      </c>
      <c r="AK545" s="32" t="str">
        <f aca="false">IF(OR(AJ545="",N(AE545)=0),"",AJ545-AE545)</f>
        <v/>
      </c>
      <c r="AL545" s="33" t="str">
        <f aca="false">IF(N(F545)=0,"",INDEX(Inputs!$B$28:$B$32,IFERROR(MATCH(F545,Inputs!$A$28:$A$32,1),0)+1))</f>
        <v/>
      </c>
      <c r="AM545" s="34"/>
      <c r="AN545" s="33" t="str">
        <f aca="false">IF(N(AM545)&gt;0,AM545,AL545)</f>
        <v/>
      </c>
      <c r="AO545" s="29" t="str">
        <f aca="false">IF(N(AN545)=0,"",AN545+IF(I545="yes",AN545*Inputs!$B$10*Inputs!$B$9,0)+IFERROR(INDEX(Inputs!$B$13:$B$15,MATCH(G545,Inputs!$A$13:$A$15,0)),0)+IFERROR(INDEX(Inputs!$B$18:$B$24,MATCH(H545,Inputs!$A$18:$A$24,0)),0))</f>
        <v/>
      </c>
      <c r="AP545" s="28" t="str">
        <f aca="false">IF(OR(N(AO545)&lt;=0,N(AG545)=0,N(L545)=0),"",MIN(L545,AG545/AO545))</f>
        <v/>
      </c>
      <c r="AQ545" s="29" t="str">
        <f aca="false">IF(OR(AP545="",N(O545)=0),"",AP545/O545-1)</f>
        <v/>
      </c>
      <c r="AR545" s="29" t="str">
        <f aca="false">IF(OR(AQ545="",N(O545)=0),"",AQ545+AG545/O545)</f>
        <v/>
      </c>
      <c r="AS545" s="32" t="str">
        <f aca="false">IF(OR(AR545="",N(AJ545)=0),"",AR545-AJ545)</f>
        <v/>
      </c>
      <c r="AT545" s="28"/>
      <c r="AU545" s="28"/>
      <c r="AV545" s="28" t="n">
        <f aca="false">IF(N(AT545)&gt;0,AT545,L545)</f>
        <v>25</v>
      </c>
      <c r="AW545" s="28" t="n">
        <f aca="false">IF(AND(N(M545)&gt;0,N(AV545)&gt;0),M545*AV545,IF(N(AU545)&gt;0,AU545,N545))</f>
        <v>1.75</v>
      </c>
      <c r="AX545" s="29" t="str">
        <f aca="false">IF(N(AN545)=0,"",AN545+IF(I545="yes",AN545*Inputs!$B$10*Inputs!$B$9,0)+IFERROR(INDEX(Inputs!$B$13:$B$15,MATCH(G545,Inputs!$A$13:$A$15,0)),0)+IFERROR(INDEX(Inputs!$B$18:$B$24,MATCH(H545,Inputs!$A$18:$A$24,0)),0))</f>
        <v/>
      </c>
      <c r="AY545" s="28" t="str">
        <f aca="false">IF(OR(N(AX545)&lt;=0,N(AW545)=0,N(AV545)=0),"",MIN(AV545,AW545/AX545))</f>
        <v/>
      </c>
      <c r="AZ545" s="29" t="str">
        <f aca="false">IF(OR(AY545="",N(O545)=0),"",AY545/O545-1)</f>
        <v/>
      </c>
      <c r="BA545" s="29" t="str">
        <f aca="false">IF(OR(AZ545="",N(O545)=0),"",AZ545+AW545/O545)</f>
        <v/>
      </c>
      <c r="BB545" s="32" t="str">
        <f aca="false">IF(OR(BA545="",N(AR545)=0),"",BA545-AR545)</f>
        <v/>
      </c>
      <c r="BC545" s="35" t="str">
        <f aca="false">IF(OR(BA545="",N(U545)=0),"",BA545-U545)</f>
        <v/>
      </c>
      <c r="BD545" s="36" t="s">
        <v>328</v>
      </c>
    </row>
    <row r="546" customFormat="false" ht="15" hidden="false" customHeight="false" outlineLevel="0" collapsed="false">
      <c r="A546" s="2" t="s">
        <v>1067</v>
      </c>
      <c r="B546" s="2" t="n">
        <v>96</v>
      </c>
      <c r="C546" s="2" t="s">
        <v>1139</v>
      </c>
      <c r="D546" s="2" t="s">
        <v>1140</v>
      </c>
      <c r="E546" s="2" t="s">
        <v>1141</v>
      </c>
      <c r="F546" s="27" t="n">
        <v>75</v>
      </c>
      <c r="G546" s="2" t="s">
        <v>51</v>
      </c>
      <c r="H546" s="2" t="s">
        <v>58</v>
      </c>
      <c r="I546" s="2" t="s">
        <v>151</v>
      </c>
      <c r="J546" s="2" t="s">
        <v>145</v>
      </c>
      <c r="K546" s="2" t="n">
        <v>4</v>
      </c>
      <c r="L546" s="28" t="n">
        <v>25</v>
      </c>
      <c r="M546" s="29" t="n">
        <v>0.0525</v>
      </c>
      <c r="N546" s="28" t="n">
        <v>1.3125</v>
      </c>
      <c r="O546" s="28" t="n">
        <v>24.93</v>
      </c>
      <c r="P546" s="2" t="s">
        <v>223</v>
      </c>
      <c r="Q546" s="29" t="n">
        <v>0.1</v>
      </c>
      <c r="R546" s="30" t="n">
        <v>0.1</v>
      </c>
      <c r="S546" s="31" t="n">
        <v>13.125</v>
      </c>
      <c r="T546" s="30" t="n">
        <v>-0.47352587244284</v>
      </c>
      <c r="U546" s="30" t="n">
        <v>-0.420878459687124</v>
      </c>
      <c r="V546" s="29" t="n">
        <v>0</v>
      </c>
      <c r="W546" s="29" t="n">
        <f aca="false">IF(N(Q546)=0,"",Q546+IF(I546="yes",Q546*Inputs!$B$10*Inputs!$B$9,0)+V546)</f>
        <v>0.095</v>
      </c>
      <c r="X546" s="28" t="n">
        <f aca="false">IF(OR(N(W546)&lt;=0,N(N546)=0,N(L546)=0),"",MIN(L546,N546/W546))</f>
        <v>13.8157894736842</v>
      </c>
      <c r="Y546" s="29" t="n">
        <f aca="false">IF(OR(X546="",N(O546)=0),"",X546/O546-1)</f>
        <v>-0.445816707834568</v>
      </c>
      <c r="Z546" s="29" t="n">
        <f aca="false">IF(OR(Y546="",N(O546)=0),"",Y546+N546/O546)</f>
        <v>-0.393169295078852</v>
      </c>
      <c r="AA546" s="32" t="n">
        <f aca="false">IF(OR(Z546="",N(U546)=0),"",Z546-U546)</f>
        <v>0.0277091646082716</v>
      </c>
      <c r="AB546" s="29" t="n">
        <f aca="false">IF(N(Q546)=0,"",Q546+IF(I546="yes",Q546*Inputs!$B$10*Inputs!$B$9,0)+IFERROR(INDEX(Inputs!$B$13:$B$15,MATCH(G546,Inputs!$A$13:$A$15,0)),0)+IFERROR(INDEX(Inputs!$B$18:$B$24,MATCH(H546,Inputs!$A$18:$A$24,0)),0))</f>
        <v>0.095</v>
      </c>
      <c r="AC546" s="28" t="n">
        <f aca="false">IF(OR(N(AB546)&lt;=0,N(N546)=0,N(L546)=0),"",MIN(L546,N546/AB546))</f>
        <v>13.8157894736842</v>
      </c>
      <c r="AD546" s="29" t="n">
        <f aca="false">IF(OR(AC546="",N(O546)=0),"",AC546/O546-1)</f>
        <v>-0.445816707834568</v>
      </c>
      <c r="AE546" s="29" t="n">
        <f aca="false">IF(OR(AD546="",N(O546)=0),"",AD546+N546/O546)</f>
        <v>-0.393169295078852</v>
      </c>
      <c r="AF546" s="32" t="n">
        <f aca="false">IF(OR(AE546="",N(Z546)=0),"",AE546-Z546)</f>
        <v>0</v>
      </c>
      <c r="AG546" s="28" t="n">
        <f aca="false">IF(AND(N(M546)&gt;0,N(L546)&gt;0),M546*L546,N546)</f>
        <v>1.3125</v>
      </c>
      <c r="AH546" s="28" t="n">
        <f aca="false">IF(OR(N(AB546)&lt;=0,N(AG546)=0,N(L546)=0),"",MIN(L546,AG546/AB546))</f>
        <v>13.8157894736842</v>
      </c>
      <c r="AI546" s="29" t="n">
        <f aca="false">IF(OR(AH546="",N(O546)=0),"",AH546/O546-1)</f>
        <v>-0.445816707834568</v>
      </c>
      <c r="AJ546" s="29" t="n">
        <f aca="false">IF(OR(AI546="",N(O546)=0),"",AI546+AG546/O546)</f>
        <v>-0.393169295078852</v>
      </c>
      <c r="AK546" s="32" t="n">
        <f aca="false">IF(OR(AJ546="",N(AE546)=0),"",AJ546-AE546)</f>
        <v>0</v>
      </c>
      <c r="AL546" s="33" t="n">
        <f aca="false">IF(N(F546)=0,"",INDEX(Inputs!$B$28:$B$32,IFERROR(MATCH(F546,Inputs!$A$28:$A$32,1),0)+1))</f>
        <v>0.1</v>
      </c>
      <c r="AM546" s="34"/>
      <c r="AN546" s="33" t="n">
        <f aca="false">IF(N(AM546)&gt;0,AM546,AL546)</f>
        <v>0.1</v>
      </c>
      <c r="AO546" s="29" t="n">
        <f aca="false">IF(N(AN546)=0,"",AN546+IF(I546="yes",AN546*Inputs!$B$10*Inputs!$B$9,0)+IFERROR(INDEX(Inputs!$B$13:$B$15,MATCH(G546,Inputs!$A$13:$A$15,0)),0)+IFERROR(INDEX(Inputs!$B$18:$B$24,MATCH(H546,Inputs!$A$18:$A$24,0)),0))</f>
        <v>0.095</v>
      </c>
      <c r="AP546" s="28" t="n">
        <f aca="false">IF(OR(N(AO546)&lt;=0,N(AG546)=0,N(L546)=0),"",MIN(L546,AG546/AO546))</f>
        <v>13.8157894736842</v>
      </c>
      <c r="AQ546" s="29" t="n">
        <f aca="false">IF(OR(AP546="",N(O546)=0),"",AP546/O546-1)</f>
        <v>-0.445816707834568</v>
      </c>
      <c r="AR546" s="29" t="n">
        <f aca="false">IF(OR(AQ546="",N(O546)=0),"",AQ546+AG546/O546)</f>
        <v>-0.393169295078852</v>
      </c>
      <c r="AS546" s="32" t="n">
        <f aca="false">IF(OR(AR546="",N(AJ546)=0),"",AR546-AJ546)</f>
        <v>0</v>
      </c>
      <c r="AT546" s="28" t="n">
        <v>25</v>
      </c>
      <c r="AU546" s="28" t="n">
        <v>1.3125</v>
      </c>
      <c r="AV546" s="28" t="n">
        <f aca="false">IF(N(AT546)&gt;0,AT546,L546)</f>
        <v>25</v>
      </c>
      <c r="AW546" s="28" t="n">
        <f aca="false">IF(AND(N(M546)&gt;0,N(AV546)&gt;0),M546*AV546,IF(N(AU546)&gt;0,AU546,N546))</f>
        <v>1.3125</v>
      </c>
      <c r="AX546" s="29" t="n">
        <f aca="false">IF(N(AN546)=0,"",AN546+IF(I546="yes",AN546*Inputs!$B$10*Inputs!$B$9,0)+IFERROR(INDEX(Inputs!$B$13:$B$15,MATCH(G546,Inputs!$A$13:$A$15,0)),0)+IFERROR(INDEX(Inputs!$B$18:$B$24,MATCH(H546,Inputs!$A$18:$A$24,0)),0))</f>
        <v>0.095</v>
      </c>
      <c r="AY546" s="28" t="n">
        <f aca="false">IF(OR(N(AX546)&lt;=0,N(AW546)=0,N(AV546)=0),"",MIN(AV546,AW546/AX546))</f>
        <v>13.8157894736842</v>
      </c>
      <c r="AZ546" s="29" t="n">
        <f aca="false">IF(OR(AY546="",N(O546)=0),"",AY546/O546-1)</f>
        <v>-0.445816707834568</v>
      </c>
      <c r="BA546" s="29" t="n">
        <f aca="false">IF(OR(AZ546="",N(O546)=0),"",AZ546+AW546/O546)</f>
        <v>-0.393169295078852</v>
      </c>
      <c r="BB546" s="32" t="n">
        <f aca="false">IF(OR(BA546="",N(AR546)=0),"",BA546-AR546)</f>
        <v>0</v>
      </c>
      <c r="BC546" s="35" t="n">
        <f aca="false">IF(OR(BA546="",N(U546)=0),"",BA546-U546)</f>
        <v>0.0277091646082716</v>
      </c>
      <c r="BD546" s="36" t="s">
        <v>224</v>
      </c>
    </row>
    <row r="547" customFormat="false" ht="15" hidden="false" customHeight="false" outlineLevel="0" collapsed="false">
      <c r="A547" s="2" t="s">
        <v>1067</v>
      </c>
      <c r="B547" s="2" t="n">
        <v>97</v>
      </c>
      <c r="C547" s="2" t="s">
        <v>1142</v>
      </c>
      <c r="D547" s="2" t="s">
        <v>1140</v>
      </c>
      <c r="E547" s="2" t="s">
        <v>1141</v>
      </c>
      <c r="F547" s="27" t="n">
        <v>75</v>
      </c>
      <c r="G547" s="2" t="s">
        <v>51</v>
      </c>
      <c r="H547" s="2" t="s">
        <v>58</v>
      </c>
      <c r="I547" s="2" t="s">
        <v>151</v>
      </c>
      <c r="J547" s="2" t="s">
        <v>168</v>
      </c>
      <c r="K547" s="2" t="n">
        <v>12</v>
      </c>
      <c r="L547" s="28" t="n">
        <v>25</v>
      </c>
      <c r="M547" s="29" t="n">
        <v>0.06125</v>
      </c>
      <c r="N547" s="28" t="n">
        <v>1.53125</v>
      </c>
      <c r="O547" s="28" t="n">
        <v>0</v>
      </c>
      <c r="P547" s="2" t="s">
        <v>146</v>
      </c>
      <c r="Q547" s="29" t="n">
        <v>0.1</v>
      </c>
      <c r="R547" s="30" t="n">
        <v>0.095</v>
      </c>
      <c r="S547" s="31" t="n">
        <v>16.1184210526316</v>
      </c>
      <c r="T547" s="30"/>
      <c r="U547" s="30"/>
      <c r="V547" s="29" t="n">
        <v>0</v>
      </c>
      <c r="W547" s="29" t="n">
        <f aca="false">IF(N(Q547)=0,"",Q547+IF(I547="yes",Q547*Inputs!$B$10*Inputs!$B$9,0)+V547)</f>
        <v>0.095</v>
      </c>
      <c r="X547" s="28" t="n">
        <f aca="false">IF(OR(N(W547)&lt;=0,N(N547)=0,N(L547)=0),"",MIN(L547,N547/W547))</f>
        <v>16.1184210526316</v>
      </c>
      <c r="Y547" s="29" t="str">
        <f aca="false">IF(OR(X547="",N(O547)=0),"",X547/O547-1)</f>
        <v/>
      </c>
      <c r="Z547" s="29" t="str">
        <f aca="false">IF(OR(Y547="",N(O547)=0),"",Y547+N547/O547)</f>
        <v/>
      </c>
      <c r="AA547" s="32" t="str">
        <f aca="false">IF(OR(Z547="",N(U547)=0),"",Z547-U547)</f>
        <v/>
      </c>
      <c r="AB547" s="29" t="n">
        <f aca="false">IF(N(Q547)=0,"",Q547+IF(I547="yes",Q547*Inputs!$B$10*Inputs!$B$9,0)+IFERROR(INDEX(Inputs!$B$13:$B$15,MATCH(G547,Inputs!$A$13:$A$15,0)),0)+IFERROR(INDEX(Inputs!$B$18:$B$24,MATCH(H547,Inputs!$A$18:$A$24,0)),0))</f>
        <v>0.095</v>
      </c>
      <c r="AC547" s="28" t="n">
        <f aca="false">IF(OR(N(AB547)&lt;=0,N(N547)=0,N(L547)=0),"",MIN(L547,N547/AB547))</f>
        <v>16.1184210526316</v>
      </c>
      <c r="AD547" s="29" t="str">
        <f aca="false">IF(OR(AC547="",N(O547)=0),"",AC547/O547-1)</f>
        <v/>
      </c>
      <c r="AE547" s="29" t="str">
        <f aca="false">IF(OR(AD547="",N(O547)=0),"",AD547+N547/O547)</f>
        <v/>
      </c>
      <c r="AF547" s="32" t="str">
        <f aca="false">IF(OR(AE547="",N(Z547)=0),"",AE547-Z547)</f>
        <v/>
      </c>
      <c r="AG547" s="28" t="n">
        <f aca="false">IF(AND(N(M547)&gt;0,N(L547)&gt;0),M547*L547,N547)</f>
        <v>1.53125</v>
      </c>
      <c r="AH547" s="28" t="n">
        <f aca="false">IF(OR(N(AB547)&lt;=0,N(AG547)=0,N(L547)=0),"",MIN(L547,AG547/AB547))</f>
        <v>16.1184210526316</v>
      </c>
      <c r="AI547" s="29" t="str">
        <f aca="false">IF(OR(AH547="",N(O547)=0),"",AH547/O547-1)</f>
        <v/>
      </c>
      <c r="AJ547" s="29" t="str">
        <f aca="false">IF(OR(AI547="",N(O547)=0),"",AI547+AG547/O547)</f>
        <v/>
      </c>
      <c r="AK547" s="32" t="str">
        <f aca="false">IF(OR(AJ547="",N(AE547)=0),"",AJ547-AE547)</f>
        <v/>
      </c>
      <c r="AL547" s="33" t="n">
        <f aca="false">IF(N(F547)=0,"",INDEX(Inputs!$B$28:$B$32,IFERROR(MATCH(F547,Inputs!$A$28:$A$32,1),0)+1))</f>
        <v>0.1</v>
      </c>
      <c r="AM547" s="34"/>
      <c r="AN547" s="33" t="n">
        <f aca="false">IF(N(AM547)&gt;0,AM547,AL547)</f>
        <v>0.1</v>
      </c>
      <c r="AO547" s="29" t="n">
        <f aca="false">IF(N(AN547)=0,"",AN547+IF(I547="yes",AN547*Inputs!$B$10*Inputs!$B$9,0)+IFERROR(INDEX(Inputs!$B$13:$B$15,MATCH(G547,Inputs!$A$13:$A$15,0)),0)+IFERROR(INDEX(Inputs!$B$18:$B$24,MATCH(H547,Inputs!$A$18:$A$24,0)),0))</f>
        <v>0.095</v>
      </c>
      <c r="AP547" s="28" t="n">
        <f aca="false">IF(OR(N(AO547)&lt;=0,N(AG547)=0,N(L547)=0),"",MIN(L547,AG547/AO547))</f>
        <v>16.1184210526316</v>
      </c>
      <c r="AQ547" s="29" t="str">
        <f aca="false">IF(OR(AP547="",N(O547)=0),"",AP547/O547-1)</f>
        <v/>
      </c>
      <c r="AR547" s="29" t="str">
        <f aca="false">IF(OR(AQ547="",N(O547)=0),"",AQ547+AG547/O547)</f>
        <v/>
      </c>
      <c r="AS547" s="32" t="str">
        <f aca="false">IF(OR(AR547="",N(AJ547)=0),"",AR547-AJ547)</f>
        <v/>
      </c>
      <c r="AT547" s="28" t="n">
        <v>25</v>
      </c>
      <c r="AU547" s="28" t="n">
        <v>1.53125</v>
      </c>
      <c r="AV547" s="28" t="n">
        <f aca="false">IF(N(AT547)&gt;0,AT547,L547)</f>
        <v>25</v>
      </c>
      <c r="AW547" s="28" t="n">
        <f aca="false">IF(AND(N(M547)&gt;0,N(AV547)&gt;0),M547*AV547,IF(N(AU547)&gt;0,AU547,N547))</f>
        <v>1.53125</v>
      </c>
      <c r="AX547" s="29" t="n">
        <f aca="false">IF(N(AN547)=0,"",AN547+IF(I547="yes",AN547*Inputs!$B$10*Inputs!$B$9,0)+IFERROR(INDEX(Inputs!$B$13:$B$15,MATCH(G547,Inputs!$A$13:$A$15,0)),0)+IFERROR(INDEX(Inputs!$B$18:$B$24,MATCH(H547,Inputs!$A$18:$A$24,0)),0))</f>
        <v>0.095</v>
      </c>
      <c r="AY547" s="28" t="n">
        <f aca="false">IF(OR(N(AX547)&lt;=0,N(AW547)=0,N(AV547)=0),"",MIN(AV547,AW547/AX547))</f>
        <v>16.1184210526316</v>
      </c>
      <c r="AZ547" s="29" t="str">
        <f aca="false">IF(OR(AY547="",N(O547)=0),"",AY547/O547-1)</f>
        <v/>
      </c>
      <c r="BA547" s="29" t="str">
        <f aca="false">IF(OR(AZ547="",N(O547)=0),"",AZ547+AW547/O547)</f>
        <v/>
      </c>
      <c r="BB547" s="32" t="str">
        <f aca="false">IF(OR(BA547="",N(AR547)=0),"",BA547-AR547)</f>
        <v/>
      </c>
      <c r="BC547" s="35" t="str">
        <f aca="false">IF(OR(BA547="",N(U547)=0),"",BA547-U547)</f>
        <v/>
      </c>
      <c r="BD547" s="36" t="s">
        <v>299</v>
      </c>
    </row>
    <row r="548" customFormat="false" ht="15" hidden="false" customHeight="false" outlineLevel="0" collapsed="false">
      <c r="A548" s="2" t="s">
        <v>1067</v>
      </c>
      <c r="B548" s="2" t="n">
        <v>100</v>
      </c>
      <c r="C548" s="2" t="s">
        <v>1143</v>
      </c>
      <c r="D548" s="2" t="s">
        <v>1144</v>
      </c>
      <c r="E548" s="2" t="s">
        <v>1145</v>
      </c>
      <c r="F548" s="27" t="n">
        <v>1800</v>
      </c>
      <c r="G548" s="2" t="s">
        <v>51</v>
      </c>
      <c r="H548" s="2" t="s">
        <v>59</v>
      </c>
      <c r="I548" s="2" t="s">
        <v>151</v>
      </c>
      <c r="J548" s="2" t="s">
        <v>145</v>
      </c>
      <c r="K548" s="2" t="n">
        <v>4</v>
      </c>
      <c r="L548" s="28" t="n">
        <v>25</v>
      </c>
      <c r="M548" s="29" t="n">
        <v>0.07</v>
      </c>
      <c r="N548" s="28" t="n">
        <v>1.75</v>
      </c>
      <c r="O548" s="28" t="n">
        <v>0</v>
      </c>
      <c r="P548" s="2" t="s">
        <v>146</v>
      </c>
      <c r="Q548" s="29" t="n">
        <v>0.085</v>
      </c>
      <c r="R548" s="30" t="n">
        <v>0.08075</v>
      </c>
      <c r="S548" s="31" t="n">
        <v>21.671826625387</v>
      </c>
      <c r="T548" s="30"/>
      <c r="U548" s="30"/>
      <c r="V548" s="29" t="n">
        <v>0</v>
      </c>
      <c r="W548" s="29" t="n">
        <f aca="false">IF(N(Q548)=0,"",Q548+IF(I548="yes",Q548*Inputs!$B$10*Inputs!$B$9,0)+V548)</f>
        <v>0.08075</v>
      </c>
      <c r="X548" s="28" t="n">
        <f aca="false">IF(OR(N(W548)&lt;=0,N(N548)=0,N(L548)=0),"",MIN(L548,N548/W548))</f>
        <v>21.671826625387</v>
      </c>
      <c r="Y548" s="29" t="str">
        <f aca="false">IF(OR(X548="",N(O548)=0),"",X548/O548-1)</f>
        <v/>
      </c>
      <c r="Z548" s="29" t="str">
        <f aca="false">IF(OR(Y548="",N(O548)=0),"",Y548+N548/O548)</f>
        <v/>
      </c>
      <c r="AA548" s="32" t="str">
        <f aca="false">IF(OR(Z548="",N(U548)=0),"",Z548-U548)</f>
        <v/>
      </c>
      <c r="AB548" s="29" t="n">
        <f aca="false">IF(N(Q548)=0,"",Q548+IF(I548="yes",Q548*Inputs!$B$10*Inputs!$B$9,0)+IFERROR(INDEX(Inputs!$B$13:$B$15,MATCH(G548,Inputs!$A$13:$A$15,0)),0)+IFERROR(INDEX(Inputs!$B$18:$B$24,MATCH(H548,Inputs!$A$18:$A$24,0)),0))</f>
        <v>0.08075</v>
      </c>
      <c r="AC548" s="28" t="n">
        <f aca="false">IF(OR(N(AB548)&lt;=0,N(N548)=0,N(L548)=0),"",MIN(L548,N548/AB548))</f>
        <v>21.671826625387</v>
      </c>
      <c r="AD548" s="29" t="str">
        <f aca="false">IF(OR(AC548="",N(O548)=0),"",AC548/O548-1)</f>
        <v/>
      </c>
      <c r="AE548" s="29" t="str">
        <f aca="false">IF(OR(AD548="",N(O548)=0),"",AD548+N548/O548)</f>
        <v/>
      </c>
      <c r="AF548" s="32" t="str">
        <f aca="false">IF(OR(AE548="",N(Z548)=0),"",AE548-Z548)</f>
        <v/>
      </c>
      <c r="AG548" s="28" t="n">
        <f aca="false">IF(AND(N(M548)&gt;0,N(L548)&gt;0),M548*L548,N548)</f>
        <v>1.75</v>
      </c>
      <c r="AH548" s="28" t="n">
        <f aca="false">IF(OR(N(AB548)&lt;=0,N(AG548)=0,N(L548)=0),"",MIN(L548,AG548/AB548))</f>
        <v>21.671826625387</v>
      </c>
      <c r="AI548" s="29" t="str">
        <f aca="false">IF(OR(AH548="",N(O548)=0),"",AH548/O548-1)</f>
        <v/>
      </c>
      <c r="AJ548" s="29" t="str">
        <f aca="false">IF(OR(AI548="",N(O548)=0),"",AI548+AG548/O548)</f>
        <v/>
      </c>
      <c r="AK548" s="32" t="str">
        <f aca="false">IF(OR(AJ548="",N(AE548)=0),"",AJ548-AE548)</f>
        <v/>
      </c>
      <c r="AL548" s="33" t="n">
        <f aca="false">IF(N(F548)=0,"",INDEX(Inputs!$B$28:$B$32,IFERROR(MATCH(F548,Inputs!$A$28:$A$32,1),0)+1))</f>
        <v>0.085</v>
      </c>
      <c r="AM548" s="34"/>
      <c r="AN548" s="33" t="n">
        <f aca="false">IF(N(AM548)&gt;0,AM548,AL548)</f>
        <v>0.085</v>
      </c>
      <c r="AO548" s="29" t="n">
        <f aca="false">IF(N(AN548)=0,"",AN548+IF(I548="yes",AN548*Inputs!$B$10*Inputs!$B$9,0)+IFERROR(INDEX(Inputs!$B$13:$B$15,MATCH(G548,Inputs!$A$13:$A$15,0)),0)+IFERROR(INDEX(Inputs!$B$18:$B$24,MATCH(H548,Inputs!$A$18:$A$24,0)),0))</f>
        <v>0.08075</v>
      </c>
      <c r="AP548" s="28" t="n">
        <f aca="false">IF(OR(N(AO548)&lt;=0,N(AG548)=0,N(L548)=0),"",MIN(L548,AG548/AO548))</f>
        <v>21.671826625387</v>
      </c>
      <c r="AQ548" s="29" t="str">
        <f aca="false">IF(OR(AP548="",N(O548)=0),"",AP548/O548-1)</f>
        <v/>
      </c>
      <c r="AR548" s="29" t="str">
        <f aca="false">IF(OR(AQ548="",N(O548)=0),"",AQ548+AG548/O548)</f>
        <v/>
      </c>
      <c r="AS548" s="32" t="str">
        <f aca="false">IF(OR(AR548="",N(AJ548)=0),"",AR548-AJ548)</f>
        <v/>
      </c>
      <c r="AT548" s="28"/>
      <c r="AU548" s="28"/>
      <c r="AV548" s="28" t="n">
        <f aca="false">IF(N(AT548)&gt;0,AT548,L548)</f>
        <v>25</v>
      </c>
      <c r="AW548" s="28" t="n">
        <f aca="false">IF(AND(N(M548)&gt;0,N(AV548)&gt;0),M548*AV548,IF(N(AU548)&gt;0,AU548,N548))</f>
        <v>1.75</v>
      </c>
      <c r="AX548" s="29" t="n">
        <f aca="false">IF(N(AN548)=0,"",AN548+IF(I548="yes",AN548*Inputs!$B$10*Inputs!$B$9,0)+IFERROR(INDEX(Inputs!$B$13:$B$15,MATCH(G548,Inputs!$A$13:$A$15,0)),0)+IFERROR(INDEX(Inputs!$B$18:$B$24,MATCH(H548,Inputs!$A$18:$A$24,0)),0))</f>
        <v>0.08075</v>
      </c>
      <c r="AY548" s="28" t="n">
        <f aca="false">IF(OR(N(AX548)&lt;=0,N(AW548)=0,N(AV548)=0),"",MIN(AV548,AW548/AX548))</f>
        <v>21.671826625387</v>
      </c>
      <c r="AZ548" s="29" t="str">
        <f aca="false">IF(OR(AY548="",N(O548)=0),"",AY548/O548-1)</f>
        <v/>
      </c>
      <c r="BA548" s="29" t="str">
        <f aca="false">IF(OR(AZ548="",N(O548)=0),"",AZ548+AW548/O548)</f>
        <v/>
      </c>
      <c r="BB548" s="32" t="str">
        <f aca="false">IF(OR(BA548="",N(AR548)=0),"",BA548-AR548)</f>
        <v/>
      </c>
      <c r="BC548" s="35" t="str">
        <f aca="false">IF(OR(BA548="",N(U548)=0),"",BA548-U548)</f>
        <v/>
      </c>
      <c r="BD548" s="36" t="s">
        <v>198</v>
      </c>
    </row>
    <row r="549" customFormat="false" ht="15" hidden="false" customHeight="false" outlineLevel="0" collapsed="false">
      <c r="A549" s="2" t="s">
        <v>1067</v>
      </c>
      <c r="B549" s="2" t="n">
        <v>104</v>
      </c>
      <c r="C549" s="2" t="s">
        <v>1146</v>
      </c>
      <c r="D549" s="2" t="s">
        <v>1147</v>
      </c>
      <c r="E549" s="2" t="s">
        <v>1148</v>
      </c>
      <c r="F549" s="27" t="n">
        <v>47</v>
      </c>
      <c r="G549" s="2" t="s">
        <v>52</v>
      </c>
      <c r="H549" s="2" t="s">
        <v>58</v>
      </c>
      <c r="I549" s="2" t="s">
        <v>144</v>
      </c>
      <c r="J549" s="2" t="s">
        <v>145</v>
      </c>
      <c r="K549" s="2" t="n">
        <v>4</v>
      </c>
      <c r="L549" s="28" t="n">
        <v>25</v>
      </c>
      <c r="M549" s="29" t="n">
        <v>0.0495</v>
      </c>
      <c r="N549" s="28" t="n">
        <v>1.2375</v>
      </c>
      <c r="O549" s="28" t="n">
        <v>23.8</v>
      </c>
      <c r="P549" s="2" t="s">
        <v>146</v>
      </c>
      <c r="Q549" s="29" t="n">
        <v>0.1</v>
      </c>
      <c r="R549" s="30" t="n">
        <v>0.095</v>
      </c>
      <c r="S549" s="31" t="n">
        <v>13.0263157894737</v>
      </c>
      <c r="T549" s="30" t="n">
        <v>-0.452675807164971</v>
      </c>
      <c r="U549" s="30" t="n">
        <v>-0.400680008845644</v>
      </c>
      <c r="V549" s="29" t="n">
        <v>-0.005</v>
      </c>
      <c r="W549" s="29" t="n">
        <f aca="false">IF(N(Q549)=0,"",Q549+IF(I549="yes",Q549*Inputs!$B$10*Inputs!$B$9,0)+V549)</f>
        <v>0.095</v>
      </c>
      <c r="X549" s="28" t="n">
        <f aca="false">IF(OR(N(W549)&lt;=0,N(N549)=0,N(L549)=0),"",MIN(L549,N549/W549))</f>
        <v>13.0263157894737</v>
      </c>
      <c r="Y549" s="29" t="n">
        <f aca="false">IF(OR(X549="",N(O549)=0),"",X549/O549-1)</f>
        <v>-0.452675807164971</v>
      </c>
      <c r="Z549" s="29" t="n">
        <f aca="false">IF(OR(Y549="",N(O549)=0),"",Y549+N549/O549)</f>
        <v>-0.400680008845644</v>
      </c>
      <c r="AA549" s="32" t="n">
        <f aca="false">IF(OR(Z549="",N(U549)=0),"",Z549-U549)</f>
        <v>0</v>
      </c>
      <c r="AB549" s="29" t="n">
        <f aca="false">IF(N(Q549)=0,"",Q549+IF(I549="yes",Q549*Inputs!$B$10*Inputs!$B$9,0)+IFERROR(INDEX(Inputs!$B$13:$B$15,MATCH(G549,Inputs!$A$13:$A$15,0)),0)+IFERROR(INDEX(Inputs!$B$18:$B$24,MATCH(H549,Inputs!$A$18:$A$24,0)),0))</f>
        <v>0.095</v>
      </c>
      <c r="AC549" s="28" t="n">
        <f aca="false">IF(OR(N(AB549)&lt;=0,N(N549)=0,N(L549)=0),"",MIN(L549,N549/AB549))</f>
        <v>13.0263157894737</v>
      </c>
      <c r="AD549" s="29" t="n">
        <f aca="false">IF(OR(AC549="",N(O549)=0),"",AC549/O549-1)</f>
        <v>-0.452675807164971</v>
      </c>
      <c r="AE549" s="29" t="n">
        <f aca="false">IF(OR(AD549="",N(O549)=0),"",AD549+N549/O549)</f>
        <v>-0.400680008845644</v>
      </c>
      <c r="AF549" s="32" t="n">
        <f aca="false">IF(OR(AE549="",N(Z549)=0),"",AE549-Z549)</f>
        <v>0</v>
      </c>
      <c r="AG549" s="28" t="n">
        <f aca="false">IF(AND(N(M549)&gt;0,N(L549)&gt;0),M549*L549,N549)</f>
        <v>1.2375</v>
      </c>
      <c r="AH549" s="28" t="n">
        <f aca="false">IF(OR(N(AB549)&lt;=0,N(AG549)=0,N(L549)=0),"",MIN(L549,AG549/AB549))</f>
        <v>13.0263157894737</v>
      </c>
      <c r="AI549" s="29" t="n">
        <f aca="false">IF(OR(AH549="",N(O549)=0),"",AH549/O549-1)</f>
        <v>-0.452675807164971</v>
      </c>
      <c r="AJ549" s="29" t="n">
        <f aca="false">IF(OR(AI549="",N(O549)=0),"",AI549+AG549/O549)</f>
        <v>-0.400680008845644</v>
      </c>
      <c r="AK549" s="32" t="n">
        <f aca="false">IF(OR(AJ549="",N(AE549)=0),"",AJ549-AE549)</f>
        <v>0</v>
      </c>
      <c r="AL549" s="33" t="n">
        <f aca="false">IF(N(F549)=0,"",INDEX(Inputs!$B$28:$B$32,IFERROR(MATCH(F549,Inputs!$A$28:$A$32,1),0)+1))</f>
        <v>0.1</v>
      </c>
      <c r="AM549" s="34"/>
      <c r="AN549" s="33" t="n">
        <f aca="false">IF(N(AM549)&gt;0,AM549,AL549)</f>
        <v>0.1</v>
      </c>
      <c r="AO549" s="29" t="n">
        <f aca="false">IF(N(AN549)=0,"",AN549+IF(I549="yes",AN549*Inputs!$B$10*Inputs!$B$9,0)+IFERROR(INDEX(Inputs!$B$13:$B$15,MATCH(G549,Inputs!$A$13:$A$15,0)),0)+IFERROR(INDEX(Inputs!$B$18:$B$24,MATCH(H549,Inputs!$A$18:$A$24,0)),0))</f>
        <v>0.095</v>
      </c>
      <c r="AP549" s="28" t="n">
        <f aca="false">IF(OR(N(AO549)&lt;=0,N(AG549)=0,N(L549)=0),"",MIN(L549,AG549/AO549))</f>
        <v>13.0263157894737</v>
      </c>
      <c r="AQ549" s="29" t="n">
        <f aca="false">IF(OR(AP549="",N(O549)=0),"",AP549/O549-1)</f>
        <v>-0.452675807164971</v>
      </c>
      <c r="AR549" s="29" t="n">
        <f aca="false">IF(OR(AQ549="",N(O549)=0),"",AQ549+AG549/O549)</f>
        <v>-0.400680008845644</v>
      </c>
      <c r="AS549" s="32" t="n">
        <f aca="false">IF(OR(AR549="",N(AJ549)=0),"",AR549-AJ549)</f>
        <v>0</v>
      </c>
      <c r="AT549" s="28" t="n">
        <v>25</v>
      </c>
      <c r="AU549" s="28" t="n">
        <v>1.2375</v>
      </c>
      <c r="AV549" s="28" t="n">
        <f aca="false">IF(N(AT549)&gt;0,AT549,L549)</f>
        <v>25</v>
      </c>
      <c r="AW549" s="28" t="n">
        <f aca="false">IF(AND(N(M549)&gt;0,N(AV549)&gt;0),M549*AV549,IF(N(AU549)&gt;0,AU549,N549))</f>
        <v>1.2375</v>
      </c>
      <c r="AX549" s="29" t="n">
        <f aca="false">IF(N(AN549)=0,"",AN549+IF(I549="yes",AN549*Inputs!$B$10*Inputs!$B$9,0)+IFERROR(INDEX(Inputs!$B$13:$B$15,MATCH(G549,Inputs!$A$13:$A$15,0)),0)+IFERROR(INDEX(Inputs!$B$18:$B$24,MATCH(H549,Inputs!$A$18:$A$24,0)),0))</f>
        <v>0.095</v>
      </c>
      <c r="AY549" s="28" t="n">
        <f aca="false">IF(OR(N(AX549)&lt;=0,N(AW549)=0,N(AV549)=0),"",MIN(AV549,AW549/AX549))</f>
        <v>13.0263157894737</v>
      </c>
      <c r="AZ549" s="29" t="n">
        <f aca="false">IF(OR(AY549="",N(O549)=0),"",AY549/O549-1)</f>
        <v>-0.452675807164971</v>
      </c>
      <c r="BA549" s="29" t="n">
        <f aca="false">IF(OR(AZ549="",N(O549)=0),"",AZ549+AW549/O549)</f>
        <v>-0.400680008845644</v>
      </c>
      <c r="BB549" s="32" t="n">
        <f aca="false">IF(OR(BA549="",N(AR549)=0),"",BA549-AR549)</f>
        <v>0</v>
      </c>
      <c r="BC549" s="35" t="n">
        <f aca="false">IF(OR(BA549="",N(U549)=0),"",BA549-U549)</f>
        <v>0</v>
      </c>
      <c r="BD549" s="37"/>
    </row>
    <row r="550" customFormat="false" ht="15" hidden="false" customHeight="false" outlineLevel="0" collapsed="false">
      <c r="A550" s="2" t="s">
        <v>1067</v>
      </c>
      <c r="B550" s="2" t="n">
        <v>108</v>
      </c>
      <c r="C550" s="2" t="s">
        <v>1149</v>
      </c>
      <c r="D550" s="2" t="s">
        <v>1150</v>
      </c>
      <c r="E550" s="2" t="s">
        <v>1151</v>
      </c>
      <c r="F550" s="27" t="n">
        <v>9900</v>
      </c>
      <c r="G550" s="2" t="s">
        <v>51</v>
      </c>
      <c r="H550" s="2" t="s">
        <v>58</v>
      </c>
      <c r="I550" s="2" t="s">
        <v>151</v>
      </c>
      <c r="J550" s="2" t="s">
        <v>145</v>
      </c>
      <c r="K550" s="2" t="n">
        <v>4</v>
      </c>
      <c r="L550" s="28" t="n">
        <v>25</v>
      </c>
      <c r="M550" s="29" t="n">
        <v>0.07</v>
      </c>
      <c r="N550" s="28" t="n">
        <v>1.75</v>
      </c>
      <c r="O550" s="28" t="n">
        <v>24.86</v>
      </c>
      <c r="P550" s="2" t="s">
        <v>146</v>
      </c>
      <c r="Q550" s="29" t="n">
        <v>0.08</v>
      </c>
      <c r="R550" s="30" t="n">
        <v>0.076</v>
      </c>
      <c r="S550" s="31" t="n">
        <v>23.0263157894737</v>
      </c>
      <c r="T550" s="30" t="n">
        <v>-0.0737604268111951</v>
      </c>
      <c r="U550" s="30" t="n">
        <v>-0.00336621924884593</v>
      </c>
      <c r="V550" s="29" t="n">
        <v>0</v>
      </c>
      <c r="W550" s="29" t="n">
        <f aca="false">IF(N(Q550)=0,"",Q550+IF(I550="yes",Q550*Inputs!$B$10*Inputs!$B$9,0)+V550)</f>
        <v>0.076</v>
      </c>
      <c r="X550" s="28" t="n">
        <f aca="false">IF(OR(N(W550)&lt;=0,N(N550)=0,N(L550)=0),"",MIN(L550,N550/W550))</f>
        <v>23.0263157894737</v>
      </c>
      <c r="Y550" s="29" t="n">
        <f aca="false">IF(OR(X550="",N(O550)=0),"",X550/O550-1)</f>
        <v>-0.0737604268111953</v>
      </c>
      <c r="Z550" s="29" t="n">
        <f aca="false">IF(OR(Y550="",N(O550)=0),"",Y550+N550/O550)</f>
        <v>-0.00336621924884617</v>
      </c>
      <c r="AA550" s="32" t="n">
        <f aca="false">IF(OR(Z550="",N(U550)=0),"",Z550-U550)</f>
        <v>-2.35488711863852E-016</v>
      </c>
      <c r="AB550" s="29" t="n">
        <f aca="false">IF(N(Q550)=0,"",Q550+IF(I550="yes",Q550*Inputs!$B$10*Inputs!$B$9,0)+IFERROR(INDEX(Inputs!$B$13:$B$15,MATCH(G550,Inputs!$A$13:$A$15,0)),0)+IFERROR(INDEX(Inputs!$B$18:$B$24,MATCH(H550,Inputs!$A$18:$A$24,0)),0))</f>
        <v>0.076</v>
      </c>
      <c r="AC550" s="28" t="n">
        <f aca="false">IF(OR(N(AB550)&lt;=0,N(N550)=0,N(L550)=0),"",MIN(L550,N550/AB550))</f>
        <v>23.0263157894737</v>
      </c>
      <c r="AD550" s="29" t="n">
        <f aca="false">IF(OR(AC550="",N(O550)=0),"",AC550/O550-1)</f>
        <v>-0.0737604268111953</v>
      </c>
      <c r="AE550" s="29" t="n">
        <f aca="false">IF(OR(AD550="",N(O550)=0),"",AD550+N550/O550)</f>
        <v>-0.00336621924884617</v>
      </c>
      <c r="AF550" s="32" t="n">
        <f aca="false">IF(OR(AE550="",N(Z550)=0),"",AE550-Z550)</f>
        <v>0</v>
      </c>
      <c r="AG550" s="28" t="n">
        <f aca="false">IF(AND(N(M550)&gt;0,N(L550)&gt;0),M550*L550,N550)</f>
        <v>1.75</v>
      </c>
      <c r="AH550" s="28" t="n">
        <f aca="false">IF(OR(N(AB550)&lt;=0,N(AG550)=0,N(L550)=0),"",MIN(L550,AG550/AB550))</f>
        <v>23.0263157894737</v>
      </c>
      <c r="AI550" s="29" t="n">
        <f aca="false">IF(OR(AH550="",N(O550)=0),"",AH550/O550-1)</f>
        <v>-0.0737604268111951</v>
      </c>
      <c r="AJ550" s="29" t="n">
        <f aca="false">IF(OR(AI550="",N(O550)=0),"",AI550+AG550/O550)</f>
        <v>-0.00336621924884593</v>
      </c>
      <c r="AK550" s="32" t="n">
        <f aca="false">IF(OR(AJ550="",N(AE550)=0),"",AJ550-AE550)</f>
        <v>2.35922392732846E-016</v>
      </c>
      <c r="AL550" s="33" t="n">
        <f aca="false">IF(N(F550)=0,"",INDEX(Inputs!$B$28:$B$32,IFERROR(MATCH(F550,Inputs!$A$28:$A$32,1),0)+1))</f>
        <v>0.08</v>
      </c>
      <c r="AM550" s="34"/>
      <c r="AN550" s="33" t="n">
        <f aca="false">IF(N(AM550)&gt;0,AM550,AL550)</f>
        <v>0.08</v>
      </c>
      <c r="AO550" s="29" t="n">
        <f aca="false">IF(N(AN550)=0,"",AN550+IF(I550="yes",AN550*Inputs!$B$10*Inputs!$B$9,0)+IFERROR(INDEX(Inputs!$B$13:$B$15,MATCH(G550,Inputs!$A$13:$A$15,0)),0)+IFERROR(INDEX(Inputs!$B$18:$B$24,MATCH(H550,Inputs!$A$18:$A$24,0)),0))</f>
        <v>0.076</v>
      </c>
      <c r="AP550" s="28" t="n">
        <f aca="false">IF(OR(N(AO550)&lt;=0,N(AG550)=0,N(L550)=0),"",MIN(L550,AG550/AO550))</f>
        <v>23.0263157894737</v>
      </c>
      <c r="AQ550" s="29" t="n">
        <f aca="false">IF(OR(AP550="",N(O550)=0),"",AP550/O550-1)</f>
        <v>-0.0737604268111951</v>
      </c>
      <c r="AR550" s="29" t="n">
        <f aca="false">IF(OR(AQ550="",N(O550)=0),"",AQ550+AG550/O550)</f>
        <v>-0.00336621924884593</v>
      </c>
      <c r="AS550" s="32" t="n">
        <f aca="false">IF(OR(AR550="",N(AJ550)=0),"",AR550-AJ550)</f>
        <v>0</v>
      </c>
      <c r="AT550" s="28" t="n">
        <v>25</v>
      </c>
      <c r="AU550" s="28" t="n">
        <v>1.75</v>
      </c>
      <c r="AV550" s="28" t="n">
        <f aca="false">IF(N(AT550)&gt;0,AT550,L550)</f>
        <v>25</v>
      </c>
      <c r="AW550" s="28" t="n">
        <f aca="false">IF(AND(N(M550)&gt;0,N(AV550)&gt;0),M550*AV550,IF(N(AU550)&gt;0,AU550,N550))</f>
        <v>1.75</v>
      </c>
      <c r="AX550" s="29" t="n">
        <f aca="false">IF(N(AN550)=0,"",AN550+IF(I550="yes",AN550*Inputs!$B$10*Inputs!$B$9,0)+IFERROR(INDEX(Inputs!$B$13:$B$15,MATCH(G550,Inputs!$A$13:$A$15,0)),0)+IFERROR(INDEX(Inputs!$B$18:$B$24,MATCH(H550,Inputs!$A$18:$A$24,0)),0))</f>
        <v>0.076</v>
      </c>
      <c r="AY550" s="28" t="n">
        <f aca="false">IF(OR(N(AX550)&lt;=0,N(AW550)=0,N(AV550)=0),"",MIN(AV550,AW550/AX550))</f>
        <v>23.0263157894737</v>
      </c>
      <c r="AZ550" s="29" t="n">
        <f aca="false">IF(OR(AY550="",N(O550)=0),"",AY550/O550-1)</f>
        <v>-0.0737604268111951</v>
      </c>
      <c r="BA550" s="29" t="n">
        <f aca="false">IF(OR(AZ550="",N(O550)=0),"",AZ550+AW550/O550)</f>
        <v>-0.00336621924884593</v>
      </c>
      <c r="BB550" s="32" t="n">
        <f aca="false">IF(OR(BA550="",N(AR550)=0),"",BA550-AR550)</f>
        <v>0</v>
      </c>
      <c r="BC550" s="35" t="n">
        <f aca="false">IF(OR(BA550="",N(U550)=0),"",BA550-U550)</f>
        <v>0</v>
      </c>
      <c r="BD550" s="37"/>
    </row>
    <row r="551" customFormat="false" ht="15" hidden="false" customHeight="false" outlineLevel="0" collapsed="false">
      <c r="A551" s="2" t="s">
        <v>1067</v>
      </c>
      <c r="B551" s="2" t="n">
        <v>109</v>
      </c>
      <c r="C551" s="2" t="s">
        <v>1152</v>
      </c>
      <c r="D551" s="2" t="s">
        <v>1150</v>
      </c>
      <c r="E551" s="2" t="s">
        <v>1151</v>
      </c>
      <c r="F551" s="27" t="n">
        <v>9900</v>
      </c>
      <c r="G551" s="2" t="s">
        <v>51</v>
      </c>
      <c r="H551" s="2" t="s">
        <v>58</v>
      </c>
      <c r="I551" s="2" t="s">
        <v>151</v>
      </c>
      <c r="J551" s="2" t="s">
        <v>145</v>
      </c>
      <c r="K551" s="2" t="n">
        <v>4</v>
      </c>
      <c r="L551" s="28" t="n">
        <v>25</v>
      </c>
      <c r="M551" s="29" t="n">
        <v>0.07</v>
      </c>
      <c r="N551" s="28" t="n">
        <v>1.75</v>
      </c>
      <c r="O551" s="28" t="n">
        <v>24.92</v>
      </c>
      <c r="P551" s="2" t="s">
        <v>146</v>
      </c>
      <c r="Q551" s="29" t="n">
        <v>0.08</v>
      </c>
      <c r="R551" s="30" t="n">
        <v>0.076</v>
      </c>
      <c r="S551" s="31" t="n">
        <v>23.0263157894737</v>
      </c>
      <c r="T551" s="30" t="n">
        <v>-0.0759905381431105</v>
      </c>
      <c r="U551" s="30" t="n">
        <v>-0.00576581904198692</v>
      </c>
      <c r="V551" s="29" t="n">
        <v>0</v>
      </c>
      <c r="W551" s="29" t="n">
        <f aca="false">IF(N(Q551)=0,"",Q551+IF(I551="yes",Q551*Inputs!$B$10*Inputs!$B$9,0)+V551)</f>
        <v>0.076</v>
      </c>
      <c r="X551" s="28" t="n">
        <f aca="false">IF(OR(N(W551)&lt;=0,N(N551)=0,N(L551)=0),"",MIN(L551,N551/W551))</f>
        <v>23.0263157894737</v>
      </c>
      <c r="Y551" s="29" t="n">
        <f aca="false">IF(OR(X551="",N(O551)=0),"",X551/O551-1)</f>
        <v>-0.0759905381431106</v>
      </c>
      <c r="Z551" s="29" t="n">
        <f aca="false">IF(OR(Y551="",N(O551)=0),"",Y551+N551/O551)</f>
        <v>-0.00576581904198704</v>
      </c>
      <c r="AA551" s="32" t="n">
        <f aca="false">IF(OR(Z551="",N(U551)=0),"",Z551-U551)</f>
        <v>-1.2490009027033E-016</v>
      </c>
      <c r="AB551" s="29" t="n">
        <f aca="false">IF(N(Q551)=0,"",Q551+IF(I551="yes",Q551*Inputs!$B$10*Inputs!$B$9,0)+IFERROR(INDEX(Inputs!$B$13:$B$15,MATCH(G551,Inputs!$A$13:$A$15,0)),0)+IFERROR(INDEX(Inputs!$B$18:$B$24,MATCH(H551,Inputs!$A$18:$A$24,0)),0))</f>
        <v>0.076</v>
      </c>
      <c r="AC551" s="28" t="n">
        <f aca="false">IF(OR(N(AB551)&lt;=0,N(N551)=0,N(L551)=0),"",MIN(L551,N551/AB551))</f>
        <v>23.0263157894737</v>
      </c>
      <c r="AD551" s="29" t="n">
        <f aca="false">IF(OR(AC551="",N(O551)=0),"",AC551/O551-1)</f>
        <v>-0.0759905381431106</v>
      </c>
      <c r="AE551" s="29" t="n">
        <f aca="false">IF(OR(AD551="",N(O551)=0),"",AD551+N551/O551)</f>
        <v>-0.00576581904198704</v>
      </c>
      <c r="AF551" s="32" t="n">
        <f aca="false">IF(OR(AE551="",N(Z551)=0),"",AE551-Z551)</f>
        <v>0</v>
      </c>
      <c r="AG551" s="28" t="n">
        <f aca="false">IF(AND(N(M551)&gt;0,N(L551)&gt;0),M551*L551,N551)</f>
        <v>1.75</v>
      </c>
      <c r="AH551" s="28" t="n">
        <f aca="false">IF(OR(N(AB551)&lt;=0,N(AG551)=0,N(L551)=0),"",MIN(L551,AG551/AB551))</f>
        <v>23.0263157894737</v>
      </c>
      <c r="AI551" s="29" t="n">
        <f aca="false">IF(OR(AH551="",N(O551)=0),"",AH551/O551-1)</f>
        <v>-0.0759905381431105</v>
      </c>
      <c r="AJ551" s="29" t="n">
        <f aca="false">IF(OR(AI551="",N(O551)=0),"",AI551+AG551/O551)</f>
        <v>-0.00576581904198692</v>
      </c>
      <c r="AK551" s="32" t="n">
        <f aca="false">IF(OR(AJ551="",N(AE551)=0),"",AJ551-AE551)</f>
        <v>1.2490009027033E-016</v>
      </c>
      <c r="AL551" s="33" t="n">
        <f aca="false">IF(N(F551)=0,"",INDEX(Inputs!$B$28:$B$32,IFERROR(MATCH(F551,Inputs!$A$28:$A$32,1),0)+1))</f>
        <v>0.08</v>
      </c>
      <c r="AM551" s="34"/>
      <c r="AN551" s="33" t="n">
        <f aca="false">IF(N(AM551)&gt;0,AM551,AL551)</f>
        <v>0.08</v>
      </c>
      <c r="AO551" s="29" t="n">
        <f aca="false">IF(N(AN551)=0,"",AN551+IF(I551="yes",AN551*Inputs!$B$10*Inputs!$B$9,0)+IFERROR(INDEX(Inputs!$B$13:$B$15,MATCH(G551,Inputs!$A$13:$A$15,0)),0)+IFERROR(INDEX(Inputs!$B$18:$B$24,MATCH(H551,Inputs!$A$18:$A$24,0)),0))</f>
        <v>0.076</v>
      </c>
      <c r="AP551" s="28" t="n">
        <f aca="false">IF(OR(N(AO551)&lt;=0,N(AG551)=0,N(L551)=0),"",MIN(L551,AG551/AO551))</f>
        <v>23.0263157894737</v>
      </c>
      <c r="AQ551" s="29" t="n">
        <f aca="false">IF(OR(AP551="",N(O551)=0),"",AP551/O551-1)</f>
        <v>-0.0759905381431105</v>
      </c>
      <c r="AR551" s="29" t="n">
        <f aca="false">IF(OR(AQ551="",N(O551)=0),"",AQ551+AG551/O551)</f>
        <v>-0.00576581904198692</v>
      </c>
      <c r="AS551" s="32" t="n">
        <f aca="false">IF(OR(AR551="",N(AJ551)=0),"",AR551-AJ551)</f>
        <v>0</v>
      </c>
      <c r="AT551" s="28" t="n">
        <v>25</v>
      </c>
      <c r="AU551" s="28" t="n">
        <v>1.75</v>
      </c>
      <c r="AV551" s="28" t="n">
        <f aca="false">IF(N(AT551)&gt;0,AT551,L551)</f>
        <v>25</v>
      </c>
      <c r="AW551" s="28" t="n">
        <f aca="false">IF(AND(N(M551)&gt;0,N(AV551)&gt;0),M551*AV551,IF(N(AU551)&gt;0,AU551,N551))</f>
        <v>1.75</v>
      </c>
      <c r="AX551" s="29" t="n">
        <f aca="false">IF(N(AN551)=0,"",AN551+IF(I551="yes",AN551*Inputs!$B$10*Inputs!$B$9,0)+IFERROR(INDEX(Inputs!$B$13:$B$15,MATCH(G551,Inputs!$A$13:$A$15,0)),0)+IFERROR(INDEX(Inputs!$B$18:$B$24,MATCH(H551,Inputs!$A$18:$A$24,0)),0))</f>
        <v>0.076</v>
      </c>
      <c r="AY551" s="28" t="n">
        <f aca="false">IF(OR(N(AX551)&lt;=0,N(AW551)=0,N(AV551)=0),"",MIN(AV551,AW551/AX551))</f>
        <v>23.0263157894737</v>
      </c>
      <c r="AZ551" s="29" t="n">
        <f aca="false">IF(OR(AY551="",N(O551)=0),"",AY551/O551-1)</f>
        <v>-0.0759905381431105</v>
      </c>
      <c r="BA551" s="29" t="n">
        <f aca="false">IF(OR(AZ551="",N(O551)=0),"",AZ551+AW551/O551)</f>
        <v>-0.00576581904198692</v>
      </c>
      <c r="BB551" s="32" t="n">
        <f aca="false">IF(OR(BA551="",N(AR551)=0),"",BA551-AR551)</f>
        <v>0</v>
      </c>
      <c r="BC551" s="35" t="n">
        <f aca="false">IF(OR(BA551="",N(U551)=0),"",BA551-U551)</f>
        <v>0</v>
      </c>
      <c r="BD551" s="37"/>
    </row>
    <row r="552" customFormat="false" ht="15" hidden="false" customHeight="false" outlineLevel="0" collapsed="false">
      <c r="A552" s="2" t="s">
        <v>1067</v>
      </c>
      <c r="B552" s="2" t="n">
        <v>112</v>
      </c>
      <c r="C552" s="2" t="s">
        <v>1153</v>
      </c>
      <c r="D552" s="2" t="s">
        <v>1154</v>
      </c>
      <c r="E552" s="2" t="s">
        <v>1155</v>
      </c>
      <c r="F552" s="27" t="n">
        <v>396</v>
      </c>
      <c r="G552" s="2" t="s">
        <v>52</v>
      </c>
      <c r="H552" s="2" t="s">
        <v>58</v>
      </c>
      <c r="I552" s="2" t="s">
        <v>144</v>
      </c>
      <c r="J552" s="2" t="s">
        <v>145</v>
      </c>
      <c r="K552" s="2" t="n">
        <v>4</v>
      </c>
      <c r="L552" s="28" t="n">
        <v>25</v>
      </c>
      <c r="M552" s="29" t="n">
        <v>0.06375</v>
      </c>
      <c r="N552" s="28" t="n">
        <v>1.59375</v>
      </c>
      <c r="O552" s="28" t="n">
        <v>0</v>
      </c>
      <c r="P552" s="2" t="s">
        <v>146</v>
      </c>
      <c r="Q552" s="29" t="n">
        <v>0.085</v>
      </c>
      <c r="R552" s="30" t="n">
        <v>0.08</v>
      </c>
      <c r="S552" s="31" t="n">
        <v>19.921875</v>
      </c>
      <c r="T552" s="30"/>
      <c r="U552" s="30"/>
      <c r="V552" s="29" t="n">
        <v>-0.005</v>
      </c>
      <c r="W552" s="29" t="n">
        <f aca="false">IF(N(Q552)=0,"",Q552+IF(I552="yes",Q552*Inputs!$B$10*Inputs!$B$9,0)+V552)</f>
        <v>0.08</v>
      </c>
      <c r="X552" s="28" t="n">
        <f aca="false">IF(OR(N(W552)&lt;=0,N(N552)=0,N(L552)=0),"",MIN(L552,N552/W552))</f>
        <v>19.921875</v>
      </c>
      <c r="Y552" s="29" t="str">
        <f aca="false">IF(OR(X552="",N(O552)=0),"",X552/O552-1)</f>
        <v/>
      </c>
      <c r="Z552" s="29" t="str">
        <f aca="false">IF(OR(Y552="",N(O552)=0),"",Y552+N552/O552)</f>
        <v/>
      </c>
      <c r="AA552" s="32" t="str">
        <f aca="false">IF(OR(Z552="",N(U552)=0),"",Z552-U552)</f>
        <v/>
      </c>
      <c r="AB552" s="29" t="n">
        <f aca="false">IF(N(Q552)=0,"",Q552+IF(I552="yes",Q552*Inputs!$B$10*Inputs!$B$9,0)+IFERROR(INDEX(Inputs!$B$13:$B$15,MATCH(G552,Inputs!$A$13:$A$15,0)),0)+IFERROR(INDEX(Inputs!$B$18:$B$24,MATCH(H552,Inputs!$A$18:$A$24,0)),0))</f>
        <v>0.08</v>
      </c>
      <c r="AC552" s="28" t="n">
        <f aca="false">IF(OR(N(AB552)&lt;=0,N(N552)=0,N(L552)=0),"",MIN(L552,N552/AB552))</f>
        <v>19.921875</v>
      </c>
      <c r="AD552" s="29" t="str">
        <f aca="false">IF(OR(AC552="",N(O552)=0),"",AC552/O552-1)</f>
        <v/>
      </c>
      <c r="AE552" s="29" t="str">
        <f aca="false">IF(OR(AD552="",N(O552)=0),"",AD552+N552/O552)</f>
        <v/>
      </c>
      <c r="AF552" s="32" t="str">
        <f aca="false">IF(OR(AE552="",N(Z552)=0),"",AE552-Z552)</f>
        <v/>
      </c>
      <c r="AG552" s="28" t="n">
        <f aca="false">IF(AND(N(M552)&gt;0,N(L552)&gt;0),M552*L552,N552)</f>
        <v>1.59375</v>
      </c>
      <c r="AH552" s="28" t="n">
        <f aca="false">IF(OR(N(AB552)&lt;=0,N(AG552)=0,N(L552)=0),"",MIN(L552,AG552/AB552))</f>
        <v>19.921875</v>
      </c>
      <c r="AI552" s="29" t="str">
        <f aca="false">IF(OR(AH552="",N(O552)=0),"",AH552/O552-1)</f>
        <v/>
      </c>
      <c r="AJ552" s="29" t="str">
        <f aca="false">IF(OR(AI552="",N(O552)=0),"",AI552+AG552/O552)</f>
        <v/>
      </c>
      <c r="AK552" s="32" t="str">
        <f aca="false">IF(OR(AJ552="",N(AE552)=0),"",AJ552-AE552)</f>
        <v/>
      </c>
      <c r="AL552" s="33" t="n">
        <f aca="false">IF(N(F552)=0,"",INDEX(Inputs!$B$28:$B$32,IFERROR(MATCH(F552,Inputs!$A$28:$A$32,1),0)+1))</f>
        <v>0.09</v>
      </c>
      <c r="AM552" s="34"/>
      <c r="AN552" s="33" t="n">
        <f aca="false">IF(N(AM552)&gt;0,AM552,AL552)</f>
        <v>0.09</v>
      </c>
      <c r="AO552" s="29" t="n">
        <f aca="false">IF(N(AN552)=0,"",AN552+IF(I552="yes",AN552*Inputs!$B$10*Inputs!$B$9,0)+IFERROR(INDEX(Inputs!$B$13:$B$15,MATCH(G552,Inputs!$A$13:$A$15,0)),0)+IFERROR(INDEX(Inputs!$B$18:$B$24,MATCH(H552,Inputs!$A$18:$A$24,0)),0))</f>
        <v>0.085</v>
      </c>
      <c r="AP552" s="28" t="n">
        <f aca="false">IF(OR(N(AO552)&lt;=0,N(AG552)=0,N(L552)=0),"",MIN(L552,AG552/AO552))</f>
        <v>18.75</v>
      </c>
      <c r="AQ552" s="29" t="str">
        <f aca="false">IF(OR(AP552="",N(O552)=0),"",AP552/O552-1)</f>
        <v/>
      </c>
      <c r="AR552" s="29" t="str">
        <f aca="false">IF(OR(AQ552="",N(O552)=0),"",AQ552+AG552/O552)</f>
        <v/>
      </c>
      <c r="AS552" s="32" t="str">
        <f aca="false">IF(OR(AR552="",N(AJ552)=0),"",AR552-AJ552)</f>
        <v/>
      </c>
      <c r="AT552" s="28"/>
      <c r="AU552" s="28"/>
      <c r="AV552" s="28" t="n">
        <f aca="false">IF(N(AT552)&gt;0,AT552,L552)</f>
        <v>25</v>
      </c>
      <c r="AW552" s="28" t="n">
        <f aca="false">IF(AND(N(M552)&gt;0,N(AV552)&gt;0),M552*AV552,IF(N(AU552)&gt;0,AU552,N552))</f>
        <v>1.59375</v>
      </c>
      <c r="AX552" s="29" t="n">
        <f aca="false">IF(N(AN552)=0,"",AN552+IF(I552="yes",AN552*Inputs!$B$10*Inputs!$B$9,0)+IFERROR(INDEX(Inputs!$B$13:$B$15,MATCH(G552,Inputs!$A$13:$A$15,0)),0)+IFERROR(INDEX(Inputs!$B$18:$B$24,MATCH(H552,Inputs!$A$18:$A$24,0)),0))</f>
        <v>0.085</v>
      </c>
      <c r="AY552" s="28" t="n">
        <f aca="false">IF(OR(N(AX552)&lt;=0,N(AW552)=0,N(AV552)=0),"",MIN(AV552,AW552/AX552))</f>
        <v>18.75</v>
      </c>
      <c r="AZ552" s="29" t="str">
        <f aca="false">IF(OR(AY552="",N(O552)=0),"",AY552/O552-1)</f>
        <v/>
      </c>
      <c r="BA552" s="29" t="str">
        <f aca="false">IF(OR(AZ552="",N(O552)=0),"",AZ552+AW552/O552)</f>
        <v/>
      </c>
      <c r="BB552" s="32" t="str">
        <f aca="false">IF(OR(BA552="",N(AR552)=0),"",BA552-AR552)</f>
        <v/>
      </c>
      <c r="BC552" s="35" t="str">
        <f aca="false">IF(OR(BA552="",N(U552)=0),"",BA552-U552)</f>
        <v/>
      </c>
      <c r="BD552" s="36" t="s">
        <v>198</v>
      </c>
    </row>
    <row r="553" customFormat="false" ht="15" hidden="false" customHeight="false" outlineLevel="0" collapsed="false">
      <c r="A553" s="2" t="s">
        <v>1067</v>
      </c>
      <c r="B553" s="2" t="n">
        <v>116</v>
      </c>
      <c r="C553" s="2" t="s">
        <v>1156</v>
      </c>
      <c r="D553" s="2" t="s">
        <v>1157</v>
      </c>
      <c r="E553" s="2" t="s">
        <v>1158</v>
      </c>
      <c r="F553" s="27" t="n">
        <v>178</v>
      </c>
      <c r="G553" s="2" t="s">
        <v>51</v>
      </c>
      <c r="H553" s="2" t="s">
        <v>58</v>
      </c>
      <c r="I553" s="2" t="s">
        <v>151</v>
      </c>
      <c r="J553" s="2" t="s">
        <v>145</v>
      </c>
      <c r="K553" s="2" t="n">
        <v>4</v>
      </c>
      <c r="L553" s="28" t="n">
        <v>25</v>
      </c>
      <c r="M553" s="29" t="n">
        <v>0.04375</v>
      </c>
      <c r="N553" s="28" t="n">
        <v>1.09375</v>
      </c>
      <c r="O553" s="28" t="n">
        <v>15.3</v>
      </c>
      <c r="P553" s="2" t="s">
        <v>146</v>
      </c>
      <c r="Q553" s="29" t="n">
        <v>0.1</v>
      </c>
      <c r="R553" s="30" t="n">
        <v>0.095</v>
      </c>
      <c r="S553" s="31" t="n">
        <v>11.5131578947368</v>
      </c>
      <c r="T553" s="30" t="n">
        <v>-0.24750601995184</v>
      </c>
      <c r="U553" s="30" t="n">
        <v>-0.176019091847265</v>
      </c>
      <c r="V553" s="29" t="n">
        <v>0</v>
      </c>
      <c r="W553" s="29" t="n">
        <f aca="false">IF(N(Q553)=0,"",Q553+IF(I553="yes",Q553*Inputs!$B$10*Inputs!$B$9,0)+V553)</f>
        <v>0.095</v>
      </c>
      <c r="X553" s="28" t="n">
        <f aca="false">IF(OR(N(W553)&lt;=0,N(N553)=0,N(L553)=0),"",MIN(L553,N553/W553))</f>
        <v>11.5131578947368</v>
      </c>
      <c r="Y553" s="29" t="n">
        <f aca="false">IF(OR(X553="",N(O553)=0),"",X553/O553-1)</f>
        <v>-0.24750601995184</v>
      </c>
      <c r="Z553" s="29" t="n">
        <f aca="false">IF(OR(Y553="",N(O553)=0),"",Y553+N553/O553)</f>
        <v>-0.176019091847265</v>
      </c>
      <c r="AA553" s="32" t="n">
        <f aca="false">IF(OR(Z553="",N(U553)=0),"",Z553-U553)</f>
        <v>0</v>
      </c>
      <c r="AB553" s="29" t="n">
        <f aca="false">IF(N(Q553)=0,"",Q553+IF(I553="yes",Q553*Inputs!$B$10*Inputs!$B$9,0)+IFERROR(INDEX(Inputs!$B$13:$B$15,MATCH(G553,Inputs!$A$13:$A$15,0)),0)+IFERROR(INDEX(Inputs!$B$18:$B$24,MATCH(H553,Inputs!$A$18:$A$24,0)),0))</f>
        <v>0.095</v>
      </c>
      <c r="AC553" s="28" t="n">
        <f aca="false">IF(OR(N(AB553)&lt;=0,N(N553)=0,N(L553)=0),"",MIN(L553,N553/AB553))</f>
        <v>11.5131578947368</v>
      </c>
      <c r="AD553" s="29" t="n">
        <f aca="false">IF(OR(AC553="",N(O553)=0),"",AC553/O553-1)</f>
        <v>-0.24750601995184</v>
      </c>
      <c r="AE553" s="29" t="n">
        <f aca="false">IF(OR(AD553="",N(O553)=0),"",AD553+N553/O553)</f>
        <v>-0.176019091847265</v>
      </c>
      <c r="AF553" s="32" t="n">
        <f aca="false">IF(OR(AE553="",N(Z553)=0),"",AE553-Z553)</f>
        <v>0</v>
      </c>
      <c r="AG553" s="28" t="n">
        <f aca="false">IF(AND(N(M553)&gt;0,N(L553)&gt;0),M553*L553,N553)</f>
        <v>1.09375</v>
      </c>
      <c r="AH553" s="28" t="n">
        <f aca="false">IF(OR(N(AB553)&lt;=0,N(AG553)=0,N(L553)=0),"",MIN(L553,AG553/AB553))</f>
        <v>11.5131578947368</v>
      </c>
      <c r="AI553" s="29" t="n">
        <f aca="false">IF(OR(AH553="",N(O553)=0),"",AH553/O553-1)</f>
        <v>-0.24750601995184</v>
      </c>
      <c r="AJ553" s="29" t="n">
        <f aca="false">IF(OR(AI553="",N(O553)=0),"",AI553+AG553/O553)</f>
        <v>-0.176019091847265</v>
      </c>
      <c r="AK553" s="32" t="n">
        <f aca="false">IF(OR(AJ553="",N(AE553)=0),"",AJ553-AE553)</f>
        <v>0</v>
      </c>
      <c r="AL553" s="33" t="n">
        <f aca="false">IF(N(F553)=0,"",INDEX(Inputs!$B$28:$B$32,IFERROR(MATCH(F553,Inputs!$A$28:$A$32,1),0)+1))</f>
        <v>0.1</v>
      </c>
      <c r="AM553" s="34"/>
      <c r="AN553" s="33" t="n">
        <f aca="false">IF(N(AM553)&gt;0,AM553,AL553)</f>
        <v>0.1</v>
      </c>
      <c r="AO553" s="29" t="n">
        <f aca="false">IF(N(AN553)=0,"",AN553+IF(I553="yes",AN553*Inputs!$B$10*Inputs!$B$9,0)+IFERROR(INDEX(Inputs!$B$13:$B$15,MATCH(G553,Inputs!$A$13:$A$15,0)),0)+IFERROR(INDEX(Inputs!$B$18:$B$24,MATCH(H553,Inputs!$A$18:$A$24,0)),0))</f>
        <v>0.095</v>
      </c>
      <c r="AP553" s="28" t="n">
        <f aca="false">IF(OR(N(AO553)&lt;=0,N(AG553)=0,N(L553)=0),"",MIN(L553,AG553/AO553))</f>
        <v>11.5131578947368</v>
      </c>
      <c r="AQ553" s="29" t="n">
        <f aca="false">IF(OR(AP553="",N(O553)=0),"",AP553/O553-1)</f>
        <v>-0.24750601995184</v>
      </c>
      <c r="AR553" s="29" t="n">
        <f aca="false">IF(OR(AQ553="",N(O553)=0),"",AQ553+AG553/O553)</f>
        <v>-0.176019091847265</v>
      </c>
      <c r="AS553" s="32" t="n">
        <f aca="false">IF(OR(AR553="",N(AJ553)=0),"",AR553-AJ553)</f>
        <v>0</v>
      </c>
      <c r="AT553" s="28" t="n">
        <v>25</v>
      </c>
      <c r="AU553" s="28" t="n">
        <v>1.09375</v>
      </c>
      <c r="AV553" s="28" t="n">
        <f aca="false">IF(N(AT553)&gt;0,AT553,L553)</f>
        <v>25</v>
      </c>
      <c r="AW553" s="28" t="n">
        <f aca="false">IF(AND(N(M553)&gt;0,N(AV553)&gt;0),M553*AV553,IF(N(AU553)&gt;0,AU553,N553))</f>
        <v>1.09375</v>
      </c>
      <c r="AX553" s="29" t="n">
        <f aca="false">IF(N(AN553)=0,"",AN553+IF(I553="yes",AN553*Inputs!$B$10*Inputs!$B$9,0)+IFERROR(INDEX(Inputs!$B$13:$B$15,MATCH(G553,Inputs!$A$13:$A$15,0)),0)+IFERROR(INDEX(Inputs!$B$18:$B$24,MATCH(H553,Inputs!$A$18:$A$24,0)),0))</f>
        <v>0.095</v>
      </c>
      <c r="AY553" s="28" t="n">
        <f aca="false">IF(OR(N(AX553)&lt;=0,N(AW553)=0,N(AV553)=0),"",MIN(AV553,AW553/AX553))</f>
        <v>11.5131578947368</v>
      </c>
      <c r="AZ553" s="29" t="n">
        <f aca="false">IF(OR(AY553="",N(O553)=0),"",AY553/O553-1)</f>
        <v>-0.24750601995184</v>
      </c>
      <c r="BA553" s="29" t="n">
        <f aca="false">IF(OR(AZ553="",N(O553)=0),"",AZ553+AW553/O553)</f>
        <v>-0.176019091847265</v>
      </c>
      <c r="BB553" s="32" t="n">
        <f aca="false">IF(OR(BA553="",N(AR553)=0),"",BA553-AR553)</f>
        <v>0</v>
      </c>
      <c r="BC553" s="35" t="n">
        <f aca="false">IF(OR(BA553="",N(U553)=0),"",BA553-U553)</f>
        <v>0</v>
      </c>
      <c r="BD553" s="37"/>
    </row>
    <row r="554" customFormat="false" ht="15" hidden="false" customHeight="false" outlineLevel="0" collapsed="false">
      <c r="A554" s="2" t="s">
        <v>1067</v>
      </c>
      <c r="B554" s="2" t="n">
        <v>117</v>
      </c>
      <c r="C554" s="2" t="s">
        <v>1159</v>
      </c>
      <c r="D554" s="2" t="s">
        <v>1157</v>
      </c>
      <c r="E554" s="2" t="s">
        <v>1158</v>
      </c>
      <c r="F554" s="27" t="n">
        <v>178</v>
      </c>
      <c r="G554" s="2" t="s">
        <v>51</v>
      </c>
      <c r="H554" s="2" t="s">
        <v>58</v>
      </c>
      <c r="I554" s="2" t="s">
        <v>151</v>
      </c>
      <c r="J554" s="2" t="s">
        <v>145</v>
      </c>
      <c r="K554" s="2" t="n">
        <v>4</v>
      </c>
      <c r="L554" s="28" t="n">
        <v>25</v>
      </c>
      <c r="M554" s="29" t="n">
        <v>0.0475</v>
      </c>
      <c r="N554" s="28" t="n">
        <v>1.1875</v>
      </c>
      <c r="O554" s="28" t="n">
        <v>16.47</v>
      </c>
      <c r="P554" s="2" t="s">
        <v>223</v>
      </c>
      <c r="Q554" s="29" t="n">
        <v>0.1</v>
      </c>
      <c r="R554" s="30" t="n">
        <v>0.1</v>
      </c>
      <c r="S554" s="31" t="n">
        <v>11.875</v>
      </c>
      <c r="T554" s="30" t="n">
        <v>-0.278992106860959</v>
      </c>
      <c r="U554" s="30" t="n">
        <v>-0.206891317547055</v>
      </c>
      <c r="V554" s="29" t="n">
        <v>0</v>
      </c>
      <c r="W554" s="29" t="n">
        <f aca="false">IF(N(Q554)=0,"",Q554+IF(I554="yes",Q554*Inputs!$B$10*Inputs!$B$9,0)+V554)</f>
        <v>0.095</v>
      </c>
      <c r="X554" s="28" t="n">
        <f aca="false">IF(OR(N(W554)&lt;=0,N(N554)=0,N(L554)=0),"",MIN(L554,N554/W554))</f>
        <v>12.5</v>
      </c>
      <c r="Y554" s="29" t="n">
        <f aca="false">IF(OR(X554="",N(O554)=0),"",X554/O554-1)</f>
        <v>-0.241044323011536</v>
      </c>
      <c r="Z554" s="29" t="n">
        <f aca="false">IF(OR(Y554="",N(O554)=0),"",Y554+N554/O554)</f>
        <v>-0.168943533697632</v>
      </c>
      <c r="AA554" s="32" t="n">
        <f aca="false">IF(OR(Z554="",N(U554)=0),"",Z554-U554)</f>
        <v>0.0379477838494233</v>
      </c>
      <c r="AB554" s="29" t="n">
        <f aca="false">IF(N(Q554)=0,"",Q554+IF(I554="yes",Q554*Inputs!$B$10*Inputs!$B$9,0)+IFERROR(INDEX(Inputs!$B$13:$B$15,MATCH(G554,Inputs!$A$13:$A$15,0)),0)+IFERROR(INDEX(Inputs!$B$18:$B$24,MATCH(H554,Inputs!$A$18:$A$24,0)),0))</f>
        <v>0.095</v>
      </c>
      <c r="AC554" s="28" t="n">
        <f aca="false">IF(OR(N(AB554)&lt;=0,N(N554)=0,N(L554)=0),"",MIN(L554,N554/AB554))</f>
        <v>12.5</v>
      </c>
      <c r="AD554" s="29" t="n">
        <f aca="false">IF(OR(AC554="",N(O554)=0),"",AC554/O554-1)</f>
        <v>-0.241044323011536</v>
      </c>
      <c r="AE554" s="29" t="n">
        <f aca="false">IF(OR(AD554="",N(O554)=0),"",AD554+N554/O554)</f>
        <v>-0.168943533697632</v>
      </c>
      <c r="AF554" s="32" t="n">
        <f aca="false">IF(OR(AE554="",N(Z554)=0),"",AE554-Z554)</f>
        <v>0</v>
      </c>
      <c r="AG554" s="28" t="n">
        <f aca="false">IF(AND(N(M554)&gt;0,N(L554)&gt;0),M554*L554,N554)</f>
        <v>1.1875</v>
      </c>
      <c r="AH554" s="28" t="n">
        <f aca="false">IF(OR(N(AB554)&lt;=0,N(AG554)=0,N(L554)=0),"",MIN(L554,AG554/AB554))</f>
        <v>12.5</v>
      </c>
      <c r="AI554" s="29" t="n">
        <f aca="false">IF(OR(AH554="",N(O554)=0),"",AH554/O554-1)</f>
        <v>-0.241044323011536</v>
      </c>
      <c r="AJ554" s="29" t="n">
        <f aca="false">IF(OR(AI554="",N(O554)=0),"",AI554+AG554/O554)</f>
        <v>-0.168943533697632</v>
      </c>
      <c r="AK554" s="32" t="n">
        <f aca="false">IF(OR(AJ554="",N(AE554)=0),"",AJ554-AE554)</f>
        <v>0</v>
      </c>
      <c r="AL554" s="33" t="n">
        <f aca="false">IF(N(F554)=0,"",INDEX(Inputs!$B$28:$B$32,IFERROR(MATCH(F554,Inputs!$A$28:$A$32,1),0)+1))</f>
        <v>0.1</v>
      </c>
      <c r="AM554" s="34"/>
      <c r="AN554" s="33" t="n">
        <f aca="false">IF(N(AM554)&gt;0,AM554,AL554)</f>
        <v>0.1</v>
      </c>
      <c r="AO554" s="29" t="n">
        <f aca="false">IF(N(AN554)=0,"",AN554+IF(I554="yes",AN554*Inputs!$B$10*Inputs!$B$9,0)+IFERROR(INDEX(Inputs!$B$13:$B$15,MATCH(G554,Inputs!$A$13:$A$15,0)),0)+IFERROR(INDEX(Inputs!$B$18:$B$24,MATCH(H554,Inputs!$A$18:$A$24,0)),0))</f>
        <v>0.095</v>
      </c>
      <c r="AP554" s="28" t="n">
        <f aca="false">IF(OR(N(AO554)&lt;=0,N(AG554)=0,N(L554)=0),"",MIN(L554,AG554/AO554))</f>
        <v>12.5</v>
      </c>
      <c r="AQ554" s="29" t="n">
        <f aca="false">IF(OR(AP554="",N(O554)=0),"",AP554/O554-1)</f>
        <v>-0.241044323011536</v>
      </c>
      <c r="AR554" s="29" t="n">
        <f aca="false">IF(OR(AQ554="",N(O554)=0),"",AQ554+AG554/O554)</f>
        <v>-0.168943533697632</v>
      </c>
      <c r="AS554" s="32" t="n">
        <f aca="false">IF(OR(AR554="",N(AJ554)=0),"",AR554-AJ554)</f>
        <v>0</v>
      </c>
      <c r="AT554" s="28" t="n">
        <v>25</v>
      </c>
      <c r="AU554" s="28" t="n">
        <v>1.1875</v>
      </c>
      <c r="AV554" s="28" t="n">
        <f aca="false">IF(N(AT554)&gt;0,AT554,L554)</f>
        <v>25</v>
      </c>
      <c r="AW554" s="28" t="n">
        <f aca="false">IF(AND(N(M554)&gt;0,N(AV554)&gt;0),M554*AV554,IF(N(AU554)&gt;0,AU554,N554))</f>
        <v>1.1875</v>
      </c>
      <c r="AX554" s="29" t="n">
        <f aca="false">IF(N(AN554)=0,"",AN554+IF(I554="yes",AN554*Inputs!$B$10*Inputs!$B$9,0)+IFERROR(INDEX(Inputs!$B$13:$B$15,MATCH(G554,Inputs!$A$13:$A$15,0)),0)+IFERROR(INDEX(Inputs!$B$18:$B$24,MATCH(H554,Inputs!$A$18:$A$24,0)),0))</f>
        <v>0.095</v>
      </c>
      <c r="AY554" s="28" t="n">
        <f aca="false">IF(OR(N(AX554)&lt;=0,N(AW554)=0,N(AV554)=0),"",MIN(AV554,AW554/AX554))</f>
        <v>12.5</v>
      </c>
      <c r="AZ554" s="29" t="n">
        <f aca="false">IF(OR(AY554="",N(O554)=0),"",AY554/O554-1)</f>
        <v>-0.241044323011536</v>
      </c>
      <c r="BA554" s="29" t="n">
        <f aca="false">IF(OR(AZ554="",N(O554)=0),"",AZ554+AW554/O554)</f>
        <v>-0.168943533697632</v>
      </c>
      <c r="BB554" s="32" t="n">
        <f aca="false">IF(OR(BA554="",N(AR554)=0),"",BA554-AR554)</f>
        <v>0</v>
      </c>
      <c r="BC554" s="35" t="n">
        <f aca="false">IF(OR(BA554="",N(U554)=0),"",BA554-U554)</f>
        <v>0.0379477838494233</v>
      </c>
      <c r="BD554" s="36" t="s">
        <v>224</v>
      </c>
    </row>
    <row r="555" customFormat="false" ht="15" hidden="false" customHeight="false" outlineLevel="0" collapsed="false">
      <c r="A555" s="2" t="s">
        <v>1067</v>
      </c>
      <c r="B555" s="2" t="n">
        <v>120</v>
      </c>
      <c r="C555" s="2" t="s">
        <v>1160</v>
      </c>
      <c r="D555" s="2" t="s">
        <v>1161</v>
      </c>
      <c r="E555" s="2" t="s">
        <v>143</v>
      </c>
      <c r="F555" s="27"/>
      <c r="G555" s="2" t="s">
        <v>52</v>
      </c>
      <c r="H555" s="2" t="s">
        <v>58</v>
      </c>
      <c r="I555" s="2" t="s">
        <v>144</v>
      </c>
      <c r="J555" s="2" t="s">
        <v>145</v>
      </c>
      <c r="K555" s="2" t="n">
        <v>4</v>
      </c>
      <c r="L555" s="28" t="n">
        <v>25</v>
      </c>
      <c r="M555" s="29" t="n">
        <v>0.055</v>
      </c>
      <c r="N555" s="28" t="n">
        <v>1.375</v>
      </c>
      <c r="O555" s="28" t="n">
        <v>24.05</v>
      </c>
      <c r="P555" s="2" t="s">
        <v>146</v>
      </c>
      <c r="Q555" s="29" t="n">
        <v>0.1</v>
      </c>
      <c r="R555" s="30" t="n">
        <v>0.095</v>
      </c>
      <c r="S555" s="31" t="n">
        <v>14.4736842105263</v>
      </c>
      <c r="T555" s="30" t="n">
        <v>-0.398183608709925</v>
      </c>
      <c r="U555" s="30" t="n">
        <v>-0.341011051537367</v>
      </c>
      <c r="V555" s="29" t="n">
        <v>-0.005</v>
      </c>
      <c r="W555" s="29" t="n">
        <f aca="false">IF(N(Q555)=0,"",Q555+IF(I555="yes",Q555*Inputs!$B$10*Inputs!$B$9,0)+V555)</f>
        <v>0.095</v>
      </c>
      <c r="X555" s="28" t="n">
        <f aca="false">IF(OR(N(W555)&lt;=0,N(N555)=0,N(L555)=0),"",MIN(L555,N555/W555))</f>
        <v>14.4736842105263</v>
      </c>
      <c r="Y555" s="29" t="n">
        <f aca="false">IF(OR(X555="",N(O555)=0),"",X555/O555-1)</f>
        <v>-0.398183608709925</v>
      </c>
      <c r="Z555" s="29" t="n">
        <f aca="false">IF(OR(Y555="",N(O555)=0),"",Y555+N555/O555)</f>
        <v>-0.341011051537367</v>
      </c>
      <c r="AA555" s="32" t="n">
        <f aca="false">IF(OR(Z555="",N(U555)=0),"",Z555-U555)</f>
        <v>0</v>
      </c>
      <c r="AB555" s="29" t="n">
        <f aca="false">IF(N(Q555)=0,"",Q555+IF(I555="yes",Q555*Inputs!$B$10*Inputs!$B$9,0)+IFERROR(INDEX(Inputs!$B$13:$B$15,MATCH(G555,Inputs!$A$13:$A$15,0)),0)+IFERROR(INDEX(Inputs!$B$18:$B$24,MATCH(H555,Inputs!$A$18:$A$24,0)),0))</f>
        <v>0.095</v>
      </c>
      <c r="AC555" s="28" t="n">
        <f aca="false">IF(OR(N(AB555)&lt;=0,N(N555)=0,N(L555)=0),"",MIN(L555,N555/AB555))</f>
        <v>14.4736842105263</v>
      </c>
      <c r="AD555" s="29" t="n">
        <f aca="false">IF(OR(AC555="",N(O555)=0),"",AC555/O555-1)</f>
        <v>-0.398183608709925</v>
      </c>
      <c r="AE555" s="29" t="n">
        <f aca="false">IF(OR(AD555="",N(O555)=0),"",AD555+N555/O555)</f>
        <v>-0.341011051537367</v>
      </c>
      <c r="AF555" s="32" t="n">
        <f aca="false">IF(OR(AE555="",N(Z555)=0),"",AE555-Z555)</f>
        <v>0</v>
      </c>
      <c r="AG555" s="28" t="n">
        <f aca="false">IF(AND(N(M555)&gt;0,N(L555)&gt;0),M555*L555,N555)</f>
        <v>1.375</v>
      </c>
      <c r="AH555" s="28" t="n">
        <f aca="false">IF(OR(N(AB555)&lt;=0,N(AG555)=0,N(L555)=0),"",MIN(L555,AG555/AB555))</f>
        <v>14.4736842105263</v>
      </c>
      <c r="AI555" s="29" t="n">
        <f aca="false">IF(OR(AH555="",N(O555)=0),"",AH555/O555-1)</f>
        <v>-0.398183608709925</v>
      </c>
      <c r="AJ555" s="29" t="n">
        <f aca="false">IF(OR(AI555="",N(O555)=0),"",AI555+AG555/O555)</f>
        <v>-0.341011051537367</v>
      </c>
      <c r="AK555" s="32" t="n">
        <f aca="false">IF(OR(AJ555="",N(AE555)=0),"",AJ555-AE555)</f>
        <v>0</v>
      </c>
      <c r="AL555" s="33" t="str">
        <f aca="false">IF(N(F555)=0,"",INDEX(Inputs!$B$28:$B$32,IFERROR(MATCH(F555,Inputs!$A$28:$A$32,1),0)+1))</f>
        <v/>
      </c>
      <c r="AM555" s="34"/>
      <c r="AN555" s="33" t="str">
        <f aca="false">IF(N(AM555)&gt;0,AM555,AL555)</f>
        <v/>
      </c>
      <c r="AO555" s="29" t="str">
        <f aca="false">IF(N(AN555)=0,"",AN555+IF(I555="yes",AN555*Inputs!$B$10*Inputs!$B$9,0)+IFERROR(INDEX(Inputs!$B$13:$B$15,MATCH(G555,Inputs!$A$13:$A$15,0)),0)+IFERROR(INDEX(Inputs!$B$18:$B$24,MATCH(H555,Inputs!$A$18:$A$24,0)),0))</f>
        <v/>
      </c>
      <c r="AP555" s="28" t="str">
        <f aca="false">IF(OR(N(AO555)&lt;=0,N(AG555)=0,N(L555)=0),"",MIN(L555,AG555/AO555))</f>
        <v/>
      </c>
      <c r="AQ555" s="29" t="str">
        <f aca="false">IF(OR(AP555="",N(O555)=0),"",AP555/O555-1)</f>
        <v/>
      </c>
      <c r="AR555" s="29" t="str">
        <f aca="false">IF(OR(AQ555="",N(O555)=0),"",AQ555+AG555/O555)</f>
        <v/>
      </c>
      <c r="AS555" s="32" t="str">
        <f aca="false">IF(OR(AR555="",N(AJ555)=0),"",AR555-AJ555)</f>
        <v/>
      </c>
      <c r="AT555" s="28" t="n">
        <v>25</v>
      </c>
      <c r="AU555" s="28" t="n">
        <v>1.375</v>
      </c>
      <c r="AV555" s="28" t="n">
        <f aca="false">IF(N(AT555)&gt;0,AT555,L555)</f>
        <v>25</v>
      </c>
      <c r="AW555" s="28" t="n">
        <f aca="false">IF(AND(N(M555)&gt;0,N(AV555)&gt;0),M555*AV555,IF(N(AU555)&gt;0,AU555,N555))</f>
        <v>1.375</v>
      </c>
      <c r="AX555" s="29" t="str">
        <f aca="false">IF(N(AN555)=0,"",AN555+IF(I555="yes",AN555*Inputs!$B$10*Inputs!$B$9,0)+IFERROR(INDEX(Inputs!$B$13:$B$15,MATCH(G555,Inputs!$A$13:$A$15,0)),0)+IFERROR(INDEX(Inputs!$B$18:$B$24,MATCH(H555,Inputs!$A$18:$A$24,0)),0))</f>
        <v/>
      </c>
      <c r="AY555" s="28" t="str">
        <f aca="false">IF(OR(N(AX555)&lt;=0,N(AW555)=0,N(AV555)=0),"",MIN(AV555,AW555/AX555))</f>
        <v/>
      </c>
      <c r="AZ555" s="29" t="str">
        <f aca="false">IF(OR(AY555="",N(O555)=0),"",AY555/O555-1)</f>
        <v/>
      </c>
      <c r="BA555" s="29" t="str">
        <f aca="false">IF(OR(AZ555="",N(O555)=0),"",AZ555+AW555/O555)</f>
        <v/>
      </c>
      <c r="BB555" s="32" t="str">
        <f aca="false">IF(OR(BA555="",N(AR555)=0),"",BA555-AR555)</f>
        <v/>
      </c>
      <c r="BC555" s="35" t="str">
        <f aca="false">IF(OR(BA555="",N(U555)=0),"",BA555-U555)</f>
        <v/>
      </c>
      <c r="BD555" s="37"/>
    </row>
    <row r="556" customFormat="false" ht="15" hidden="false" customHeight="false" outlineLevel="0" collapsed="false">
      <c r="A556" s="2" t="s">
        <v>1067</v>
      </c>
      <c r="B556" s="2" t="n">
        <v>121</v>
      </c>
      <c r="C556" s="2" t="s">
        <v>1162</v>
      </c>
      <c r="D556" s="2" t="s">
        <v>1161</v>
      </c>
      <c r="E556" s="2" t="s">
        <v>143</v>
      </c>
      <c r="F556" s="27"/>
      <c r="G556" s="2" t="s">
        <v>52</v>
      </c>
      <c r="H556" s="2" t="s">
        <v>58</v>
      </c>
      <c r="I556" s="2" t="s">
        <v>144</v>
      </c>
      <c r="J556" s="2" t="s">
        <v>145</v>
      </c>
      <c r="K556" s="2" t="n">
        <v>4</v>
      </c>
      <c r="L556" s="28" t="n">
        <v>25</v>
      </c>
      <c r="M556" s="29" t="n">
        <v>0.065</v>
      </c>
      <c r="N556" s="28" t="n">
        <v>1.625</v>
      </c>
      <c r="O556" s="28" t="n">
        <v>0</v>
      </c>
      <c r="P556" s="2" t="s">
        <v>146</v>
      </c>
      <c r="Q556" s="29" t="n">
        <v>0.1</v>
      </c>
      <c r="R556" s="30" t="n">
        <v>0.095</v>
      </c>
      <c r="S556" s="31" t="n">
        <v>17.1052631578947</v>
      </c>
      <c r="T556" s="30"/>
      <c r="U556" s="30"/>
      <c r="V556" s="29" t="n">
        <v>-0.005</v>
      </c>
      <c r="W556" s="29" t="n">
        <f aca="false">IF(N(Q556)=0,"",Q556+IF(I556="yes",Q556*Inputs!$B$10*Inputs!$B$9,0)+V556)</f>
        <v>0.095</v>
      </c>
      <c r="X556" s="28" t="n">
        <f aca="false">IF(OR(N(W556)&lt;=0,N(N556)=0,N(L556)=0),"",MIN(L556,N556/W556))</f>
        <v>17.1052631578947</v>
      </c>
      <c r="Y556" s="29" t="str">
        <f aca="false">IF(OR(X556="",N(O556)=0),"",X556/O556-1)</f>
        <v/>
      </c>
      <c r="Z556" s="29" t="str">
        <f aca="false">IF(OR(Y556="",N(O556)=0),"",Y556+N556/O556)</f>
        <v/>
      </c>
      <c r="AA556" s="32" t="str">
        <f aca="false">IF(OR(Z556="",N(U556)=0),"",Z556-U556)</f>
        <v/>
      </c>
      <c r="AB556" s="29" t="n">
        <f aca="false">IF(N(Q556)=0,"",Q556+IF(I556="yes",Q556*Inputs!$B$10*Inputs!$B$9,0)+IFERROR(INDEX(Inputs!$B$13:$B$15,MATCH(G556,Inputs!$A$13:$A$15,0)),0)+IFERROR(INDEX(Inputs!$B$18:$B$24,MATCH(H556,Inputs!$A$18:$A$24,0)),0))</f>
        <v>0.095</v>
      </c>
      <c r="AC556" s="28" t="n">
        <f aca="false">IF(OR(N(AB556)&lt;=0,N(N556)=0,N(L556)=0),"",MIN(L556,N556/AB556))</f>
        <v>17.1052631578947</v>
      </c>
      <c r="AD556" s="29" t="str">
        <f aca="false">IF(OR(AC556="",N(O556)=0),"",AC556/O556-1)</f>
        <v/>
      </c>
      <c r="AE556" s="29" t="str">
        <f aca="false">IF(OR(AD556="",N(O556)=0),"",AD556+N556/O556)</f>
        <v/>
      </c>
      <c r="AF556" s="32" t="str">
        <f aca="false">IF(OR(AE556="",N(Z556)=0),"",AE556-Z556)</f>
        <v/>
      </c>
      <c r="AG556" s="28" t="n">
        <f aca="false">IF(AND(N(M556)&gt;0,N(L556)&gt;0),M556*L556,N556)</f>
        <v>1.625</v>
      </c>
      <c r="AH556" s="28" t="n">
        <f aca="false">IF(OR(N(AB556)&lt;=0,N(AG556)=0,N(L556)=0),"",MIN(L556,AG556/AB556))</f>
        <v>17.1052631578947</v>
      </c>
      <c r="AI556" s="29" t="str">
        <f aca="false">IF(OR(AH556="",N(O556)=0),"",AH556/O556-1)</f>
        <v/>
      </c>
      <c r="AJ556" s="29" t="str">
        <f aca="false">IF(OR(AI556="",N(O556)=0),"",AI556+AG556/O556)</f>
        <v/>
      </c>
      <c r="AK556" s="32" t="str">
        <f aca="false">IF(OR(AJ556="",N(AE556)=0),"",AJ556-AE556)</f>
        <v/>
      </c>
      <c r="AL556" s="33" t="str">
        <f aca="false">IF(N(F556)=0,"",INDEX(Inputs!$B$28:$B$32,IFERROR(MATCH(F556,Inputs!$A$28:$A$32,1),0)+1))</f>
        <v/>
      </c>
      <c r="AM556" s="34"/>
      <c r="AN556" s="33" t="str">
        <f aca="false">IF(N(AM556)&gt;0,AM556,AL556)</f>
        <v/>
      </c>
      <c r="AO556" s="29" t="str">
        <f aca="false">IF(N(AN556)=0,"",AN556+IF(I556="yes",AN556*Inputs!$B$10*Inputs!$B$9,0)+IFERROR(INDEX(Inputs!$B$13:$B$15,MATCH(G556,Inputs!$A$13:$A$15,0)),0)+IFERROR(INDEX(Inputs!$B$18:$B$24,MATCH(H556,Inputs!$A$18:$A$24,0)),0))</f>
        <v/>
      </c>
      <c r="AP556" s="28" t="str">
        <f aca="false">IF(OR(N(AO556)&lt;=0,N(AG556)=0,N(L556)=0),"",MIN(L556,AG556/AO556))</f>
        <v/>
      </c>
      <c r="AQ556" s="29" t="str">
        <f aca="false">IF(OR(AP556="",N(O556)=0),"",AP556/O556-1)</f>
        <v/>
      </c>
      <c r="AR556" s="29" t="str">
        <f aca="false">IF(OR(AQ556="",N(O556)=0),"",AQ556+AG556/O556)</f>
        <v/>
      </c>
      <c r="AS556" s="32" t="str">
        <f aca="false">IF(OR(AR556="",N(AJ556)=0),"",AR556-AJ556)</f>
        <v/>
      </c>
      <c r="AT556" s="28"/>
      <c r="AU556" s="28"/>
      <c r="AV556" s="28" t="n">
        <f aca="false">IF(N(AT556)&gt;0,AT556,L556)</f>
        <v>25</v>
      </c>
      <c r="AW556" s="28" t="n">
        <f aca="false">IF(AND(N(M556)&gt;0,N(AV556)&gt;0),M556*AV556,IF(N(AU556)&gt;0,AU556,N556))</f>
        <v>1.625</v>
      </c>
      <c r="AX556" s="29" t="str">
        <f aca="false">IF(N(AN556)=0,"",AN556+IF(I556="yes",AN556*Inputs!$B$10*Inputs!$B$9,0)+IFERROR(INDEX(Inputs!$B$13:$B$15,MATCH(G556,Inputs!$A$13:$A$15,0)),0)+IFERROR(INDEX(Inputs!$B$18:$B$24,MATCH(H556,Inputs!$A$18:$A$24,0)),0))</f>
        <v/>
      </c>
      <c r="AY556" s="28" t="str">
        <f aca="false">IF(OR(N(AX556)&lt;=0,N(AW556)=0,N(AV556)=0),"",MIN(AV556,AW556/AX556))</f>
        <v/>
      </c>
      <c r="AZ556" s="29" t="str">
        <f aca="false">IF(OR(AY556="",N(O556)=0),"",AY556/O556-1)</f>
        <v/>
      </c>
      <c r="BA556" s="29" t="str">
        <f aca="false">IF(OR(AZ556="",N(O556)=0),"",AZ556+AW556/O556)</f>
        <v/>
      </c>
      <c r="BB556" s="32" t="str">
        <f aca="false">IF(OR(BA556="",N(AR556)=0),"",BA556-AR556)</f>
        <v/>
      </c>
      <c r="BC556" s="35" t="str">
        <f aca="false">IF(OR(BA556="",N(U556)=0),"",BA556-U556)</f>
        <v/>
      </c>
      <c r="BD556" s="36" t="s">
        <v>198</v>
      </c>
    </row>
    <row r="557" customFormat="false" ht="15" hidden="false" customHeight="false" outlineLevel="0" collapsed="false">
      <c r="A557" s="2" t="s">
        <v>1067</v>
      </c>
      <c r="B557" s="2" t="n">
        <v>122</v>
      </c>
      <c r="C557" s="2" t="s">
        <v>1163</v>
      </c>
      <c r="D557" s="2" t="s">
        <v>1161</v>
      </c>
      <c r="E557" s="2" t="s">
        <v>143</v>
      </c>
      <c r="F557" s="27"/>
      <c r="G557" s="2" t="s">
        <v>52</v>
      </c>
      <c r="H557" s="2" t="s">
        <v>58</v>
      </c>
      <c r="I557" s="2" t="s">
        <v>144</v>
      </c>
      <c r="J557" s="2" t="s">
        <v>145</v>
      </c>
      <c r="K557" s="2" t="n">
        <v>4</v>
      </c>
      <c r="L557" s="28" t="n">
        <v>25</v>
      </c>
      <c r="M557" s="29" t="n">
        <v>0.0625</v>
      </c>
      <c r="N557" s="28" t="n">
        <v>1.5625</v>
      </c>
      <c r="O557" s="28" t="n">
        <v>0</v>
      </c>
      <c r="P557" s="2" t="s">
        <v>146</v>
      </c>
      <c r="Q557" s="29" t="n">
        <v>0.1</v>
      </c>
      <c r="R557" s="30" t="n">
        <v>0.095</v>
      </c>
      <c r="S557" s="31" t="n">
        <v>16.4473684210526</v>
      </c>
      <c r="T557" s="30"/>
      <c r="U557" s="30"/>
      <c r="V557" s="29" t="n">
        <v>-0.005</v>
      </c>
      <c r="W557" s="29" t="n">
        <f aca="false">IF(N(Q557)=0,"",Q557+IF(I557="yes",Q557*Inputs!$B$10*Inputs!$B$9,0)+V557)</f>
        <v>0.095</v>
      </c>
      <c r="X557" s="28" t="n">
        <f aca="false">IF(OR(N(W557)&lt;=0,N(N557)=0,N(L557)=0),"",MIN(L557,N557/W557))</f>
        <v>16.4473684210526</v>
      </c>
      <c r="Y557" s="29" t="str">
        <f aca="false">IF(OR(X557="",N(O557)=0),"",X557/O557-1)</f>
        <v/>
      </c>
      <c r="Z557" s="29" t="str">
        <f aca="false">IF(OR(Y557="",N(O557)=0),"",Y557+N557/O557)</f>
        <v/>
      </c>
      <c r="AA557" s="32" t="str">
        <f aca="false">IF(OR(Z557="",N(U557)=0),"",Z557-U557)</f>
        <v/>
      </c>
      <c r="AB557" s="29" t="n">
        <f aca="false">IF(N(Q557)=0,"",Q557+IF(I557="yes",Q557*Inputs!$B$10*Inputs!$B$9,0)+IFERROR(INDEX(Inputs!$B$13:$B$15,MATCH(G557,Inputs!$A$13:$A$15,0)),0)+IFERROR(INDEX(Inputs!$B$18:$B$24,MATCH(H557,Inputs!$A$18:$A$24,0)),0))</f>
        <v>0.095</v>
      </c>
      <c r="AC557" s="28" t="n">
        <f aca="false">IF(OR(N(AB557)&lt;=0,N(N557)=0,N(L557)=0),"",MIN(L557,N557/AB557))</f>
        <v>16.4473684210526</v>
      </c>
      <c r="AD557" s="29" t="str">
        <f aca="false">IF(OR(AC557="",N(O557)=0),"",AC557/O557-1)</f>
        <v/>
      </c>
      <c r="AE557" s="29" t="str">
        <f aca="false">IF(OR(AD557="",N(O557)=0),"",AD557+N557/O557)</f>
        <v/>
      </c>
      <c r="AF557" s="32" t="str">
        <f aca="false">IF(OR(AE557="",N(Z557)=0),"",AE557-Z557)</f>
        <v/>
      </c>
      <c r="AG557" s="28" t="n">
        <f aca="false">IF(AND(N(M557)&gt;0,N(L557)&gt;0),M557*L557,N557)</f>
        <v>1.5625</v>
      </c>
      <c r="AH557" s="28" t="n">
        <f aca="false">IF(OR(N(AB557)&lt;=0,N(AG557)=0,N(L557)=0),"",MIN(L557,AG557/AB557))</f>
        <v>16.4473684210526</v>
      </c>
      <c r="AI557" s="29" t="str">
        <f aca="false">IF(OR(AH557="",N(O557)=0),"",AH557/O557-1)</f>
        <v/>
      </c>
      <c r="AJ557" s="29" t="str">
        <f aca="false">IF(OR(AI557="",N(O557)=0),"",AI557+AG557/O557)</f>
        <v/>
      </c>
      <c r="AK557" s="32" t="str">
        <f aca="false">IF(OR(AJ557="",N(AE557)=0),"",AJ557-AE557)</f>
        <v/>
      </c>
      <c r="AL557" s="33" t="str">
        <f aca="false">IF(N(F557)=0,"",INDEX(Inputs!$B$28:$B$32,IFERROR(MATCH(F557,Inputs!$A$28:$A$32,1),0)+1))</f>
        <v/>
      </c>
      <c r="AM557" s="34"/>
      <c r="AN557" s="33" t="str">
        <f aca="false">IF(N(AM557)&gt;0,AM557,AL557)</f>
        <v/>
      </c>
      <c r="AO557" s="29" t="str">
        <f aca="false">IF(N(AN557)=0,"",AN557+IF(I557="yes",AN557*Inputs!$B$10*Inputs!$B$9,0)+IFERROR(INDEX(Inputs!$B$13:$B$15,MATCH(G557,Inputs!$A$13:$A$15,0)),0)+IFERROR(INDEX(Inputs!$B$18:$B$24,MATCH(H557,Inputs!$A$18:$A$24,0)),0))</f>
        <v/>
      </c>
      <c r="AP557" s="28" t="str">
        <f aca="false">IF(OR(N(AO557)&lt;=0,N(AG557)=0,N(L557)=0),"",MIN(L557,AG557/AO557))</f>
        <v/>
      </c>
      <c r="AQ557" s="29" t="str">
        <f aca="false">IF(OR(AP557="",N(O557)=0),"",AP557/O557-1)</f>
        <v/>
      </c>
      <c r="AR557" s="29" t="str">
        <f aca="false">IF(OR(AQ557="",N(O557)=0),"",AQ557+AG557/O557)</f>
        <v/>
      </c>
      <c r="AS557" s="32" t="str">
        <f aca="false">IF(OR(AR557="",N(AJ557)=0),"",AR557-AJ557)</f>
        <v/>
      </c>
      <c r="AT557" s="28"/>
      <c r="AU557" s="28"/>
      <c r="AV557" s="28" t="n">
        <f aca="false">IF(N(AT557)&gt;0,AT557,L557)</f>
        <v>25</v>
      </c>
      <c r="AW557" s="28" t="n">
        <f aca="false">IF(AND(N(M557)&gt;0,N(AV557)&gt;0),M557*AV557,IF(N(AU557)&gt;0,AU557,N557))</f>
        <v>1.5625</v>
      </c>
      <c r="AX557" s="29" t="str">
        <f aca="false">IF(N(AN557)=0,"",AN557+IF(I557="yes",AN557*Inputs!$B$10*Inputs!$B$9,0)+IFERROR(INDEX(Inputs!$B$13:$B$15,MATCH(G557,Inputs!$A$13:$A$15,0)),0)+IFERROR(INDEX(Inputs!$B$18:$B$24,MATCH(H557,Inputs!$A$18:$A$24,0)),0))</f>
        <v/>
      </c>
      <c r="AY557" s="28" t="str">
        <f aca="false">IF(OR(N(AX557)&lt;=0,N(AW557)=0,N(AV557)=0),"",MIN(AV557,AW557/AX557))</f>
        <v/>
      </c>
      <c r="AZ557" s="29" t="str">
        <f aca="false">IF(OR(AY557="",N(O557)=0),"",AY557/O557-1)</f>
        <v/>
      </c>
      <c r="BA557" s="29" t="str">
        <f aca="false">IF(OR(AZ557="",N(O557)=0),"",AZ557+AW557/O557)</f>
        <v/>
      </c>
      <c r="BB557" s="32" t="str">
        <f aca="false">IF(OR(BA557="",N(AR557)=0),"",BA557-AR557)</f>
        <v/>
      </c>
      <c r="BC557" s="35" t="str">
        <f aca="false">IF(OR(BA557="",N(U557)=0),"",BA557-U557)</f>
        <v/>
      </c>
      <c r="BD557" s="36" t="s">
        <v>198</v>
      </c>
    </row>
    <row r="558" customFormat="false" ht="15" hidden="false" customHeight="false" outlineLevel="0" collapsed="false">
      <c r="A558" s="2" t="s">
        <v>1067</v>
      </c>
      <c r="B558" s="2" t="n">
        <v>125</v>
      </c>
      <c r="C558" s="2" t="s">
        <v>1164</v>
      </c>
      <c r="D558" s="2" t="s">
        <v>1165</v>
      </c>
      <c r="E558" s="2" t="s">
        <v>143</v>
      </c>
      <c r="F558" s="27"/>
      <c r="G558" s="2" t="s">
        <v>51</v>
      </c>
      <c r="H558" s="2" t="s">
        <v>58</v>
      </c>
      <c r="I558" s="2" t="s">
        <v>151</v>
      </c>
      <c r="J558" s="2" t="s">
        <v>145</v>
      </c>
      <c r="K558" s="2" t="n">
        <v>4</v>
      </c>
      <c r="L558" s="28" t="n">
        <v>25</v>
      </c>
      <c r="M558" s="29" t="n">
        <v>0.095</v>
      </c>
      <c r="N558" s="28" t="n">
        <v>2.375</v>
      </c>
      <c r="O558" s="28" t="n">
        <v>0</v>
      </c>
      <c r="P558" s="2" t="s">
        <v>146</v>
      </c>
      <c r="Q558" s="29" t="n">
        <v>0</v>
      </c>
      <c r="R558" s="30" t="n">
        <v>0</v>
      </c>
      <c r="S558" s="31"/>
      <c r="T558" s="30"/>
      <c r="U558" s="30"/>
      <c r="V558" s="29" t="n">
        <v>0</v>
      </c>
      <c r="W558" s="29" t="str">
        <f aca="false">IF(N(Q558)=0,"",Q558+IF(I558="yes",Q558*Inputs!$B$10*Inputs!$B$9,0)+V558)</f>
        <v/>
      </c>
      <c r="X558" s="28" t="str">
        <f aca="false">IF(OR(N(W558)&lt;=0,N(N558)=0,N(L558)=0),"",MIN(L558,N558/W558))</f>
        <v/>
      </c>
      <c r="Y558" s="29" t="str">
        <f aca="false">IF(OR(X558="",N(O558)=0),"",X558/O558-1)</f>
        <v/>
      </c>
      <c r="Z558" s="29" t="str">
        <f aca="false">IF(OR(Y558="",N(O558)=0),"",Y558+N558/O558)</f>
        <v/>
      </c>
      <c r="AA558" s="32" t="str">
        <f aca="false">IF(OR(Z558="",N(U558)=0),"",Z558-U558)</f>
        <v/>
      </c>
      <c r="AB558" s="29" t="str">
        <f aca="false">IF(N(Q558)=0,"",Q558+IF(I558="yes",Q558*Inputs!$B$10*Inputs!$B$9,0)+IFERROR(INDEX(Inputs!$B$13:$B$15,MATCH(G558,Inputs!$A$13:$A$15,0)),0)+IFERROR(INDEX(Inputs!$B$18:$B$24,MATCH(H558,Inputs!$A$18:$A$24,0)),0))</f>
        <v/>
      </c>
      <c r="AC558" s="28" t="str">
        <f aca="false">IF(OR(N(AB558)&lt;=0,N(N558)=0,N(L558)=0),"",MIN(L558,N558/AB558))</f>
        <v/>
      </c>
      <c r="AD558" s="29" t="str">
        <f aca="false">IF(OR(AC558="",N(O558)=0),"",AC558/O558-1)</f>
        <v/>
      </c>
      <c r="AE558" s="29" t="str">
        <f aca="false">IF(OR(AD558="",N(O558)=0),"",AD558+N558/O558)</f>
        <v/>
      </c>
      <c r="AF558" s="32" t="str">
        <f aca="false">IF(OR(AE558="",N(Z558)=0),"",AE558-Z558)</f>
        <v/>
      </c>
      <c r="AG558" s="28" t="n">
        <f aca="false">IF(AND(N(M558)&gt;0,N(L558)&gt;0),M558*L558,N558)</f>
        <v>2.375</v>
      </c>
      <c r="AH558" s="28" t="str">
        <f aca="false">IF(OR(N(AB558)&lt;=0,N(AG558)=0,N(L558)=0),"",MIN(L558,AG558/AB558))</f>
        <v/>
      </c>
      <c r="AI558" s="29" t="str">
        <f aca="false">IF(OR(AH558="",N(O558)=0),"",AH558/O558-1)</f>
        <v/>
      </c>
      <c r="AJ558" s="29" t="str">
        <f aca="false">IF(OR(AI558="",N(O558)=0),"",AI558+AG558/O558)</f>
        <v/>
      </c>
      <c r="AK558" s="32" t="str">
        <f aca="false">IF(OR(AJ558="",N(AE558)=0),"",AJ558-AE558)</f>
        <v/>
      </c>
      <c r="AL558" s="33" t="str">
        <f aca="false">IF(N(F558)=0,"",INDEX(Inputs!$B$28:$B$32,IFERROR(MATCH(F558,Inputs!$A$28:$A$32,1),0)+1))</f>
        <v/>
      </c>
      <c r="AM558" s="34"/>
      <c r="AN558" s="33" t="str">
        <f aca="false">IF(N(AM558)&gt;0,AM558,AL558)</f>
        <v/>
      </c>
      <c r="AO558" s="29" t="str">
        <f aca="false">IF(N(AN558)=0,"",AN558+IF(I558="yes",AN558*Inputs!$B$10*Inputs!$B$9,0)+IFERROR(INDEX(Inputs!$B$13:$B$15,MATCH(G558,Inputs!$A$13:$A$15,0)),0)+IFERROR(INDEX(Inputs!$B$18:$B$24,MATCH(H558,Inputs!$A$18:$A$24,0)),0))</f>
        <v/>
      </c>
      <c r="AP558" s="28" t="str">
        <f aca="false">IF(OR(N(AO558)&lt;=0,N(AG558)=0,N(L558)=0),"",MIN(L558,AG558/AO558))</f>
        <v/>
      </c>
      <c r="AQ558" s="29" t="str">
        <f aca="false">IF(OR(AP558="",N(O558)=0),"",AP558/O558-1)</f>
        <v/>
      </c>
      <c r="AR558" s="29" t="str">
        <f aca="false">IF(OR(AQ558="",N(O558)=0),"",AQ558+AG558/O558)</f>
        <v/>
      </c>
      <c r="AS558" s="32" t="str">
        <f aca="false">IF(OR(AR558="",N(AJ558)=0),"",AR558-AJ558)</f>
        <v/>
      </c>
      <c r="AT558" s="28"/>
      <c r="AU558" s="28"/>
      <c r="AV558" s="28" t="n">
        <f aca="false">IF(N(AT558)&gt;0,AT558,L558)</f>
        <v>25</v>
      </c>
      <c r="AW558" s="28" t="n">
        <f aca="false">IF(AND(N(M558)&gt;0,N(AV558)&gt;0),M558*AV558,IF(N(AU558)&gt;0,AU558,N558))</f>
        <v>2.375</v>
      </c>
      <c r="AX558" s="29" t="str">
        <f aca="false">IF(N(AN558)=0,"",AN558+IF(I558="yes",AN558*Inputs!$B$10*Inputs!$B$9,0)+IFERROR(INDEX(Inputs!$B$13:$B$15,MATCH(G558,Inputs!$A$13:$A$15,0)),0)+IFERROR(INDEX(Inputs!$B$18:$B$24,MATCH(H558,Inputs!$A$18:$A$24,0)),0))</f>
        <v/>
      </c>
      <c r="AY558" s="28" t="str">
        <f aca="false">IF(OR(N(AX558)&lt;=0,N(AW558)=0,N(AV558)=0),"",MIN(AV558,AW558/AX558))</f>
        <v/>
      </c>
      <c r="AZ558" s="29" t="str">
        <f aca="false">IF(OR(AY558="",N(O558)=0),"",AY558/O558-1)</f>
        <v/>
      </c>
      <c r="BA558" s="29" t="str">
        <f aca="false">IF(OR(AZ558="",N(O558)=0),"",AZ558+AW558/O558)</f>
        <v/>
      </c>
      <c r="BB558" s="32" t="str">
        <f aca="false">IF(OR(BA558="",N(AR558)=0),"",BA558-AR558)</f>
        <v/>
      </c>
      <c r="BC558" s="35" t="str">
        <f aca="false">IF(OR(BA558="",N(U558)=0),"",BA558-U558)</f>
        <v/>
      </c>
      <c r="BD558" s="36" t="s">
        <v>147</v>
      </c>
    </row>
    <row r="559" customFormat="false" ht="15" hidden="false" customHeight="false" outlineLevel="0" collapsed="false">
      <c r="A559" s="2" t="s">
        <v>1067</v>
      </c>
      <c r="B559" s="2" t="n">
        <v>129</v>
      </c>
      <c r="C559" s="2" t="s">
        <v>1166</v>
      </c>
      <c r="D559" s="2" t="s">
        <v>1167</v>
      </c>
      <c r="E559" s="2" t="s">
        <v>1168</v>
      </c>
      <c r="F559" s="27" t="n">
        <v>903</v>
      </c>
      <c r="G559" s="2" t="s">
        <v>51</v>
      </c>
      <c r="H559" s="2" t="s">
        <v>58</v>
      </c>
      <c r="I559" s="2" t="s">
        <v>151</v>
      </c>
      <c r="J559" s="2" t="s">
        <v>145</v>
      </c>
      <c r="K559" s="2" t="n">
        <v>4</v>
      </c>
      <c r="L559" s="28" t="n">
        <v>25</v>
      </c>
      <c r="M559" s="29" t="n">
        <v>0.0675</v>
      </c>
      <c r="N559" s="28" t="n">
        <v>1.6875</v>
      </c>
      <c r="O559" s="28" t="n">
        <v>24.17</v>
      </c>
      <c r="P559" s="2" t="s">
        <v>146</v>
      </c>
      <c r="Q559" s="29" t="n">
        <v>0.1</v>
      </c>
      <c r="R559" s="30" t="n">
        <v>0.095</v>
      </c>
      <c r="S559" s="31" t="n">
        <v>17.7631578947368</v>
      </c>
      <c r="T559" s="30" t="n">
        <v>-0.265074145852841</v>
      </c>
      <c r="U559" s="30" t="n">
        <v>-0.195256189708861</v>
      </c>
      <c r="V559" s="29" t="n">
        <v>0</v>
      </c>
      <c r="W559" s="29" t="n">
        <f aca="false">IF(N(Q559)=0,"",Q559+IF(I559="yes",Q559*Inputs!$B$10*Inputs!$B$9,0)+V559)</f>
        <v>0.095</v>
      </c>
      <c r="X559" s="28" t="n">
        <f aca="false">IF(OR(N(W559)&lt;=0,N(N559)=0,N(L559)=0),"",MIN(L559,N559/W559))</f>
        <v>17.7631578947368</v>
      </c>
      <c r="Y559" s="29" t="n">
        <f aca="false">IF(OR(X559="",N(O559)=0),"",X559/O559-1)</f>
        <v>-0.265074145852841</v>
      </c>
      <c r="Z559" s="29" t="n">
        <f aca="false">IF(OR(Y559="",N(O559)=0),"",Y559+N559/O559)</f>
        <v>-0.195256189708861</v>
      </c>
      <c r="AA559" s="32" t="n">
        <f aca="false">IF(OR(Z559="",N(U559)=0),"",Z559-U559)</f>
        <v>0</v>
      </c>
      <c r="AB559" s="29" t="n">
        <f aca="false">IF(N(Q559)=0,"",Q559+IF(I559="yes",Q559*Inputs!$B$10*Inputs!$B$9,0)+IFERROR(INDEX(Inputs!$B$13:$B$15,MATCH(G559,Inputs!$A$13:$A$15,0)),0)+IFERROR(INDEX(Inputs!$B$18:$B$24,MATCH(H559,Inputs!$A$18:$A$24,0)),0))</f>
        <v>0.095</v>
      </c>
      <c r="AC559" s="28" t="n">
        <f aca="false">IF(OR(N(AB559)&lt;=0,N(N559)=0,N(L559)=0),"",MIN(L559,N559/AB559))</f>
        <v>17.7631578947368</v>
      </c>
      <c r="AD559" s="29" t="n">
        <f aca="false">IF(OR(AC559="",N(O559)=0),"",AC559/O559-1)</f>
        <v>-0.265074145852841</v>
      </c>
      <c r="AE559" s="29" t="n">
        <f aca="false">IF(OR(AD559="",N(O559)=0),"",AD559+N559/O559)</f>
        <v>-0.195256189708861</v>
      </c>
      <c r="AF559" s="32" t="n">
        <f aca="false">IF(OR(AE559="",N(Z559)=0),"",AE559-Z559)</f>
        <v>0</v>
      </c>
      <c r="AG559" s="28" t="n">
        <f aca="false">IF(AND(N(M559)&gt;0,N(L559)&gt;0),M559*L559,N559)</f>
        <v>1.6875</v>
      </c>
      <c r="AH559" s="28" t="n">
        <f aca="false">IF(OR(N(AB559)&lt;=0,N(AG559)=0,N(L559)=0),"",MIN(L559,AG559/AB559))</f>
        <v>17.7631578947368</v>
      </c>
      <c r="AI559" s="29" t="n">
        <f aca="false">IF(OR(AH559="",N(O559)=0),"",AH559/O559-1)</f>
        <v>-0.265074145852841</v>
      </c>
      <c r="AJ559" s="29" t="n">
        <f aca="false">IF(OR(AI559="",N(O559)=0),"",AI559+AG559/O559)</f>
        <v>-0.195256189708861</v>
      </c>
      <c r="AK559" s="32" t="n">
        <f aca="false">IF(OR(AJ559="",N(AE559)=0),"",AJ559-AE559)</f>
        <v>0</v>
      </c>
      <c r="AL559" s="33" t="n">
        <f aca="false">IF(N(F559)=0,"",INDEX(Inputs!$B$28:$B$32,IFERROR(MATCH(F559,Inputs!$A$28:$A$32,1),0)+1))</f>
        <v>0.09</v>
      </c>
      <c r="AM559" s="34"/>
      <c r="AN559" s="33" t="n">
        <f aca="false">IF(N(AM559)&gt;0,AM559,AL559)</f>
        <v>0.09</v>
      </c>
      <c r="AO559" s="29" t="n">
        <f aca="false">IF(N(AN559)=0,"",AN559+IF(I559="yes",AN559*Inputs!$B$10*Inputs!$B$9,0)+IFERROR(INDEX(Inputs!$B$13:$B$15,MATCH(G559,Inputs!$A$13:$A$15,0)),0)+IFERROR(INDEX(Inputs!$B$18:$B$24,MATCH(H559,Inputs!$A$18:$A$24,0)),0))</f>
        <v>0.0855</v>
      </c>
      <c r="AP559" s="28" t="n">
        <f aca="false">IF(OR(N(AO559)&lt;=0,N(AG559)=0,N(L559)=0),"",MIN(L559,AG559/AO559))</f>
        <v>19.7368421052632</v>
      </c>
      <c r="AQ559" s="29" t="n">
        <f aca="false">IF(OR(AP559="",N(O559)=0),"",AP559/O559-1)</f>
        <v>-0.183415717614267</v>
      </c>
      <c r="AR559" s="29" t="n">
        <f aca="false">IF(OR(AQ559="",N(O559)=0),"",AQ559+AG559/O559)</f>
        <v>-0.113597761470287</v>
      </c>
      <c r="AS559" s="32" t="n">
        <f aca="false">IF(OR(AR559="",N(AJ559)=0),"",AR559-AJ559)</f>
        <v>0.0816584282385733</v>
      </c>
      <c r="AT559" s="28" t="n">
        <v>25</v>
      </c>
      <c r="AU559" s="28" t="n">
        <v>1.6875</v>
      </c>
      <c r="AV559" s="28" t="n">
        <f aca="false">IF(N(AT559)&gt;0,AT559,L559)</f>
        <v>25</v>
      </c>
      <c r="AW559" s="28" t="n">
        <f aca="false">IF(AND(N(M559)&gt;0,N(AV559)&gt;0),M559*AV559,IF(N(AU559)&gt;0,AU559,N559))</f>
        <v>1.6875</v>
      </c>
      <c r="AX559" s="29" t="n">
        <f aca="false">IF(N(AN559)=0,"",AN559+IF(I559="yes",AN559*Inputs!$B$10*Inputs!$B$9,0)+IFERROR(INDEX(Inputs!$B$13:$B$15,MATCH(G559,Inputs!$A$13:$A$15,0)),0)+IFERROR(INDEX(Inputs!$B$18:$B$24,MATCH(H559,Inputs!$A$18:$A$24,0)),0))</f>
        <v>0.0855</v>
      </c>
      <c r="AY559" s="28" t="n">
        <f aca="false">IF(OR(N(AX559)&lt;=0,N(AW559)=0,N(AV559)=0),"",MIN(AV559,AW559/AX559))</f>
        <v>19.7368421052632</v>
      </c>
      <c r="AZ559" s="29" t="n">
        <f aca="false">IF(OR(AY559="",N(O559)=0),"",AY559/O559-1)</f>
        <v>-0.183415717614267</v>
      </c>
      <c r="BA559" s="29" t="n">
        <f aca="false">IF(OR(AZ559="",N(O559)=0),"",AZ559+AW559/O559)</f>
        <v>-0.113597761470287</v>
      </c>
      <c r="BB559" s="32" t="n">
        <f aca="false">IF(OR(BA559="",N(AR559)=0),"",BA559-AR559)</f>
        <v>0</v>
      </c>
      <c r="BC559" s="35" t="n">
        <f aca="false">IF(OR(BA559="",N(U559)=0),"",BA559-U559)</f>
        <v>0.0816584282385733</v>
      </c>
      <c r="BD559" s="37"/>
    </row>
    <row r="560" customFormat="false" ht="15" hidden="false" customHeight="false" outlineLevel="0" collapsed="false">
      <c r="A560" s="2" t="s">
        <v>1067</v>
      </c>
      <c r="B560" s="2" t="n">
        <v>130</v>
      </c>
      <c r="C560" s="2" t="s">
        <v>1169</v>
      </c>
      <c r="D560" s="2" t="s">
        <v>1167</v>
      </c>
      <c r="E560" s="2" t="s">
        <v>1168</v>
      </c>
      <c r="F560" s="27" t="n">
        <v>903</v>
      </c>
      <c r="G560" s="2" t="s">
        <v>51</v>
      </c>
      <c r="H560" s="2" t="s">
        <v>58</v>
      </c>
      <c r="I560" s="2" t="s">
        <v>151</v>
      </c>
      <c r="J560" s="2" t="s">
        <v>168</v>
      </c>
      <c r="K560" s="2" t="n">
        <v>12</v>
      </c>
      <c r="L560" s="28" t="n">
        <v>25</v>
      </c>
      <c r="M560" s="29" t="n">
        <v>0.0675</v>
      </c>
      <c r="N560" s="28" t="n">
        <v>1.6875</v>
      </c>
      <c r="O560" s="28" t="n">
        <v>25.18</v>
      </c>
      <c r="P560" s="2" t="s">
        <v>146</v>
      </c>
      <c r="Q560" s="29" t="n">
        <v>0.1</v>
      </c>
      <c r="R560" s="30" t="n">
        <v>0.095</v>
      </c>
      <c r="S560" s="31" t="n">
        <v>17.7631578947368</v>
      </c>
      <c r="T560" s="30" t="n">
        <v>-0.294552903306718</v>
      </c>
      <c r="U560" s="30" t="n">
        <v>-0.227535429120856</v>
      </c>
      <c r="V560" s="29" t="n">
        <v>0</v>
      </c>
      <c r="W560" s="29" t="n">
        <f aca="false">IF(N(Q560)=0,"",Q560+IF(I560="yes",Q560*Inputs!$B$10*Inputs!$B$9,0)+V560)</f>
        <v>0.095</v>
      </c>
      <c r="X560" s="28" t="n">
        <f aca="false">IF(OR(N(W560)&lt;=0,N(N560)=0,N(L560)=0),"",MIN(L560,N560/W560))</f>
        <v>17.7631578947368</v>
      </c>
      <c r="Y560" s="29" t="n">
        <f aca="false">IF(OR(X560="",N(O560)=0),"",X560/O560-1)</f>
        <v>-0.294552903306718</v>
      </c>
      <c r="Z560" s="29" t="n">
        <f aca="false">IF(OR(Y560="",N(O560)=0),"",Y560+N560/O560)</f>
        <v>-0.227535429120856</v>
      </c>
      <c r="AA560" s="32" t="n">
        <f aca="false">IF(OR(Z560="",N(U560)=0),"",Z560-U560)</f>
        <v>0</v>
      </c>
      <c r="AB560" s="29" t="n">
        <f aca="false">IF(N(Q560)=0,"",Q560+IF(I560="yes",Q560*Inputs!$B$10*Inputs!$B$9,0)+IFERROR(INDEX(Inputs!$B$13:$B$15,MATCH(G560,Inputs!$A$13:$A$15,0)),0)+IFERROR(INDEX(Inputs!$B$18:$B$24,MATCH(H560,Inputs!$A$18:$A$24,0)),0))</f>
        <v>0.095</v>
      </c>
      <c r="AC560" s="28" t="n">
        <f aca="false">IF(OR(N(AB560)&lt;=0,N(N560)=0,N(L560)=0),"",MIN(L560,N560/AB560))</f>
        <v>17.7631578947368</v>
      </c>
      <c r="AD560" s="29" t="n">
        <f aca="false">IF(OR(AC560="",N(O560)=0),"",AC560/O560-1)</f>
        <v>-0.294552903306718</v>
      </c>
      <c r="AE560" s="29" t="n">
        <f aca="false">IF(OR(AD560="",N(O560)=0),"",AD560+N560/O560)</f>
        <v>-0.227535429120856</v>
      </c>
      <c r="AF560" s="32" t="n">
        <f aca="false">IF(OR(AE560="",N(Z560)=0),"",AE560-Z560)</f>
        <v>0</v>
      </c>
      <c r="AG560" s="28" t="n">
        <f aca="false">IF(AND(N(M560)&gt;0,N(L560)&gt;0),M560*L560,N560)</f>
        <v>1.6875</v>
      </c>
      <c r="AH560" s="28" t="n">
        <f aca="false">IF(OR(N(AB560)&lt;=0,N(AG560)=0,N(L560)=0),"",MIN(L560,AG560/AB560))</f>
        <v>17.7631578947368</v>
      </c>
      <c r="AI560" s="29" t="n">
        <f aca="false">IF(OR(AH560="",N(O560)=0),"",AH560/O560-1)</f>
        <v>-0.294552903306718</v>
      </c>
      <c r="AJ560" s="29" t="n">
        <f aca="false">IF(OR(AI560="",N(O560)=0),"",AI560+AG560/O560)</f>
        <v>-0.227535429120856</v>
      </c>
      <c r="AK560" s="32" t="n">
        <f aca="false">IF(OR(AJ560="",N(AE560)=0),"",AJ560-AE560)</f>
        <v>0</v>
      </c>
      <c r="AL560" s="33" t="n">
        <f aca="false">IF(N(F560)=0,"",INDEX(Inputs!$B$28:$B$32,IFERROR(MATCH(F560,Inputs!$A$28:$A$32,1),0)+1))</f>
        <v>0.09</v>
      </c>
      <c r="AM560" s="34"/>
      <c r="AN560" s="33" t="n">
        <f aca="false">IF(N(AM560)&gt;0,AM560,AL560)</f>
        <v>0.09</v>
      </c>
      <c r="AO560" s="29" t="n">
        <f aca="false">IF(N(AN560)=0,"",AN560+IF(I560="yes",AN560*Inputs!$B$10*Inputs!$B$9,0)+IFERROR(INDEX(Inputs!$B$13:$B$15,MATCH(G560,Inputs!$A$13:$A$15,0)),0)+IFERROR(INDEX(Inputs!$B$18:$B$24,MATCH(H560,Inputs!$A$18:$A$24,0)),0))</f>
        <v>0.0855</v>
      </c>
      <c r="AP560" s="28" t="n">
        <f aca="false">IF(OR(N(AO560)&lt;=0,N(AG560)=0,N(L560)=0),"",MIN(L560,AG560/AO560))</f>
        <v>19.7368421052632</v>
      </c>
      <c r="AQ560" s="29" t="n">
        <f aca="false">IF(OR(AP560="",N(O560)=0),"",AP560/O560-1)</f>
        <v>-0.21616989256302</v>
      </c>
      <c r="AR560" s="29" t="n">
        <f aca="false">IF(OR(AQ560="",N(O560)=0),"",AQ560+AG560/O560)</f>
        <v>-0.149152418377158</v>
      </c>
      <c r="AS560" s="32" t="n">
        <f aca="false">IF(OR(AR560="",N(AJ560)=0),"",AR560-AJ560)</f>
        <v>0.0783830107436981</v>
      </c>
      <c r="AT560" s="28" t="n">
        <v>25</v>
      </c>
      <c r="AU560" s="28" t="n">
        <v>206.25</v>
      </c>
      <c r="AV560" s="28" t="n">
        <f aca="false">IF(N(AT560)&gt;0,AT560,L560)</f>
        <v>25</v>
      </c>
      <c r="AW560" s="28" t="n">
        <f aca="false">IF(AND(N(M560)&gt;0,N(AV560)&gt;0),M560*AV560,IF(N(AU560)&gt;0,AU560,N560))</f>
        <v>1.6875</v>
      </c>
      <c r="AX560" s="29" t="n">
        <f aca="false">IF(N(AN560)=0,"",AN560+IF(I560="yes",AN560*Inputs!$B$10*Inputs!$B$9,0)+IFERROR(INDEX(Inputs!$B$13:$B$15,MATCH(G560,Inputs!$A$13:$A$15,0)),0)+IFERROR(INDEX(Inputs!$B$18:$B$24,MATCH(H560,Inputs!$A$18:$A$24,0)),0))</f>
        <v>0.0855</v>
      </c>
      <c r="AY560" s="28" t="n">
        <f aca="false">IF(OR(N(AX560)&lt;=0,N(AW560)=0,N(AV560)=0),"",MIN(AV560,AW560/AX560))</f>
        <v>19.7368421052632</v>
      </c>
      <c r="AZ560" s="29" t="n">
        <f aca="false">IF(OR(AY560="",N(O560)=0),"",AY560/O560-1)</f>
        <v>-0.21616989256302</v>
      </c>
      <c r="BA560" s="29" t="n">
        <f aca="false">IF(OR(AZ560="",N(O560)=0),"",AZ560+AW560/O560)</f>
        <v>-0.149152418377158</v>
      </c>
      <c r="BB560" s="32" t="n">
        <f aca="false">IF(OR(BA560="",N(AR560)=0),"",BA560-AR560)</f>
        <v>0</v>
      </c>
      <c r="BC560" s="35" t="n">
        <f aca="false">IF(OR(BA560="",N(U560)=0),"",BA560-U560)</f>
        <v>0.0783830107436981</v>
      </c>
      <c r="BD560" s="37"/>
    </row>
    <row r="561" customFormat="false" ht="15" hidden="false" customHeight="false" outlineLevel="0" collapsed="false">
      <c r="A561" s="2" t="s">
        <v>1067</v>
      </c>
      <c r="B561" s="2" t="n">
        <v>131</v>
      </c>
      <c r="C561" s="2" t="s">
        <v>1170</v>
      </c>
      <c r="D561" s="2" t="s">
        <v>1167</v>
      </c>
      <c r="E561" s="2" t="s">
        <v>1168</v>
      </c>
      <c r="F561" s="27" t="n">
        <v>903</v>
      </c>
      <c r="G561" s="2" t="s">
        <v>51</v>
      </c>
      <c r="H561" s="2" t="s">
        <v>58</v>
      </c>
      <c r="I561" s="2" t="s">
        <v>151</v>
      </c>
      <c r="J561" s="2" t="s">
        <v>168</v>
      </c>
      <c r="K561" s="2" t="n">
        <v>12</v>
      </c>
      <c r="L561" s="28" t="n">
        <v>25</v>
      </c>
      <c r="M561" s="29" t="n">
        <v>0.07125</v>
      </c>
      <c r="N561" s="28" t="n">
        <v>1.78125</v>
      </c>
      <c r="O561" s="28" t="n">
        <v>24.7</v>
      </c>
      <c r="P561" s="2" t="s">
        <v>223</v>
      </c>
      <c r="Q561" s="29" t="n">
        <v>0.1</v>
      </c>
      <c r="R561" s="30" t="n">
        <v>0.1</v>
      </c>
      <c r="S561" s="31" t="n">
        <v>17.8125</v>
      </c>
      <c r="T561" s="30" t="n">
        <v>-0.278846153846154</v>
      </c>
      <c r="U561" s="30" t="n">
        <v>-0.206730769230769</v>
      </c>
      <c r="V561" s="29" t="n">
        <v>0</v>
      </c>
      <c r="W561" s="29" t="n">
        <f aca="false">IF(N(Q561)=0,"",Q561+IF(I561="yes",Q561*Inputs!$B$10*Inputs!$B$9,0)+V561)</f>
        <v>0.095</v>
      </c>
      <c r="X561" s="28" t="n">
        <f aca="false">IF(OR(N(W561)&lt;=0,N(N561)=0,N(L561)=0),"",MIN(L561,N561/W561))</f>
        <v>18.75</v>
      </c>
      <c r="Y561" s="29" t="n">
        <f aca="false">IF(OR(X561="",N(O561)=0),"",X561/O561-1)</f>
        <v>-0.240890688259109</v>
      </c>
      <c r="Z561" s="29" t="n">
        <f aca="false">IF(OR(Y561="",N(O561)=0),"",Y561+N561/O561)</f>
        <v>-0.168775303643725</v>
      </c>
      <c r="AA561" s="32" t="n">
        <f aca="false">IF(OR(Z561="",N(U561)=0),"",Z561-U561)</f>
        <v>0.0379554655870447</v>
      </c>
      <c r="AB561" s="29" t="n">
        <f aca="false">IF(N(Q561)=0,"",Q561+IF(I561="yes",Q561*Inputs!$B$10*Inputs!$B$9,0)+IFERROR(INDEX(Inputs!$B$13:$B$15,MATCH(G561,Inputs!$A$13:$A$15,0)),0)+IFERROR(INDEX(Inputs!$B$18:$B$24,MATCH(H561,Inputs!$A$18:$A$24,0)),0))</f>
        <v>0.095</v>
      </c>
      <c r="AC561" s="28" t="n">
        <f aca="false">IF(OR(N(AB561)&lt;=0,N(N561)=0,N(L561)=0),"",MIN(L561,N561/AB561))</f>
        <v>18.75</v>
      </c>
      <c r="AD561" s="29" t="n">
        <f aca="false">IF(OR(AC561="",N(O561)=0),"",AC561/O561-1)</f>
        <v>-0.240890688259109</v>
      </c>
      <c r="AE561" s="29" t="n">
        <f aca="false">IF(OR(AD561="",N(O561)=0),"",AD561+N561/O561)</f>
        <v>-0.168775303643725</v>
      </c>
      <c r="AF561" s="32" t="n">
        <f aca="false">IF(OR(AE561="",N(Z561)=0),"",AE561-Z561)</f>
        <v>0</v>
      </c>
      <c r="AG561" s="28" t="n">
        <f aca="false">IF(AND(N(M561)&gt;0,N(L561)&gt;0),M561*L561,N561)</f>
        <v>1.78125</v>
      </c>
      <c r="AH561" s="28" t="n">
        <f aca="false">IF(OR(N(AB561)&lt;=0,N(AG561)=0,N(L561)=0),"",MIN(L561,AG561/AB561))</f>
        <v>18.75</v>
      </c>
      <c r="AI561" s="29" t="n">
        <f aca="false">IF(OR(AH561="",N(O561)=0),"",AH561/O561-1)</f>
        <v>-0.240890688259109</v>
      </c>
      <c r="AJ561" s="29" t="n">
        <f aca="false">IF(OR(AI561="",N(O561)=0),"",AI561+AG561/O561)</f>
        <v>-0.168775303643725</v>
      </c>
      <c r="AK561" s="32" t="n">
        <f aca="false">IF(OR(AJ561="",N(AE561)=0),"",AJ561-AE561)</f>
        <v>0</v>
      </c>
      <c r="AL561" s="33" t="n">
        <f aca="false">IF(N(F561)=0,"",INDEX(Inputs!$B$28:$B$32,IFERROR(MATCH(F561,Inputs!$A$28:$A$32,1),0)+1))</f>
        <v>0.09</v>
      </c>
      <c r="AM561" s="34"/>
      <c r="AN561" s="33" t="n">
        <f aca="false">IF(N(AM561)&gt;0,AM561,AL561)</f>
        <v>0.09</v>
      </c>
      <c r="AO561" s="29" t="n">
        <f aca="false">IF(N(AN561)=0,"",AN561+IF(I561="yes",AN561*Inputs!$B$10*Inputs!$B$9,0)+IFERROR(INDEX(Inputs!$B$13:$B$15,MATCH(G561,Inputs!$A$13:$A$15,0)),0)+IFERROR(INDEX(Inputs!$B$18:$B$24,MATCH(H561,Inputs!$A$18:$A$24,0)),0))</f>
        <v>0.0855</v>
      </c>
      <c r="AP561" s="28" t="n">
        <f aca="false">IF(OR(N(AO561)&lt;=0,N(AG561)=0,N(L561)=0),"",MIN(L561,AG561/AO561))</f>
        <v>20.8333333333333</v>
      </c>
      <c r="AQ561" s="29" t="n">
        <f aca="false">IF(OR(AP561="",N(O561)=0),"",AP561/O561-1)</f>
        <v>-0.156545209176788</v>
      </c>
      <c r="AR561" s="29" t="n">
        <f aca="false">IF(OR(AQ561="",N(O561)=0),"",AQ561+AG561/O561)</f>
        <v>-0.0844298245614036</v>
      </c>
      <c r="AS561" s="32" t="n">
        <f aca="false">IF(OR(AR561="",N(AJ561)=0),"",AR561-AJ561)</f>
        <v>0.0843454790823213</v>
      </c>
      <c r="AT561" s="28" t="n">
        <v>25</v>
      </c>
      <c r="AU561" s="28" t="n">
        <v>1.78125</v>
      </c>
      <c r="AV561" s="28" t="n">
        <f aca="false">IF(N(AT561)&gt;0,AT561,L561)</f>
        <v>25</v>
      </c>
      <c r="AW561" s="28" t="n">
        <f aca="false">IF(AND(N(M561)&gt;0,N(AV561)&gt;0),M561*AV561,IF(N(AU561)&gt;0,AU561,N561))</f>
        <v>1.78125</v>
      </c>
      <c r="AX561" s="29" t="n">
        <f aca="false">IF(N(AN561)=0,"",AN561+IF(I561="yes",AN561*Inputs!$B$10*Inputs!$B$9,0)+IFERROR(INDEX(Inputs!$B$13:$B$15,MATCH(G561,Inputs!$A$13:$A$15,0)),0)+IFERROR(INDEX(Inputs!$B$18:$B$24,MATCH(H561,Inputs!$A$18:$A$24,0)),0))</f>
        <v>0.0855</v>
      </c>
      <c r="AY561" s="28" t="n">
        <f aca="false">IF(OR(N(AX561)&lt;=0,N(AW561)=0,N(AV561)=0),"",MIN(AV561,AW561/AX561))</f>
        <v>20.8333333333333</v>
      </c>
      <c r="AZ561" s="29" t="n">
        <f aca="false">IF(OR(AY561="",N(O561)=0),"",AY561/O561-1)</f>
        <v>-0.156545209176788</v>
      </c>
      <c r="BA561" s="29" t="n">
        <f aca="false">IF(OR(AZ561="",N(O561)=0),"",AZ561+AW561/O561)</f>
        <v>-0.0844298245614036</v>
      </c>
      <c r="BB561" s="32" t="n">
        <f aca="false">IF(OR(BA561="",N(AR561)=0),"",BA561-AR561)</f>
        <v>0</v>
      </c>
      <c r="BC561" s="35" t="n">
        <f aca="false">IF(OR(BA561="",N(U561)=0),"",BA561-U561)</f>
        <v>0.122300944669366</v>
      </c>
      <c r="BD561" s="36" t="s">
        <v>224</v>
      </c>
    </row>
    <row r="562" customFormat="false" ht="15" hidden="false" customHeight="false" outlineLevel="0" collapsed="false">
      <c r="A562" s="2" t="s">
        <v>1067</v>
      </c>
      <c r="B562" s="2" t="n">
        <v>132</v>
      </c>
      <c r="C562" s="2" t="s">
        <v>1171</v>
      </c>
      <c r="D562" s="2" t="s">
        <v>1167</v>
      </c>
      <c r="E562" s="2" t="s">
        <v>1168</v>
      </c>
      <c r="F562" s="27" t="n">
        <v>903</v>
      </c>
      <c r="G562" s="2" t="s">
        <v>51</v>
      </c>
      <c r="H562" s="2" t="s">
        <v>58</v>
      </c>
      <c r="I562" s="2" t="s">
        <v>151</v>
      </c>
      <c r="J562" s="2" t="s">
        <v>168</v>
      </c>
      <c r="K562" s="2" t="n">
        <v>12</v>
      </c>
      <c r="L562" s="28" t="n">
        <v>25</v>
      </c>
      <c r="M562" s="29" t="n">
        <v>0.06</v>
      </c>
      <c r="N562" s="28" t="n">
        <v>1.5</v>
      </c>
      <c r="O562" s="28" t="n">
        <v>24</v>
      </c>
      <c r="P562" s="2" t="s">
        <v>146</v>
      </c>
      <c r="Q562" s="29" t="n">
        <v>0.1</v>
      </c>
      <c r="R562" s="30" t="n">
        <v>0.095</v>
      </c>
      <c r="S562" s="31" t="n">
        <v>15.7894736842105</v>
      </c>
      <c r="T562" s="30" t="n">
        <v>-0.342105263157895</v>
      </c>
      <c r="U562" s="30" t="n">
        <v>-0.279605263157895</v>
      </c>
      <c r="V562" s="29" t="n">
        <v>0</v>
      </c>
      <c r="W562" s="29" t="n">
        <f aca="false">IF(N(Q562)=0,"",Q562+IF(I562="yes",Q562*Inputs!$B$10*Inputs!$B$9,0)+V562)</f>
        <v>0.095</v>
      </c>
      <c r="X562" s="28" t="n">
        <f aca="false">IF(OR(N(W562)&lt;=0,N(N562)=0,N(L562)=0),"",MIN(L562,N562/W562))</f>
        <v>15.7894736842105</v>
      </c>
      <c r="Y562" s="29" t="n">
        <f aca="false">IF(OR(X562="",N(O562)=0),"",X562/O562-1)</f>
        <v>-0.342105263157895</v>
      </c>
      <c r="Z562" s="29" t="n">
        <f aca="false">IF(OR(Y562="",N(O562)=0),"",Y562+N562/O562)</f>
        <v>-0.279605263157895</v>
      </c>
      <c r="AA562" s="32" t="n">
        <f aca="false">IF(OR(Z562="",N(U562)=0),"",Z562-U562)</f>
        <v>0</v>
      </c>
      <c r="AB562" s="29" t="n">
        <f aca="false">IF(N(Q562)=0,"",Q562+IF(I562="yes",Q562*Inputs!$B$10*Inputs!$B$9,0)+IFERROR(INDEX(Inputs!$B$13:$B$15,MATCH(G562,Inputs!$A$13:$A$15,0)),0)+IFERROR(INDEX(Inputs!$B$18:$B$24,MATCH(H562,Inputs!$A$18:$A$24,0)),0))</f>
        <v>0.095</v>
      </c>
      <c r="AC562" s="28" t="n">
        <f aca="false">IF(OR(N(AB562)&lt;=0,N(N562)=0,N(L562)=0),"",MIN(L562,N562/AB562))</f>
        <v>15.7894736842105</v>
      </c>
      <c r="AD562" s="29" t="n">
        <f aca="false">IF(OR(AC562="",N(O562)=0),"",AC562/O562-1)</f>
        <v>-0.342105263157895</v>
      </c>
      <c r="AE562" s="29" t="n">
        <f aca="false">IF(OR(AD562="",N(O562)=0),"",AD562+N562/O562)</f>
        <v>-0.279605263157895</v>
      </c>
      <c r="AF562" s="32" t="n">
        <f aca="false">IF(OR(AE562="",N(Z562)=0),"",AE562-Z562)</f>
        <v>0</v>
      </c>
      <c r="AG562" s="28" t="n">
        <f aca="false">IF(AND(N(M562)&gt;0,N(L562)&gt;0),M562*L562,N562)</f>
        <v>1.5</v>
      </c>
      <c r="AH562" s="28" t="n">
        <f aca="false">IF(OR(N(AB562)&lt;=0,N(AG562)=0,N(L562)=0),"",MIN(L562,AG562/AB562))</f>
        <v>15.7894736842105</v>
      </c>
      <c r="AI562" s="29" t="n">
        <f aca="false">IF(OR(AH562="",N(O562)=0),"",AH562/O562-1)</f>
        <v>-0.342105263157895</v>
      </c>
      <c r="AJ562" s="29" t="n">
        <f aca="false">IF(OR(AI562="",N(O562)=0),"",AI562+AG562/O562)</f>
        <v>-0.279605263157895</v>
      </c>
      <c r="AK562" s="32" t="n">
        <f aca="false">IF(OR(AJ562="",N(AE562)=0),"",AJ562-AE562)</f>
        <v>0</v>
      </c>
      <c r="AL562" s="33" t="n">
        <f aca="false">IF(N(F562)=0,"",INDEX(Inputs!$B$28:$B$32,IFERROR(MATCH(F562,Inputs!$A$28:$A$32,1),0)+1))</f>
        <v>0.09</v>
      </c>
      <c r="AM562" s="34"/>
      <c r="AN562" s="33" t="n">
        <f aca="false">IF(N(AM562)&gt;0,AM562,AL562)</f>
        <v>0.09</v>
      </c>
      <c r="AO562" s="29" t="n">
        <f aca="false">IF(N(AN562)=0,"",AN562+IF(I562="yes",AN562*Inputs!$B$10*Inputs!$B$9,0)+IFERROR(INDEX(Inputs!$B$13:$B$15,MATCH(G562,Inputs!$A$13:$A$15,0)),0)+IFERROR(INDEX(Inputs!$B$18:$B$24,MATCH(H562,Inputs!$A$18:$A$24,0)),0))</f>
        <v>0.0855</v>
      </c>
      <c r="AP562" s="28" t="n">
        <f aca="false">IF(OR(N(AO562)&lt;=0,N(AG562)=0,N(L562)=0),"",MIN(L562,AG562/AO562))</f>
        <v>17.5438596491228</v>
      </c>
      <c r="AQ562" s="29" t="n">
        <f aca="false">IF(OR(AP562="",N(O562)=0),"",AP562/O562-1)</f>
        <v>-0.269005847953216</v>
      </c>
      <c r="AR562" s="29" t="n">
        <f aca="false">IF(OR(AQ562="",N(O562)=0),"",AQ562+AG562/O562)</f>
        <v>-0.206505847953216</v>
      </c>
      <c r="AS562" s="32" t="n">
        <f aca="false">IF(OR(AR562="",N(AJ562)=0),"",AR562-AJ562)</f>
        <v>0.0730994152046784</v>
      </c>
      <c r="AT562" s="28" t="n">
        <v>25</v>
      </c>
      <c r="AU562" s="28" t="n">
        <v>1.5</v>
      </c>
      <c r="AV562" s="28" t="n">
        <f aca="false">IF(N(AT562)&gt;0,AT562,L562)</f>
        <v>25</v>
      </c>
      <c r="AW562" s="28" t="n">
        <f aca="false">IF(AND(N(M562)&gt;0,N(AV562)&gt;0),M562*AV562,IF(N(AU562)&gt;0,AU562,N562))</f>
        <v>1.5</v>
      </c>
      <c r="AX562" s="29" t="n">
        <f aca="false">IF(N(AN562)=0,"",AN562+IF(I562="yes",AN562*Inputs!$B$10*Inputs!$B$9,0)+IFERROR(INDEX(Inputs!$B$13:$B$15,MATCH(G562,Inputs!$A$13:$A$15,0)),0)+IFERROR(INDEX(Inputs!$B$18:$B$24,MATCH(H562,Inputs!$A$18:$A$24,0)),0))</f>
        <v>0.0855</v>
      </c>
      <c r="AY562" s="28" t="n">
        <f aca="false">IF(OR(N(AX562)&lt;=0,N(AW562)=0,N(AV562)=0),"",MIN(AV562,AW562/AX562))</f>
        <v>17.5438596491228</v>
      </c>
      <c r="AZ562" s="29" t="n">
        <f aca="false">IF(OR(AY562="",N(O562)=0),"",AY562/O562-1)</f>
        <v>-0.269005847953216</v>
      </c>
      <c r="BA562" s="29" t="n">
        <f aca="false">IF(OR(AZ562="",N(O562)=0),"",AZ562+AW562/O562)</f>
        <v>-0.206505847953216</v>
      </c>
      <c r="BB562" s="32" t="n">
        <f aca="false">IF(OR(BA562="",N(AR562)=0),"",BA562-AR562)</f>
        <v>0</v>
      </c>
      <c r="BC562" s="35" t="n">
        <f aca="false">IF(OR(BA562="",N(U562)=0),"",BA562-U562)</f>
        <v>0.0730994152046784</v>
      </c>
      <c r="BD562" s="37"/>
    </row>
    <row r="563" customFormat="false" ht="15" hidden="false" customHeight="false" outlineLevel="0" collapsed="false">
      <c r="A563" s="2" t="s">
        <v>1067</v>
      </c>
      <c r="B563" s="2" t="n">
        <v>133</v>
      </c>
      <c r="C563" s="2" t="s">
        <v>1172</v>
      </c>
      <c r="D563" s="2" t="s">
        <v>1167</v>
      </c>
      <c r="E563" s="2" t="s">
        <v>1168</v>
      </c>
      <c r="F563" s="27" t="n">
        <v>903</v>
      </c>
      <c r="G563" s="2" t="s">
        <v>51</v>
      </c>
      <c r="H563" s="2" t="s">
        <v>58</v>
      </c>
      <c r="I563" s="2" t="s">
        <v>151</v>
      </c>
      <c r="J563" s="2" t="s">
        <v>168</v>
      </c>
      <c r="K563" s="2" t="n">
        <v>12</v>
      </c>
      <c r="L563" s="28" t="n">
        <v>25</v>
      </c>
      <c r="M563" s="29" t="n">
        <v>0.0625</v>
      </c>
      <c r="N563" s="28" t="n">
        <v>1.5625</v>
      </c>
      <c r="O563" s="28" t="n">
        <v>0</v>
      </c>
      <c r="P563" s="2" t="s">
        <v>146</v>
      </c>
      <c r="Q563" s="29" t="n">
        <v>0.1</v>
      </c>
      <c r="R563" s="30" t="n">
        <v>0.095</v>
      </c>
      <c r="S563" s="31" t="n">
        <v>16.4473684210526</v>
      </c>
      <c r="T563" s="30"/>
      <c r="U563" s="30"/>
      <c r="V563" s="29" t="n">
        <v>0</v>
      </c>
      <c r="W563" s="29" t="n">
        <f aca="false">IF(N(Q563)=0,"",Q563+IF(I563="yes",Q563*Inputs!$B$10*Inputs!$B$9,0)+V563)</f>
        <v>0.095</v>
      </c>
      <c r="X563" s="28" t="n">
        <f aca="false">IF(OR(N(W563)&lt;=0,N(N563)=0,N(L563)=0),"",MIN(L563,N563/W563))</f>
        <v>16.4473684210526</v>
      </c>
      <c r="Y563" s="29" t="str">
        <f aca="false">IF(OR(X563="",N(O563)=0),"",X563/O563-1)</f>
        <v/>
      </c>
      <c r="Z563" s="29" t="str">
        <f aca="false">IF(OR(Y563="",N(O563)=0),"",Y563+N563/O563)</f>
        <v/>
      </c>
      <c r="AA563" s="32" t="str">
        <f aca="false">IF(OR(Z563="",N(U563)=0),"",Z563-U563)</f>
        <v/>
      </c>
      <c r="AB563" s="29" t="n">
        <f aca="false">IF(N(Q563)=0,"",Q563+IF(I563="yes",Q563*Inputs!$B$10*Inputs!$B$9,0)+IFERROR(INDEX(Inputs!$B$13:$B$15,MATCH(G563,Inputs!$A$13:$A$15,0)),0)+IFERROR(INDEX(Inputs!$B$18:$B$24,MATCH(H563,Inputs!$A$18:$A$24,0)),0))</f>
        <v>0.095</v>
      </c>
      <c r="AC563" s="28" t="n">
        <f aca="false">IF(OR(N(AB563)&lt;=0,N(N563)=0,N(L563)=0),"",MIN(L563,N563/AB563))</f>
        <v>16.4473684210526</v>
      </c>
      <c r="AD563" s="29" t="str">
        <f aca="false">IF(OR(AC563="",N(O563)=0),"",AC563/O563-1)</f>
        <v/>
      </c>
      <c r="AE563" s="29" t="str">
        <f aca="false">IF(OR(AD563="",N(O563)=0),"",AD563+N563/O563)</f>
        <v/>
      </c>
      <c r="AF563" s="32" t="str">
        <f aca="false">IF(OR(AE563="",N(Z563)=0),"",AE563-Z563)</f>
        <v/>
      </c>
      <c r="AG563" s="28" t="n">
        <f aca="false">IF(AND(N(M563)&gt;0,N(L563)&gt;0),M563*L563,N563)</f>
        <v>1.5625</v>
      </c>
      <c r="AH563" s="28" t="n">
        <f aca="false">IF(OR(N(AB563)&lt;=0,N(AG563)=0,N(L563)=0),"",MIN(L563,AG563/AB563))</f>
        <v>16.4473684210526</v>
      </c>
      <c r="AI563" s="29" t="str">
        <f aca="false">IF(OR(AH563="",N(O563)=0),"",AH563/O563-1)</f>
        <v/>
      </c>
      <c r="AJ563" s="29" t="str">
        <f aca="false">IF(OR(AI563="",N(O563)=0),"",AI563+AG563/O563)</f>
        <v/>
      </c>
      <c r="AK563" s="32" t="str">
        <f aca="false">IF(OR(AJ563="",N(AE563)=0),"",AJ563-AE563)</f>
        <v/>
      </c>
      <c r="AL563" s="33" t="n">
        <f aca="false">IF(N(F563)=0,"",INDEX(Inputs!$B$28:$B$32,IFERROR(MATCH(F563,Inputs!$A$28:$A$32,1),0)+1))</f>
        <v>0.09</v>
      </c>
      <c r="AM563" s="34"/>
      <c r="AN563" s="33" t="n">
        <f aca="false">IF(N(AM563)&gt;0,AM563,AL563)</f>
        <v>0.09</v>
      </c>
      <c r="AO563" s="29" t="n">
        <f aca="false">IF(N(AN563)=0,"",AN563+IF(I563="yes",AN563*Inputs!$B$10*Inputs!$B$9,0)+IFERROR(INDEX(Inputs!$B$13:$B$15,MATCH(G563,Inputs!$A$13:$A$15,0)),0)+IFERROR(INDEX(Inputs!$B$18:$B$24,MATCH(H563,Inputs!$A$18:$A$24,0)),0))</f>
        <v>0.0855</v>
      </c>
      <c r="AP563" s="28" t="n">
        <f aca="false">IF(OR(N(AO563)&lt;=0,N(AG563)=0,N(L563)=0),"",MIN(L563,AG563/AO563))</f>
        <v>18.2748538011696</v>
      </c>
      <c r="AQ563" s="29" t="str">
        <f aca="false">IF(OR(AP563="",N(O563)=0),"",AP563/O563-1)</f>
        <v/>
      </c>
      <c r="AR563" s="29" t="str">
        <f aca="false">IF(OR(AQ563="",N(O563)=0),"",AQ563+AG563/O563)</f>
        <v/>
      </c>
      <c r="AS563" s="32" t="str">
        <f aca="false">IF(OR(AR563="",N(AJ563)=0),"",AR563-AJ563)</f>
        <v/>
      </c>
      <c r="AT563" s="28" t="n">
        <v>25</v>
      </c>
      <c r="AU563" s="28" t="n">
        <v>1.5625</v>
      </c>
      <c r="AV563" s="28" t="n">
        <f aca="false">IF(N(AT563)&gt;0,AT563,L563)</f>
        <v>25</v>
      </c>
      <c r="AW563" s="28" t="n">
        <f aca="false">IF(AND(N(M563)&gt;0,N(AV563)&gt;0),M563*AV563,IF(N(AU563)&gt;0,AU563,N563))</f>
        <v>1.5625</v>
      </c>
      <c r="AX563" s="29" t="n">
        <f aca="false">IF(N(AN563)=0,"",AN563+IF(I563="yes",AN563*Inputs!$B$10*Inputs!$B$9,0)+IFERROR(INDEX(Inputs!$B$13:$B$15,MATCH(G563,Inputs!$A$13:$A$15,0)),0)+IFERROR(INDEX(Inputs!$B$18:$B$24,MATCH(H563,Inputs!$A$18:$A$24,0)),0))</f>
        <v>0.0855</v>
      </c>
      <c r="AY563" s="28" t="n">
        <f aca="false">IF(OR(N(AX563)&lt;=0,N(AW563)=0,N(AV563)=0),"",MIN(AV563,AW563/AX563))</f>
        <v>18.2748538011696</v>
      </c>
      <c r="AZ563" s="29" t="str">
        <f aca="false">IF(OR(AY563="",N(O563)=0),"",AY563/O563-1)</f>
        <v/>
      </c>
      <c r="BA563" s="29" t="str">
        <f aca="false">IF(OR(AZ563="",N(O563)=0),"",AZ563+AW563/O563)</f>
        <v/>
      </c>
      <c r="BB563" s="32" t="str">
        <f aca="false">IF(OR(BA563="",N(AR563)=0),"",BA563-AR563)</f>
        <v/>
      </c>
      <c r="BC563" s="35" t="str">
        <f aca="false">IF(OR(BA563="",N(U563)=0),"",BA563-U563)</f>
        <v/>
      </c>
      <c r="BD563" s="36" t="s">
        <v>299</v>
      </c>
    </row>
    <row r="564" customFormat="false" ht="15" hidden="false" customHeight="false" outlineLevel="0" collapsed="false">
      <c r="A564" s="2" t="s">
        <v>1067</v>
      </c>
      <c r="B564" s="2" t="n">
        <v>134</v>
      </c>
      <c r="C564" s="2" t="s">
        <v>1173</v>
      </c>
      <c r="D564" s="2" t="s">
        <v>1167</v>
      </c>
      <c r="E564" s="2" t="s">
        <v>1168</v>
      </c>
      <c r="F564" s="27" t="n">
        <v>903</v>
      </c>
      <c r="G564" s="2" t="s">
        <v>51</v>
      </c>
      <c r="H564" s="2" t="s">
        <v>58</v>
      </c>
      <c r="I564" s="2" t="s">
        <v>144</v>
      </c>
      <c r="J564" s="2" t="s">
        <v>145</v>
      </c>
      <c r="K564" s="2" t="n">
        <v>4</v>
      </c>
      <c r="L564" s="28" t="n">
        <v>25</v>
      </c>
      <c r="M564" s="29" t="n">
        <v>0.05</v>
      </c>
      <c r="N564" s="28" t="n">
        <v>1.25</v>
      </c>
      <c r="O564" s="28" t="n">
        <v>24.99</v>
      </c>
      <c r="P564" s="2" t="s">
        <v>223</v>
      </c>
      <c r="Q564" s="29" t="n">
        <v>0.1</v>
      </c>
      <c r="R564" s="30" t="n">
        <v>0.1</v>
      </c>
      <c r="S564" s="31" t="n">
        <v>12.5</v>
      </c>
      <c r="T564" s="30" t="n">
        <v>-0.499799919967987</v>
      </c>
      <c r="U564" s="30" t="n">
        <v>-0.449779911964786</v>
      </c>
      <c r="V564" s="29" t="n">
        <v>0</v>
      </c>
      <c r="W564" s="29" t="n">
        <f aca="false">IF(N(Q564)=0,"",Q564+IF(I564="yes",Q564*Inputs!$B$10*Inputs!$B$9,0)+V564)</f>
        <v>0.1</v>
      </c>
      <c r="X564" s="28" t="n">
        <f aca="false">IF(OR(N(W564)&lt;=0,N(N564)=0,N(L564)=0),"",MIN(L564,N564/W564))</f>
        <v>12.5</v>
      </c>
      <c r="Y564" s="29" t="n">
        <f aca="false">IF(OR(X564="",N(O564)=0),"",X564/O564-1)</f>
        <v>-0.499799919967987</v>
      </c>
      <c r="Z564" s="29" t="n">
        <f aca="false">IF(OR(Y564="",N(O564)=0),"",Y564+N564/O564)</f>
        <v>-0.449779911964786</v>
      </c>
      <c r="AA564" s="32" t="n">
        <f aca="false">IF(OR(Z564="",N(U564)=0),"",Z564-U564)</f>
        <v>0</v>
      </c>
      <c r="AB564" s="29" t="n">
        <f aca="false">IF(N(Q564)=0,"",Q564+IF(I564="yes",Q564*Inputs!$B$10*Inputs!$B$9,0)+IFERROR(INDEX(Inputs!$B$13:$B$15,MATCH(G564,Inputs!$A$13:$A$15,0)),0)+IFERROR(INDEX(Inputs!$B$18:$B$24,MATCH(H564,Inputs!$A$18:$A$24,0)),0))</f>
        <v>0.1</v>
      </c>
      <c r="AC564" s="28" t="n">
        <f aca="false">IF(OR(N(AB564)&lt;=0,N(N564)=0,N(L564)=0),"",MIN(L564,N564/AB564))</f>
        <v>12.5</v>
      </c>
      <c r="AD564" s="29" t="n">
        <f aca="false">IF(OR(AC564="",N(O564)=0),"",AC564/O564-1)</f>
        <v>-0.499799919967987</v>
      </c>
      <c r="AE564" s="29" t="n">
        <f aca="false">IF(OR(AD564="",N(O564)=0),"",AD564+N564/O564)</f>
        <v>-0.449779911964786</v>
      </c>
      <c r="AF564" s="32" t="n">
        <f aca="false">IF(OR(AE564="",N(Z564)=0),"",AE564-Z564)</f>
        <v>0</v>
      </c>
      <c r="AG564" s="28" t="n">
        <f aca="false">IF(AND(N(M564)&gt;0,N(L564)&gt;0),M564*L564,N564)</f>
        <v>1.25</v>
      </c>
      <c r="AH564" s="28" t="n">
        <f aca="false">IF(OR(N(AB564)&lt;=0,N(AG564)=0,N(L564)=0),"",MIN(L564,AG564/AB564))</f>
        <v>12.5</v>
      </c>
      <c r="AI564" s="29" t="n">
        <f aca="false">IF(OR(AH564="",N(O564)=0),"",AH564/O564-1)</f>
        <v>-0.499799919967987</v>
      </c>
      <c r="AJ564" s="29" t="n">
        <f aca="false">IF(OR(AI564="",N(O564)=0),"",AI564+AG564/O564)</f>
        <v>-0.449779911964786</v>
      </c>
      <c r="AK564" s="32" t="n">
        <f aca="false">IF(OR(AJ564="",N(AE564)=0),"",AJ564-AE564)</f>
        <v>0</v>
      </c>
      <c r="AL564" s="33" t="n">
        <f aca="false">IF(N(F564)=0,"",INDEX(Inputs!$B$28:$B$32,IFERROR(MATCH(F564,Inputs!$A$28:$A$32,1),0)+1))</f>
        <v>0.09</v>
      </c>
      <c r="AM564" s="34"/>
      <c r="AN564" s="33" t="n">
        <f aca="false">IF(N(AM564)&gt;0,AM564,AL564)</f>
        <v>0.09</v>
      </c>
      <c r="AO564" s="29" t="n">
        <f aca="false">IF(N(AN564)=0,"",AN564+IF(I564="yes",AN564*Inputs!$B$10*Inputs!$B$9,0)+IFERROR(INDEX(Inputs!$B$13:$B$15,MATCH(G564,Inputs!$A$13:$A$15,0)),0)+IFERROR(INDEX(Inputs!$B$18:$B$24,MATCH(H564,Inputs!$A$18:$A$24,0)),0))</f>
        <v>0.09</v>
      </c>
      <c r="AP564" s="28" t="n">
        <f aca="false">IF(OR(N(AO564)&lt;=0,N(AG564)=0,N(L564)=0),"",MIN(L564,AG564/AO564))</f>
        <v>13.8888888888889</v>
      </c>
      <c r="AQ564" s="29" t="n">
        <f aca="false">IF(OR(AP564="",N(O564)=0),"",AP564/O564-1)</f>
        <v>-0.444222133297764</v>
      </c>
      <c r="AR564" s="29" t="n">
        <f aca="false">IF(OR(AQ564="",N(O564)=0),"",AQ564+AG564/O564)</f>
        <v>-0.394202125294562</v>
      </c>
      <c r="AS564" s="32" t="n">
        <f aca="false">IF(OR(AR564="",N(AJ564)=0),"",AR564-AJ564)</f>
        <v>0.0555777866702236</v>
      </c>
      <c r="AT564" s="28" t="n">
        <v>25</v>
      </c>
      <c r="AU564" s="28" t="n">
        <v>1.25</v>
      </c>
      <c r="AV564" s="28" t="n">
        <f aca="false">IF(N(AT564)&gt;0,AT564,L564)</f>
        <v>25</v>
      </c>
      <c r="AW564" s="28" t="n">
        <f aca="false">IF(AND(N(M564)&gt;0,N(AV564)&gt;0),M564*AV564,IF(N(AU564)&gt;0,AU564,N564))</f>
        <v>1.25</v>
      </c>
      <c r="AX564" s="29" t="n">
        <f aca="false">IF(N(AN564)=0,"",AN564+IF(I564="yes",AN564*Inputs!$B$10*Inputs!$B$9,0)+IFERROR(INDEX(Inputs!$B$13:$B$15,MATCH(G564,Inputs!$A$13:$A$15,0)),0)+IFERROR(INDEX(Inputs!$B$18:$B$24,MATCH(H564,Inputs!$A$18:$A$24,0)),0))</f>
        <v>0.09</v>
      </c>
      <c r="AY564" s="28" t="n">
        <f aca="false">IF(OR(N(AX564)&lt;=0,N(AW564)=0,N(AV564)=0),"",MIN(AV564,AW564/AX564))</f>
        <v>13.8888888888889</v>
      </c>
      <c r="AZ564" s="29" t="n">
        <f aca="false">IF(OR(AY564="",N(O564)=0),"",AY564/O564-1)</f>
        <v>-0.444222133297764</v>
      </c>
      <c r="BA564" s="29" t="n">
        <f aca="false">IF(OR(AZ564="",N(O564)=0),"",AZ564+AW564/O564)</f>
        <v>-0.394202125294562</v>
      </c>
      <c r="BB564" s="32" t="n">
        <f aca="false">IF(OR(BA564="",N(AR564)=0),"",BA564-AR564)</f>
        <v>0</v>
      </c>
      <c r="BC564" s="35" t="n">
        <f aca="false">IF(OR(BA564="",N(U564)=0),"",BA564-U564)</f>
        <v>0.0555777866702238</v>
      </c>
      <c r="BD564" s="36" t="s">
        <v>224</v>
      </c>
    </row>
    <row r="565" customFormat="false" ht="15" hidden="false" customHeight="false" outlineLevel="0" collapsed="false">
      <c r="A565" s="2" t="s">
        <v>1067</v>
      </c>
      <c r="B565" s="2" t="n">
        <v>137</v>
      </c>
      <c r="C565" s="2" t="s">
        <v>1174</v>
      </c>
      <c r="D565" s="2" t="s">
        <v>1175</v>
      </c>
      <c r="E565" s="2" t="s">
        <v>1176</v>
      </c>
      <c r="F565" s="27" t="n">
        <v>5700</v>
      </c>
      <c r="G565" s="2" t="s">
        <v>51</v>
      </c>
      <c r="H565" s="2" t="s">
        <v>58</v>
      </c>
      <c r="I565" s="2" t="s">
        <v>151</v>
      </c>
      <c r="J565" s="2" t="s">
        <v>145</v>
      </c>
      <c r="K565" s="2" t="n">
        <v>4</v>
      </c>
      <c r="L565" s="28" t="n">
        <v>25</v>
      </c>
      <c r="M565" s="29" t="n">
        <v>0.04625</v>
      </c>
      <c r="N565" s="28" t="n">
        <v>1.15625</v>
      </c>
      <c r="O565" s="28" t="n">
        <v>16.14</v>
      </c>
      <c r="P565" s="2" t="s">
        <v>223</v>
      </c>
      <c r="Q565" s="29" t="n">
        <v>0.08</v>
      </c>
      <c r="R565" s="30" t="n">
        <v>0.08</v>
      </c>
      <c r="S565" s="31" t="n">
        <v>14.453125</v>
      </c>
      <c r="T565" s="30" t="n">
        <v>-0.104515179677819</v>
      </c>
      <c r="U565" s="30" t="n">
        <v>-0.0328763940520446</v>
      </c>
      <c r="V565" s="29" t="n">
        <v>0</v>
      </c>
      <c r="W565" s="29" t="n">
        <f aca="false">IF(N(Q565)=0,"",Q565+IF(I565="yes",Q565*Inputs!$B$10*Inputs!$B$9,0)+V565)</f>
        <v>0.076</v>
      </c>
      <c r="X565" s="28" t="n">
        <f aca="false">IF(OR(N(W565)&lt;=0,N(N565)=0,N(L565)=0),"",MIN(L565,N565/W565))</f>
        <v>15.2138157894737</v>
      </c>
      <c r="Y565" s="29" t="n">
        <f aca="false">IF(OR(X565="",N(O565)=0),"",X565/O565-1)</f>
        <v>-0.0573843996608622</v>
      </c>
      <c r="Z565" s="29" t="n">
        <f aca="false">IF(OR(Y565="",N(O565)=0),"",Y565+N565/O565)</f>
        <v>0.0142543859649123</v>
      </c>
      <c r="AA565" s="32" t="n">
        <f aca="false">IF(OR(Z565="",N(U565)=0),"",Z565-U565)</f>
        <v>0.0471307800169569</v>
      </c>
      <c r="AB565" s="29" t="n">
        <f aca="false">IF(N(Q565)=0,"",Q565+IF(I565="yes",Q565*Inputs!$B$10*Inputs!$B$9,0)+IFERROR(INDEX(Inputs!$B$13:$B$15,MATCH(G565,Inputs!$A$13:$A$15,0)),0)+IFERROR(INDEX(Inputs!$B$18:$B$24,MATCH(H565,Inputs!$A$18:$A$24,0)),0))</f>
        <v>0.076</v>
      </c>
      <c r="AC565" s="28" t="n">
        <f aca="false">IF(OR(N(AB565)&lt;=0,N(N565)=0,N(L565)=0),"",MIN(L565,N565/AB565))</f>
        <v>15.2138157894737</v>
      </c>
      <c r="AD565" s="29" t="n">
        <f aca="false">IF(OR(AC565="",N(O565)=0),"",AC565/O565-1)</f>
        <v>-0.0573843996608622</v>
      </c>
      <c r="AE565" s="29" t="n">
        <f aca="false">IF(OR(AD565="",N(O565)=0),"",AD565+N565/O565)</f>
        <v>0.0142543859649123</v>
      </c>
      <c r="AF565" s="32" t="n">
        <f aca="false">IF(OR(AE565="",N(Z565)=0),"",AE565-Z565)</f>
        <v>0</v>
      </c>
      <c r="AG565" s="28" t="n">
        <f aca="false">IF(AND(N(M565)&gt;0,N(L565)&gt;0),M565*L565,N565)</f>
        <v>1.15625</v>
      </c>
      <c r="AH565" s="28" t="n">
        <f aca="false">IF(OR(N(AB565)&lt;=0,N(AG565)=0,N(L565)=0),"",MIN(L565,AG565/AB565))</f>
        <v>15.2138157894737</v>
      </c>
      <c r="AI565" s="29" t="n">
        <f aca="false">IF(OR(AH565="",N(O565)=0),"",AH565/O565-1)</f>
        <v>-0.0573843996608622</v>
      </c>
      <c r="AJ565" s="29" t="n">
        <f aca="false">IF(OR(AI565="",N(O565)=0),"",AI565+AG565/O565)</f>
        <v>0.0142543859649123</v>
      </c>
      <c r="AK565" s="32" t="n">
        <f aca="false">IF(OR(AJ565="",N(AE565)=0),"",AJ565-AE565)</f>
        <v>0</v>
      </c>
      <c r="AL565" s="33" t="n">
        <f aca="false">IF(N(F565)=0,"",INDEX(Inputs!$B$28:$B$32,IFERROR(MATCH(F565,Inputs!$A$28:$A$32,1),0)+1))</f>
        <v>0.08</v>
      </c>
      <c r="AM565" s="34"/>
      <c r="AN565" s="33" t="n">
        <f aca="false">IF(N(AM565)&gt;0,AM565,AL565)</f>
        <v>0.08</v>
      </c>
      <c r="AO565" s="29" t="n">
        <f aca="false">IF(N(AN565)=0,"",AN565+IF(I565="yes",AN565*Inputs!$B$10*Inputs!$B$9,0)+IFERROR(INDEX(Inputs!$B$13:$B$15,MATCH(G565,Inputs!$A$13:$A$15,0)),0)+IFERROR(INDEX(Inputs!$B$18:$B$24,MATCH(H565,Inputs!$A$18:$A$24,0)),0))</f>
        <v>0.076</v>
      </c>
      <c r="AP565" s="28" t="n">
        <f aca="false">IF(OR(N(AO565)&lt;=0,N(AG565)=0,N(L565)=0),"",MIN(L565,AG565/AO565))</f>
        <v>15.2138157894737</v>
      </c>
      <c r="AQ565" s="29" t="n">
        <f aca="false">IF(OR(AP565="",N(O565)=0),"",AP565/O565-1)</f>
        <v>-0.0573843996608622</v>
      </c>
      <c r="AR565" s="29" t="n">
        <f aca="false">IF(OR(AQ565="",N(O565)=0),"",AQ565+AG565/O565)</f>
        <v>0.0142543859649123</v>
      </c>
      <c r="AS565" s="32" t="n">
        <f aca="false">IF(OR(AR565="",N(AJ565)=0),"",AR565-AJ565)</f>
        <v>0</v>
      </c>
      <c r="AT565" s="28" t="n">
        <v>25</v>
      </c>
      <c r="AU565" s="28" t="n">
        <v>1.15625</v>
      </c>
      <c r="AV565" s="28" t="n">
        <f aca="false">IF(N(AT565)&gt;0,AT565,L565)</f>
        <v>25</v>
      </c>
      <c r="AW565" s="28" t="n">
        <f aca="false">IF(AND(N(M565)&gt;0,N(AV565)&gt;0),M565*AV565,IF(N(AU565)&gt;0,AU565,N565))</f>
        <v>1.15625</v>
      </c>
      <c r="AX565" s="29" t="n">
        <f aca="false">IF(N(AN565)=0,"",AN565+IF(I565="yes",AN565*Inputs!$B$10*Inputs!$B$9,0)+IFERROR(INDEX(Inputs!$B$13:$B$15,MATCH(G565,Inputs!$A$13:$A$15,0)),0)+IFERROR(INDEX(Inputs!$B$18:$B$24,MATCH(H565,Inputs!$A$18:$A$24,0)),0))</f>
        <v>0.076</v>
      </c>
      <c r="AY565" s="28" t="n">
        <f aca="false">IF(OR(N(AX565)&lt;=0,N(AW565)=0,N(AV565)=0),"",MIN(AV565,AW565/AX565))</f>
        <v>15.2138157894737</v>
      </c>
      <c r="AZ565" s="29" t="n">
        <f aca="false">IF(OR(AY565="",N(O565)=0),"",AY565/O565-1)</f>
        <v>-0.0573843996608622</v>
      </c>
      <c r="BA565" s="29" t="n">
        <f aca="false">IF(OR(AZ565="",N(O565)=0),"",AZ565+AW565/O565)</f>
        <v>0.0142543859649123</v>
      </c>
      <c r="BB565" s="32" t="n">
        <f aca="false">IF(OR(BA565="",N(AR565)=0),"",BA565-AR565)</f>
        <v>0</v>
      </c>
      <c r="BC565" s="35" t="n">
        <f aca="false">IF(OR(BA565="",N(U565)=0),"",BA565-U565)</f>
        <v>0.0471307800169569</v>
      </c>
      <c r="BD565" s="36" t="s">
        <v>224</v>
      </c>
    </row>
    <row r="566" customFormat="false" ht="15" hidden="false" customHeight="false" outlineLevel="0" collapsed="false">
      <c r="A566" s="2" t="s">
        <v>1067</v>
      </c>
      <c r="B566" s="2" t="n">
        <v>143</v>
      </c>
      <c r="C566" s="2" t="s">
        <v>1177</v>
      </c>
      <c r="D566" s="2" t="s">
        <v>1178</v>
      </c>
      <c r="E566" s="2" t="s">
        <v>143</v>
      </c>
      <c r="F566" s="27"/>
      <c r="G566" s="2" t="s">
        <v>51</v>
      </c>
      <c r="H566" s="2" t="s">
        <v>59</v>
      </c>
      <c r="I566" s="2" t="s">
        <v>151</v>
      </c>
      <c r="J566" s="2" t="s">
        <v>145</v>
      </c>
      <c r="K566" s="2" t="n">
        <v>4</v>
      </c>
      <c r="L566" s="28" t="n">
        <v>25</v>
      </c>
      <c r="M566" s="29" t="n">
        <v>0.0775</v>
      </c>
      <c r="N566" s="28" t="n">
        <v>1.9375</v>
      </c>
      <c r="O566" s="28" t="n">
        <v>0</v>
      </c>
      <c r="P566" s="2" t="s">
        <v>223</v>
      </c>
      <c r="Q566" s="29" t="n">
        <v>0</v>
      </c>
      <c r="R566" s="30" t="n">
        <v>0</v>
      </c>
      <c r="S566" s="31"/>
      <c r="T566" s="30"/>
      <c r="U566" s="30"/>
      <c r="V566" s="29" t="n">
        <v>0</v>
      </c>
      <c r="W566" s="29" t="str">
        <f aca="false">IF(N(Q566)=0,"",Q566+IF(I566="yes",Q566*Inputs!$B$10*Inputs!$B$9,0)+V566)</f>
        <v/>
      </c>
      <c r="X566" s="28" t="str">
        <f aca="false">IF(OR(N(W566)&lt;=0,N(N566)=0,N(L566)=0),"",MIN(L566,N566/W566))</f>
        <v/>
      </c>
      <c r="Y566" s="29" t="str">
        <f aca="false">IF(OR(X566="",N(O566)=0),"",X566/O566-1)</f>
        <v/>
      </c>
      <c r="Z566" s="29" t="str">
        <f aca="false">IF(OR(Y566="",N(O566)=0),"",Y566+N566/O566)</f>
        <v/>
      </c>
      <c r="AA566" s="32" t="str">
        <f aca="false">IF(OR(Z566="",N(U566)=0),"",Z566-U566)</f>
        <v/>
      </c>
      <c r="AB566" s="29" t="str">
        <f aca="false">IF(N(Q566)=0,"",Q566+IF(I566="yes",Q566*Inputs!$B$10*Inputs!$B$9,0)+IFERROR(INDEX(Inputs!$B$13:$B$15,MATCH(G566,Inputs!$A$13:$A$15,0)),0)+IFERROR(INDEX(Inputs!$B$18:$B$24,MATCH(H566,Inputs!$A$18:$A$24,0)),0))</f>
        <v/>
      </c>
      <c r="AC566" s="28" t="str">
        <f aca="false">IF(OR(N(AB566)&lt;=0,N(N566)=0,N(L566)=0),"",MIN(L566,N566/AB566))</f>
        <v/>
      </c>
      <c r="AD566" s="29" t="str">
        <f aca="false">IF(OR(AC566="",N(O566)=0),"",AC566/O566-1)</f>
        <v/>
      </c>
      <c r="AE566" s="29" t="str">
        <f aca="false">IF(OR(AD566="",N(O566)=0),"",AD566+N566/O566)</f>
        <v/>
      </c>
      <c r="AF566" s="32" t="str">
        <f aca="false">IF(OR(AE566="",N(Z566)=0),"",AE566-Z566)</f>
        <v/>
      </c>
      <c r="AG566" s="28" t="n">
        <f aca="false">IF(AND(N(M566)&gt;0,N(L566)&gt;0),M566*L566,N566)</f>
        <v>1.9375</v>
      </c>
      <c r="AH566" s="28" t="str">
        <f aca="false">IF(OR(N(AB566)&lt;=0,N(AG566)=0,N(L566)=0),"",MIN(L566,AG566/AB566))</f>
        <v/>
      </c>
      <c r="AI566" s="29" t="str">
        <f aca="false">IF(OR(AH566="",N(O566)=0),"",AH566/O566-1)</f>
        <v/>
      </c>
      <c r="AJ566" s="29" t="str">
        <f aca="false">IF(OR(AI566="",N(O566)=0),"",AI566+AG566/O566)</f>
        <v/>
      </c>
      <c r="AK566" s="32" t="str">
        <f aca="false">IF(OR(AJ566="",N(AE566)=0),"",AJ566-AE566)</f>
        <v/>
      </c>
      <c r="AL566" s="33" t="str">
        <f aca="false">IF(N(F566)=0,"",INDEX(Inputs!$B$28:$B$32,IFERROR(MATCH(F566,Inputs!$A$28:$A$32,1),0)+1))</f>
        <v/>
      </c>
      <c r="AM566" s="34"/>
      <c r="AN566" s="33" t="str">
        <f aca="false">IF(N(AM566)&gt;0,AM566,AL566)</f>
        <v/>
      </c>
      <c r="AO566" s="29" t="str">
        <f aca="false">IF(N(AN566)=0,"",AN566+IF(I566="yes",AN566*Inputs!$B$10*Inputs!$B$9,0)+IFERROR(INDEX(Inputs!$B$13:$B$15,MATCH(G566,Inputs!$A$13:$A$15,0)),0)+IFERROR(INDEX(Inputs!$B$18:$B$24,MATCH(H566,Inputs!$A$18:$A$24,0)),0))</f>
        <v/>
      </c>
      <c r="AP566" s="28" t="str">
        <f aca="false">IF(OR(N(AO566)&lt;=0,N(AG566)=0,N(L566)=0),"",MIN(L566,AG566/AO566))</f>
        <v/>
      </c>
      <c r="AQ566" s="29" t="str">
        <f aca="false">IF(OR(AP566="",N(O566)=0),"",AP566/O566-1)</f>
        <v/>
      </c>
      <c r="AR566" s="29" t="str">
        <f aca="false">IF(OR(AQ566="",N(O566)=0),"",AQ566+AG566/O566)</f>
        <v/>
      </c>
      <c r="AS566" s="32" t="str">
        <f aca="false">IF(OR(AR566="",N(AJ566)=0),"",AR566-AJ566)</f>
        <v/>
      </c>
      <c r="AT566" s="28"/>
      <c r="AU566" s="28"/>
      <c r="AV566" s="28" t="n">
        <f aca="false">IF(N(AT566)&gt;0,AT566,L566)</f>
        <v>25</v>
      </c>
      <c r="AW566" s="28" t="n">
        <f aca="false">IF(AND(N(M566)&gt;0,N(AV566)&gt;0),M566*AV566,IF(N(AU566)&gt;0,AU566,N566))</f>
        <v>1.9375</v>
      </c>
      <c r="AX566" s="29" t="str">
        <f aca="false">IF(N(AN566)=0,"",AN566+IF(I566="yes",AN566*Inputs!$B$10*Inputs!$B$9,0)+IFERROR(INDEX(Inputs!$B$13:$B$15,MATCH(G566,Inputs!$A$13:$A$15,0)),0)+IFERROR(INDEX(Inputs!$B$18:$B$24,MATCH(H566,Inputs!$A$18:$A$24,0)),0))</f>
        <v/>
      </c>
      <c r="AY566" s="28" t="str">
        <f aca="false">IF(OR(N(AX566)&lt;=0,N(AW566)=0,N(AV566)=0),"",MIN(AV566,AW566/AX566))</f>
        <v/>
      </c>
      <c r="AZ566" s="29" t="str">
        <f aca="false">IF(OR(AY566="",N(O566)=0),"",AY566/O566-1)</f>
        <v/>
      </c>
      <c r="BA566" s="29" t="str">
        <f aca="false">IF(OR(AZ566="",N(O566)=0),"",AZ566+AW566/O566)</f>
        <v/>
      </c>
      <c r="BB566" s="32" t="str">
        <f aca="false">IF(OR(BA566="",N(AR566)=0),"",BA566-AR566)</f>
        <v/>
      </c>
      <c r="BC566" s="35" t="str">
        <f aca="false">IF(OR(BA566="",N(U566)=0),"",BA566-U566)</f>
        <v/>
      </c>
      <c r="BD566" s="36" t="s">
        <v>328</v>
      </c>
    </row>
    <row r="567" customFormat="false" ht="15" hidden="false" customHeight="false" outlineLevel="0" collapsed="false">
      <c r="A567" s="2" t="s">
        <v>1067</v>
      </c>
      <c r="B567" s="2" t="n">
        <v>147</v>
      </c>
      <c r="C567" s="2" t="s">
        <v>1179</v>
      </c>
      <c r="D567" s="2" t="s">
        <v>1180</v>
      </c>
      <c r="E567" s="2" t="s">
        <v>1181</v>
      </c>
      <c r="F567" s="27" t="n">
        <v>4</v>
      </c>
      <c r="G567" s="2" t="s">
        <v>51</v>
      </c>
      <c r="H567" s="2" t="s">
        <v>64</v>
      </c>
      <c r="I567" s="2" t="s">
        <v>151</v>
      </c>
      <c r="J567" s="2" t="s">
        <v>145</v>
      </c>
      <c r="K567" s="2" t="n">
        <v>4</v>
      </c>
      <c r="L567" s="28" t="n">
        <v>100</v>
      </c>
      <c r="M567" s="29" t="n">
        <v>0.0575</v>
      </c>
      <c r="N567" s="28" t="n">
        <v>5.75</v>
      </c>
      <c r="O567" s="28" t="n">
        <v>0</v>
      </c>
      <c r="P567" s="2" t="s">
        <v>146</v>
      </c>
      <c r="Q567" s="29" t="n">
        <v>0.1</v>
      </c>
      <c r="R567" s="30" t="n">
        <v>0.095</v>
      </c>
      <c r="S567" s="31" t="n">
        <v>60.5263157894737</v>
      </c>
      <c r="T567" s="30"/>
      <c r="U567" s="30"/>
      <c r="V567" s="29" t="n">
        <v>0</v>
      </c>
      <c r="W567" s="29" t="n">
        <f aca="false">IF(N(Q567)=0,"",Q567+IF(I567="yes",Q567*Inputs!$B$10*Inputs!$B$9,0)+V567)</f>
        <v>0.095</v>
      </c>
      <c r="X567" s="28" t="n">
        <f aca="false">IF(OR(N(W567)&lt;=0,N(N567)=0,N(L567)=0),"",MIN(L567,N567/W567))</f>
        <v>60.5263157894737</v>
      </c>
      <c r="Y567" s="29" t="str">
        <f aca="false">IF(OR(X567="",N(O567)=0),"",X567/O567-1)</f>
        <v/>
      </c>
      <c r="Z567" s="29" t="str">
        <f aca="false">IF(OR(Y567="",N(O567)=0),"",Y567+N567/O567)</f>
        <v/>
      </c>
      <c r="AA567" s="32" t="str">
        <f aca="false">IF(OR(Z567="",N(U567)=0),"",Z567-U567)</f>
        <v/>
      </c>
      <c r="AB567" s="29" t="n">
        <f aca="false">IF(N(Q567)=0,"",Q567+IF(I567="yes",Q567*Inputs!$B$10*Inputs!$B$9,0)+IFERROR(INDEX(Inputs!$B$13:$B$15,MATCH(G567,Inputs!$A$13:$A$15,0)),0)+IFERROR(INDEX(Inputs!$B$18:$B$24,MATCH(H567,Inputs!$A$18:$A$24,0)),0))</f>
        <v>0.095</v>
      </c>
      <c r="AC567" s="28" t="n">
        <f aca="false">IF(OR(N(AB567)&lt;=0,N(N567)=0,N(L567)=0),"",MIN(L567,N567/AB567))</f>
        <v>60.5263157894737</v>
      </c>
      <c r="AD567" s="29" t="str">
        <f aca="false">IF(OR(AC567="",N(O567)=0),"",AC567/O567-1)</f>
        <v/>
      </c>
      <c r="AE567" s="29" t="str">
        <f aca="false">IF(OR(AD567="",N(O567)=0),"",AD567+N567/O567)</f>
        <v/>
      </c>
      <c r="AF567" s="32" t="str">
        <f aca="false">IF(OR(AE567="",N(Z567)=0),"",AE567-Z567)</f>
        <v/>
      </c>
      <c r="AG567" s="28" t="n">
        <f aca="false">IF(AND(N(M567)&gt;0,N(L567)&gt;0),M567*L567,N567)</f>
        <v>5.75</v>
      </c>
      <c r="AH567" s="28" t="n">
        <f aca="false">IF(OR(N(AB567)&lt;=0,N(AG567)=0,N(L567)=0),"",MIN(L567,AG567/AB567))</f>
        <v>60.5263157894737</v>
      </c>
      <c r="AI567" s="29" t="str">
        <f aca="false">IF(OR(AH567="",N(O567)=0),"",AH567/O567-1)</f>
        <v/>
      </c>
      <c r="AJ567" s="29" t="str">
        <f aca="false">IF(OR(AI567="",N(O567)=0),"",AI567+AG567/O567)</f>
        <v/>
      </c>
      <c r="AK567" s="32" t="str">
        <f aca="false">IF(OR(AJ567="",N(AE567)=0),"",AJ567-AE567)</f>
        <v/>
      </c>
      <c r="AL567" s="33" t="n">
        <f aca="false">IF(N(F567)=0,"",INDEX(Inputs!$B$28:$B$32,IFERROR(MATCH(F567,Inputs!$A$28:$A$32,1),0)+1))</f>
        <v>0.1</v>
      </c>
      <c r="AM567" s="34"/>
      <c r="AN567" s="33" t="n">
        <f aca="false">IF(N(AM567)&gt;0,AM567,AL567)</f>
        <v>0.1</v>
      </c>
      <c r="AO567" s="29" t="n">
        <f aca="false">IF(N(AN567)=0,"",AN567+IF(I567="yes",AN567*Inputs!$B$10*Inputs!$B$9,0)+IFERROR(INDEX(Inputs!$B$13:$B$15,MATCH(G567,Inputs!$A$13:$A$15,0)),0)+IFERROR(INDEX(Inputs!$B$18:$B$24,MATCH(H567,Inputs!$A$18:$A$24,0)),0))</f>
        <v>0.095</v>
      </c>
      <c r="AP567" s="28" t="n">
        <f aca="false">IF(OR(N(AO567)&lt;=0,N(AG567)=0,N(L567)=0),"",MIN(L567,AG567/AO567))</f>
        <v>60.5263157894737</v>
      </c>
      <c r="AQ567" s="29" t="str">
        <f aca="false">IF(OR(AP567="",N(O567)=0),"",AP567/O567-1)</f>
        <v/>
      </c>
      <c r="AR567" s="29" t="str">
        <f aca="false">IF(OR(AQ567="",N(O567)=0),"",AQ567+AG567/O567)</f>
        <v/>
      </c>
      <c r="AS567" s="32" t="str">
        <f aca="false">IF(OR(AR567="",N(AJ567)=0),"",AR567-AJ567)</f>
        <v/>
      </c>
      <c r="AT567" s="28"/>
      <c r="AU567" s="28"/>
      <c r="AV567" s="28" t="n">
        <f aca="false">IF(N(AT567)&gt;0,AT567,L567)</f>
        <v>100</v>
      </c>
      <c r="AW567" s="28" t="n">
        <f aca="false">IF(AND(N(M567)&gt;0,N(AV567)&gt;0),M567*AV567,IF(N(AU567)&gt;0,AU567,N567))</f>
        <v>5.75</v>
      </c>
      <c r="AX567" s="29" t="n">
        <f aca="false">IF(N(AN567)=0,"",AN567+IF(I567="yes",AN567*Inputs!$B$10*Inputs!$B$9,0)+IFERROR(INDEX(Inputs!$B$13:$B$15,MATCH(G567,Inputs!$A$13:$A$15,0)),0)+IFERROR(INDEX(Inputs!$B$18:$B$24,MATCH(H567,Inputs!$A$18:$A$24,0)),0))</f>
        <v>0.095</v>
      </c>
      <c r="AY567" s="28" t="n">
        <f aca="false">IF(OR(N(AX567)&lt;=0,N(AW567)=0,N(AV567)=0),"",MIN(AV567,AW567/AX567))</f>
        <v>60.5263157894737</v>
      </c>
      <c r="AZ567" s="29" t="str">
        <f aca="false">IF(OR(AY567="",N(O567)=0),"",AY567/O567-1)</f>
        <v/>
      </c>
      <c r="BA567" s="29" t="str">
        <f aca="false">IF(OR(AZ567="",N(O567)=0),"",AZ567+AW567/O567)</f>
        <v/>
      </c>
      <c r="BB567" s="32" t="str">
        <f aca="false">IF(OR(BA567="",N(AR567)=0),"",BA567-AR567)</f>
        <v/>
      </c>
      <c r="BC567" s="35" t="str">
        <f aca="false">IF(OR(BA567="",N(U567)=0),"",BA567-U567)</f>
        <v/>
      </c>
      <c r="BD567" s="36" t="s">
        <v>198</v>
      </c>
    </row>
    <row r="568" customFormat="false" ht="15" hidden="false" customHeight="false" outlineLevel="0" collapsed="false">
      <c r="A568" s="2" t="s">
        <v>1067</v>
      </c>
      <c r="B568" s="2" t="n">
        <v>151</v>
      </c>
      <c r="C568" s="2" t="s">
        <v>1182</v>
      </c>
      <c r="D568" s="2" t="s">
        <v>1180</v>
      </c>
      <c r="E568" s="2" t="s">
        <v>1181</v>
      </c>
      <c r="F568" s="27" t="n">
        <v>4</v>
      </c>
      <c r="G568" s="2" t="s">
        <v>51</v>
      </c>
      <c r="H568" s="2" t="s">
        <v>58</v>
      </c>
      <c r="I568" s="2" t="s">
        <v>151</v>
      </c>
      <c r="J568" s="2" t="s">
        <v>145</v>
      </c>
      <c r="K568" s="2" t="n">
        <v>4</v>
      </c>
      <c r="L568" s="28" t="n">
        <v>100</v>
      </c>
      <c r="M568" s="29" t="n">
        <v>0.07</v>
      </c>
      <c r="N568" s="28" t="n">
        <v>7</v>
      </c>
      <c r="O568" s="28" t="n">
        <v>0</v>
      </c>
      <c r="P568" s="2" t="s">
        <v>146</v>
      </c>
      <c r="Q568" s="29" t="n">
        <v>0.1</v>
      </c>
      <c r="R568" s="30" t="n">
        <v>0.095</v>
      </c>
      <c r="S568" s="31" t="n">
        <v>73.6842105263158</v>
      </c>
      <c r="T568" s="30"/>
      <c r="U568" s="30"/>
      <c r="V568" s="29" t="n">
        <v>0</v>
      </c>
      <c r="W568" s="29" t="n">
        <f aca="false">IF(N(Q568)=0,"",Q568+IF(I568="yes",Q568*Inputs!$B$10*Inputs!$B$9,0)+V568)</f>
        <v>0.095</v>
      </c>
      <c r="X568" s="28" t="n">
        <f aca="false">IF(OR(N(W568)&lt;=0,N(N568)=0,N(L568)=0),"",MIN(L568,N568/W568))</f>
        <v>73.6842105263158</v>
      </c>
      <c r="Y568" s="29" t="str">
        <f aca="false">IF(OR(X568="",N(O568)=0),"",X568/O568-1)</f>
        <v/>
      </c>
      <c r="Z568" s="29" t="str">
        <f aca="false">IF(OR(Y568="",N(O568)=0),"",Y568+N568/O568)</f>
        <v/>
      </c>
      <c r="AA568" s="32" t="str">
        <f aca="false">IF(OR(Z568="",N(U568)=0),"",Z568-U568)</f>
        <v/>
      </c>
      <c r="AB568" s="29" t="n">
        <f aca="false">IF(N(Q568)=0,"",Q568+IF(I568="yes",Q568*Inputs!$B$10*Inputs!$B$9,0)+IFERROR(INDEX(Inputs!$B$13:$B$15,MATCH(G568,Inputs!$A$13:$A$15,0)),0)+IFERROR(INDEX(Inputs!$B$18:$B$24,MATCH(H568,Inputs!$A$18:$A$24,0)),0))</f>
        <v>0.095</v>
      </c>
      <c r="AC568" s="28" t="n">
        <f aca="false">IF(OR(N(AB568)&lt;=0,N(N568)=0,N(L568)=0),"",MIN(L568,N568/AB568))</f>
        <v>73.6842105263158</v>
      </c>
      <c r="AD568" s="29" t="str">
        <f aca="false">IF(OR(AC568="",N(O568)=0),"",AC568/O568-1)</f>
        <v/>
      </c>
      <c r="AE568" s="29" t="str">
        <f aca="false">IF(OR(AD568="",N(O568)=0),"",AD568+N568/O568)</f>
        <v/>
      </c>
      <c r="AF568" s="32" t="str">
        <f aca="false">IF(OR(AE568="",N(Z568)=0),"",AE568-Z568)</f>
        <v/>
      </c>
      <c r="AG568" s="28" t="n">
        <f aca="false">IF(AND(N(M568)&gt;0,N(L568)&gt;0),M568*L568,N568)</f>
        <v>7</v>
      </c>
      <c r="AH568" s="28" t="n">
        <f aca="false">IF(OR(N(AB568)&lt;=0,N(AG568)=0,N(L568)=0),"",MIN(L568,AG568/AB568))</f>
        <v>73.6842105263158</v>
      </c>
      <c r="AI568" s="29" t="str">
        <f aca="false">IF(OR(AH568="",N(O568)=0),"",AH568/O568-1)</f>
        <v/>
      </c>
      <c r="AJ568" s="29" t="str">
        <f aca="false">IF(OR(AI568="",N(O568)=0),"",AI568+AG568/O568)</f>
        <v/>
      </c>
      <c r="AK568" s="32" t="str">
        <f aca="false">IF(OR(AJ568="",N(AE568)=0),"",AJ568-AE568)</f>
        <v/>
      </c>
      <c r="AL568" s="33" t="n">
        <f aca="false">IF(N(F568)=0,"",INDEX(Inputs!$B$28:$B$32,IFERROR(MATCH(F568,Inputs!$A$28:$A$32,1),0)+1))</f>
        <v>0.1</v>
      </c>
      <c r="AM568" s="34"/>
      <c r="AN568" s="33" t="n">
        <f aca="false">IF(N(AM568)&gt;0,AM568,AL568)</f>
        <v>0.1</v>
      </c>
      <c r="AO568" s="29" t="n">
        <f aca="false">IF(N(AN568)=0,"",AN568+IF(I568="yes",AN568*Inputs!$B$10*Inputs!$B$9,0)+IFERROR(INDEX(Inputs!$B$13:$B$15,MATCH(G568,Inputs!$A$13:$A$15,0)),0)+IFERROR(INDEX(Inputs!$B$18:$B$24,MATCH(H568,Inputs!$A$18:$A$24,0)),0))</f>
        <v>0.095</v>
      </c>
      <c r="AP568" s="28" t="n">
        <f aca="false">IF(OR(N(AO568)&lt;=0,N(AG568)=0,N(L568)=0),"",MIN(L568,AG568/AO568))</f>
        <v>73.6842105263158</v>
      </c>
      <c r="AQ568" s="29" t="str">
        <f aca="false">IF(OR(AP568="",N(O568)=0),"",AP568/O568-1)</f>
        <v/>
      </c>
      <c r="AR568" s="29" t="str">
        <f aca="false">IF(OR(AQ568="",N(O568)=0),"",AQ568+AG568/O568)</f>
        <v/>
      </c>
      <c r="AS568" s="32" t="str">
        <f aca="false">IF(OR(AR568="",N(AJ568)=0),"",AR568-AJ568)</f>
        <v/>
      </c>
      <c r="AT568" s="28"/>
      <c r="AU568" s="28"/>
      <c r="AV568" s="28" t="n">
        <f aca="false">IF(N(AT568)&gt;0,AT568,L568)</f>
        <v>100</v>
      </c>
      <c r="AW568" s="28" t="n">
        <f aca="false">IF(AND(N(M568)&gt;0,N(AV568)&gt;0),M568*AV568,IF(N(AU568)&gt;0,AU568,N568))</f>
        <v>7</v>
      </c>
      <c r="AX568" s="29" t="n">
        <f aca="false">IF(N(AN568)=0,"",AN568+IF(I568="yes",AN568*Inputs!$B$10*Inputs!$B$9,0)+IFERROR(INDEX(Inputs!$B$13:$B$15,MATCH(G568,Inputs!$A$13:$A$15,0)),0)+IFERROR(INDEX(Inputs!$B$18:$B$24,MATCH(H568,Inputs!$A$18:$A$24,0)),0))</f>
        <v>0.095</v>
      </c>
      <c r="AY568" s="28" t="n">
        <f aca="false">IF(OR(N(AX568)&lt;=0,N(AW568)=0,N(AV568)=0),"",MIN(AV568,AW568/AX568))</f>
        <v>73.6842105263158</v>
      </c>
      <c r="AZ568" s="29" t="str">
        <f aca="false">IF(OR(AY568="",N(O568)=0),"",AY568/O568-1)</f>
        <v/>
      </c>
      <c r="BA568" s="29" t="str">
        <f aca="false">IF(OR(AZ568="",N(O568)=0),"",AZ568+AW568/O568)</f>
        <v/>
      </c>
      <c r="BB568" s="32" t="str">
        <f aca="false">IF(OR(BA568="",N(AR568)=0),"",BA568-AR568)</f>
        <v/>
      </c>
      <c r="BC568" s="35" t="str">
        <f aca="false">IF(OR(BA568="",N(U568)=0),"",BA568-U568)</f>
        <v/>
      </c>
      <c r="BD568" s="36" t="s">
        <v>198</v>
      </c>
    </row>
    <row r="569" customFormat="false" ht="15" hidden="false" customHeight="false" outlineLevel="0" collapsed="false">
      <c r="A569" s="2" t="s">
        <v>1067</v>
      </c>
      <c r="B569" s="2" t="n">
        <v>152</v>
      </c>
      <c r="C569" s="2" t="s">
        <v>1183</v>
      </c>
      <c r="D569" s="2" t="s">
        <v>1180</v>
      </c>
      <c r="E569" s="2" t="s">
        <v>1181</v>
      </c>
      <c r="F569" s="27" t="n">
        <v>4</v>
      </c>
      <c r="G569" s="2" t="s">
        <v>51</v>
      </c>
      <c r="H569" s="2" t="s">
        <v>58</v>
      </c>
      <c r="I569" s="2" t="s">
        <v>151</v>
      </c>
      <c r="J569" s="2" t="s">
        <v>145</v>
      </c>
      <c r="K569" s="2" t="n">
        <v>4</v>
      </c>
      <c r="L569" s="28" t="n">
        <v>100</v>
      </c>
      <c r="M569" s="29" t="n">
        <v>0.06</v>
      </c>
      <c r="N569" s="28" t="n">
        <v>6</v>
      </c>
      <c r="O569" s="28" t="n">
        <v>0</v>
      </c>
      <c r="P569" s="2" t="s">
        <v>146</v>
      </c>
      <c r="Q569" s="29" t="n">
        <v>0.1</v>
      </c>
      <c r="R569" s="30" t="n">
        <v>0.095</v>
      </c>
      <c r="S569" s="31" t="n">
        <v>63.1578947368421</v>
      </c>
      <c r="T569" s="30"/>
      <c r="U569" s="30"/>
      <c r="V569" s="29" t="n">
        <v>0</v>
      </c>
      <c r="W569" s="29" t="n">
        <f aca="false">IF(N(Q569)=0,"",Q569+IF(I569="yes",Q569*Inputs!$B$10*Inputs!$B$9,0)+V569)</f>
        <v>0.095</v>
      </c>
      <c r="X569" s="28" t="n">
        <f aca="false">IF(OR(N(W569)&lt;=0,N(N569)=0,N(L569)=0),"",MIN(L569,N569/W569))</f>
        <v>63.1578947368421</v>
      </c>
      <c r="Y569" s="29" t="str">
        <f aca="false">IF(OR(X569="",N(O569)=0),"",X569/O569-1)</f>
        <v/>
      </c>
      <c r="Z569" s="29" t="str">
        <f aca="false">IF(OR(Y569="",N(O569)=0),"",Y569+N569/O569)</f>
        <v/>
      </c>
      <c r="AA569" s="32" t="str">
        <f aca="false">IF(OR(Z569="",N(U569)=0),"",Z569-U569)</f>
        <v/>
      </c>
      <c r="AB569" s="29" t="n">
        <f aca="false">IF(N(Q569)=0,"",Q569+IF(I569="yes",Q569*Inputs!$B$10*Inputs!$B$9,0)+IFERROR(INDEX(Inputs!$B$13:$B$15,MATCH(G569,Inputs!$A$13:$A$15,0)),0)+IFERROR(INDEX(Inputs!$B$18:$B$24,MATCH(H569,Inputs!$A$18:$A$24,0)),0))</f>
        <v>0.095</v>
      </c>
      <c r="AC569" s="28" t="n">
        <f aca="false">IF(OR(N(AB569)&lt;=0,N(N569)=0,N(L569)=0),"",MIN(L569,N569/AB569))</f>
        <v>63.1578947368421</v>
      </c>
      <c r="AD569" s="29" t="str">
        <f aca="false">IF(OR(AC569="",N(O569)=0),"",AC569/O569-1)</f>
        <v/>
      </c>
      <c r="AE569" s="29" t="str">
        <f aca="false">IF(OR(AD569="",N(O569)=0),"",AD569+N569/O569)</f>
        <v/>
      </c>
      <c r="AF569" s="32" t="str">
        <f aca="false">IF(OR(AE569="",N(Z569)=0),"",AE569-Z569)</f>
        <v/>
      </c>
      <c r="AG569" s="28" t="n">
        <f aca="false">IF(AND(N(M569)&gt;0,N(L569)&gt;0),M569*L569,N569)</f>
        <v>6</v>
      </c>
      <c r="AH569" s="28" t="n">
        <f aca="false">IF(OR(N(AB569)&lt;=0,N(AG569)=0,N(L569)=0),"",MIN(L569,AG569/AB569))</f>
        <v>63.1578947368421</v>
      </c>
      <c r="AI569" s="29" t="str">
        <f aca="false">IF(OR(AH569="",N(O569)=0),"",AH569/O569-1)</f>
        <v/>
      </c>
      <c r="AJ569" s="29" t="str">
        <f aca="false">IF(OR(AI569="",N(O569)=0),"",AI569+AG569/O569)</f>
        <v/>
      </c>
      <c r="AK569" s="32" t="str">
        <f aca="false">IF(OR(AJ569="",N(AE569)=0),"",AJ569-AE569)</f>
        <v/>
      </c>
      <c r="AL569" s="33" t="n">
        <f aca="false">IF(N(F569)=0,"",INDEX(Inputs!$B$28:$B$32,IFERROR(MATCH(F569,Inputs!$A$28:$A$32,1),0)+1))</f>
        <v>0.1</v>
      </c>
      <c r="AM569" s="34"/>
      <c r="AN569" s="33" t="n">
        <f aca="false">IF(N(AM569)&gt;0,AM569,AL569)</f>
        <v>0.1</v>
      </c>
      <c r="AO569" s="29" t="n">
        <f aca="false">IF(N(AN569)=0,"",AN569+IF(I569="yes",AN569*Inputs!$B$10*Inputs!$B$9,0)+IFERROR(INDEX(Inputs!$B$13:$B$15,MATCH(G569,Inputs!$A$13:$A$15,0)),0)+IFERROR(INDEX(Inputs!$B$18:$B$24,MATCH(H569,Inputs!$A$18:$A$24,0)),0))</f>
        <v>0.095</v>
      </c>
      <c r="AP569" s="28" t="n">
        <f aca="false">IF(OR(N(AO569)&lt;=0,N(AG569)=0,N(L569)=0),"",MIN(L569,AG569/AO569))</f>
        <v>63.1578947368421</v>
      </c>
      <c r="AQ569" s="29" t="str">
        <f aca="false">IF(OR(AP569="",N(O569)=0),"",AP569/O569-1)</f>
        <v/>
      </c>
      <c r="AR569" s="29" t="str">
        <f aca="false">IF(OR(AQ569="",N(O569)=0),"",AQ569+AG569/O569)</f>
        <v/>
      </c>
      <c r="AS569" s="32" t="str">
        <f aca="false">IF(OR(AR569="",N(AJ569)=0),"",AR569-AJ569)</f>
        <v/>
      </c>
      <c r="AT569" s="28"/>
      <c r="AU569" s="28"/>
      <c r="AV569" s="28" t="n">
        <f aca="false">IF(N(AT569)&gt;0,AT569,L569)</f>
        <v>100</v>
      </c>
      <c r="AW569" s="28" t="n">
        <f aca="false">IF(AND(N(M569)&gt;0,N(AV569)&gt;0),M569*AV569,IF(N(AU569)&gt;0,AU569,N569))</f>
        <v>6</v>
      </c>
      <c r="AX569" s="29" t="n">
        <f aca="false">IF(N(AN569)=0,"",AN569+IF(I569="yes",AN569*Inputs!$B$10*Inputs!$B$9,0)+IFERROR(INDEX(Inputs!$B$13:$B$15,MATCH(G569,Inputs!$A$13:$A$15,0)),0)+IFERROR(INDEX(Inputs!$B$18:$B$24,MATCH(H569,Inputs!$A$18:$A$24,0)),0))</f>
        <v>0.095</v>
      </c>
      <c r="AY569" s="28" t="n">
        <f aca="false">IF(OR(N(AX569)&lt;=0,N(AW569)=0,N(AV569)=0),"",MIN(AV569,AW569/AX569))</f>
        <v>63.1578947368421</v>
      </c>
      <c r="AZ569" s="29" t="str">
        <f aca="false">IF(OR(AY569="",N(O569)=0),"",AY569/O569-1)</f>
        <v/>
      </c>
      <c r="BA569" s="29" t="str">
        <f aca="false">IF(OR(AZ569="",N(O569)=0),"",AZ569+AW569/O569)</f>
        <v/>
      </c>
      <c r="BB569" s="32" t="str">
        <f aca="false">IF(OR(BA569="",N(AR569)=0),"",BA569-AR569)</f>
        <v/>
      </c>
      <c r="BC569" s="35" t="str">
        <f aca="false">IF(OR(BA569="",N(U569)=0),"",BA569-U569)</f>
        <v/>
      </c>
      <c r="BD569" s="36" t="s">
        <v>198</v>
      </c>
    </row>
    <row r="570" customFormat="false" ht="15" hidden="false" customHeight="false" outlineLevel="0" collapsed="false">
      <c r="A570" s="2" t="s">
        <v>1067</v>
      </c>
      <c r="B570" s="2" t="n">
        <v>155</v>
      </c>
      <c r="C570" s="2" t="s">
        <v>1184</v>
      </c>
      <c r="D570" s="2" t="s">
        <v>1185</v>
      </c>
      <c r="E570" s="2" t="s">
        <v>1186</v>
      </c>
      <c r="F570" s="27" t="n">
        <v>2200</v>
      </c>
      <c r="G570" s="2" t="s">
        <v>52</v>
      </c>
      <c r="H570" s="2" t="s">
        <v>58</v>
      </c>
      <c r="I570" s="2" t="s">
        <v>144</v>
      </c>
      <c r="J570" s="2" t="s">
        <v>145</v>
      </c>
      <c r="K570" s="2" t="n">
        <v>4</v>
      </c>
      <c r="L570" s="28" t="n">
        <v>25</v>
      </c>
      <c r="M570" s="29" t="n">
        <v>0.067</v>
      </c>
      <c r="N570" s="28" t="n">
        <v>1.675</v>
      </c>
      <c r="O570" s="28" t="n">
        <v>21.67</v>
      </c>
      <c r="P570" s="2" t="s">
        <v>146</v>
      </c>
      <c r="Q570" s="29" t="n">
        <v>0.085</v>
      </c>
      <c r="R570" s="30" t="n">
        <v>0.08</v>
      </c>
      <c r="S570" s="31" t="n">
        <v>20.9375</v>
      </c>
      <c r="T570" s="30" t="n">
        <v>-0.0338024919243194</v>
      </c>
      <c r="U570" s="30" t="n">
        <v>0.0434933087217351</v>
      </c>
      <c r="V570" s="29" t="n">
        <v>-0.005</v>
      </c>
      <c r="W570" s="29" t="n">
        <f aca="false">IF(N(Q570)=0,"",Q570+IF(I570="yes",Q570*Inputs!$B$10*Inputs!$B$9,0)+V570)</f>
        <v>0.08</v>
      </c>
      <c r="X570" s="28" t="n">
        <f aca="false">IF(OR(N(W570)&lt;=0,N(N570)=0,N(L570)=0),"",MIN(L570,N570/W570))</f>
        <v>20.9375</v>
      </c>
      <c r="Y570" s="29" t="n">
        <f aca="false">IF(OR(X570="",N(O570)=0),"",X570/O570-1)</f>
        <v>-0.0338024919243194</v>
      </c>
      <c r="Z570" s="29" t="n">
        <f aca="false">IF(OR(Y570="",N(O570)=0),"",Y570+N570/O570)</f>
        <v>0.0434933087217351</v>
      </c>
      <c r="AA570" s="32" t="n">
        <f aca="false">IF(OR(Z570="",N(U570)=0),"",Z570-U570)</f>
        <v>0</v>
      </c>
      <c r="AB570" s="29" t="n">
        <f aca="false">IF(N(Q570)=0,"",Q570+IF(I570="yes",Q570*Inputs!$B$10*Inputs!$B$9,0)+IFERROR(INDEX(Inputs!$B$13:$B$15,MATCH(G570,Inputs!$A$13:$A$15,0)),0)+IFERROR(INDEX(Inputs!$B$18:$B$24,MATCH(H570,Inputs!$A$18:$A$24,0)),0))</f>
        <v>0.08</v>
      </c>
      <c r="AC570" s="28" t="n">
        <f aca="false">IF(OR(N(AB570)&lt;=0,N(N570)=0,N(L570)=0),"",MIN(L570,N570/AB570))</f>
        <v>20.9375</v>
      </c>
      <c r="AD570" s="29" t="n">
        <f aca="false">IF(OR(AC570="",N(O570)=0),"",AC570/O570-1)</f>
        <v>-0.0338024919243194</v>
      </c>
      <c r="AE570" s="29" t="n">
        <f aca="false">IF(OR(AD570="",N(O570)=0),"",AD570+N570/O570)</f>
        <v>0.0434933087217351</v>
      </c>
      <c r="AF570" s="32" t="n">
        <f aca="false">IF(OR(AE570="",N(Z570)=0),"",AE570-Z570)</f>
        <v>0</v>
      </c>
      <c r="AG570" s="28" t="n">
        <f aca="false">IF(AND(N(M570)&gt;0,N(L570)&gt;0),M570*L570,N570)</f>
        <v>1.675</v>
      </c>
      <c r="AH570" s="28" t="n">
        <f aca="false">IF(OR(N(AB570)&lt;=0,N(AG570)=0,N(L570)=0),"",MIN(L570,AG570/AB570))</f>
        <v>20.9375</v>
      </c>
      <c r="AI570" s="29" t="n">
        <f aca="false">IF(OR(AH570="",N(O570)=0),"",AH570/O570-1)</f>
        <v>-0.0338024919243194</v>
      </c>
      <c r="AJ570" s="29" t="n">
        <f aca="false">IF(OR(AI570="",N(O570)=0),"",AI570+AG570/O570)</f>
        <v>0.0434933087217351</v>
      </c>
      <c r="AK570" s="32" t="n">
        <f aca="false">IF(OR(AJ570="",N(AE570)=0),"",AJ570-AE570)</f>
        <v>0</v>
      </c>
      <c r="AL570" s="33" t="n">
        <f aca="false">IF(N(F570)=0,"",INDEX(Inputs!$B$28:$B$32,IFERROR(MATCH(F570,Inputs!$A$28:$A$32,1),0)+1))</f>
        <v>0.085</v>
      </c>
      <c r="AM570" s="34"/>
      <c r="AN570" s="33" t="n">
        <f aca="false">IF(N(AM570)&gt;0,AM570,AL570)</f>
        <v>0.085</v>
      </c>
      <c r="AO570" s="29" t="n">
        <f aca="false">IF(N(AN570)=0,"",AN570+IF(I570="yes",AN570*Inputs!$B$10*Inputs!$B$9,0)+IFERROR(INDEX(Inputs!$B$13:$B$15,MATCH(G570,Inputs!$A$13:$A$15,0)),0)+IFERROR(INDEX(Inputs!$B$18:$B$24,MATCH(H570,Inputs!$A$18:$A$24,0)),0))</f>
        <v>0.08</v>
      </c>
      <c r="AP570" s="28" t="n">
        <f aca="false">IF(OR(N(AO570)&lt;=0,N(AG570)=0,N(L570)=0),"",MIN(L570,AG570/AO570))</f>
        <v>20.9375</v>
      </c>
      <c r="AQ570" s="29" t="n">
        <f aca="false">IF(OR(AP570="",N(O570)=0),"",AP570/O570-1)</f>
        <v>-0.0338024919243194</v>
      </c>
      <c r="AR570" s="29" t="n">
        <f aca="false">IF(OR(AQ570="",N(O570)=0),"",AQ570+AG570/O570)</f>
        <v>0.0434933087217351</v>
      </c>
      <c r="AS570" s="32" t="n">
        <f aca="false">IF(OR(AR570="",N(AJ570)=0),"",AR570-AJ570)</f>
        <v>0</v>
      </c>
      <c r="AT570" s="28" t="n">
        <v>25</v>
      </c>
      <c r="AU570" s="28" t="n">
        <v>1.68</v>
      </c>
      <c r="AV570" s="28" t="n">
        <f aca="false">IF(N(AT570)&gt;0,AT570,L570)</f>
        <v>25</v>
      </c>
      <c r="AW570" s="28" t="n">
        <f aca="false">IF(AND(N(M570)&gt;0,N(AV570)&gt;0),M570*AV570,IF(N(AU570)&gt;0,AU570,N570))</f>
        <v>1.675</v>
      </c>
      <c r="AX570" s="29" t="n">
        <f aca="false">IF(N(AN570)=0,"",AN570+IF(I570="yes",AN570*Inputs!$B$10*Inputs!$B$9,0)+IFERROR(INDEX(Inputs!$B$13:$B$15,MATCH(G570,Inputs!$A$13:$A$15,0)),0)+IFERROR(INDEX(Inputs!$B$18:$B$24,MATCH(H570,Inputs!$A$18:$A$24,0)),0))</f>
        <v>0.08</v>
      </c>
      <c r="AY570" s="28" t="n">
        <f aca="false">IF(OR(N(AX570)&lt;=0,N(AW570)=0,N(AV570)=0),"",MIN(AV570,AW570/AX570))</f>
        <v>20.9375</v>
      </c>
      <c r="AZ570" s="29" t="n">
        <f aca="false">IF(OR(AY570="",N(O570)=0),"",AY570/O570-1)</f>
        <v>-0.0338024919243194</v>
      </c>
      <c r="BA570" s="29" t="n">
        <f aca="false">IF(OR(AZ570="",N(O570)=0),"",AZ570+AW570/O570)</f>
        <v>0.0434933087217351</v>
      </c>
      <c r="BB570" s="32" t="n">
        <f aca="false">IF(OR(BA570="",N(AR570)=0),"",BA570-AR570)</f>
        <v>0</v>
      </c>
      <c r="BC570" s="35" t="n">
        <f aca="false">IF(OR(BA570="",N(U570)=0),"",BA570-U570)</f>
        <v>0</v>
      </c>
      <c r="BD570" s="37"/>
    </row>
    <row r="571" customFormat="false" ht="15" hidden="false" customHeight="false" outlineLevel="0" collapsed="false">
      <c r="A571" s="2" t="s">
        <v>1067</v>
      </c>
      <c r="B571" s="2" t="n">
        <v>159</v>
      </c>
      <c r="C571" s="2" t="s">
        <v>1187</v>
      </c>
      <c r="D571" s="2" t="s">
        <v>1188</v>
      </c>
      <c r="E571" s="2" t="s">
        <v>1189</v>
      </c>
      <c r="F571" s="27" t="n">
        <v>39600</v>
      </c>
      <c r="G571" s="2" t="s">
        <v>51</v>
      </c>
      <c r="H571" s="2" t="s">
        <v>58</v>
      </c>
      <c r="I571" s="2" t="s">
        <v>151</v>
      </c>
      <c r="J571" s="2" t="s">
        <v>145</v>
      </c>
      <c r="K571" s="2" t="n">
        <v>4</v>
      </c>
      <c r="L571" s="28" t="n">
        <v>25</v>
      </c>
      <c r="M571" s="29" t="n">
        <v>0.06</v>
      </c>
      <c r="N571" s="28" t="n">
        <v>1.5</v>
      </c>
      <c r="O571" s="28" t="n">
        <v>21.85</v>
      </c>
      <c r="P571" s="2" t="s">
        <v>146</v>
      </c>
      <c r="Q571" s="29" t="n">
        <v>0.085</v>
      </c>
      <c r="R571" s="30" t="n">
        <v>0.08075</v>
      </c>
      <c r="S571" s="31" t="n">
        <v>18.5758513931889</v>
      </c>
      <c r="T571" s="30" t="n">
        <v>-0.149846618160693</v>
      </c>
      <c r="U571" s="30" t="n">
        <v>-0.0811967325771693</v>
      </c>
      <c r="V571" s="29" t="n">
        <v>0</v>
      </c>
      <c r="W571" s="29" t="n">
        <f aca="false">IF(N(Q571)=0,"",Q571+IF(I571="yes",Q571*Inputs!$B$10*Inputs!$B$9,0)+V571)</f>
        <v>0.08075</v>
      </c>
      <c r="X571" s="28" t="n">
        <f aca="false">IF(OR(N(W571)&lt;=0,N(N571)=0,N(L571)=0),"",MIN(L571,N571/W571))</f>
        <v>18.5758513931889</v>
      </c>
      <c r="Y571" s="29" t="n">
        <f aca="false">IF(OR(X571="",N(O571)=0),"",X571/O571-1)</f>
        <v>-0.149846618160693</v>
      </c>
      <c r="Z571" s="29" t="n">
        <f aca="false">IF(OR(Y571="",N(O571)=0),"",Y571+N571/O571)</f>
        <v>-0.0811967325771693</v>
      </c>
      <c r="AA571" s="32" t="n">
        <f aca="false">IF(OR(Z571="",N(U571)=0),"",Z571-U571)</f>
        <v>0</v>
      </c>
      <c r="AB571" s="29" t="n">
        <f aca="false">IF(N(Q571)=0,"",Q571+IF(I571="yes",Q571*Inputs!$B$10*Inputs!$B$9,0)+IFERROR(INDEX(Inputs!$B$13:$B$15,MATCH(G571,Inputs!$A$13:$A$15,0)),0)+IFERROR(INDEX(Inputs!$B$18:$B$24,MATCH(H571,Inputs!$A$18:$A$24,0)),0))</f>
        <v>0.08075</v>
      </c>
      <c r="AC571" s="28" t="n">
        <f aca="false">IF(OR(N(AB571)&lt;=0,N(N571)=0,N(L571)=0),"",MIN(L571,N571/AB571))</f>
        <v>18.5758513931889</v>
      </c>
      <c r="AD571" s="29" t="n">
        <f aca="false">IF(OR(AC571="",N(O571)=0),"",AC571/O571-1)</f>
        <v>-0.149846618160693</v>
      </c>
      <c r="AE571" s="29" t="n">
        <f aca="false">IF(OR(AD571="",N(O571)=0),"",AD571+N571/O571)</f>
        <v>-0.0811967325771693</v>
      </c>
      <c r="AF571" s="32" t="n">
        <f aca="false">IF(OR(AE571="",N(Z571)=0),"",AE571-Z571)</f>
        <v>0</v>
      </c>
      <c r="AG571" s="28" t="n">
        <f aca="false">IF(AND(N(M571)&gt;0,N(L571)&gt;0),M571*L571,N571)</f>
        <v>1.5</v>
      </c>
      <c r="AH571" s="28" t="n">
        <f aca="false">IF(OR(N(AB571)&lt;=0,N(AG571)=0,N(L571)=0),"",MIN(L571,AG571/AB571))</f>
        <v>18.5758513931889</v>
      </c>
      <c r="AI571" s="29" t="n">
        <f aca="false">IF(OR(AH571="",N(O571)=0),"",AH571/O571-1)</f>
        <v>-0.149846618160693</v>
      </c>
      <c r="AJ571" s="29" t="n">
        <f aca="false">IF(OR(AI571="",N(O571)=0),"",AI571+AG571/O571)</f>
        <v>-0.0811967325771693</v>
      </c>
      <c r="AK571" s="32" t="n">
        <f aca="false">IF(OR(AJ571="",N(AE571)=0),"",AJ571-AE571)</f>
        <v>0</v>
      </c>
      <c r="AL571" s="33" t="n">
        <f aca="false">IF(N(F571)=0,"",INDEX(Inputs!$B$28:$B$32,IFERROR(MATCH(F571,Inputs!$A$28:$A$32,1),0)+1))</f>
        <v>0.075</v>
      </c>
      <c r="AM571" s="34"/>
      <c r="AN571" s="33" t="n">
        <f aca="false">IF(N(AM571)&gt;0,AM571,AL571)</f>
        <v>0.075</v>
      </c>
      <c r="AO571" s="29" t="n">
        <f aca="false">IF(N(AN571)=0,"",AN571+IF(I571="yes",AN571*Inputs!$B$10*Inputs!$B$9,0)+IFERROR(INDEX(Inputs!$B$13:$B$15,MATCH(G571,Inputs!$A$13:$A$15,0)),0)+IFERROR(INDEX(Inputs!$B$18:$B$24,MATCH(H571,Inputs!$A$18:$A$24,0)),0))</f>
        <v>0.07125</v>
      </c>
      <c r="AP571" s="28" t="n">
        <f aca="false">IF(OR(N(AO571)&lt;=0,N(AG571)=0,N(L571)=0),"",MIN(L571,AG571/AO571))</f>
        <v>21.0526315789474</v>
      </c>
      <c r="AQ571" s="29" t="n">
        <f aca="false">IF(OR(AP571="",N(O571)=0),"",AP571/O571-1)</f>
        <v>-0.0364928339154522</v>
      </c>
      <c r="AR571" s="29" t="n">
        <f aca="false">IF(OR(AQ571="",N(O571)=0),"",AQ571+AG571/O571)</f>
        <v>0.0321570516680718</v>
      </c>
      <c r="AS571" s="32" t="n">
        <f aca="false">IF(OR(AR571="",N(AJ571)=0),"",AR571-AJ571)</f>
        <v>0.113353784245241</v>
      </c>
      <c r="AT571" s="28" t="n">
        <v>25</v>
      </c>
      <c r="AU571" s="28" t="n">
        <v>1.5</v>
      </c>
      <c r="AV571" s="28" t="n">
        <f aca="false">IF(N(AT571)&gt;0,AT571,L571)</f>
        <v>25</v>
      </c>
      <c r="AW571" s="28" t="n">
        <f aca="false">IF(AND(N(M571)&gt;0,N(AV571)&gt;0),M571*AV571,IF(N(AU571)&gt;0,AU571,N571))</f>
        <v>1.5</v>
      </c>
      <c r="AX571" s="29" t="n">
        <f aca="false">IF(N(AN571)=0,"",AN571+IF(I571="yes",AN571*Inputs!$B$10*Inputs!$B$9,0)+IFERROR(INDEX(Inputs!$B$13:$B$15,MATCH(G571,Inputs!$A$13:$A$15,0)),0)+IFERROR(INDEX(Inputs!$B$18:$B$24,MATCH(H571,Inputs!$A$18:$A$24,0)),0))</f>
        <v>0.07125</v>
      </c>
      <c r="AY571" s="28" t="n">
        <f aca="false">IF(OR(N(AX571)&lt;=0,N(AW571)=0,N(AV571)=0),"",MIN(AV571,AW571/AX571))</f>
        <v>21.0526315789474</v>
      </c>
      <c r="AZ571" s="29" t="n">
        <f aca="false">IF(OR(AY571="",N(O571)=0),"",AY571/O571-1)</f>
        <v>-0.0364928339154522</v>
      </c>
      <c r="BA571" s="29" t="n">
        <f aca="false">IF(OR(AZ571="",N(O571)=0),"",AZ571+AW571/O571)</f>
        <v>0.0321570516680718</v>
      </c>
      <c r="BB571" s="32" t="n">
        <f aca="false">IF(OR(BA571="",N(AR571)=0),"",BA571-AR571)</f>
        <v>0</v>
      </c>
      <c r="BC571" s="35" t="n">
        <f aca="false">IF(OR(BA571="",N(U571)=0),"",BA571-U571)</f>
        <v>0.113353784245241</v>
      </c>
      <c r="BD571" s="37"/>
    </row>
    <row r="572" customFormat="false" ht="15" hidden="false" customHeight="false" outlineLevel="0" collapsed="false">
      <c r="A572" s="2" t="s">
        <v>1067</v>
      </c>
      <c r="B572" s="2" t="n">
        <v>160</v>
      </c>
      <c r="C572" s="2" t="s">
        <v>1190</v>
      </c>
      <c r="D572" s="2" t="s">
        <v>1188</v>
      </c>
      <c r="E572" s="2" t="s">
        <v>1189</v>
      </c>
      <c r="F572" s="27" t="n">
        <v>39600</v>
      </c>
      <c r="G572" s="2" t="s">
        <v>51</v>
      </c>
      <c r="H572" s="2" t="s">
        <v>58</v>
      </c>
      <c r="I572" s="2" t="s">
        <v>151</v>
      </c>
      <c r="J572" s="2" t="s">
        <v>145</v>
      </c>
      <c r="K572" s="2" t="n">
        <v>4</v>
      </c>
      <c r="L572" s="28" t="n">
        <v>25</v>
      </c>
      <c r="M572" s="29" t="n">
        <v>0.055</v>
      </c>
      <c r="N572" s="28" t="n">
        <v>1.375</v>
      </c>
      <c r="O572" s="28" t="n">
        <v>19.9</v>
      </c>
      <c r="P572" s="2" t="s">
        <v>146</v>
      </c>
      <c r="Q572" s="29" t="n">
        <v>0.085</v>
      </c>
      <c r="R572" s="30" t="n">
        <v>0.08075</v>
      </c>
      <c r="S572" s="31" t="n">
        <v>17.0278637770898</v>
      </c>
      <c r="T572" s="30" t="n">
        <v>-0.144328453412574</v>
      </c>
      <c r="U572" s="30" t="n">
        <v>-0.0752329760256391</v>
      </c>
      <c r="V572" s="29" t="n">
        <v>0</v>
      </c>
      <c r="W572" s="29" t="n">
        <f aca="false">IF(N(Q572)=0,"",Q572+IF(I572="yes",Q572*Inputs!$B$10*Inputs!$B$9,0)+V572)</f>
        <v>0.08075</v>
      </c>
      <c r="X572" s="28" t="n">
        <f aca="false">IF(OR(N(W572)&lt;=0,N(N572)=0,N(L572)=0),"",MIN(L572,N572/W572))</f>
        <v>17.0278637770898</v>
      </c>
      <c r="Y572" s="29" t="n">
        <f aca="false">IF(OR(X572="",N(O572)=0),"",X572/O572-1)</f>
        <v>-0.144328453412574</v>
      </c>
      <c r="Z572" s="29" t="n">
        <f aca="false">IF(OR(Y572="",N(O572)=0),"",Y572+N572/O572)</f>
        <v>-0.0752329760256389</v>
      </c>
      <c r="AA572" s="32" t="n">
        <f aca="false">IF(OR(Z572="",N(U572)=0),"",Z572-U572)</f>
        <v>0</v>
      </c>
      <c r="AB572" s="29" t="n">
        <f aca="false">IF(N(Q572)=0,"",Q572+IF(I572="yes",Q572*Inputs!$B$10*Inputs!$B$9,0)+IFERROR(INDEX(Inputs!$B$13:$B$15,MATCH(G572,Inputs!$A$13:$A$15,0)),0)+IFERROR(INDEX(Inputs!$B$18:$B$24,MATCH(H572,Inputs!$A$18:$A$24,0)),0))</f>
        <v>0.08075</v>
      </c>
      <c r="AC572" s="28" t="n">
        <f aca="false">IF(OR(N(AB572)&lt;=0,N(N572)=0,N(L572)=0),"",MIN(L572,N572/AB572))</f>
        <v>17.0278637770898</v>
      </c>
      <c r="AD572" s="29" t="n">
        <f aca="false">IF(OR(AC572="",N(O572)=0),"",AC572/O572-1)</f>
        <v>-0.144328453412574</v>
      </c>
      <c r="AE572" s="29" t="n">
        <f aca="false">IF(OR(AD572="",N(O572)=0),"",AD572+N572/O572)</f>
        <v>-0.0752329760256389</v>
      </c>
      <c r="AF572" s="32" t="n">
        <f aca="false">IF(OR(AE572="",N(Z572)=0),"",AE572-Z572)</f>
        <v>0</v>
      </c>
      <c r="AG572" s="28" t="n">
        <f aca="false">IF(AND(N(M572)&gt;0,N(L572)&gt;0),M572*L572,N572)</f>
        <v>1.375</v>
      </c>
      <c r="AH572" s="28" t="n">
        <f aca="false">IF(OR(N(AB572)&lt;=0,N(AG572)=0,N(L572)=0),"",MIN(L572,AG572/AB572))</f>
        <v>17.0278637770898</v>
      </c>
      <c r="AI572" s="29" t="n">
        <f aca="false">IF(OR(AH572="",N(O572)=0),"",AH572/O572-1)</f>
        <v>-0.144328453412574</v>
      </c>
      <c r="AJ572" s="29" t="n">
        <f aca="false">IF(OR(AI572="",N(O572)=0),"",AI572+AG572/O572)</f>
        <v>-0.0752329760256389</v>
      </c>
      <c r="AK572" s="32" t="n">
        <f aca="false">IF(OR(AJ572="",N(AE572)=0),"",AJ572-AE572)</f>
        <v>0</v>
      </c>
      <c r="AL572" s="33" t="n">
        <f aca="false">IF(N(F572)=0,"",INDEX(Inputs!$B$28:$B$32,IFERROR(MATCH(F572,Inputs!$A$28:$A$32,1),0)+1))</f>
        <v>0.075</v>
      </c>
      <c r="AM572" s="34"/>
      <c r="AN572" s="33" t="n">
        <f aca="false">IF(N(AM572)&gt;0,AM572,AL572)</f>
        <v>0.075</v>
      </c>
      <c r="AO572" s="29" t="n">
        <f aca="false">IF(N(AN572)=0,"",AN572+IF(I572="yes",AN572*Inputs!$B$10*Inputs!$B$9,0)+IFERROR(INDEX(Inputs!$B$13:$B$15,MATCH(G572,Inputs!$A$13:$A$15,0)),0)+IFERROR(INDEX(Inputs!$B$18:$B$24,MATCH(H572,Inputs!$A$18:$A$24,0)),0))</f>
        <v>0.07125</v>
      </c>
      <c r="AP572" s="28" t="n">
        <f aca="false">IF(OR(N(AO572)&lt;=0,N(AG572)=0,N(L572)=0),"",MIN(L572,AG572/AO572))</f>
        <v>19.2982456140351</v>
      </c>
      <c r="AQ572" s="29" t="n">
        <f aca="false">IF(OR(AP572="",N(O572)=0),"",AP572/O572-1)</f>
        <v>-0.0302389138675834</v>
      </c>
      <c r="AR572" s="29" t="n">
        <f aca="false">IF(OR(AQ572="",N(O572)=0),"",AQ572+AG572/O572)</f>
        <v>0.0388565635193513</v>
      </c>
      <c r="AS572" s="32" t="n">
        <f aca="false">IF(OR(AR572="",N(AJ572)=0),"",AR572-AJ572)</f>
        <v>0.11408953954499</v>
      </c>
      <c r="AT572" s="28" t="n">
        <v>25</v>
      </c>
      <c r="AU572" s="28" t="n">
        <v>1.38</v>
      </c>
      <c r="AV572" s="28" t="n">
        <f aca="false">IF(N(AT572)&gt;0,AT572,L572)</f>
        <v>25</v>
      </c>
      <c r="AW572" s="28" t="n">
        <f aca="false">IF(AND(N(M572)&gt;0,N(AV572)&gt;0),M572*AV572,IF(N(AU572)&gt;0,AU572,N572))</f>
        <v>1.375</v>
      </c>
      <c r="AX572" s="29" t="n">
        <f aca="false">IF(N(AN572)=0,"",AN572+IF(I572="yes",AN572*Inputs!$B$10*Inputs!$B$9,0)+IFERROR(INDEX(Inputs!$B$13:$B$15,MATCH(G572,Inputs!$A$13:$A$15,0)),0)+IFERROR(INDEX(Inputs!$B$18:$B$24,MATCH(H572,Inputs!$A$18:$A$24,0)),0))</f>
        <v>0.07125</v>
      </c>
      <c r="AY572" s="28" t="n">
        <f aca="false">IF(OR(N(AX572)&lt;=0,N(AW572)=0,N(AV572)=0),"",MIN(AV572,AW572/AX572))</f>
        <v>19.2982456140351</v>
      </c>
      <c r="AZ572" s="29" t="n">
        <f aca="false">IF(OR(AY572="",N(O572)=0),"",AY572/O572-1)</f>
        <v>-0.0302389138675834</v>
      </c>
      <c r="BA572" s="29" t="n">
        <f aca="false">IF(OR(AZ572="",N(O572)=0),"",AZ572+AW572/O572)</f>
        <v>0.0388565635193513</v>
      </c>
      <c r="BB572" s="32" t="n">
        <f aca="false">IF(OR(BA572="",N(AR572)=0),"",BA572-AR572)</f>
        <v>0</v>
      </c>
      <c r="BC572" s="35" t="n">
        <f aca="false">IF(OR(BA572="",N(U572)=0),"",BA572-U572)</f>
        <v>0.11408953954499</v>
      </c>
      <c r="BD572" s="37"/>
    </row>
    <row r="573" customFormat="false" ht="15" hidden="false" customHeight="false" outlineLevel="0" collapsed="false">
      <c r="A573" s="2" t="s">
        <v>1067</v>
      </c>
      <c r="B573" s="2" t="n">
        <v>161</v>
      </c>
      <c r="C573" s="2" t="s">
        <v>1191</v>
      </c>
      <c r="D573" s="2" t="s">
        <v>1188</v>
      </c>
      <c r="E573" s="2" t="s">
        <v>1189</v>
      </c>
      <c r="F573" s="27" t="n">
        <v>39600</v>
      </c>
      <c r="G573" s="2" t="s">
        <v>51</v>
      </c>
      <c r="H573" s="2" t="s">
        <v>58</v>
      </c>
      <c r="I573" s="2" t="s">
        <v>151</v>
      </c>
      <c r="J573" s="2" t="s">
        <v>145</v>
      </c>
      <c r="K573" s="2" t="n">
        <v>4</v>
      </c>
      <c r="L573" s="28" t="n">
        <v>25</v>
      </c>
      <c r="M573" s="29" t="n">
        <v>0.05</v>
      </c>
      <c r="N573" s="28" t="n">
        <v>1.25</v>
      </c>
      <c r="O573" s="28" t="n">
        <v>18.5</v>
      </c>
      <c r="P573" s="2" t="s">
        <v>146</v>
      </c>
      <c r="Q573" s="29" t="n">
        <v>0.085</v>
      </c>
      <c r="R573" s="30" t="n">
        <v>0.08075</v>
      </c>
      <c r="S573" s="31" t="n">
        <v>15.4798761609907</v>
      </c>
      <c r="T573" s="30" t="n">
        <v>-0.163249937243745</v>
      </c>
      <c r="U573" s="30" t="n">
        <v>-0.0956823696761778</v>
      </c>
      <c r="V573" s="29" t="n">
        <v>0</v>
      </c>
      <c r="W573" s="29" t="n">
        <f aca="false">IF(N(Q573)=0,"",Q573+IF(I573="yes",Q573*Inputs!$B$10*Inputs!$B$9,0)+V573)</f>
        <v>0.08075</v>
      </c>
      <c r="X573" s="28" t="n">
        <f aca="false">IF(OR(N(W573)&lt;=0,N(N573)=0,N(L573)=0),"",MIN(L573,N573/W573))</f>
        <v>15.4798761609907</v>
      </c>
      <c r="Y573" s="29" t="n">
        <f aca="false">IF(OR(X573="",N(O573)=0),"",X573/O573-1)</f>
        <v>-0.163249937243745</v>
      </c>
      <c r="Z573" s="29" t="n">
        <f aca="false">IF(OR(Y573="",N(O573)=0),"",Y573+N573/O573)</f>
        <v>-0.0956823696761778</v>
      </c>
      <c r="AA573" s="32" t="n">
        <f aca="false">IF(OR(Z573="",N(U573)=0),"",Z573-U573)</f>
        <v>0</v>
      </c>
      <c r="AB573" s="29" t="n">
        <f aca="false">IF(N(Q573)=0,"",Q573+IF(I573="yes",Q573*Inputs!$B$10*Inputs!$B$9,0)+IFERROR(INDEX(Inputs!$B$13:$B$15,MATCH(G573,Inputs!$A$13:$A$15,0)),0)+IFERROR(INDEX(Inputs!$B$18:$B$24,MATCH(H573,Inputs!$A$18:$A$24,0)),0))</f>
        <v>0.08075</v>
      </c>
      <c r="AC573" s="28" t="n">
        <f aca="false">IF(OR(N(AB573)&lt;=0,N(N573)=0,N(L573)=0),"",MIN(L573,N573/AB573))</f>
        <v>15.4798761609907</v>
      </c>
      <c r="AD573" s="29" t="n">
        <f aca="false">IF(OR(AC573="",N(O573)=0),"",AC573/O573-1)</f>
        <v>-0.163249937243745</v>
      </c>
      <c r="AE573" s="29" t="n">
        <f aca="false">IF(OR(AD573="",N(O573)=0),"",AD573+N573/O573)</f>
        <v>-0.0956823696761778</v>
      </c>
      <c r="AF573" s="32" t="n">
        <f aca="false">IF(OR(AE573="",N(Z573)=0),"",AE573-Z573)</f>
        <v>0</v>
      </c>
      <c r="AG573" s="28" t="n">
        <f aca="false">IF(AND(N(M573)&gt;0,N(L573)&gt;0),M573*L573,N573)</f>
        <v>1.25</v>
      </c>
      <c r="AH573" s="28" t="n">
        <f aca="false">IF(OR(N(AB573)&lt;=0,N(AG573)=0,N(L573)=0),"",MIN(L573,AG573/AB573))</f>
        <v>15.4798761609907</v>
      </c>
      <c r="AI573" s="29" t="n">
        <f aca="false">IF(OR(AH573="",N(O573)=0),"",AH573/O573-1)</f>
        <v>-0.163249937243745</v>
      </c>
      <c r="AJ573" s="29" t="n">
        <f aca="false">IF(OR(AI573="",N(O573)=0),"",AI573+AG573/O573)</f>
        <v>-0.0956823696761778</v>
      </c>
      <c r="AK573" s="32" t="n">
        <f aca="false">IF(OR(AJ573="",N(AE573)=0),"",AJ573-AE573)</f>
        <v>0</v>
      </c>
      <c r="AL573" s="33" t="n">
        <f aca="false">IF(N(F573)=0,"",INDEX(Inputs!$B$28:$B$32,IFERROR(MATCH(F573,Inputs!$A$28:$A$32,1),0)+1))</f>
        <v>0.075</v>
      </c>
      <c r="AM573" s="34"/>
      <c r="AN573" s="33" t="n">
        <f aca="false">IF(N(AM573)&gt;0,AM573,AL573)</f>
        <v>0.075</v>
      </c>
      <c r="AO573" s="29" t="n">
        <f aca="false">IF(N(AN573)=0,"",AN573+IF(I573="yes",AN573*Inputs!$B$10*Inputs!$B$9,0)+IFERROR(INDEX(Inputs!$B$13:$B$15,MATCH(G573,Inputs!$A$13:$A$15,0)),0)+IFERROR(INDEX(Inputs!$B$18:$B$24,MATCH(H573,Inputs!$A$18:$A$24,0)),0))</f>
        <v>0.07125</v>
      </c>
      <c r="AP573" s="28" t="n">
        <f aca="false">IF(OR(N(AO573)&lt;=0,N(AG573)=0,N(L573)=0),"",MIN(L573,AG573/AO573))</f>
        <v>17.5438596491228</v>
      </c>
      <c r="AQ573" s="29" t="n">
        <f aca="false">IF(OR(AP573="",N(O573)=0),"",AP573/O573-1)</f>
        <v>-0.051683262209578</v>
      </c>
      <c r="AR573" s="29" t="n">
        <f aca="false">IF(OR(AQ573="",N(O573)=0),"",AQ573+AG573/O573)</f>
        <v>0.0158843053579896</v>
      </c>
      <c r="AS573" s="32" t="n">
        <f aca="false">IF(OR(AR573="",N(AJ573)=0),"",AR573-AJ573)</f>
        <v>0.111566675034167</v>
      </c>
      <c r="AT573" s="28" t="n">
        <v>25</v>
      </c>
      <c r="AU573" s="28" t="n">
        <v>1.25</v>
      </c>
      <c r="AV573" s="28" t="n">
        <f aca="false">IF(N(AT573)&gt;0,AT573,L573)</f>
        <v>25</v>
      </c>
      <c r="AW573" s="28" t="n">
        <f aca="false">IF(AND(N(M573)&gt;0,N(AV573)&gt;0),M573*AV573,IF(N(AU573)&gt;0,AU573,N573))</f>
        <v>1.25</v>
      </c>
      <c r="AX573" s="29" t="n">
        <f aca="false">IF(N(AN573)=0,"",AN573+IF(I573="yes",AN573*Inputs!$B$10*Inputs!$B$9,0)+IFERROR(INDEX(Inputs!$B$13:$B$15,MATCH(G573,Inputs!$A$13:$A$15,0)),0)+IFERROR(INDEX(Inputs!$B$18:$B$24,MATCH(H573,Inputs!$A$18:$A$24,0)),0))</f>
        <v>0.07125</v>
      </c>
      <c r="AY573" s="28" t="n">
        <f aca="false">IF(OR(N(AX573)&lt;=0,N(AW573)=0,N(AV573)=0),"",MIN(AV573,AW573/AX573))</f>
        <v>17.5438596491228</v>
      </c>
      <c r="AZ573" s="29" t="n">
        <f aca="false">IF(OR(AY573="",N(O573)=0),"",AY573/O573-1)</f>
        <v>-0.051683262209578</v>
      </c>
      <c r="BA573" s="29" t="n">
        <f aca="false">IF(OR(AZ573="",N(O573)=0),"",AZ573+AW573/O573)</f>
        <v>0.0158843053579896</v>
      </c>
      <c r="BB573" s="32" t="n">
        <f aca="false">IF(OR(BA573="",N(AR573)=0),"",BA573-AR573)</f>
        <v>0</v>
      </c>
      <c r="BC573" s="35" t="n">
        <f aca="false">IF(OR(BA573="",N(U573)=0),"",BA573-U573)</f>
        <v>0.111566675034167</v>
      </c>
      <c r="BD573" s="37"/>
    </row>
    <row r="574" customFormat="false" ht="15" hidden="false" customHeight="false" outlineLevel="0" collapsed="false">
      <c r="A574" s="2" t="s">
        <v>1067</v>
      </c>
      <c r="B574" s="2" t="n">
        <v>162</v>
      </c>
      <c r="C574" s="2" t="s">
        <v>1192</v>
      </c>
      <c r="D574" s="2" t="s">
        <v>1188</v>
      </c>
      <c r="E574" s="2" t="s">
        <v>1189</v>
      </c>
      <c r="F574" s="27" t="n">
        <v>39600</v>
      </c>
      <c r="G574" s="2" t="s">
        <v>51</v>
      </c>
      <c r="H574" s="2" t="s">
        <v>58</v>
      </c>
      <c r="I574" s="2" t="s">
        <v>151</v>
      </c>
      <c r="J574" s="2" t="s">
        <v>145</v>
      </c>
      <c r="K574" s="2" t="n">
        <v>4</v>
      </c>
      <c r="L574" s="28" t="n">
        <v>25</v>
      </c>
      <c r="M574" s="29" t="n">
        <v>0.05</v>
      </c>
      <c r="N574" s="28" t="n">
        <v>1.25</v>
      </c>
      <c r="O574" s="28" t="n">
        <v>18.09</v>
      </c>
      <c r="P574" s="2" t="s">
        <v>146</v>
      </c>
      <c r="Q574" s="29" t="n">
        <v>0.085</v>
      </c>
      <c r="R574" s="30" t="n">
        <v>0.08075</v>
      </c>
      <c r="S574" s="31" t="n">
        <v>15.4798761609907</v>
      </c>
      <c r="T574" s="30" t="n">
        <v>-0.144285452681553</v>
      </c>
      <c r="U574" s="30" t="n">
        <v>-0.0751865029855881</v>
      </c>
      <c r="V574" s="29" t="n">
        <v>0</v>
      </c>
      <c r="W574" s="29" t="n">
        <f aca="false">IF(N(Q574)=0,"",Q574+IF(I574="yes",Q574*Inputs!$B$10*Inputs!$B$9,0)+V574)</f>
        <v>0.08075</v>
      </c>
      <c r="X574" s="28" t="n">
        <f aca="false">IF(OR(N(W574)&lt;=0,N(N574)=0,N(L574)=0),"",MIN(L574,N574/W574))</f>
        <v>15.4798761609907</v>
      </c>
      <c r="Y574" s="29" t="n">
        <f aca="false">IF(OR(X574="",N(O574)=0),"",X574/O574-1)</f>
        <v>-0.144285452681553</v>
      </c>
      <c r="Z574" s="29" t="n">
        <f aca="false">IF(OR(Y574="",N(O574)=0),"",Y574+N574/O574)</f>
        <v>-0.0751865029855881</v>
      </c>
      <c r="AA574" s="32" t="n">
        <f aca="false">IF(OR(Z574="",N(U574)=0),"",Z574-U574)</f>
        <v>0</v>
      </c>
      <c r="AB574" s="29" t="n">
        <f aca="false">IF(N(Q574)=0,"",Q574+IF(I574="yes",Q574*Inputs!$B$10*Inputs!$B$9,0)+IFERROR(INDEX(Inputs!$B$13:$B$15,MATCH(G574,Inputs!$A$13:$A$15,0)),0)+IFERROR(INDEX(Inputs!$B$18:$B$24,MATCH(H574,Inputs!$A$18:$A$24,0)),0))</f>
        <v>0.08075</v>
      </c>
      <c r="AC574" s="28" t="n">
        <f aca="false">IF(OR(N(AB574)&lt;=0,N(N574)=0,N(L574)=0),"",MIN(L574,N574/AB574))</f>
        <v>15.4798761609907</v>
      </c>
      <c r="AD574" s="29" t="n">
        <f aca="false">IF(OR(AC574="",N(O574)=0),"",AC574/O574-1)</f>
        <v>-0.144285452681553</v>
      </c>
      <c r="AE574" s="29" t="n">
        <f aca="false">IF(OR(AD574="",N(O574)=0),"",AD574+N574/O574)</f>
        <v>-0.0751865029855881</v>
      </c>
      <c r="AF574" s="32" t="n">
        <f aca="false">IF(OR(AE574="",N(Z574)=0),"",AE574-Z574)</f>
        <v>0</v>
      </c>
      <c r="AG574" s="28" t="n">
        <f aca="false">IF(AND(N(M574)&gt;0,N(L574)&gt;0),M574*L574,N574)</f>
        <v>1.25</v>
      </c>
      <c r="AH574" s="28" t="n">
        <f aca="false">IF(OR(N(AB574)&lt;=0,N(AG574)=0,N(L574)=0),"",MIN(L574,AG574/AB574))</f>
        <v>15.4798761609907</v>
      </c>
      <c r="AI574" s="29" t="n">
        <f aca="false">IF(OR(AH574="",N(O574)=0),"",AH574/O574-1)</f>
        <v>-0.144285452681553</v>
      </c>
      <c r="AJ574" s="29" t="n">
        <f aca="false">IF(OR(AI574="",N(O574)=0),"",AI574+AG574/O574)</f>
        <v>-0.0751865029855881</v>
      </c>
      <c r="AK574" s="32" t="n">
        <f aca="false">IF(OR(AJ574="",N(AE574)=0),"",AJ574-AE574)</f>
        <v>0</v>
      </c>
      <c r="AL574" s="33" t="n">
        <f aca="false">IF(N(F574)=0,"",INDEX(Inputs!$B$28:$B$32,IFERROR(MATCH(F574,Inputs!$A$28:$A$32,1),0)+1))</f>
        <v>0.075</v>
      </c>
      <c r="AM574" s="34"/>
      <c r="AN574" s="33" t="n">
        <f aca="false">IF(N(AM574)&gt;0,AM574,AL574)</f>
        <v>0.075</v>
      </c>
      <c r="AO574" s="29" t="n">
        <f aca="false">IF(N(AN574)=0,"",AN574+IF(I574="yes",AN574*Inputs!$B$10*Inputs!$B$9,0)+IFERROR(INDEX(Inputs!$B$13:$B$15,MATCH(G574,Inputs!$A$13:$A$15,0)),0)+IFERROR(INDEX(Inputs!$B$18:$B$24,MATCH(H574,Inputs!$A$18:$A$24,0)),0))</f>
        <v>0.07125</v>
      </c>
      <c r="AP574" s="28" t="n">
        <f aca="false">IF(OR(N(AO574)&lt;=0,N(AG574)=0,N(L574)=0),"",MIN(L574,AG574/AO574))</f>
        <v>17.5438596491228</v>
      </c>
      <c r="AQ574" s="29" t="n">
        <f aca="false">IF(OR(AP574="",N(O574)=0),"",AP574/O574-1)</f>
        <v>-0.0301901797057597</v>
      </c>
      <c r="AR574" s="29" t="n">
        <f aca="false">IF(OR(AQ574="",N(O574)=0),"",AQ574+AG574/O574)</f>
        <v>0.038908769990205</v>
      </c>
      <c r="AS574" s="32" t="n">
        <f aca="false">IF(OR(AR574="",N(AJ574)=0),"",AR574-AJ574)</f>
        <v>0.114095272975793</v>
      </c>
      <c r="AT574" s="28" t="n">
        <v>25</v>
      </c>
      <c r="AU574" s="28" t="n">
        <v>1.25</v>
      </c>
      <c r="AV574" s="28" t="n">
        <f aca="false">IF(N(AT574)&gt;0,AT574,L574)</f>
        <v>25</v>
      </c>
      <c r="AW574" s="28" t="n">
        <f aca="false">IF(AND(N(M574)&gt;0,N(AV574)&gt;0),M574*AV574,IF(N(AU574)&gt;0,AU574,N574))</f>
        <v>1.25</v>
      </c>
      <c r="AX574" s="29" t="n">
        <f aca="false">IF(N(AN574)=0,"",AN574+IF(I574="yes",AN574*Inputs!$B$10*Inputs!$B$9,0)+IFERROR(INDEX(Inputs!$B$13:$B$15,MATCH(G574,Inputs!$A$13:$A$15,0)),0)+IFERROR(INDEX(Inputs!$B$18:$B$24,MATCH(H574,Inputs!$A$18:$A$24,0)),0))</f>
        <v>0.07125</v>
      </c>
      <c r="AY574" s="28" t="n">
        <f aca="false">IF(OR(N(AX574)&lt;=0,N(AW574)=0,N(AV574)=0),"",MIN(AV574,AW574/AX574))</f>
        <v>17.5438596491228</v>
      </c>
      <c r="AZ574" s="29" t="n">
        <f aca="false">IF(OR(AY574="",N(O574)=0),"",AY574/O574-1)</f>
        <v>-0.0301901797057597</v>
      </c>
      <c r="BA574" s="29" t="n">
        <f aca="false">IF(OR(AZ574="",N(O574)=0),"",AZ574+AW574/O574)</f>
        <v>0.038908769990205</v>
      </c>
      <c r="BB574" s="32" t="n">
        <f aca="false">IF(OR(BA574="",N(AR574)=0),"",BA574-AR574)</f>
        <v>0</v>
      </c>
      <c r="BC574" s="35" t="n">
        <f aca="false">IF(OR(BA574="",N(U574)=0),"",BA574-U574)</f>
        <v>0.114095272975793</v>
      </c>
      <c r="BD574" s="37"/>
    </row>
    <row r="575" customFormat="false" ht="15" hidden="false" customHeight="false" outlineLevel="0" collapsed="false">
      <c r="A575" s="2" t="s">
        <v>1067</v>
      </c>
      <c r="B575" s="2" t="n">
        <v>163</v>
      </c>
      <c r="C575" s="2" t="s">
        <v>1193</v>
      </c>
      <c r="D575" s="2" t="s">
        <v>1188</v>
      </c>
      <c r="E575" s="2" t="s">
        <v>1189</v>
      </c>
      <c r="F575" s="27" t="n">
        <v>39600</v>
      </c>
      <c r="G575" s="2" t="s">
        <v>51</v>
      </c>
      <c r="H575" s="2" t="s">
        <v>58</v>
      </c>
      <c r="I575" s="2" t="s">
        <v>151</v>
      </c>
      <c r="J575" s="2" t="s">
        <v>145</v>
      </c>
      <c r="K575" s="2" t="n">
        <v>4</v>
      </c>
      <c r="L575" s="28" t="n">
        <v>25</v>
      </c>
      <c r="M575" s="29" t="n">
        <v>0.05</v>
      </c>
      <c r="N575" s="28" t="n">
        <v>1.25</v>
      </c>
      <c r="O575" s="28" t="n">
        <v>18.95</v>
      </c>
      <c r="P575" s="2" t="s">
        <v>146</v>
      </c>
      <c r="Q575" s="29" t="n">
        <v>0.085</v>
      </c>
      <c r="R575" s="30" t="n">
        <v>0.08075</v>
      </c>
      <c r="S575" s="31" t="n">
        <v>15.4798761609907</v>
      </c>
      <c r="T575" s="30" t="n">
        <v>-0.183119991504448</v>
      </c>
      <c r="U575" s="30" t="n">
        <v>-0.117156930818432</v>
      </c>
      <c r="V575" s="29" t="n">
        <v>0</v>
      </c>
      <c r="W575" s="29" t="n">
        <f aca="false">IF(N(Q575)=0,"",Q575+IF(I575="yes",Q575*Inputs!$B$10*Inputs!$B$9,0)+V575)</f>
        <v>0.08075</v>
      </c>
      <c r="X575" s="28" t="n">
        <f aca="false">IF(OR(N(W575)&lt;=0,N(N575)=0,N(L575)=0),"",MIN(L575,N575/W575))</f>
        <v>15.4798761609907</v>
      </c>
      <c r="Y575" s="29" t="n">
        <f aca="false">IF(OR(X575="",N(O575)=0),"",X575/O575-1)</f>
        <v>-0.183119991504448</v>
      </c>
      <c r="Z575" s="29" t="n">
        <f aca="false">IF(OR(Y575="",N(O575)=0),"",Y575+N575/O575)</f>
        <v>-0.117156930818432</v>
      </c>
      <c r="AA575" s="32" t="n">
        <f aca="false">IF(OR(Z575="",N(U575)=0),"",Z575-U575)</f>
        <v>0</v>
      </c>
      <c r="AB575" s="29" t="n">
        <f aca="false">IF(N(Q575)=0,"",Q575+IF(I575="yes",Q575*Inputs!$B$10*Inputs!$B$9,0)+IFERROR(INDEX(Inputs!$B$13:$B$15,MATCH(G575,Inputs!$A$13:$A$15,0)),0)+IFERROR(INDEX(Inputs!$B$18:$B$24,MATCH(H575,Inputs!$A$18:$A$24,0)),0))</f>
        <v>0.08075</v>
      </c>
      <c r="AC575" s="28" t="n">
        <f aca="false">IF(OR(N(AB575)&lt;=0,N(N575)=0,N(L575)=0),"",MIN(L575,N575/AB575))</f>
        <v>15.4798761609907</v>
      </c>
      <c r="AD575" s="29" t="n">
        <f aca="false">IF(OR(AC575="",N(O575)=0),"",AC575/O575-1)</f>
        <v>-0.183119991504448</v>
      </c>
      <c r="AE575" s="29" t="n">
        <f aca="false">IF(OR(AD575="",N(O575)=0),"",AD575+N575/O575)</f>
        <v>-0.117156930818432</v>
      </c>
      <c r="AF575" s="32" t="n">
        <f aca="false">IF(OR(AE575="",N(Z575)=0),"",AE575-Z575)</f>
        <v>0</v>
      </c>
      <c r="AG575" s="28" t="n">
        <f aca="false">IF(AND(N(M575)&gt;0,N(L575)&gt;0),M575*L575,N575)</f>
        <v>1.25</v>
      </c>
      <c r="AH575" s="28" t="n">
        <f aca="false">IF(OR(N(AB575)&lt;=0,N(AG575)=0,N(L575)=0),"",MIN(L575,AG575/AB575))</f>
        <v>15.4798761609907</v>
      </c>
      <c r="AI575" s="29" t="n">
        <f aca="false">IF(OR(AH575="",N(O575)=0),"",AH575/O575-1)</f>
        <v>-0.183119991504448</v>
      </c>
      <c r="AJ575" s="29" t="n">
        <f aca="false">IF(OR(AI575="",N(O575)=0),"",AI575+AG575/O575)</f>
        <v>-0.117156930818432</v>
      </c>
      <c r="AK575" s="32" t="n">
        <f aca="false">IF(OR(AJ575="",N(AE575)=0),"",AJ575-AE575)</f>
        <v>0</v>
      </c>
      <c r="AL575" s="33" t="n">
        <f aca="false">IF(N(F575)=0,"",INDEX(Inputs!$B$28:$B$32,IFERROR(MATCH(F575,Inputs!$A$28:$A$32,1),0)+1))</f>
        <v>0.075</v>
      </c>
      <c r="AM575" s="34"/>
      <c r="AN575" s="33" t="n">
        <f aca="false">IF(N(AM575)&gt;0,AM575,AL575)</f>
        <v>0.075</v>
      </c>
      <c r="AO575" s="29" t="n">
        <f aca="false">IF(N(AN575)=0,"",AN575+IF(I575="yes",AN575*Inputs!$B$10*Inputs!$B$9,0)+IFERROR(INDEX(Inputs!$B$13:$B$15,MATCH(G575,Inputs!$A$13:$A$15,0)),0)+IFERROR(INDEX(Inputs!$B$18:$B$24,MATCH(H575,Inputs!$A$18:$A$24,0)),0))</f>
        <v>0.07125</v>
      </c>
      <c r="AP575" s="28" t="n">
        <f aca="false">IF(OR(N(AO575)&lt;=0,N(AG575)=0,N(L575)=0),"",MIN(L575,AG575/AO575))</f>
        <v>17.5438596491228</v>
      </c>
      <c r="AQ575" s="29" t="n">
        <f aca="false">IF(OR(AP575="",N(O575)=0),"",AP575/O575-1)</f>
        <v>-0.0742026570383743</v>
      </c>
      <c r="AR575" s="29" t="n">
        <f aca="false">IF(OR(AQ575="",N(O575)=0),"",AQ575+AG575/O575)</f>
        <v>-0.00823959635235842</v>
      </c>
      <c r="AS575" s="32" t="n">
        <f aca="false">IF(OR(AR575="",N(AJ575)=0),"",AR575-AJ575)</f>
        <v>0.108917334466074</v>
      </c>
      <c r="AT575" s="28" t="n">
        <v>25</v>
      </c>
      <c r="AU575" s="28" t="n">
        <v>1.25</v>
      </c>
      <c r="AV575" s="28" t="n">
        <f aca="false">IF(N(AT575)&gt;0,AT575,L575)</f>
        <v>25</v>
      </c>
      <c r="AW575" s="28" t="n">
        <f aca="false">IF(AND(N(M575)&gt;0,N(AV575)&gt;0),M575*AV575,IF(N(AU575)&gt;0,AU575,N575))</f>
        <v>1.25</v>
      </c>
      <c r="AX575" s="29" t="n">
        <f aca="false">IF(N(AN575)=0,"",AN575+IF(I575="yes",AN575*Inputs!$B$10*Inputs!$B$9,0)+IFERROR(INDEX(Inputs!$B$13:$B$15,MATCH(G575,Inputs!$A$13:$A$15,0)),0)+IFERROR(INDEX(Inputs!$B$18:$B$24,MATCH(H575,Inputs!$A$18:$A$24,0)),0))</f>
        <v>0.07125</v>
      </c>
      <c r="AY575" s="28" t="n">
        <f aca="false">IF(OR(N(AX575)&lt;=0,N(AW575)=0,N(AV575)=0),"",MIN(AV575,AW575/AX575))</f>
        <v>17.5438596491228</v>
      </c>
      <c r="AZ575" s="29" t="n">
        <f aca="false">IF(OR(AY575="",N(O575)=0),"",AY575/O575-1)</f>
        <v>-0.0742026570383743</v>
      </c>
      <c r="BA575" s="29" t="n">
        <f aca="false">IF(OR(AZ575="",N(O575)=0),"",AZ575+AW575/O575)</f>
        <v>-0.00823959635235842</v>
      </c>
      <c r="BB575" s="32" t="n">
        <f aca="false">IF(OR(BA575="",N(AR575)=0),"",BA575-AR575)</f>
        <v>0</v>
      </c>
      <c r="BC575" s="35" t="n">
        <f aca="false">IF(OR(BA575="",N(U575)=0),"",BA575-U575)</f>
        <v>0.108917334466074</v>
      </c>
      <c r="BD575" s="37"/>
    </row>
    <row r="576" customFormat="false" ht="15" hidden="false" customHeight="false" outlineLevel="0" collapsed="false">
      <c r="A576" s="2" t="s">
        <v>1067</v>
      </c>
      <c r="B576" s="2" t="n">
        <v>164</v>
      </c>
      <c r="C576" s="2" t="s">
        <v>1194</v>
      </c>
      <c r="D576" s="2" t="s">
        <v>1188</v>
      </c>
      <c r="E576" s="2" t="s">
        <v>1189</v>
      </c>
      <c r="F576" s="27" t="n">
        <v>39600</v>
      </c>
      <c r="G576" s="2" t="s">
        <v>51</v>
      </c>
      <c r="H576" s="2" t="s">
        <v>58</v>
      </c>
      <c r="I576" s="2" t="s">
        <v>151</v>
      </c>
      <c r="J576" s="2" t="s">
        <v>145</v>
      </c>
      <c r="K576" s="2" t="n">
        <v>4</v>
      </c>
      <c r="L576" s="28" t="n">
        <v>25</v>
      </c>
      <c r="M576" s="29" t="n">
        <v>0.048</v>
      </c>
      <c r="N576" s="28" t="n">
        <v>1.2</v>
      </c>
      <c r="O576" s="28" t="n">
        <v>17.81</v>
      </c>
      <c r="P576" s="2" t="s">
        <v>146</v>
      </c>
      <c r="Q576" s="29" t="n">
        <v>0.085</v>
      </c>
      <c r="R576" s="30" t="n">
        <v>0.08075</v>
      </c>
      <c r="S576" s="31" t="n">
        <v>14.8606811145511</v>
      </c>
      <c r="T576" s="30" t="n">
        <v>-0.165599039048227</v>
      </c>
      <c r="U576" s="30" t="n">
        <v>-0.0982211614513709</v>
      </c>
      <c r="V576" s="29" t="n">
        <v>0</v>
      </c>
      <c r="W576" s="29" t="n">
        <f aca="false">IF(N(Q576)=0,"",Q576+IF(I576="yes",Q576*Inputs!$B$10*Inputs!$B$9,0)+V576)</f>
        <v>0.08075</v>
      </c>
      <c r="X576" s="28" t="n">
        <f aca="false">IF(OR(N(W576)&lt;=0,N(N576)=0,N(L576)=0),"",MIN(L576,N576/W576))</f>
        <v>14.8606811145511</v>
      </c>
      <c r="Y576" s="29" t="n">
        <f aca="false">IF(OR(X576="",N(O576)=0),"",X576/O576-1)</f>
        <v>-0.165599039048227</v>
      </c>
      <c r="Z576" s="29" t="n">
        <f aca="false">IF(OR(Y576="",N(O576)=0),"",Y576+N576/O576)</f>
        <v>-0.0982211614513709</v>
      </c>
      <c r="AA576" s="32" t="n">
        <f aca="false">IF(OR(Z576="",N(U576)=0),"",Z576-U576)</f>
        <v>0</v>
      </c>
      <c r="AB576" s="29" t="n">
        <f aca="false">IF(N(Q576)=0,"",Q576+IF(I576="yes",Q576*Inputs!$B$10*Inputs!$B$9,0)+IFERROR(INDEX(Inputs!$B$13:$B$15,MATCH(G576,Inputs!$A$13:$A$15,0)),0)+IFERROR(INDEX(Inputs!$B$18:$B$24,MATCH(H576,Inputs!$A$18:$A$24,0)),0))</f>
        <v>0.08075</v>
      </c>
      <c r="AC576" s="28" t="n">
        <f aca="false">IF(OR(N(AB576)&lt;=0,N(N576)=0,N(L576)=0),"",MIN(L576,N576/AB576))</f>
        <v>14.8606811145511</v>
      </c>
      <c r="AD576" s="29" t="n">
        <f aca="false">IF(OR(AC576="",N(O576)=0),"",AC576/O576-1)</f>
        <v>-0.165599039048227</v>
      </c>
      <c r="AE576" s="29" t="n">
        <f aca="false">IF(OR(AD576="",N(O576)=0),"",AD576+N576/O576)</f>
        <v>-0.0982211614513709</v>
      </c>
      <c r="AF576" s="32" t="n">
        <f aca="false">IF(OR(AE576="",N(Z576)=0),"",AE576-Z576)</f>
        <v>0</v>
      </c>
      <c r="AG576" s="28" t="n">
        <f aca="false">IF(AND(N(M576)&gt;0,N(L576)&gt;0),M576*L576,N576)</f>
        <v>1.2</v>
      </c>
      <c r="AH576" s="28" t="n">
        <f aca="false">IF(OR(N(AB576)&lt;=0,N(AG576)=0,N(L576)=0),"",MIN(L576,AG576/AB576))</f>
        <v>14.8606811145511</v>
      </c>
      <c r="AI576" s="29" t="n">
        <f aca="false">IF(OR(AH576="",N(O576)=0),"",AH576/O576-1)</f>
        <v>-0.165599039048227</v>
      </c>
      <c r="AJ576" s="29" t="n">
        <f aca="false">IF(OR(AI576="",N(O576)=0),"",AI576+AG576/O576)</f>
        <v>-0.0982211614513709</v>
      </c>
      <c r="AK576" s="32" t="n">
        <f aca="false">IF(OR(AJ576="",N(AE576)=0),"",AJ576-AE576)</f>
        <v>0</v>
      </c>
      <c r="AL576" s="33" t="n">
        <f aca="false">IF(N(F576)=0,"",INDEX(Inputs!$B$28:$B$32,IFERROR(MATCH(F576,Inputs!$A$28:$A$32,1),0)+1))</f>
        <v>0.075</v>
      </c>
      <c r="AM576" s="34"/>
      <c r="AN576" s="33" t="n">
        <f aca="false">IF(N(AM576)&gt;0,AM576,AL576)</f>
        <v>0.075</v>
      </c>
      <c r="AO576" s="29" t="n">
        <f aca="false">IF(N(AN576)=0,"",AN576+IF(I576="yes",AN576*Inputs!$B$10*Inputs!$B$9,0)+IFERROR(INDEX(Inputs!$B$13:$B$15,MATCH(G576,Inputs!$A$13:$A$15,0)),0)+IFERROR(INDEX(Inputs!$B$18:$B$24,MATCH(H576,Inputs!$A$18:$A$24,0)),0))</f>
        <v>0.07125</v>
      </c>
      <c r="AP576" s="28" t="n">
        <f aca="false">IF(OR(N(AO576)&lt;=0,N(AG576)=0,N(L576)=0),"",MIN(L576,AG576/AO576))</f>
        <v>16.8421052631579</v>
      </c>
      <c r="AQ576" s="29" t="n">
        <f aca="false">IF(OR(AP576="",N(O576)=0),"",AP576/O576-1)</f>
        <v>-0.0543455775879902</v>
      </c>
      <c r="AR576" s="29" t="n">
        <f aca="false">IF(OR(AQ576="",N(O576)=0),"",AQ576+AG576/O576)</f>
        <v>0.0130323000088655</v>
      </c>
      <c r="AS576" s="32" t="n">
        <f aca="false">IF(OR(AR576="",N(AJ576)=0),"",AR576-AJ576)</f>
        <v>0.111253461460236</v>
      </c>
      <c r="AT576" s="28" t="n">
        <v>25</v>
      </c>
      <c r="AU576" s="28" t="n">
        <v>1.2</v>
      </c>
      <c r="AV576" s="28" t="n">
        <f aca="false">IF(N(AT576)&gt;0,AT576,L576)</f>
        <v>25</v>
      </c>
      <c r="AW576" s="28" t="n">
        <f aca="false">IF(AND(N(M576)&gt;0,N(AV576)&gt;0),M576*AV576,IF(N(AU576)&gt;0,AU576,N576))</f>
        <v>1.2</v>
      </c>
      <c r="AX576" s="29" t="n">
        <f aca="false">IF(N(AN576)=0,"",AN576+IF(I576="yes",AN576*Inputs!$B$10*Inputs!$B$9,0)+IFERROR(INDEX(Inputs!$B$13:$B$15,MATCH(G576,Inputs!$A$13:$A$15,0)),0)+IFERROR(INDEX(Inputs!$B$18:$B$24,MATCH(H576,Inputs!$A$18:$A$24,0)),0))</f>
        <v>0.07125</v>
      </c>
      <c r="AY576" s="28" t="n">
        <f aca="false">IF(OR(N(AX576)&lt;=0,N(AW576)=0,N(AV576)=0),"",MIN(AV576,AW576/AX576))</f>
        <v>16.8421052631579</v>
      </c>
      <c r="AZ576" s="29" t="n">
        <f aca="false">IF(OR(AY576="",N(O576)=0),"",AY576/O576-1)</f>
        <v>-0.0543455775879902</v>
      </c>
      <c r="BA576" s="29" t="n">
        <f aca="false">IF(OR(AZ576="",N(O576)=0),"",AZ576+AW576/O576)</f>
        <v>0.0130323000088655</v>
      </c>
      <c r="BB576" s="32" t="n">
        <f aca="false">IF(OR(BA576="",N(AR576)=0),"",BA576-AR576)</f>
        <v>0</v>
      </c>
      <c r="BC576" s="35" t="n">
        <f aca="false">IF(OR(BA576="",N(U576)=0),"",BA576-U576)</f>
        <v>0.111253461460236</v>
      </c>
      <c r="BD576" s="37"/>
    </row>
    <row r="577" customFormat="false" ht="15" hidden="false" customHeight="false" outlineLevel="0" collapsed="false">
      <c r="A577" s="2" t="s">
        <v>1067</v>
      </c>
      <c r="B577" s="2" t="n">
        <v>165</v>
      </c>
      <c r="C577" s="2" t="s">
        <v>1195</v>
      </c>
      <c r="D577" s="2" t="s">
        <v>1188</v>
      </c>
      <c r="E577" s="2" t="s">
        <v>1189</v>
      </c>
      <c r="F577" s="27" t="n">
        <v>39600</v>
      </c>
      <c r="G577" s="2" t="s">
        <v>51</v>
      </c>
      <c r="H577" s="2" t="s">
        <v>58</v>
      </c>
      <c r="I577" s="2" t="s">
        <v>151</v>
      </c>
      <c r="J577" s="2" t="s">
        <v>145</v>
      </c>
      <c r="K577" s="2" t="n">
        <v>4</v>
      </c>
      <c r="L577" s="28" t="n">
        <v>25</v>
      </c>
      <c r="M577" s="29" t="n">
        <v>0.045</v>
      </c>
      <c r="N577" s="28" t="n">
        <v>1.125</v>
      </c>
      <c r="O577" s="28" t="n">
        <v>16.5</v>
      </c>
      <c r="P577" s="2" t="s">
        <v>146</v>
      </c>
      <c r="Q577" s="29" t="n">
        <v>0.085</v>
      </c>
      <c r="R577" s="30" t="n">
        <v>0.08075</v>
      </c>
      <c r="S577" s="31" t="n">
        <v>13.9318885448916</v>
      </c>
      <c r="T577" s="30" t="n">
        <v>-0.155643118491416</v>
      </c>
      <c r="U577" s="30" t="n">
        <v>-0.0874613003095976</v>
      </c>
      <c r="V577" s="29" t="n">
        <v>0</v>
      </c>
      <c r="W577" s="29" t="n">
        <f aca="false">IF(N(Q577)=0,"",Q577+IF(I577="yes",Q577*Inputs!$B$10*Inputs!$B$9,0)+V577)</f>
        <v>0.08075</v>
      </c>
      <c r="X577" s="28" t="n">
        <f aca="false">IF(OR(N(W577)&lt;=0,N(N577)=0,N(L577)=0),"",MIN(L577,N577/W577))</f>
        <v>13.9318885448916</v>
      </c>
      <c r="Y577" s="29" t="n">
        <f aca="false">IF(OR(X577="",N(O577)=0),"",X577/O577-1)</f>
        <v>-0.155643118491416</v>
      </c>
      <c r="Z577" s="29" t="n">
        <f aca="false">IF(OR(Y577="",N(O577)=0),"",Y577+N577/O577)</f>
        <v>-0.0874613003095976</v>
      </c>
      <c r="AA577" s="32" t="n">
        <f aca="false">IF(OR(Z577="",N(U577)=0),"",Z577-U577)</f>
        <v>0</v>
      </c>
      <c r="AB577" s="29" t="n">
        <f aca="false">IF(N(Q577)=0,"",Q577+IF(I577="yes",Q577*Inputs!$B$10*Inputs!$B$9,0)+IFERROR(INDEX(Inputs!$B$13:$B$15,MATCH(G577,Inputs!$A$13:$A$15,0)),0)+IFERROR(INDEX(Inputs!$B$18:$B$24,MATCH(H577,Inputs!$A$18:$A$24,0)),0))</f>
        <v>0.08075</v>
      </c>
      <c r="AC577" s="28" t="n">
        <f aca="false">IF(OR(N(AB577)&lt;=0,N(N577)=0,N(L577)=0),"",MIN(L577,N577/AB577))</f>
        <v>13.9318885448916</v>
      </c>
      <c r="AD577" s="29" t="n">
        <f aca="false">IF(OR(AC577="",N(O577)=0),"",AC577/O577-1)</f>
        <v>-0.155643118491416</v>
      </c>
      <c r="AE577" s="29" t="n">
        <f aca="false">IF(OR(AD577="",N(O577)=0),"",AD577+N577/O577)</f>
        <v>-0.0874613003095976</v>
      </c>
      <c r="AF577" s="32" t="n">
        <f aca="false">IF(OR(AE577="",N(Z577)=0),"",AE577-Z577)</f>
        <v>0</v>
      </c>
      <c r="AG577" s="28" t="n">
        <f aca="false">IF(AND(N(M577)&gt;0,N(L577)&gt;0),M577*L577,N577)</f>
        <v>1.125</v>
      </c>
      <c r="AH577" s="28" t="n">
        <f aca="false">IF(OR(N(AB577)&lt;=0,N(AG577)=0,N(L577)=0),"",MIN(L577,AG577/AB577))</f>
        <v>13.9318885448916</v>
      </c>
      <c r="AI577" s="29" t="n">
        <f aca="false">IF(OR(AH577="",N(O577)=0),"",AH577/O577-1)</f>
        <v>-0.155643118491416</v>
      </c>
      <c r="AJ577" s="29" t="n">
        <f aca="false">IF(OR(AI577="",N(O577)=0),"",AI577+AG577/O577)</f>
        <v>-0.0874613003095976</v>
      </c>
      <c r="AK577" s="32" t="n">
        <f aca="false">IF(OR(AJ577="",N(AE577)=0),"",AJ577-AE577)</f>
        <v>0</v>
      </c>
      <c r="AL577" s="33" t="n">
        <f aca="false">IF(N(F577)=0,"",INDEX(Inputs!$B$28:$B$32,IFERROR(MATCH(F577,Inputs!$A$28:$A$32,1),0)+1))</f>
        <v>0.075</v>
      </c>
      <c r="AM577" s="34"/>
      <c r="AN577" s="33" t="n">
        <f aca="false">IF(N(AM577)&gt;0,AM577,AL577)</f>
        <v>0.075</v>
      </c>
      <c r="AO577" s="29" t="n">
        <f aca="false">IF(N(AN577)=0,"",AN577+IF(I577="yes",AN577*Inputs!$B$10*Inputs!$B$9,0)+IFERROR(INDEX(Inputs!$B$13:$B$15,MATCH(G577,Inputs!$A$13:$A$15,0)),0)+IFERROR(INDEX(Inputs!$B$18:$B$24,MATCH(H577,Inputs!$A$18:$A$24,0)),0))</f>
        <v>0.07125</v>
      </c>
      <c r="AP577" s="28" t="n">
        <f aca="false">IF(OR(N(AO577)&lt;=0,N(AG577)=0,N(L577)=0),"",MIN(L577,AG577/AO577))</f>
        <v>15.7894736842105</v>
      </c>
      <c r="AQ577" s="29" t="n">
        <f aca="false">IF(OR(AP577="",N(O577)=0),"",AP577/O577-1)</f>
        <v>-0.0430622009569377</v>
      </c>
      <c r="AR577" s="29" t="n">
        <f aca="false">IF(OR(AQ577="",N(O577)=0),"",AQ577+AG577/O577)</f>
        <v>0.0251196172248805</v>
      </c>
      <c r="AS577" s="32" t="n">
        <f aca="false">IF(OR(AR577="",N(AJ577)=0),"",AR577-AJ577)</f>
        <v>0.112580917534478</v>
      </c>
      <c r="AT577" s="28" t="n">
        <v>25</v>
      </c>
      <c r="AU577" s="28" t="n">
        <v>1.13</v>
      </c>
      <c r="AV577" s="28" t="n">
        <f aca="false">IF(N(AT577)&gt;0,AT577,L577)</f>
        <v>25</v>
      </c>
      <c r="AW577" s="28" t="n">
        <f aca="false">IF(AND(N(M577)&gt;0,N(AV577)&gt;0),M577*AV577,IF(N(AU577)&gt;0,AU577,N577))</f>
        <v>1.125</v>
      </c>
      <c r="AX577" s="29" t="n">
        <f aca="false">IF(N(AN577)=0,"",AN577+IF(I577="yes",AN577*Inputs!$B$10*Inputs!$B$9,0)+IFERROR(INDEX(Inputs!$B$13:$B$15,MATCH(G577,Inputs!$A$13:$A$15,0)),0)+IFERROR(INDEX(Inputs!$B$18:$B$24,MATCH(H577,Inputs!$A$18:$A$24,0)),0))</f>
        <v>0.07125</v>
      </c>
      <c r="AY577" s="28" t="n">
        <f aca="false">IF(OR(N(AX577)&lt;=0,N(AW577)=0,N(AV577)=0),"",MIN(AV577,AW577/AX577))</f>
        <v>15.7894736842105</v>
      </c>
      <c r="AZ577" s="29" t="n">
        <f aca="false">IF(OR(AY577="",N(O577)=0),"",AY577/O577-1)</f>
        <v>-0.0430622009569377</v>
      </c>
      <c r="BA577" s="29" t="n">
        <f aca="false">IF(OR(AZ577="",N(O577)=0),"",AZ577+AW577/O577)</f>
        <v>0.0251196172248805</v>
      </c>
      <c r="BB577" s="32" t="n">
        <f aca="false">IF(OR(BA577="",N(AR577)=0),"",BA577-AR577)</f>
        <v>0</v>
      </c>
      <c r="BC577" s="35" t="n">
        <f aca="false">IF(OR(BA577="",N(U577)=0),"",BA577-U577)</f>
        <v>0.112580917534478</v>
      </c>
      <c r="BD577" s="37"/>
    </row>
    <row r="578" customFormat="false" ht="15" hidden="false" customHeight="false" outlineLevel="0" collapsed="false">
      <c r="A578" s="2" t="s">
        <v>1067</v>
      </c>
      <c r="B578" s="2" t="n">
        <v>166</v>
      </c>
      <c r="C578" s="2" t="s">
        <v>1196</v>
      </c>
      <c r="D578" s="2" t="s">
        <v>1188</v>
      </c>
      <c r="E578" s="2" t="s">
        <v>1189</v>
      </c>
      <c r="F578" s="27" t="n">
        <v>39600</v>
      </c>
      <c r="G578" s="2" t="s">
        <v>51</v>
      </c>
      <c r="H578" s="2" t="s">
        <v>58</v>
      </c>
      <c r="I578" s="2" t="s">
        <v>151</v>
      </c>
      <c r="J578" s="2" t="s">
        <v>145</v>
      </c>
      <c r="K578" s="2" t="n">
        <v>4</v>
      </c>
      <c r="L578" s="28" t="n">
        <v>25</v>
      </c>
      <c r="M578" s="29" t="n">
        <v>0.0436</v>
      </c>
      <c r="N578" s="28" t="n">
        <v>1.09</v>
      </c>
      <c r="O578" s="28" t="n">
        <v>16.95</v>
      </c>
      <c r="P578" s="2" t="s">
        <v>146</v>
      </c>
      <c r="Q578" s="29" t="n">
        <v>0.085</v>
      </c>
      <c r="R578" s="30" t="n">
        <v>0.08075</v>
      </c>
      <c r="S578" s="31" t="n">
        <v>13.4984520123839</v>
      </c>
      <c r="T578" s="30" t="n">
        <v>-0.203631149711864</v>
      </c>
      <c r="U578" s="30" t="n">
        <v>-0.139324365051097</v>
      </c>
      <c r="V578" s="29" t="n">
        <v>0</v>
      </c>
      <c r="W578" s="29" t="n">
        <f aca="false">IF(N(Q578)=0,"",Q578+IF(I578="yes",Q578*Inputs!$B$10*Inputs!$B$9,0)+V578)</f>
        <v>0.08075</v>
      </c>
      <c r="X578" s="28" t="n">
        <f aca="false">IF(OR(N(W578)&lt;=0,N(N578)=0,N(L578)=0),"",MIN(L578,N578/W578))</f>
        <v>13.4984520123839</v>
      </c>
      <c r="Y578" s="29" t="n">
        <f aca="false">IF(OR(X578="",N(O578)=0),"",X578/O578-1)</f>
        <v>-0.203631149711864</v>
      </c>
      <c r="Z578" s="29" t="n">
        <f aca="false">IF(OR(Y578="",N(O578)=0),"",Y578+N578/O578)</f>
        <v>-0.139324365051097</v>
      </c>
      <c r="AA578" s="32" t="n">
        <f aca="false">IF(OR(Z578="",N(U578)=0),"",Z578-U578)</f>
        <v>0</v>
      </c>
      <c r="AB578" s="29" t="n">
        <f aca="false">IF(N(Q578)=0,"",Q578+IF(I578="yes",Q578*Inputs!$B$10*Inputs!$B$9,0)+IFERROR(INDEX(Inputs!$B$13:$B$15,MATCH(G578,Inputs!$A$13:$A$15,0)),0)+IFERROR(INDEX(Inputs!$B$18:$B$24,MATCH(H578,Inputs!$A$18:$A$24,0)),0))</f>
        <v>0.08075</v>
      </c>
      <c r="AC578" s="28" t="n">
        <f aca="false">IF(OR(N(AB578)&lt;=0,N(N578)=0,N(L578)=0),"",MIN(L578,N578/AB578))</f>
        <v>13.4984520123839</v>
      </c>
      <c r="AD578" s="29" t="n">
        <f aca="false">IF(OR(AC578="",N(O578)=0),"",AC578/O578-1)</f>
        <v>-0.203631149711864</v>
      </c>
      <c r="AE578" s="29" t="n">
        <f aca="false">IF(OR(AD578="",N(O578)=0),"",AD578+N578/O578)</f>
        <v>-0.139324365051097</v>
      </c>
      <c r="AF578" s="32" t="n">
        <f aca="false">IF(OR(AE578="",N(Z578)=0),"",AE578-Z578)</f>
        <v>0</v>
      </c>
      <c r="AG578" s="28" t="n">
        <f aca="false">IF(AND(N(M578)&gt;0,N(L578)&gt;0),M578*L578,N578)</f>
        <v>1.09</v>
      </c>
      <c r="AH578" s="28" t="n">
        <f aca="false">IF(OR(N(AB578)&lt;=0,N(AG578)=0,N(L578)=0),"",MIN(L578,AG578/AB578))</f>
        <v>13.4984520123839</v>
      </c>
      <c r="AI578" s="29" t="n">
        <f aca="false">IF(OR(AH578="",N(O578)=0),"",AH578/O578-1)</f>
        <v>-0.203631149711864</v>
      </c>
      <c r="AJ578" s="29" t="n">
        <f aca="false">IF(OR(AI578="",N(O578)=0),"",AI578+AG578/O578)</f>
        <v>-0.139324365051097</v>
      </c>
      <c r="AK578" s="32" t="n">
        <f aca="false">IF(OR(AJ578="",N(AE578)=0),"",AJ578-AE578)</f>
        <v>0</v>
      </c>
      <c r="AL578" s="33" t="n">
        <f aca="false">IF(N(F578)=0,"",INDEX(Inputs!$B$28:$B$32,IFERROR(MATCH(F578,Inputs!$A$28:$A$32,1),0)+1))</f>
        <v>0.075</v>
      </c>
      <c r="AM578" s="34"/>
      <c r="AN578" s="33" t="n">
        <f aca="false">IF(N(AM578)&gt;0,AM578,AL578)</f>
        <v>0.075</v>
      </c>
      <c r="AO578" s="29" t="n">
        <f aca="false">IF(N(AN578)=0,"",AN578+IF(I578="yes",AN578*Inputs!$B$10*Inputs!$B$9,0)+IFERROR(INDEX(Inputs!$B$13:$B$15,MATCH(G578,Inputs!$A$13:$A$15,0)),0)+IFERROR(INDEX(Inputs!$B$18:$B$24,MATCH(H578,Inputs!$A$18:$A$24,0)),0))</f>
        <v>0.07125</v>
      </c>
      <c r="AP578" s="28" t="n">
        <f aca="false">IF(OR(N(AO578)&lt;=0,N(AG578)=0,N(L578)=0),"",MIN(L578,AG578/AO578))</f>
        <v>15.2982456140351</v>
      </c>
      <c r="AQ578" s="29" t="n">
        <f aca="false">IF(OR(AP578="",N(O578)=0),"",AP578/O578-1)</f>
        <v>-0.0974486363401126</v>
      </c>
      <c r="AR578" s="29" t="n">
        <f aca="false">IF(OR(AQ578="",N(O578)=0),"",AQ578+AG578/O578)</f>
        <v>-0.0331418516793456</v>
      </c>
      <c r="AS578" s="32" t="n">
        <f aca="false">IF(OR(AR578="",N(AJ578)=0),"",AR578-AJ578)</f>
        <v>0.106182513371752</v>
      </c>
      <c r="AT578" s="28" t="n">
        <v>25</v>
      </c>
      <c r="AU578" s="28" t="n">
        <v>1.09</v>
      </c>
      <c r="AV578" s="28" t="n">
        <f aca="false">IF(N(AT578)&gt;0,AT578,L578)</f>
        <v>25</v>
      </c>
      <c r="AW578" s="28" t="n">
        <f aca="false">IF(AND(N(M578)&gt;0,N(AV578)&gt;0),M578*AV578,IF(N(AU578)&gt;0,AU578,N578))</f>
        <v>1.09</v>
      </c>
      <c r="AX578" s="29" t="n">
        <f aca="false">IF(N(AN578)=0,"",AN578+IF(I578="yes",AN578*Inputs!$B$10*Inputs!$B$9,0)+IFERROR(INDEX(Inputs!$B$13:$B$15,MATCH(G578,Inputs!$A$13:$A$15,0)),0)+IFERROR(INDEX(Inputs!$B$18:$B$24,MATCH(H578,Inputs!$A$18:$A$24,0)),0))</f>
        <v>0.07125</v>
      </c>
      <c r="AY578" s="28" t="n">
        <f aca="false">IF(OR(N(AX578)&lt;=0,N(AW578)=0,N(AV578)=0),"",MIN(AV578,AW578/AX578))</f>
        <v>15.2982456140351</v>
      </c>
      <c r="AZ578" s="29" t="n">
        <f aca="false">IF(OR(AY578="",N(O578)=0),"",AY578/O578-1)</f>
        <v>-0.0974486363401126</v>
      </c>
      <c r="BA578" s="29" t="n">
        <f aca="false">IF(OR(AZ578="",N(O578)=0),"",AZ578+AW578/O578)</f>
        <v>-0.0331418516793456</v>
      </c>
      <c r="BB578" s="32" t="n">
        <f aca="false">IF(OR(BA578="",N(AR578)=0),"",BA578-AR578)</f>
        <v>0</v>
      </c>
      <c r="BC578" s="35" t="n">
        <f aca="false">IF(OR(BA578="",N(U578)=0),"",BA578-U578)</f>
        <v>0.106182513371752</v>
      </c>
      <c r="BD578" s="37"/>
    </row>
    <row r="579" customFormat="false" ht="15" hidden="false" customHeight="false" outlineLevel="0" collapsed="false">
      <c r="A579" s="2" t="s">
        <v>1067</v>
      </c>
      <c r="B579" s="2" t="n">
        <v>169</v>
      </c>
      <c r="C579" s="2" t="s">
        <v>1197</v>
      </c>
      <c r="D579" s="2" t="s">
        <v>1198</v>
      </c>
      <c r="E579" s="2" t="s">
        <v>1199</v>
      </c>
      <c r="F579" s="27" t="n">
        <v>2100</v>
      </c>
      <c r="G579" s="2" t="s">
        <v>51</v>
      </c>
      <c r="H579" s="2" t="s">
        <v>58</v>
      </c>
      <c r="I579" s="2" t="s">
        <v>144</v>
      </c>
      <c r="J579" s="2" t="s">
        <v>145</v>
      </c>
      <c r="K579" s="2" t="n">
        <v>4</v>
      </c>
      <c r="L579" s="28" t="n">
        <v>25</v>
      </c>
      <c r="M579" s="29" t="n">
        <v>0.06375</v>
      </c>
      <c r="N579" s="28" t="n">
        <v>1.59375</v>
      </c>
      <c r="O579" s="28" t="n">
        <v>19.91</v>
      </c>
      <c r="P579" s="2" t="s">
        <v>237</v>
      </c>
      <c r="Q579" s="29" t="n">
        <v>0.085</v>
      </c>
      <c r="R579" s="30" t="n">
        <v>0.07</v>
      </c>
      <c r="S579" s="31" t="n">
        <v>22.7678571428571</v>
      </c>
      <c r="T579" s="30" t="n">
        <v>0.143538781660329</v>
      </c>
      <c r="U579" s="30" t="n">
        <v>0.223586496376552</v>
      </c>
      <c r="V579" s="29" t="n">
        <v>0</v>
      </c>
      <c r="W579" s="29" t="n">
        <f aca="false">IF(N(Q579)=0,"",Q579+IF(I579="yes",Q579*Inputs!$B$10*Inputs!$B$9,0)+V579)</f>
        <v>0.085</v>
      </c>
      <c r="X579" s="28" t="n">
        <f aca="false">IF(OR(N(W579)&lt;=0,N(N579)=0,N(L579)=0),"",MIN(L579,N579/W579))</f>
        <v>18.75</v>
      </c>
      <c r="Y579" s="29" t="n">
        <f aca="false">IF(OR(X579="",N(O579)=0),"",X579/O579-1)</f>
        <v>-0.0582621798091412</v>
      </c>
      <c r="Z579" s="29" t="n">
        <f aca="false">IF(OR(Y579="",N(O579)=0),"",Y579+N579/O579)</f>
        <v>0.0217855349070818</v>
      </c>
      <c r="AA579" s="32" t="n">
        <f aca="false">IF(OR(Z579="",N(U579)=0),"",Z579-U579)</f>
        <v>-0.20180096146947</v>
      </c>
      <c r="AB579" s="29" t="n">
        <f aca="false">IF(N(Q579)=0,"",Q579+IF(I579="yes",Q579*Inputs!$B$10*Inputs!$B$9,0)+IFERROR(INDEX(Inputs!$B$13:$B$15,MATCH(G579,Inputs!$A$13:$A$15,0)),0)+IFERROR(INDEX(Inputs!$B$18:$B$24,MATCH(H579,Inputs!$A$18:$A$24,0)),0))</f>
        <v>0.085</v>
      </c>
      <c r="AC579" s="28" t="n">
        <f aca="false">IF(OR(N(AB579)&lt;=0,N(N579)=0,N(L579)=0),"",MIN(L579,N579/AB579))</f>
        <v>18.75</v>
      </c>
      <c r="AD579" s="29" t="n">
        <f aca="false">IF(OR(AC579="",N(O579)=0),"",AC579/O579-1)</f>
        <v>-0.0582621798091412</v>
      </c>
      <c r="AE579" s="29" t="n">
        <f aca="false">IF(OR(AD579="",N(O579)=0),"",AD579+N579/O579)</f>
        <v>0.0217855349070818</v>
      </c>
      <c r="AF579" s="32" t="n">
        <f aca="false">IF(OR(AE579="",N(Z579)=0),"",AE579-Z579)</f>
        <v>0</v>
      </c>
      <c r="AG579" s="28" t="n">
        <f aca="false">IF(AND(N(M579)&gt;0,N(L579)&gt;0),M579*L579,N579)</f>
        <v>1.59375</v>
      </c>
      <c r="AH579" s="28" t="n">
        <f aca="false">IF(OR(N(AB579)&lt;=0,N(AG579)=0,N(L579)=0),"",MIN(L579,AG579/AB579))</f>
        <v>18.75</v>
      </c>
      <c r="AI579" s="29" t="n">
        <f aca="false">IF(OR(AH579="",N(O579)=0),"",AH579/O579-1)</f>
        <v>-0.0582621798091412</v>
      </c>
      <c r="AJ579" s="29" t="n">
        <f aca="false">IF(OR(AI579="",N(O579)=0),"",AI579+AG579/O579)</f>
        <v>0.0217855349070818</v>
      </c>
      <c r="AK579" s="32" t="n">
        <f aca="false">IF(OR(AJ579="",N(AE579)=0),"",AJ579-AE579)</f>
        <v>0</v>
      </c>
      <c r="AL579" s="33" t="n">
        <f aca="false">IF(N(F579)=0,"",INDEX(Inputs!$B$28:$B$32,IFERROR(MATCH(F579,Inputs!$A$28:$A$32,1),0)+1))</f>
        <v>0.085</v>
      </c>
      <c r="AM579" s="34" t="n">
        <v>0.07</v>
      </c>
      <c r="AN579" s="33" t="n">
        <f aca="false">IF(N(AM579)&gt;0,AM579,AL579)</f>
        <v>0.07</v>
      </c>
      <c r="AO579" s="29" t="n">
        <f aca="false">IF(N(AN579)=0,"",AN579+IF(I579="yes",AN579*Inputs!$B$10*Inputs!$B$9,0)+IFERROR(INDEX(Inputs!$B$13:$B$15,MATCH(G579,Inputs!$A$13:$A$15,0)),0)+IFERROR(INDEX(Inputs!$B$18:$B$24,MATCH(H579,Inputs!$A$18:$A$24,0)),0))</f>
        <v>0.07</v>
      </c>
      <c r="AP579" s="28" t="n">
        <f aca="false">IF(OR(N(AO579)&lt;=0,N(AG579)=0,N(L579)=0),"",MIN(L579,AG579/AO579))</f>
        <v>22.7678571428571</v>
      </c>
      <c r="AQ579" s="29" t="n">
        <f aca="false">IF(OR(AP579="",N(O579)=0),"",AP579/O579-1)</f>
        <v>0.143538781660329</v>
      </c>
      <c r="AR579" s="29" t="n">
        <f aca="false">IF(OR(AQ579="",N(O579)=0),"",AQ579+AG579/O579)</f>
        <v>0.223586496376552</v>
      </c>
      <c r="AS579" s="32" t="n">
        <f aca="false">IF(OR(AR579="",N(AJ579)=0),"",AR579-AJ579)</f>
        <v>0.20180096146947</v>
      </c>
      <c r="AT579" s="28" t="n">
        <v>25</v>
      </c>
      <c r="AU579" s="28" t="n">
        <v>1.59</v>
      </c>
      <c r="AV579" s="28" t="n">
        <f aca="false">IF(N(AT579)&gt;0,AT579,L579)</f>
        <v>25</v>
      </c>
      <c r="AW579" s="28" t="n">
        <f aca="false">IF(AND(N(M579)&gt;0,N(AV579)&gt;0),M579*AV579,IF(N(AU579)&gt;0,AU579,N579))</f>
        <v>1.59375</v>
      </c>
      <c r="AX579" s="29" t="n">
        <f aca="false">IF(N(AN579)=0,"",AN579+IF(I579="yes",AN579*Inputs!$B$10*Inputs!$B$9,0)+IFERROR(INDEX(Inputs!$B$13:$B$15,MATCH(G579,Inputs!$A$13:$A$15,0)),0)+IFERROR(INDEX(Inputs!$B$18:$B$24,MATCH(H579,Inputs!$A$18:$A$24,0)),0))</f>
        <v>0.07</v>
      </c>
      <c r="AY579" s="28" t="n">
        <f aca="false">IF(OR(N(AX579)&lt;=0,N(AW579)=0,N(AV579)=0),"",MIN(AV579,AW579/AX579))</f>
        <v>22.7678571428571</v>
      </c>
      <c r="AZ579" s="29" t="n">
        <f aca="false">IF(OR(AY579="",N(O579)=0),"",AY579/O579-1)</f>
        <v>0.143538781660329</v>
      </c>
      <c r="BA579" s="29" t="n">
        <f aca="false">IF(OR(AZ579="",N(O579)=0),"",AZ579+AW579/O579)</f>
        <v>0.223586496376552</v>
      </c>
      <c r="BB579" s="32" t="n">
        <f aca="false">IF(OR(BA579="",N(AR579)=0),"",BA579-AR579)</f>
        <v>0</v>
      </c>
      <c r="BC579" s="35" t="n">
        <f aca="false">IF(OR(BA579="",N(U579)=0),"",BA579-U579)</f>
        <v>0</v>
      </c>
      <c r="BD579" s="36" t="s">
        <v>238</v>
      </c>
    </row>
    <row r="580" customFormat="false" ht="15" hidden="false" customHeight="false" outlineLevel="0" collapsed="false">
      <c r="A580" s="2" t="s">
        <v>1067</v>
      </c>
      <c r="B580" s="2" t="n">
        <v>170</v>
      </c>
      <c r="C580" s="2" t="s">
        <v>1200</v>
      </c>
      <c r="D580" s="2" t="s">
        <v>1198</v>
      </c>
      <c r="E580" s="2" t="s">
        <v>1199</v>
      </c>
      <c r="F580" s="27" t="n">
        <v>2100</v>
      </c>
      <c r="G580" s="2" t="s">
        <v>51</v>
      </c>
      <c r="H580" s="2" t="s">
        <v>58</v>
      </c>
      <c r="I580" s="2" t="s">
        <v>144</v>
      </c>
      <c r="J580" s="2" t="s">
        <v>145</v>
      </c>
      <c r="K580" s="2" t="n">
        <v>4</v>
      </c>
      <c r="L580" s="28" t="n">
        <v>25</v>
      </c>
      <c r="M580" s="29" t="n">
        <v>0.063</v>
      </c>
      <c r="N580" s="28" t="n">
        <v>1.575</v>
      </c>
      <c r="O580" s="28" t="n">
        <v>19.75</v>
      </c>
      <c r="P580" s="2" t="s">
        <v>237</v>
      </c>
      <c r="Q580" s="29" t="n">
        <v>0.085</v>
      </c>
      <c r="R580" s="30" t="n">
        <v>0.07</v>
      </c>
      <c r="S580" s="31" t="n">
        <v>22.5</v>
      </c>
      <c r="T580" s="30" t="n">
        <v>0.139240506329114</v>
      </c>
      <c r="U580" s="30" t="n">
        <v>0.218987341772152</v>
      </c>
      <c r="V580" s="29" t="n">
        <v>0</v>
      </c>
      <c r="W580" s="29" t="n">
        <f aca="false">IF(N(Q580)=0,"",Q580+IF(I580="yes",Q580*Inputs!$B$10*Inputs!$B$9,0)+V580)</f>
        <v>0.085</v>
      </c>
      <c r="X580" s="28" t="n">
        <f aca="false">IF(OR(N(W580)&lt;=0,N(N580)=0,N(L580)=0),"",MIN(L580,N580/W580))</f>
        <v>18.5294117647059</v>
      </c>
      <c r="Y580" s="29" t="n">
        <f aca="false">IF(OR(X580="",N(O580)=0),"",X580/O580-1)</f>
        <v>-0.0618019359642592</v>
      </c>
      <c r="Z580" s="29" t="n">
        <f aca="false">IF(OR(Y580="",N(O580)=0),"",Y580+N580/O580)</f>
        <v>0.0179448994787788</v>
      </c>
      <c r="AA580" s="32" t="n">
        <f aca="false">IF(OR(Z580="",N(U580)=0),"",Z580-U580)</f>
        <v>-0.201042442293373</v>
      </c>
      <c r="AB580" s="29" t="n">
        <f aca="false">IF(N(Q580)=0,"",Q580+IF(I580="yes",Q580*Inputs!$B$10*Inputs!$B$9,0)+IFERROR(INDEX(Inputs!$B$13:$B$15,MATCH(G580,Inputs!$A$13:$A$15,0)),0)+IFERROR(INDEX(Inputs!$B$18:$B$24,MATCH(H580,Inputs!$A$18:$A$24,0)),0))</f>
        <v>0.085</v>
      </c>
      <c r="AC580" s="28" t="n">
        <f aca="false">IF(OR(N(AB580)&lt;=0,N(N580)=0,N(L580)=0),"",MIN(L580,N580/AB580))</f>
        <v>18.5294117647059</v>
      </c>
      <c r="AD580" s="29" t="n">
        <f aca="false">IF(OR(AC580="",N(O580)=0),"",AC580/O580-1)</f>
        <v>-0.0618019359642592</v>
      </c>
      <c r="AE580" s="29" t="n">
        <f aca="false">IF(OR(AD580="",N(O580)=0),"",AD580+N580/O580)</f>
        <v>0.0179448994787788</v>
      </c>
      <c r="AF580" s="32" t="n">
        <f aca="false">IF(OR(AE580="",N(Z580)=0),"",AE580-Z580)</f>
        <v>0</v>
      </c>
      <c r="AG580" s="28" t="n">
        <f aca="false">IF(AND(N(M580)&gt;0,N(L580)&gt;0),M580*L580,N580)</f>
        <v>1.575</v>
      </c>
      <c r="AH580" s="28" t="n">
        <f aca="false">IF(OR(N(AB580)&lt;=0,N(AG580)=0,N(L580)=0),"",MIN(L580,AG580/AB580))</f>
        <v>18.5294117647059</v>
      </c>
      <c r="AI580" s="29" t="n">
        <f aca="false">IF(OR(AH580="",N(O580)=0),"",AH580/O580-1)</f>
        <v>-0.0618019359642592</v>
      </c>
      <c r="AJ580" s="29" t="n">
        <f aca="false">IF(OR(AI580="",N(O580)=0),"",AI580+AG580/O580)</f>
        <v>0.0179448994787788</v>
      </c>
      <c r="AK580" s="32" t="n">
        <f aca="false">IF(OR(AJ580="",N(AE580)=0),"",AJ580-AE580)</f>
        <v>0</v>
      </c>
      <c r="AL580" s="33" t="n">
        <f aca="false">IF(N(F580)=0,"",INDEX(Inputs!$B$28:$B$32,IFERROR(MATCH(F580,Inputs!$A$28:$A$32,1),0)+1))</f>
        <v>0.085</v>
      </c>
      <c r="AM580" s="34" t="n">
        <v>0.07</v>
      </c>
      <c r="AN580" s="33" t="n">
        <f aca="false">IF(N(AM580)&gt;0,AM580,AL580)</f>
        <v>0.07</v>
      </c>
      <c r="AO580" s="29" t="n">
        <f aca="false">IF(N(AN580)=0,"",AN580+IF(I580="yes",AN580*Inputs!$B$10*Inputs!$B$9,0)+IFERROR(INDEX(Inputs!$B$13:$B$15,MATCH(G580,Inputs!$A$13:$A$15,0)),0)+IFERROR(INDEX(Inputs!$B$18:$B$24,MATCH(H580,Inputs!$A$18:$A$24,0)),0))</f>
        <v>0.07</v>
      </c>
      <c r="AP580" s="28" t="n">
        <f aca="false">IF(OR(N(AO580)&lt;=0,N(AG580)=0,N(L580)=0),"",MIN(L580,AG580/AO580))</f>
        <v>22.5</v>
      </c>
      <c r="AQ580" s="29" t="n">
        <f aca="false">IF(OR(AP580="",N(O580)=0),"",AP580/O580-1)</f>
        <v>0.139240506329114</v>
      </c>
      <c r="AR580" s="29" t="n">
        <f aca="false">IF(OR(AQ580="",N(O580)=0),"",AQ580+AG580/O580)</f>
        <v>0.218987341772152</v>
      </c>
      <c r="AS580" s="32" t="n">
        <f aca="false">IF(OR(AR580="",N(AJ580)=0),"",AR580-AJ580)</f>
        <v>0.201042442293373</v>
      </c>
      <c r="AT580" s="28" t="n">
        <v>25</v>
      </c>
      <c r="AU580" s="28" t="n">
        <v>1.58</v>
      </c>
      <c r="AV580" s="28" t="n">
        <f aca="false">IF(N(AT580)&gt;0,AT580,L580)</f>
        <v>25</v>
      </c>
      <c r="AW580" s="28" t="n">
        <f aca="false">IF(AND(N(M580)&gt;0,N(AV580)&gt;0),M580*AV580,IF(N(AU580)&gt;0,AU580,N580))</f>
        <v>1.575</v>
      </c>
      <c r="AX580" s="29" t="n">
        <f aca="false">IF(N(AN580)=0,"",AN580+IF(I580="yes",AN580*Inputs!$B$10*Inputs!$B$9,0)+IFERROR(INDEX(Inputs!$B$13:$B$15,MATCH(G580,Inputs!$A$13:$A$15,0)),0)+IFERROR(INDEX(Inputs!$B$18:$B$24,MATCH(H580,Inputs!$A$18:$A$24,0)),0))</f>
        <v>0.07</v>
      </c>
      <c r="AY580" s="28" t="n">
        <f aca="false">IF(OR(N(AX580)&lt;=0,N(AW580)=0,N(AV580)=0),"",MIN(AV580,AW580/AX580))</f>
        <v>22.5</v>
      </c>
      <c r="AZ580" s="29" t="n">
        <f aca="false">IF(OR(AY580="",N(O580)=0),"",AY580/O580-1)</f>
        <v>0.139240506329114</v>
      </c>
      <c r="BA580" s="29" t="n">
        <f aca="false">IF(OR(AZ580="",N(O580)=0),"",AZ580+AW580/O580)</f>
        <v>0.218987341772152</v>
      </c>
      <c r="BB580" s="32" t="n">
        <f aca="false">IF(OR(BA580="",N(AR580)=0),"",BA580-AR580)</f>
        <v>0</v>
      </c>
      <c r="BC580" s="35" t="n">
        <f aca="false">IF(OR(BA580="",N(U580)=0),"",BA580-U580)</f>
        <v>0</v>
      </c>
      <c r="BD580" s="36" t="s">
        <v>238</v>
      </c>
    </row>
    <row r="581" customFormat="false" ht="15" hidden="false" customHeight="false" outlineLevel="0" collapsed="false">
      <c r="A581" s="2" t="s">
        <v>1067</v>
      </c>
      <c r="B581" s="2" t="n">
        <v>171</v>
      </c>
      <c r="C581" s="2" t="s">
        <v>1201</v>
      </c>
      <c r="D581" s="2" t="s">
        <v>1198</v>
      </c>
      <c r="E581" s="2" t="s">
        <v>1199</v>
      </c>
      <c r="F581" s="27" t="n">
        <v>2100</v>
      </c>
      <c r="G581" s="2" t="s">
        <v>51</v>
      </c>
      <c r="H581" s="2" t="s">
        <v>58</v>
      </c>
      <c r="I581" s="2" t="s">
        <v>144</v>
      </c>
      <c r="J581" s="2" t="s">
        <v>145</v>
      </c>
      <c r="K581" s="2" t="n">
        <v>4</v>
      </c>
      <c r="L581" s="28" t="n">
        <v>25</v>
      </c>
      <c r="M581" s="29" t="n">
        <v>0.06375</v>
      </c>
      <c r="N581" s="28" t="n">
        <v>1.59375</v>
      </c>
      <c r="O581" s="28" t="n">
        <v>19.9</v>
      </c>
      <c r="P581" s="2" t="s">
        <v>146</v>
      </c>
      <c r="Q581" s="29" t="n">
        <v>0.085</v>
      </c>
      <c r="R581" s="30" t="n">
        <v>0.085</v>
      </c>
      <c r="S581" s="31" t="n">
        <v>18.75</v>
      </c>
      <c r="T581" s="30" t="n">
        <v>-0.0577889447236182</v>
      </c>
      <c r="U581" s="30" t="n">
        <v>0.0222989949748743</v>
      </c>
      <c r="V581" s="29" t="n">
        <v>0</v>
      </c>
      <c r="W581" s="29" t="n">
        <f aca="false">IF(N(Q581)=0,"",Q581+IF(I581="yes",Q581*Inputs!$B$10*Inputs!$B$9,0)+V581)</f>
        <v>0.085</v>
      </c>
      <c r="X581" s="28" t="n">
        <f aca="false">IF(OR(N(W581)&lt;=0,N(N581)=0,N(L581)=0),"",MIN(L581,N581/W581))</f>
        <v>18.75</v>
      </c>
      <c r="Y581" s="29" t="n">
        <f aca="false">IF(OR(X581="",N(O581)=0),"",X581/O581-1)</f>
        <v>-0.0577889447236181</v>
      </c>
      <c r="Z581" s="29" t="n">
        <f aca="false">IF(OR(Y581="",N(O581)=0),"",Y581+N581/O581)</f>
        <v>0.0222989949748744</v>
      </c>
      <c r="AA581" s="32" t="n">
        <f aca="false">IF(OR(Z581="",N(U581)=0),"",Z581-U581)</f>
        <v>1.2490009027033E-016</v>
      </c>
      <c r="AB581" s="29" t="n">
        <f aca="false">IF(N(Q581)=0,"",Q581+IF(I581="yes",Q581*Inputs!$B$10*Inputs!$B$9,0)+IFERROR(INDEX(Inputs!$B$13:$B$15,MATCH(G581,Inputs!$A$13:$A$15,0)),0)+IFERROR(INDEX(Inputs!$B$18:$B$24,MATCH(H581,Inputs!$A$18:$A$24,0)),0))</f>
        <v>0.085</v>
      </c>
      <c r="AC581" s="28" t="n">
        <f aca="false">IF(OR(N(AB581)&lt;=0,N(N581)=0,N(L581)=0),"",MIN(L581,N581/AB581))</f>
        <v>18.75</v>
      </c>
      <c r="AD581" s="29" t="n">
        <f aca="false">IF(OR(AC581="",N(O581)=0),"",AC581/O581-1)</f>
        <v>-0.0577889447236181</v>
      </c>
      <c r="AE581" s="29" t="n">
        <f aca="false">IF(OR(AD581="",N(O581)=0),"",AD581+N581/O581)</f>
        <v>0.0222989949748744</v>
      </c>
      <c r="AF581" s="32" t="n">
        <f aca="false">IF(OR(AE581="",N(Z581)=0),"",AE581-Z581)</f>
        <v>0</v>
      </c>
      <c r="AG581" s="28" t="n">
        <f aca="false">IF(AND(N(M581)&gt;0,N(L581)&gt;0),M581*L581,N581)</f>
        <v>1.59375</v>
      </c>
      <c r="AH581" s="28" t="n">
        <f aca="false">IF(OR(N(AB581)&lt;=0,N(AG581)=0,N(L581)=0),"",MIN(L581,AG581/AB581))</f>
        <v>18.75</v>
      </c>
      <c r="AI581" s="29" t="n">
        <f aca="false">IF(OR(AH581="",N(O581)=0),"",AH581/O581-1)</f>
        <v>-0.0577889447236181</v>
      </c>
      <c r="AJ581" s="29" t="n">
        <f aca="false">IF(OR(AI581="",N(O581)=0),"",AI581+AG581/O581)</f>
        <v>0.0222989949748744</v>
      </c>
      <c r="AK581" s="32" t="n">
        <f aca="false">IF(OR(AJ581="",N(AE581)=0),"",AJ581-AE581)</f>
        <v>0</v>
      </c>
      <c r="AL581" s="33" t="n">
        <f aca="false">IF(N(F581)=0,"",INDEX(Inputs!$B$28:$B$32,IFERROR(MATCH(F581,Inputs!$A$28:$A$32,1),0)+1))</f>
        <v>0.085</v>
      </c>
      <c r="AM581" s="34"/>
      <c r="AN581" s="33" t="n">
        <f aca="false">IF(N(AM581)&gt;0,AM581,AL581)</f>
        <v>0.085</v>
      </c>
      <c r="AO581" s="29" t="n">
        <f aca="false">IF(N(AN581)=0,"",AN581+IF(I581="yes",AN581*Inputs!$B$10*Inputs!$B$9,0)+IFERROR(INDEX(Inputs!$B$13:$B$15,MATCH(G581,Inputs!$A$13:$A$15,0)),0)+IFERROR(INDEX(Inputs!$B$18:$B$24,MATCH(H581,Inputs!$A$18:$A$24,0)),0))</f>
        <v>0.085</v>
      </c>
      <c r="AP581" s="28" t="n">
        <f aca="false">IF(OR(N(AO581)&lt;=0,N(AG581)=0,N(L581)=0),"",MIN(L581,AG581/AO581))</f>
        <v>18.75</v>
      </c>
      <c r="AQ581" s="29" t="n">
        <f aca="false">IF(OR(AP581="",N(O581)=0),"",AP581/O581-1)</f>
        <v>-0.0577889447236181</v>
      </c>
      <c r="AR581" s="29" t="n">
        <f aca="false">IF(OR(AQ581="",N(O581)=0),"",AQ581+AG581/O581)</f>
        <v>0.0222989949748744</v>
      </c>
      <c r="AS581" s="32" t="n">
        <f aca="false">IF(OR(AR581="",N(AJ581)=0),"",AR581-AJ581)</f>
        <v>0</v>
      </c>
      <c r="AT581" s="28" t="n">
        <v>25</v>
      </c>
      <c r="AU581" s="28" t="n">
        <v>1.59375</v>
      </c>
      <c r="AV581" s="28" t="n">
        <f aca="false">IF(N(AT581)&gt;0,AT581,L581)</f>
        <v>25</v>
      </c>
      <c r="AW581" s="28" t="n">
        <f aca="false">IF(AND(N(M581)&gt;0,N(AV581)&gt;0),M581*AV581,IF(N(AU581)&gt;0,AU581,N581))</f>
        <v>1.59375</v>
      </c>
      <c r="AX581" s="29" t="n">
        <f aca="false">IF(N(AN581)=0,"",AN581+IF(I581="yes",AN581*Inputs!$B$10*Inputs!$B$9,0)+IFERROR(INDEX(Inputs!$B$13:$B$15,MATCH(G581,Inputs!$A$13:$A$15,0)),0)+IFERROR(INDEX(Inputs!$B$18:$B$24,MATCH(H581,Inputs!$A$18:$A$24,0)),0))</f>
        <v>0.085</v>
      </c>
      <c r="AY581" s="28" t="n">
        <f aca="false">IF(OR(N(AX581)&lt;=0,N(AW581)=0,N(AV581)=0),"",MIN(AV581,AW581/AX581))</f>
        <v>18.75</v>
      </c>
      <c r="AZ581" s="29" t="n">
        <f aca="false">IF(OR(AY581="",N(O581)=0),"",AY581/O581-1)</f>
        <v>-0.0577889447236181</v>
      </c>
      <c r="BA581" s="29" t="n">
        <f aca="false">IF(OR(AZ581="",N(O581)=0),"",AZ581+AW581/O581)</f>
        <v>0.0222989949748744</v>
      </c>
      <c r="BB581" s="32" t="n">
        <f aca="false">IF(OR(BA581="",N(AR581)=0),"",BA581-AR581)</f>
        <v>0</v>
      </c>
      <c r="BC581" s="35" t="n">
        <f aca="false">IF(OR(BA581="",N(U581)=0),"",BA581-U581)</f>
        <v>1.2490009027033E-016</v>
      </c>
      <c r="BD581" s="37"/>
    </row>
    <row r="582" customFormat="false" ht="15" hidden="false" customHeight="false" outlineLevel="0" collapsed="false">
      <c r="A582" s="2" t="s">
        <v>1067</v>
      </c>
      <c r="B582" s="2" t="n">
        <v>172</v>
      </c>
      <c r="C582" s="2" t="s">
        <v>1202</v>
      </c>
      <c r="D582" s="2" t="s">
        <v>1198</v>
      </c>
      <c r="E582" s="2" t="s">
        <v>1199</v>
      </c>
      <c r="F582" s="27" t="n">
        <v>2100</v>
      </c>
      <c r="G582" s="2" t="s">
        <v>51</v>
      </c>
      <c r="H582" s="2" t="s">
        <v>58</v>
      </c>
      <c r="I582" s="2" t="s">
        <v>144</v>
      </c>
      <c r="J582" s="2" t="s">
        <v>145</v>
      </c>
      <c r="K582" s="2" t="n">
        <v>4</v>
      </c>
      <c r="L582" s="28" t="n">
        <v>25</v>
      </c>
      <c r="M582" s="29" t="n">
        <v>0.057</v>
      </c>
      <c r="N582" s="28" t="n">
        <v>1.425</v>
      </c>
      <c r="O582" s="28" t="n">
        <v>18.01</v>
      </c>
      <c r="P582" s="2" t="s">
        <v>146</v>
      </c>
      <c r="Q582" s="29" t="n">
        <v>0.085</v>
      </c>
      <c r="R582" s="30" t="n">
        <v>0.085</v>
      </c>
      <c r="S582" s="31" t="n">
        <v>16.7647058823529</v>
      </c>
      <c r="T582" s="30" t="n">
        <v>-0.0691445928732404</v>
      </c>
      <c r="U582" s="30" t="n">
        <v>0.0099781167325342</v>
      </c>
      <c r="V582" s="29" t="n">
        <v>0</v>
      </c>
      <c r="W582" s="29" t="n">
        <f aca="false">IF(N(Q582)=0,"",Q582+IF(I582="yes",Q582*Inputs!$B$10*Inputs!$B$9,0)+V582)</f>
        <v>0.085</v>
      </c>
      <c r="X582" s="28" t="n">
        <f aca="false">IF(OR(N(W582)&lt;=0,N(N582)=0,N(L582)=0),"",MIN(L582,N582/W582))</f>
        <v>16.7647058823529</v>
      </c>
      <c r="Y582" s="29" t="n">
        <f aca="false">IF(OR(X582="",N(O582)=0),"",X582/O582-1)</f>
        <v>-0.0691445928732404</v>
      </c>
      <c r="Z582" s="29" t="n">
        <f aca="false">IF(OR(Y582="",N(O582)=0),"",Y582+N582/O582)</f>
        <v>0.0099781167325342</v>
      </c>
      <c r="AA582" s="32" t="n">
        <f aca="false">IF(OR(Z582="",N(U582)=0),"",Z582-U582)</f>
        <v>0</v>
      </c>
      <c r="AB582" s="29" t="n">
        <f aca="false">IF(N(Q582)=0,"",Q582+IF(I582="yes",Q582*Inputs!$B$10*Inputs!$B$9,0)+IFERROR(INDEX(Inputs!$B$13:$B$15,MATCH(G582,Inputs!$A$13:$A$15,0)),0)+IFERROR(INDEX(Inputs!$B$18:$B$24,MATCH(H582,Inputs!$A$18:$A$24,0)),0))</f>
        <v>0.085</v>
      </c>
      <c r="AC582" s="28" t="n">
        <f aca="false">IF(OR(N(AB582)&lt;=0,N(N582)=0,N(L582)=0),"",MIN(L582,N582/AB582))</f>
        <v>16.7647058823529</v>
      </c>
      <c r="AD582" s="29" t="n">
        <f aca="false">IF(OR(AC582="",N(O582)=0),"",AC582/O582-1)</f>
        <v>-0.0691445928732404</v>
      </c>
      <c r="AE582" s="29" t="n">
        <f aca="false">IF(OR(AD582="",N(O582)=0),"",AD582+N582/O582)</f>
        <v>0.0099781167325342</v>
      </c>
      <c r="AF582" s="32" t="n">
        <f aca="false">IF(OR(AE582="",N(Z582)=0),"",AE582-Z582)</f>
        <v>0</v>
      </c>
      <c r="AG582" s="28" t="n">
        <f aca="false">IF(AND(N(M582)&gt;0,N(L582)&gt;0),M582*L582,N582)</f>
        <v>1.425</v>
      </c>
      <c r="AH582" s="28" t="n">
        <f aca="false">IF(OR(N(AB582)&lt;=0,N(AG582)=0,N(L582)=0),"",MIN(L582,AG582/AB582))</f>
        <v>16.7647058823529</v>
      </c>
      <c r="AI582" s="29" t="n">
        <f aca="false">IF(OR(AH582="",N(O582)=0),"",AH582/O582-1)</f>
        <v>-0.0691445928732404</v>
      </c>
      <c r="AJ582" s="29" t="n">
        <f aca="false">IF(OR(AI582="",N(O582)=0),"",AI582+AG582/O582)</f>
        <v>0.0099781167325342</v>
      </c>
      <c r="AK582" s="32" t="n">
        <f aca="false">IF(OR(AJ582="",N(AE582)=0),"",AJ582-AE582)</f>
        <v>0</v>
      </c>
      <c r="AL582" s="33" t="n">
        <f aca="false">IF(N(F582)=0,"",INDEX(Inputs!$B$28:$B$32,IFERROR(MATCH(F582,Inputs!$A$28:$A$32,1),0)+1))</f>
        <v>0.085</v>
      </c>
      <c r="AM582" s="34"/>
      <c r="AN582" s="33" t="n">
        <f aca="false">IF(N(AM582)&gt;0,AM582,AL582)</f>
        <v>0.085</v>
      </c>
      <c r="AO582" s="29" t="n">
        <f aca="false">IF(N(AN582)=0,"",AN582+IF(I582="yes",AN582*Inputs!$B$10*Inputs!$B$9,0)+IFERROR(INDEX(Inputs!$B$13:$B$15,MATCH(G582,Inputs!$A$13:$A$15,0)),0)+IFERROR(INDEX(Inputs!$B$18:$B$24,MATCH(H582,Inputs!$A$18:$A$24,0)),0))</f>
        <v>0.085</v>
      </c>
      <c r="AP582" s="28" t="n">
        <f aca="false">IF(OR(N(AO582)&lt;=0,N(AG582)=0,N(L582)=0),"",MIN(L582,AG582/AO582))</f>
        <v>16.7647058823529</v>
      </c>
      <c r="AQ582" s="29" t="n">
        <f aca="false">IF(OR(AP582="",N(O582)=0),"",AP582/O582-1)</f>
        <v>-0.0691445928732404</v>
      </c>
      <c r="AR582" s="29" t="n">
        <f aca="false">IF(OR(AQ582="",N(O582)=0),"",AQ582+AG582/O582)</f>
        <v>0.0099781167325342</v>
      </c>
      <c r="AS582" s="32" t="n">
        <f aca="false">IF(OR(AR582="",N(AJ582)=0),"",AR582-AJ582)</f>
        <v>0</v>
      </c>
      <c r="AT582" s="28" t="n">
        <v>25</v>
      </c>
      <c r="AU582" s="28" t="n">
        <v>1.425</v>
      </c>
      <c r="AV582" s="28" t="n">
        <f aca="false">IF(N(AT582)&gt;0,AT582,L582)</f>
        <v>25</v>
      </c>
      <c r="AW582" s="28" t="n">
        <f aca="false">IF(AND(N(M582)&gt;0,N(AV582)&gt;0),M582*AV582,IF(N(AU582)&gt;0,AU582,N582))</f>
        <v>1.425</v>
      </c>
      <c r="AX582" s="29" t="n">
        <f aca="false">IF(N(AN582)=0,"",AN582+IF(I582="yes",AN582*Inputs!$B$10*Inputs!$B$9,0)+IFERROR(INDEX(Inputs!$B$13:$B$15,MATCH(G582,Inputs!$A$13:$A$15,0)),0)+IFERROR(INDEX(Inputs!$B$18:$B$24,MATCH(H582,Inputs!$A$18:$A$24,0)),0))</f>
        <v>0.085</v>
      </c>
      <c r="AY582" s="28" t="n">
        <f aca="false">IF(OR(N(AX582)&lt;=0,N(AW582)=0,N(AV582)=0),"",MIN(AV582,AW582/AX582))</f>
        <v>16.7647058823529</v>
      </c>
      <c r="AZ582" s="29" t="n">
        <f aca="false">IF(OR(AY582="",N(O582)=0),"",AY582/O582-1)</f>
        <v>-0.0691445928732404</v>
      </c>
      <c r="BA582" s="29" t="n">
        <f aca="false">IF(OR(AZ582="",N(O582)=0),"",AZ582+AW582/O582)</f>
        <v>0.0099781167325342</v>
      </c>
      <c r="BB582" s="32" t="n">
        <f aca="false">IF(OR(BA582="",N(AR582)=0),"",BA582-AR582)</f>
        <v>0</v>
      </c>
      <c r="BC582" s="35" t="n">
        <f aca="false">IF(OR(BA582="",N(U582)=0),"",BA582-U582)</f>
        <v>0</v>
      </c>
      <c r="BD582" s="37"/>
    </row>
    <row r="583" customFormat="false" ht="15" hidden="false" customHeight="false" outlineLevel="0" collapsed="false">
      <c r="A583" s="2" t="s">
        <v>1067</v>
      </c>
      <c r="B583" s="2" t="n">
        <v>175</v>
      </c>
      <c r="C583" s="2" t="s">
        <v>1203</v>
      </c>
      <c r="D583" s="2" t="s">
        <v>1204</v>
      </c>
      <c r="E583" s="2" t="s">
        <v>1205</v>
      </c>
      <c r="F583" s="27" t="n">
        <v>96</v>
      </c>
      <c r="G583" s="2" t="s">
        <v>52</v>
      </c>
      <c r="H583" s="2" t="s">
        <v>58</v>
      </c>
      <c r="I583" s="2" t="s">
        <v>144</v>
      </c>
      <c r="J583" s="2" t="s">
        <v>145</v>
      </c>
      <c r="K583" s="2" t="n">
        <v>4</v>
      </c>
      <c r="L583" s="28" t="n">
        <v>25</v>
      </c>
      <c r="M583" s="29" t="n">
        <v>0.0525</v>
      </c>
      <c r="N583" s="28" t="n">
        <v>1.3125</v>
      </c>
      <c r="O583" s="28" t="n">
        <v>23.97</v>
      </c>
      <c r="P583" s="2" t="s">
        <v>223</v>
      </c>
      <c r="Q583" s="29" t="n">
        <v>0.08</v>
      </c>
      <c r="R583" s="30" t="n">
        <v>0.08</v>
      </c>
      <c r="S583" s="31" t="n">
        <v>16.40625</v>
      </c>
      <c r="T583" s="30" t="n">
        <v>-0.315550688360451</v>
      </c>
      <c r="U583" s="30" t="n">
        <v>-0.260794743429287</v>
      </c>
      <c r="V583" s="29" t="n">
        <v>-0.005</v>
      </c>
      <c r="W583" s="29" t="n">
        <f aca="false">IF(N(Q583)=0,"",Q583+IF(I583="yes",Q583*Inputs!$B$10*Inputs!$B$9,0)+V583)</f>
        <v>0.075</v>
      </c>
      <c r="X583" s="28" t="n">
        <f aca="false">IF(OR(N(W583)&lt;=0,N(N583)=0,N(L583)=0),"",MIN(L583,N583/W583))</f>
        <v>17.5</v>
      </c>
      <c r="Y583" s="29" t="n">
        <f aca="false">IF(OR(X583="",N(O583)=0),"",X583/O583-1)</f>
        <v>-0.269920734251147</v>
      </c>
      <c r="Z583" s="29" t="n">
        <f aca="false">IF(OR(Y583="",N(O583)=0),"",Y583+N583/O583)</f>
        <v>-0.215164789319983</v>
      </c>
      <c r="AA583" s="32" t="n">
        <f aca="false">IF(OR(Z583="",N(U583)=0),"",Z583-U583)</f>
        <v>0.0456299541093032</v>
      </c>
      <c r="AB583" s="29" t="n">
        <f aca="false">IF(N(Q583)=0,"",Q583+IF(I583="yes",Q583*Inputs!$B$10*Inputs!$B$9,0)+IFERROR(INDEX(Inputs!$B$13:$B$15,MATCH(G583,Inputs!$A$13:$A$15,0)),0)+IFERROR(INDEX(Inputs!$B$18:$B$24,MATCH(H583,Inputs!$A$18:$A$24,0)),0))</f>
        <v>0.075</v>
      </c>
      <c r="AC583" s="28" t="n">
        <f aca="false">IF(OR(N(AB583)&lt;=0,N(N583)=0,N(L583)=0),"",MIN(L583,N583/AB583))</f>
        <v>17.5</v>
      </c>
      <c r="AD583" s="29" t="n">
        <f aca="false">IF(OR(AC583="",N(O583)=0),"",AC583/O583-1)</f>
        <v>-0.269920734251147</v>
      </c>
      <c r="AE583" s="29" t="n">
        <f aca="false">IF(OR(AD583="",N(O583)=0),"",AD583+N583/O583)</f>
        <v>-0.215164789319983</v>
      </c>
      <c r="AF583" s="32" t="n">
        <f aca="false">IF(OR(AE583="",N(Z583)=0),"",AE583-Z583)</f>
        <v>0</v>
      </c>
      <c r="AG583" s="28" t="n">
        <f aca="false">IF(AND(N(M583)&gt;0,N(L583)&gt;0),M583*L583,N583)</f>
        <v>1.3125</v>
      </c>
      <c r="AH583" s="28" t="n">
        <f aca="false">IF(OR(N(AB583)&lt;=0,N(AG583)=0,N(L583)=0),"",MIN(L583,AG583/AB583))</f>
        <v>17.5</v>
      </c>
      <c r="AI583" s="29" t="n">
        <f aca="false">IF(OR(AH583="",N(O583)=0),"",AH583/O583-1)</f>
        <v>-0.269920734251147</v>
      </c>
      <c r="AJ583" s="29" t="n">
        <f aca="false">IF(OR(AI583="",N(O583)=0),"",AI583+AG583/O583)</f>
        <v>-0.215164789319983</v>
      </c>
      <c r="AK583" s="32" t="n">
        <f aca="false">IF(OR(AJ583="",N(AE583)=0),"",AJ583-AE583)</f>
        <v>0</v>
      </c>
      <c r="AL583" s="33" t="n">
        <f aca="false">IF(N(F583)=0,"",INDEX(Inputs!$B$28:$B$32,IFERROR(MATCH(F583,Inputs!$A$28:$A$32,1),0)+1))</f>
        <v>0.1</v>
      </c>
      <c r="AM583" s="34"/>
      <c r="AN583" s="33" t="n">
        <f aca="false">IF(N(AM583)&gt;0,AM583,AL583)</f>
        <v>0.1</v>
      </c>
      <c r="AO583" s="29" t="n">
        <f aca="false">IF(N(AN583)=0,"",AN583+IF(I583="yes",AN583*Inputs!$B$10*Inputs!$B$9,0)+IFERROR(INDEX(Inputs!$B$13:$B$15,MATCH(G583,Inputs!$A$13:$A$15,0)),0)+IFERROR(INDEX(Inputs!$B$18:$B$24,MATCH(H583,Inputs!$A$18:$A$24,0)),0))</f>
        <v>0.095</v>
      </c>
      <c r="AP583" s="28" t="n">
        <f aca="false">IF(OR(N(AO583)&lt;=0,N(AG583)=0,N(L583)=0),"",MIN(L583,AG583/AO583))</f>
        <v>13.8157894736842</v>
      </c>
      <c r="AQ583" s="29" t="n">
        <f aca="false">IF(OR(AP583="",N(O583)=0),"",AP583/O583-1)</f>
        <v>-0.423621632303537</v>
      </c>
      <c r="AR583" s="29" t="n">
        <f aca="false">IF(OR(AQ583="",N(O583)=0),"",AQ583+AG583/O583)</f>
        <v>-0.368865687372373</v>
      </c>
      <c r="AS583" s="32" t="n">
        <f aca="false">IF(OR(AR583="",N(AJ583)=0),"",AR583-AJ583)</f>
        <v>-0.15370089805239</v>
      </c>
      <c r="AT583" s="28" t="n">
        <v>25</v>
      </c>
      <c r="AU583" s="28" t="n">
        <v>1.3125</v>
      </c>
      <c r="AV583" s="28" t="n">
        <f aca="false">IF(N(AT583)&gt;0,AT583,L583)</f>
        <v>25</v>
      </c>
      <c r="AW583" s="28" t="n">
        <f aca="false">IF(AND(N(M583)&gt;0,N(AV583)&gt;0),M583*AV583,IF(N(AU583)&gt;0,AU583,N583))</f>
        <v>1.3125</v>
      </c>
      <c r="AX583" s="29" t="n">
        <f aca="false">IF(N(AN583)=0,"",AN583+IF(I583="yes",AN583*Inputs!$B$10*Inputs!$B$9,0)+IFERROR(INDEX(Inputs!$B$13:$B$15,MATCH(G583,Inputs!$A$13:$A$15,0)),0)+IFERROR(INDEX(Inputs!$B$18:$B$24,MATCH(H583,Inputs!$A$18:$A$24,0)),0))</f>
        <v>0.095</v>
      </c>
      <c r="AY583" s="28" t="n">
        <f aca="false">IF(OR(N(AX583)&lt;=0,N(AW583)=0,N(AV583)=0),"",MIN(AV583,AW583/AX583))</f>
        <v>13.8157894736842</v>
      </c>
      <c r="AZ583" s="29" t="n">
        <f aca="false">IF(OR(AY583="",N(O583)=0),"",AY583/O583-1)</f>
        <v>-0.423621632303537</v>
      </c>
      <c r="BA583" s="29" t="n">
        <f aca="false">IF(OR(AZ583="",N(O583)=0),"",AZ583+AW583/O583)</f>
        <v>-0.368865687372373</v>
      </c>
      <c r="BB583" s="32" t="n">
        <f aca="false">IF(OR(BA583="",N(AR583)=0),"",BA583-AR583)</f>
        <v>0</v>
      </c>
      <c r="BC583" s="35" t="n">
        <f aca="false">IF(OR(BA583="",N(U583)=0),"",BA583-U583)</f>
        <v>-0.108070943943087</v>
      </c>
      <c r="BD583" s="36" t="s">
        <v>224</v>
      </c>
    </row>
    <row r="584" customFormat="false" ht="15" hidden="false" customHeight="false" outlineLevel="0" collapsed="false">
      <c r="A584" s="2" t="s">
        <v>1067</v>
      </c>
      <c r="B584" s="2" t="n">
        <v>179</v>
      </c>
      <c r="C584" s="2" t="s">
        <v>1206</v>
      </c>
      <c r="D584" s="2" t="s">
        <v>1207</v>
      </c>
      <c r="E584" s="2" t="s">
        <v>1208</v>
      </c>
      <c r="F584" s="27" t="n">
        <v>133400</v>
      </c>
      <c r="G584" s="2" t="s">
        <v>51</v>
      </c>
      <c r="H584" s="2" t="s">
        <v>58</v>
      </c>
      <c r="I584" s="2" t="s">
        <v>144</v>
      </c>
      <c r="J584" s="2" t="s">
        <v>145</v>
      </c>
      <c r="K584" s="2" t="n">
        <v>4</v>
      </c>
      <c r="L584" s="28" t="n">
        <v>50</v>
      </c>
      <c r="M584" s="29" t="n">
        <v>0.0854</v>
      </c>
      <c r="N584" s="28" t="n">
        <v>4.27</v>
      </c>
      <c r="O584" s="28" t="n">
        <v>51.4</v>
      </c>
      <c r="P584" s="2" t="s">
        <v>146</v>
      </c>
      <c r="Q584" s="29" t="n">
        <v>0.08</v>
      </c>
      <c r="R584" s="30" t="n">
        <v>0.08</v>
      </c>
      <c r="S584" s="31" t="n">
        <v>50</v>
      </c>
      <c r="T584" s="30" t="n">
        <v>-0.0272373540856032</v>
      </c>
      <c r="U584" s="30" t="n">
        <v>0.0558365758754862</v>
      </c>
      <c r="V584" s="29" t="n">
        <v>0</v>
      </c>
      <c r="W584" s="29" t="n">
        <f aca="false">IF(N(Q584)=0,"",Q584+IF(I584="yes",Q584*Inputs!$B$10*Inputs!$B$9,0)+V584)</f>
        <v>0.08</v>
      </c>
      <c r="X584" s="28" t="n">
        <f aca="false">IF(OR(N(W584)&lt;=0,N(N584)=0,N(L584)=0),"",MIN(L584,N584/W584))</f>
        <v>50</v>
      </c>
      <c r="Y584" s="29" t="n">
        <f aca="false">IF(OR(X584="",N(O584)=0),"",X584/O584-1)</f>
        <v>-0.0272373540856034</v>
      </c>
      <c r="Z584" s="29" t="n">
        <f aca="false">IF(OR(Y584="",N(O584)=0),"",Y584+N584/O584)</f>
        <v>0.0558365758754861</v>
      </c>
      <c r="AA584" s="32" t="n">
        <f aca="false">IF(OR(Z584="",N(U584)=0),"",Z584-U584)</f>
        <v>0</v>
      </c>
      <c r="AB584" s="29" t="n">
        <f aca="false">IF(N(Q584)=0,"",Q584+IF(I584="yes",Q584*Inputs!$B$10*Inputs!$B$9,0)+IFERROR(INDEX(Inputs!$B$13:$B$15,MATCH(G584,Inputs!$A$13:$A$15,0)),0)+IFERROR(INDEX(Inputs!$B$18:$B$24,MATCH(H584,Inputs!$A$18:$A$24,0)),0))</f>
        <v>0.08</v>
      </c>
      <c r="AC584" s="28" t="n">
        <f aca="false">IF(OR(N(AB584)&lt;=0,N(N584)=0,N(L584)=0),"",MIN(L584,N584/AB584))</f>
        <v>50</v>
      </c>
      <c r="AD584" s="29" t="n">
        <f aca="false">IF(OR(AC584="",N(O584)=0),"",AC584/O584-1)</f>
        <v>-0.0272373540856034</v>
      </c>
      <c r="AE584" s="29" t="n">
        <f aca="false">IF(OR(AD584="",N(O584)=0),"",AD584+N584/O584)</f>
        <v>0.0558365758754861</v>
      </c>
      <c r="AF584" s="32" t="n">
        <f aca="false">IF(OR(AE584="",N(Z584)=0),"",AE584-Z584)</f>
        <v>0</v>
      </c>
      <c r="AG584" s="28" t="n">
        <f aca="false">IF(AND(N(M584)&gt;0,N(L584)&gt;0),M584*L584,N584)</f>
        <v>4.27</v>
      </c>
      <c r="AH584" s="28" t="n">
        <f aca="false">IF(OR(N(AB584)&lt;=0,N(AG584)=0,N(L584)=0),"",MIN(L584,AG584/AB584))</f>
        <v>50</v>
      </c>
      <c r="AI584" s="29" t="n">
        <f aca="false">IF(OR(AH584="",N(O584)=0),"",AH584/O584-1)</f>
        <v>-0.0272373540856034</v>
      </c>
      <c r="AJ584" s="29" t="n">
        <f aca="false">IF(OR(AI584="",N(O584)=0),"",AI584+AG584/O584)</f>
        <v>0.0558365758754861</v>
      </c>
      <c r="AK584" s="32" t="n">
        <f aca="false">IF(OR(AJ584="",N(AE584)=0),"",AJ584-AE584)</f>
        <v>0</v>
      </c>
      <c r="AL584" s="33" t="n">
        <f aca="false">IF(N(F584)=0,"",INDEX(Inputs!$B$28:$B$32,IFERROR(MATCH(F584,Inputs!$A$28:$A$32,1),0)+1))</f>
        <v>0.075</v>
      </c>
      <c r="AM584" s="34"/>
      <c r="AN584" s="33" t="n">
        <f aca="false">IF(N(AM584)&gt;0,AM584,AL584)</f>
        <v>0.075</v>
      </c>
      <c r="AO584" s="29" t="n">
        <f aca="false">IF(N(AN584)=0,"",AN584+IF(I584="yes",AN584*Inputs!$B$10*Inputs!$B$9,0)+IFERROR(INDEX(Inputs!$B$13:$B$15,MATCH(G584,Inputs!$A$13:$A$15,0)),0)+IFERROR(INDEX(Inputs!$B$18:$B$24,MATCH(H584,Inputs!$A$18:$A$24,0)),0))</f>
        <v>0.075</v>
      </c>
      <c r="AP584" s="28" t="n">
        <f aca="false">IF(OR(N(AO584)&lt;=0,N(AG584)=0,N(L584)=0),"",MIN(L584,AG584/AO584))</f>
        <v>50</v>
      </c>
      <c r="AQ584" s="29" t="n">
        <f aca="false">IF(OR(AP584="",N(O584)=0),"",AP584/O584-1)</f>
        <v>-0.0272373540856034</v>
      </c>
      <c r="AR584" s="29" t="n">
        <f aca="false">IF(OR(AQ584="",N(O584)=0),"",AQ584+AG584/O584)</f>
        <v>0.0558365758754861</v>
      </c>
      <c r="AS584" s="32" t="n">
        <f aca="false">IF(OR(AR584="",N(AJ584)=0),"",AR584-AJ584)</f>
        <v>0</v>
      </c>
      <c r="AT584" s="28" t="n">
        <v>50</v>
      </c>
      <c r="AU584" s="28" t="n">
        <v>4.27</v>
      </c>
      <c r="AV584" s="28" t="n">
        <f aca="false">IF(N(AT584)&gt;0,AT584,L584)</f>
        <v>50</v>
      </c>
      <c r="AW584" s="28" t="n">
        <f aca="false">IF(AND(N(M584)&gt;0,N(AV584)&gt;0),M584*AV584,IF(N(AU584)&gt;0,AU584,N584))</f>
        <v>4.27</v>
      </c>
      <c r="AX584" s="29" t="n">
        <f aca="false">IF(N(AN584)=0,"",AN584+IF(I584="yes",AN584*Inputs!$B$10*Inputs!$B$9,0)+IFERROR(INDEX(Inputs!$B$13:$B$15,MATCH(G584,Inputs!$A$13:$A$15,0)),0)+IFERROR(INDEX(Inputs!$B$18:$B$24,MATCH(H584,Inputs!$A$18:$A$24,0)),0))</f>
        <v>0.075</v>
      </c>
      <c r="AY584" s="28" t="n">
        <f aca="false">IF(OR(N(AX584)&lt;=0,N(AW584)=0,N(AV584)=0),"",MIN(AV584,AW584/AX584))</f>
        <v>50</v>
      </c>
      <c r="AZ584" s="29" t="n">
        <f aca="false">IF(OR(AY584="",N(O584)=0),"",AY584/O584-1)</f>
        <v>-0.0272373540856034</v>
      </c>
      <c r="BA584" s="29" t="n">
        <f aca="false">IF(OR(AZ584="",N(O584)=0),"",AZ584+AW584/O584)</f>
        <v>0.0558365758754861</v>
      </c>
      <c r="BB584" s="32" t="n">
        <f aca="false">IF(OR(BA584="",N(AR584)=0),"",BA584-AR584)</f>
        <v>0</v>
      </c>
      <c r="BC584" s="35" t="n">
        <f aca="false">IF(OR(BA584="",N(U584)=0),"",BA584-U584)</f>
        <v>0</v>
      </c>
      <c r="BD584" s="37"/>
    </row>
    <row r="585" customFormat="false" ht="15" hidden="false" customHeight="false" outlineLevel="0" collapsed="false">
      <c r="A585" s="2" t="s">
        <v>1067</v>
      </c>
      <c r="B585" s="2" t="n">
        <v>183</v>
      </c>
      <c r="C585" s="2" t="s">
        <v>1209</v>
      </c>
      <c r="D585" s="2" t="s">
        <v>1210</v>
      </c>
      <c r="E585" s="2" t="s">
        <v>1211</v>
      </c>
      <c r="F585" s="27" t="n">
        <v>818</v>
      </c>
      <c r="G585" s="2" t="s">
        <v>51</v>
      </c>
      <c r="H585" s="2" t="s">
        <v>59</v>
      </c>
      <c r="I585" s="2" t="s">
        <v>144</v>
      </c>
      <c r="J585" s="2" t="s">
        <v>145</v>
      </c>
      <c r="K585" s="2" t="n">
        <v>4</v>
      </c>
      <c r="L585" s="28" t="n">
        <v>25</v>
      </c>
      <c r="M585" s="29" t="n">
        <v>0.08125</v>
      </c>
      <c r="N585" s="28" t="n">
        <v>2.03125</v>
      </c>
      <c r="O585" s="28" t="n">
        <v>22.92</v>
      </c>
      <c r="P585" s="2" t="s">
        <v>146</v>
      </c>
      <c r="Q585" s="29" t="n">
        <v>0.1</v>
      </c>
      <c r="R585" s="30" t="n">
        <v>0.1</v>
      </c>
      <c r="S585" s="31" t="n">
        <v>20.3125</v>
      </c>
      <c r="T585" s="30" t="n">
        <v>-0.113765270506108</v>
      </c>
      <c r="U585" s="30" t="n">
        <v>-0.0251417975567191</v>
      </c>
      <c r="V585" s="29" t="n">
        <v>0</v>
      </c>
      <c r="W585" s="29" t="n">
        <f aca="false">IF(N(Q585)=0,"",Q585+IF(I585="yes",Q585*Inputs!$B$10*Inputs!$B$9,0)+V585)</f>
        <v>0.1</v>
      </c>
      <c r="X585" s="28" t="n">
        <f aca="false">IF(OR(N(W585)&lt;=0,N(N585)=0,N(L585)=0),"",MIN(L585,N585/W585))</f>
        <v>20.3125</v>
      </c>
      <c r="Y585" s="29" t="n">
        <f aca="false">IF(OR(X585="",N(O585)=0),"",X585/O585-1)</f>
        <v>-0.113765270506108</v>
      </c>
      <c r="Z585" s="29" t="n">
        <f aca="false">IF(OR(Y585="",N(O585)=0),"",Y585+N585/O585)</f>
        <v>-0.0251417975567191</v>
      </c>
      <c r="AA585" s="32" t="n">
        <f aca="false">IF(OR(Z585="",N(U585)=0),"",Z585-U585)</f>
        <v>0</v>
      </c>
      <c r="AB585" s="29" t="n">
        <f aca="false">IF(N(Q585)=0,"",Q585+IF(I585="yes",Q585*Inputs!$B$10*Inputs!$B$9,0)+IFERROR(INDEX(Inputs!$B$13:$B$15,MATCH(G585,Inputs!$A$13:$A$15,0)),0)+IFERROR(INDEX(Inputs!$B$18:$B$24,MATCH(H585,Inputs!$A$18:$A$24,0)),0))</f>
        <v>0.1</v>
      </c>
      <c r="AC585" s="28" t="n">
        <f aca="false">IF(OR(N(AB585)&lt;=0,N(N585)=0,N(L585)=0),"",MIN(L585,N585/AB585))</f>
        <v>20.3125</v>
      </c>
      <c r="AD585" s="29" t="n">
        <f aca="false">IF(OR(AC585="",N(O585)=0),"",AC585/O585-1)</f>
        <v>-0.113765270506108</v>
      </c>
      <c r="AE585" s="29" t="n">
        <f aca="false">IF(OR(AD585="",N(O585)=0),"",AD585+N585/O585)</f>
        <v>-0.0251417975567191</v>
      </c>
      <c r="AF585" s="32" t="n">
        <f aca="false">IF(OR(AE585="",N(Z585)=0),"",AE585-Z585)</f>
        <v>0</v>
      </c>
      <c r="AG585" s="28" t="n">
        <f aca="false">IF(AND(N(M585)&gt;0,N(L585)&gt;0),M585*L585,N585)</f>
        <v>2.03125</v>
      </c>
      <c r="AH585" s="28" t="n">
        <f aca="false">IF(OR(N(AB585)&lt;=0,N(AG585)=0,N(L585)=0),"",MIN(L585,AG585/AB585))</f>
        <v>20.3125</v>
      </c>
      <c r="AI585" s="29" t="n">
        <f aca="false">IF(OR(AH585="",N(O585)=0),"",AH585/O585-1)</f>
        <v>-0.113765270506108</v>
      </c>
      <c r="AJ585" s="29" t="n">
        <f aca="false">IF(OR(AI585="",N(O585)=0),"",AI585+AG585/O585)</f>
        <v>-0.0251417975567191</v>
      </c>
      <c r="AK585" s="32" t="n">
        <f aca="false">IF(OR(AJ585="",N(AE585)=0),"",AJ585-AE585)</f>
        <v>0</v>
      </c>
      <c r="AL585" s="33" t="n">
        <f aca="false">IF(N(F585)=0,"",INDEX(Inputs!$B$28:$B$32,IFERROR(MATCH(F585,Inputs!$A$28:$A$32,1),0)+1))</f>
        <v>0.09</v>
      </c>
      <c r="AM585" s="34"/>
      <c r="AN585" s="33" t="n">
        <f aca="false">IF(N(AM585)&gt;0,AM585,AL585)</f>
        <v>0.09</v>
      </c>
      <c r="AO585" s="29" t="n">
        <f aca="false">IF(N(AN585)=0,"",AN585+IF(I585="yes",AN585*Inputs!$B$10*Inputs!$B$9,0)+IFERROR(INDEX(Inputs!$B$13:$B$15,MATCH(G585,Inputs!$A$13:$A$15,0)),0)+IFERROR(INDEX(Inputs!$B$18:$B$24,MATCH(H585,Inputs!$A$18:$A$24,0)),0))</f>
        <v>0.09</v>
      </c>
      <c r="AP585" s="28" t="n">
        <f aca="false">IF(OR(N(AO585)&lt;=0,N(AG585)=0,N(L585)=0),"",MIN(L585,AG585/AO585))</f>
        <v>22.5694444444444</v>
      </c>
      <c r="AQ585" s="29" t="n">
        <f aca="false">IF(OR(AP585="",N(O585)=0),"",AP585/O585-1)</f>
        <v>-0.0152947450067868</v>
      </c>
      <c r="AR585" s="29" t="n">
        <f aca="false">IF(OR(AQ585="",N(O585)=0),"",AQ585+AG585/O585)</f>
        <v>0.0733287279426023</v>
      </c>
      <c r="AS585" s="32" t="n">
        <f aca="false">IF(OR(AR585="",N(AJ585)=0),"",AR585-AJ585)</f>
        <v>0.0984705254993215</v>
      </c>
      <c r="AT585" s="28" t="n">
        <v>25</v>
      </c>
      <c r="AU585" s="28" t="n">
        <v>2.03</v>
      </c>
      <c r="AV585" s="28" t="n">
        <f aca="false">IF(N(AT585)&gt;0,AT585,L585)</f>
        <v>25</v>
      </c>
      <c r="AW585" s="28" t="n">
        <f aca="false">IF(AND(N(M585)&gt;0,N(AV585)&gt;0),M585*AV585,IF(N(AU585)&gt;0,AU585,N585))</f>
        <v>2.03125</v>
      </c>
      <c r="AX585" s="29" t="n">
        <f aca="false">IF(N(AN585)=0,"",AN585+IF(I585="yes",AN585*Inputs!$B$10*Inputs!$B$9,0)+IFERROR(INDEX(Inputs!$B$13:$B$15,MATCH(G585,Inputs!$A$13:$A$15,0)),0)+IFERROR(INDEX(Inputs!$B$18:$B$24,MATCH(H585,Inputs!$A$18:$A$24,0)),0))</f>
        <v>0.09</v>
      </c>
      <c r="AY585" s="28" t="n">
        <f aca="false">IF(OR(N(AX585)&lt;=0,N(AW585)=0,N(AV585)=0),"",MIN(AV585,AW585/AX585))</f>
        <v>22.5694444444444</v>
      </c>
      <c r="AZ585" s="29" t="n">
        <f aca="false">IF(OR(AY585="",N(O585)=0),"",AY585/O585-1)</f>
        <v>-0.0152947450067868</v>
      </c>
      <c r="BA585" s="29" t="n">
        <f aca="false">IF(OR(AZ585="",N(O585)=0),"",AZ585+AW585/O585)</f>
        <v>0.0733287279426023</v>
      </c>
      <c r="BB585" s="32" t="n">
        <f aca="false">IF(OR(BA585="",N(AR585)=0),"",BA585-AR585)</f>
        <v>0</v>
      </c>
      <c r="BC585" s="35" t="n">
        <f aca="false">IF(OR(BA585="",N(U585)=0),"",BA585-U585)</f>
        <v>0.0984705254993215</v>
      </c>
      <c r="BD585" s="37"/>
    </row>
    <row r="586" customFormat="false" ht="15" hidden="false" customHeight="false" outlineLevel="0" collapsed="false">
      <c r="A586" s="2" t="s">
        <v>1067</v>
      </c>
      <c r="B586" s="2" t="n">
        <v>184</v>
      </c>
      <c r="C586" s="2" t="s">
        <v>1212</v>
      </c>
      <c r="D586" s="2" t="s">
        <v>1210</v>
      </c>
      <c r="E586" s="2" t="s">
        <v>1211</v>
      </c>
      <c r="F586" s="27" t="n">
        <v>818</v>
      </c>
      <c r="G586" s="2" t="s">
        <v>51</v>
      </c>
      <c r="H586" s="2" t="s">
        <v>58</v>
      </c>
      <c r="I586" s="2" t="s">
        <v>144</v>
      </c>
      <c r="J586" s="2" t="s">
        <v>145</v>
      </c>
      <c r="K586" s="2" t="n">
        <v>4</v>
      </c>
      <c r="L586" s="28" t="n">
        <v>25</v>
      </c>
      <c r="M586" s="29" t="n">
        <v>0.08</v>
      </c>
      <c r="N586" s="28" t="n">
        <v>2</v>
      </c>
      <c r="O586" s="28" t="n">
        <v>22.75</v>
      </c>
      <c r="P586" s="2" t="s">
        <v>146</v>
      </c>
      <c r="Q586" s="29" t="n">
        <v>0.1</v>
      </c>
      <c r="R586" s="30" t="n">
        <v>0.1</v>
      </c>
      <c r="S586" s="31" t="n">
        <v>20</v>
      </c>
      <c r="T586" s="30" t="n">
        <v>-0.120879120879121</v>
      </c>
      <c r="U586" s="30" t="n">
        <v>-0.032967032967033</v>
      </c>
      <c r="V586" s="29" t="n">
        <v>0</v>
      </c>
      <c r="W586" s="29" t="n">
        <f aca="false">IF(N(Q586)=0,"",Q586+IF(I586="yes",Q586*Inputs!$B$10*Inputs!$B$9,0)+V586)</f>
        <v>0.1</v>
      </c>
      <c r="X586" s="28" t="n">
        <f aca="false">IF(OR(N(W586)&lt;=0,N(N586)=0,N(L586)=0),"",MIN(L586,N586/W586))</f>
        <v>20</v>
      </c>
      <c r="Y586" s="29" t="n">
        <f aca="false">IF(OR(X586="",N(O586)=0),"",X586/O586-1)</f>
        <v>-0.120879120879121</v>
      </c>
      <c r="Z586" s="29" t="n">
        <f aca="false">IF(OR(Y586="",N(O586)=0),"",Y586+N586/O586)</f>
        <v>-0.032967032967033</v>
      </c>
      <c r="AA586" s="32" t="n">
        <f aca="false">IF(OR(Z586="",N(U586)=0),"",Z586-U586)</f>
        <v>0</v>
      </c>
      <c r="AB586" s="29" t="n">
        <f aca="false">IF(N(Q586)=0,"",Q586+IF(I586="yes",Q586*Inputs!$B$10*Inputs!$B$9,0)+IFERROR(INDEX(Inputs!$B$13:$B$15,MATCH(G586,Inputs!$A$13:$A$15,0)),0)+IFERROR(INDEX(Inputs!$B$18:$B$24,MATCH(H586,Inputs!$A$18:$A$24,0)),0))</f>
        <v>0.1</v>
      </c>
      <c r="AC586" s="28" t="n">
        <f aca="false">IF(OR(N(AB586)&lt;=0,N(N586)=0,N(L586)=0),"",MIN(L586,N586/AB586))</f>
        <v>20</v>
      </c>
      <c r="AD586" s="29" t="n">
        <f aca="false">IF(OR(AC586="",N(O586)=0),"",AC586/O586-1)</f>
        <v>-0.120879120879121</v>
      </c>
      <c r="AE586" s="29" t="n">
        <f aca="false">IF(OR(AD586="",N(O586)=0),"",AD586+N586/O586)</f>
        <v>-0.032967032967033</v>
      </c>
      <c r="AF586" s="32" t="n">
        <f aca="false">IF(OR(AE586="",N(Z586)=0),"",AE586-Z586)</f>
        <v>0</v>
      </c>
      <c r="AG586" s="28" t="n">
        <f aca="false">IF(AND(N(M586)&gt;0,N(L586)&gt;0),M586*L586,N586)</f>
        <v>2</v>
      </c>
      <c r="AH586" s="28" t="n">
        <f aca="false">IF(OR(N(AB586)&lt;=0,N(AG586)=0,N(L586)=0),"",MIN(L586,AG586/AB586))</f>
        <v>20</v>
      </c>
      <c r="AI586" s="29" t="n">
        <f aca="false">IF(OR(AH586="",N(O586)=0),"",AH586/O586-1)</f>
        <v>-0.120879120879121</v>
      </c>
      <c r="AJ586" s="29" t="n">
        <f aca="false">IF(OR(AI586="",N(O586)=0),"",AI586+AG586/O586)</f>
        <v>-0.032967032967033</v>
      </c>
      <c r="AK586" s="32" t="n">
        <f aca="false">IF(OR(AJ586="",N(AE586)=0),"",AJ586-AE586)</f>
        <v>0</v>
      </c>
      <c r="AL586" s="33" t="n">
        <f aca="false">IF(N(F586)=0,"",INDEX(Inputs!$B$28:$B$32,IFERROR(MATCH(F586,Inputs!$A$28:$A$32,1),0)+1))</f>
        <v>0.09</v>
      </c>
      <c r="AM586" s="34"/>
      <c r="AN586" s="33" t="n">
        <f aca="false">IF(N(AM586)&gt;0,AM586,AL586)</f>
        <v>0.09</v>
      </c>
      <c r="AO586" s="29" t="n">
        <f aca="false">IF(N(AN586)=0,"",AN586+IF(I586="yes",AN586*Inputs!$B$10*Inputs!$B$9,0)+IFERROR(INDEX(Inputs!$B$13:$B$15,MATCH(G586,Inputs!$A$13:$A$15,0)),0)+IFERROR(INDEX(Inputs!$B$18:$B$24,MATCH(H586,Inputs!$A$18:$A$24,0)),0))</f>
        <v>0.09</v>
      </c>
      <c r="AP586" s="28" t="n">
        <f aca="false">IF(OR(N(AO586)&lt;=0,N(AG586)=0,N(L586)=0),"",MIN(L586,AG586/AO586))</f>
        <v>22.2222222222222</v>
      </c>
      <c r="AQ586" s="29" t="n">
        <f aca="false">IF(OR(AP586="",N(O586)=0),"",AP586/O586-1)</f>
        <v>-0.0231990231990232</v>
      </c>
      <c r="AR586" s="29" t="n">
        <f aca="false">IF(OR(AQ586="",N(O586)=0),"",AQ586+AG586/O586)</f>
        <v>0.0647130647130647</v>
      </c>
      <c r="AS586" s="32" t="n">
        <f aca="false">IF(OR(AR586="",N(AJ586)=0),"",AR586-AJ586)</f>
        <v>0.0976800976800977</v>
      </c>
      <c r="AT586" s="28" t="n">
        <v>25</v>
      </c>
      <c r="AU586" s="28" t="n">
        <v>2</v>
      </c>
      <c r="AV586" s="28" t="n">
        <f aca="false">IF(N(AT586)&gt;0,AT586,L586)</f>
        <v>25</v>
      </c>
      <c r="AW586" s="28" t="n">
        <f aca="false">IF(AND(N(M586)&gt;0,N(AV586)&gt;0),M586*AV586,IF(N(AU586)&gt;0,AU586,N586))</f>
        <v>2</v>
      </c>
      <c r="AX586" s="29" t="n">
        <f aca="false">IF(N(AN586)=0,"",AN586+IF(I586="yes",AN586*Inputs!$B$10*Inputs!$B$9,0)+IFERROR(INDEX(Inputs!$B$13:$B$15,MATCH(G586,Inputs!$A$13:$A$15,0)),0)+IFERROR(INDEX(Inputs!$B$18:$B$24,MATCH(H586,Inputs!$A$18:$A$24,0)),0))</f>
        <v>0.09</v>
      </c>
      <c r="AY586" s="28" t="n">
        <f aca="false">IF(OR(N(AX586)&lt;=0,N(AW586)=0,N(AV586)=0),"",MIN(AV586,AW586/AX586))</f>
        <v>22.2222222222222</v>
      </c>
      <c r="AZ586" s="29" t="n">
        <f aca="false">IF(OR(AY586="",N(O586)=0),"",AY586/O586-1)</f>
        <v>-0.0231990231990232</v>
      </c>
      <c r="BA586" s="29" t="n">
        <f aca="false">IF(OR(AZ586="",N(O586)=0),"",AZ586+AW586/O586)</f>
        <v>0.0647130647130647</v>
      </c>
      <c r="BB586" s="32" t="n">
        <f aca="false">IF(OR(BA586="",N(AR586)=0),"",BA586-AR586)</f>
        <v>0</v>
      </c>
      <c r="BC586" s="35" t="n">
        <f aca="false">IF(OR(BA586="",N(U586)=0),"",BA586-U586)</f>
        <v>0.0976800976800977</v>
      </c>
      <c r="BD586" s="37"/>
    </row>
    <row r="587" customFormat="false" ht="15" hidden="false" customHeight="false" outlineLevel="0" collapsed="false">
      <c r="A587" s="2" t="s">
        <v>1067</v>
      </c>
      <c r="B587" s="2" t="n">
        <v>185</v>
      </c>
      <c r="C587" s="2" t="s">
        <v>1213</v>
      </c>
      <c r="D587" s="2" t="s">
        <v>1210</v>
      </c>
      <c r="E587" s="2" t="s">
        <v>1211</v>
      </c>
      <c r="F587" s="27" t="n">
        <v>818</v>
      </c>
      <c r="G587" s="2" t="s">
        <v>51</v>
      </c>
      <c r="H587" s="2" t="s">
        <v>58</v>
      </c>
      <c r="I587" s="2" t="s">
        <v>144</v>
      </c>
      <c r="J587" s="2" t="s">
        <v>145</v>
      </c>
      <c r="K587" s="2" t="n">
        <v>4</v>
      </c>
      <c r="L587" s="28" t="n">
        <v>25</v>
      </c>
      <c r="M587" s="29" t="n">
        <v>0.0675</v>
      </c>
      <c r="N587" s="28" t="n">
        <v>1.6875</v>
      </c>
      <c r="O587" s="28" t="n">
        <v>18.47</v>
      </c>
      <c r="P587" s="2" t="s">
        <v>146</v>
      </c>
      <c r="Q587" s="29" t="n">
        <v>0.1</v>
      </c>
      <c r="R587" s="30" t="n">
        <v>0.1</v>
      </c>
      <c r="S587" s="31" t="n">
        <v>16.875</v>
      </c>
      <c r="T587" s="30" t="n">
        <v>-0.0863562533838657</v>
      </c>
      <c r="U587" s="30" t="n">
        <v>0.00500812127774777</v>
      </c>
      <c r="V587" s="29" t="n">
        <v>0</v>
      </c>
      <c r="W587" s="29" t="n">
        <f aca="false">IF(N(Q587)=0,"",Q587+IF(I587="yes",Q587*Inputs!$B$10*Inputs!$B$9,0)+V587)</f>
        <v>0.1</v>
      </c>
      <c r="X587" s="28" t="n">
        <f aca="false">IF(OR(N(W587)&lt;=0,N(N587)=0,N(L587)=0),"",MIN(L587,N587/W587))</f>
        <v>16.875</v>
      </c>
      <c r="Y587" s="29" t="n">
        <f aca="false">IF(OR(X587="",N(O587)=0),"",X587/O587-1)</f>
        <v>-0.0863562533838657</v>
      </c>
      <c r="Z587" s="29" t="n">
        <f aca="false">IF(OR(Y587="",N(O587)=0),"",Y587+N587/O587)</f>
        <v>0.00500812127774777</v>
      </c>
      <c r="AA587" s="32" t="n">
        <f aca="false">IF(OR(Z587="",N(U587)=0),"",Z587-U587)</f>
        <v>0</v>
      </c>
      <c r="AB587" s="29" t="n">
        <f aca="false">IF(N(Q587)=0,"",Q587+IF(I587="yes",Q587*Inputs!$B$10*Inputs!$B$9,0)+IFERROR(INDEX(Inputs!$B$13:$B$15,MATCH(G587,Inputs!$A$13:$A$15,0)),0)+IFERROR(INDEX(Inputs!$B$18:$B$24,MATCH(H587,Inputs!$A$18:$A$24,0)),0))</f>
        <v>0.1</v>
      </c>
      <c r="AC587" s="28" t="n">
        <f aca="false">IF(OR(N(AB587)&lt;=0,N(N587)=0,N(L587)=0),"",MIN(L587,N587/AB587))</f>
        <v>16.875</v>
      </c>
      <c r="AD587" s="29" t="n">
        <f aca="false">IF(OR(AC587="",N(O587)=0),"",AC587/O587-1)</f>
        <v>-0.0863562533838657</v>
      </c>
      <c r="AE587" s="29" t="n">
        <f aca="false">IF(OR(AD587="",N(O587)=0),"",AD587+N587/O587)</f>
        <v>0.00500812127774777</v>
      </c>
      <c r="AF587" s="32" t="n">
        <f aca="false">IF(OR(AE587="",N(Z587)=0),"",AE587-Z587)</f>
        <v>0</v>
      </c>
      <c r="AG587" s="28" t="n">
        <f aca="false">IF(AND(N(M587)&gt;0,N(L587)&gt;0),M587*L587,N587)</f>
        <v>1.6875</v>
      </c>
      <c r="AH587" s="28" t="n">
        <f aca="false">IF(OR(N(AB587)&lt;=0,N(AG587)=0,N(L587)=0),"",MIN(L587,AG587/AB587))</f>
        <v>16.875</v>
      </c>
      <c r="AI587" s="29" t="n">
        <f aca="false">IF(OR(AH587="",N(O587)=0),"",AH587/O587-1)</f>
        <v>-0.0863562533838657</v>
      </c>
      <c r="AJ587" s="29" t="n">
        <f aca="false">IF(OR(AI587="",N(O587)=0),"",AI587+AG587/O587)</f>
        <v>0.00500812127774777</v>
      </c>
      <c r="AK587" s="32" t="n">
        <f aca="false">IF(OR(AJ587="",N(AE587)=0),"",AJ587-AE587)</f>
        <v>0</v>
      </c>
      <c r="AL587" s="33" t="n">
        <f aca="false">IF(N(F587)=0,"",INDEX(Inputs!$B$28:$B$32,IFERROR(MATCH(F587,Inputs!$A$28:$A$32,1),0)+1))</f>
        <v>0.09</v>
      </c>
      <c r="AM587" s="34"/>
      <c r="AN587" s="33" t="n">
        <f aca="false">IF(N(AM587)&gt;0,AM587,AL587)</f>
        <v>0.09</v>
      </c>
      <c r="AO587" s="29" t="n">
        <f aca="false">IF(N(AN587)=0,"",AN587+IF(I587="yes",AN587*Inputs!$B$10*Inputs!$B$9,0)+IFERROR(INDEX(Inputs!$B$13:$B$15,MATCH(G587,Inputs!$A$13:$A$15,0)),0)+IFERROR(INDEX(Inputs!$B$18:$B$24,MATCH(H587,Inputs!$A$18:$A$24,0)),0))</f>
        <v>0.09</v>
      </c>
      <c r="AP587" s="28" t="n">
        <f aca="false">IF(OR(N(AO587)&lt;=0,N(AG587)=0,N(L587)=0),"",MIN(L587,AG587/AO587))</f>
        <v>18.75</v>
      </c>
      <c r="AQ587" s="29" t="n">
        <f aca="false">IF(OR(AP587="",N(O587)=0),"",AP587/O587-1)</f>
        <v>0.0151597184623715</v>
      </c>
      <c r="AR587" s="29" t="n">
        <f aca="false">IF(OR(AQ587="",N(O587)=0),"",AQ587+AG587/O587)</f>
        <v>0.106524093123985</v>
      </c>
      <c r="AS587" s="32" t="n">
        <f aca="false">IF(OR(AR587="",N(AJ587)=0),"",AR587-AJ587)</f>
        <v>0.101515971846237</v>
      </c>
      <c r="AT587" s="28" t="n">
        <v>25</v>
      </c>
      <c r="AU587" s="28" t="n">
        <v>1.6875</v>
      </c>
      <c r="AV587" s="28" t="n">
        <f aca="false">IF(N(AT587)&gt;0,AT587,L587)</f>
        <v>25</v>
      </c>
      <c r="AW587" s="28" t="n">
        <f aca="false">IF(AND(N(M587)&gt;0,N(AV587)&gt;0),M587*AV587,IF(N(AU587)&gt;0,AU587,N587))</f>
        <v>1.6875</v>
      </c>
      <c r="AX587" s="29" t="n">
        <f aca="false">IF(N(AN587)=0,"",AN587+IF(I587="yes",AN587*Inputs!$B$10*Inputs!$B$9,0)+IFERROR(INDEX(Inputs!$B$13:$B$15,MATCH(G587,Inputs!$A$13:$A$15,0)),0)+IFERROR(INDEX(Inputs!$B$18:$B$24,MATCH(H587,Inputs!$A$18:$A$24,0)),0))</f>
        <v>0.09</v>
      </c>
      <c r="AY587" s="28" t="n">
        <f aca="false">IF(OR(N(AX587)&lt;=0,N(AW587)=0,N(AV587)=0),"",MIN(AV587,AW587/AX587))</f>
        <v>18.75</v>
      </c>
      <c r="AZ587" s="29" t="n">
        <f aca="false">IF(OR(AY587="",N(O587)=0),"",AY587/O587-1)</f>
        <v>0.0151597184623715</v>
      </c>
      <c r="BA587" s="29" t="n">
        <f aca="false">IF(OR(AZ587="",N(O587)=0),"",AZ587+AW587/O587)</f>
        <v>0.106524093123985</v>
      </c>
      <c r="BB587" s="32" t="n">
        <f aca="false">IF(OR(BA587="",N(AR587)=0),"",BA587-AR587)</f>
        <v>0</v>
      </c>
      <c r="BC587" s="35" t="n">
        <f aca="false">IF(OR(BA587="",N(U587)=0),"",BA587-U587)</f>
        <v>0.101515971846237</v>
      </c>
      <c r="BD587" s="37"/>
    </row>
    <row r="588" customFormat="false" ht="15" hidden="false" customHeight="false" outlineLevel="0" collapsed="false">
      <c r="A588" s="2" t="s">
        <v>1067</v>
      </c>
      <c r="B588" s="2" t="n">
        <v>186</v>
      </c>
      <c r="C588" s="2" t="s">
        <v>1214</v>
      </c>
      <c r="D588" s="2" t="s">
        <v>1210</v>
      </c>
      <c r="E588" s="2" t="s">
        <v>1211</v>
      </c>
      <c r="F588" s="27" t="n">
        <v>818</v>
      </c>
      <c r="G588" s="2" t="s">
        <v>52</v>
      </c>
      <c r="H588" s="2" t="s">
        <v>58</v>
      </c>
      <c r="I588" s="2" t="s">
        <v>144</v>
      </c>
      <c r="J588" s="2" t="s">
        <v>145</v>
      </c>
      <c r="K588" s="2" t="n">
        <v>4</v>
      </c>
      <c r="L588" s="28" t="n">
        <v>25</v>
      </c>
      <c r="M588" s="29" t="n">
        <v>0.00085</v>
      </c>
      <c r="N588" s="28" t="n">
        <v>0.02125</v>
      </c>
      <c r="O588" s="28" t="n">
        <v>25.8</v>
      </c>
      <c r="P588" s="2" t="s">
        <v>223</v>
      </c>
      <c r="Q588" s="29" t="n">
        <v>0.1</v>
      </c>
      <c r="R588" s="30" t="n">
        <v>0.1</v>
      </c>
      <c r="S588" s="31" t="n">
        <v>0.2125</v>
      </c>
      <c r="T588" s="30" t="n">
        <v>-0.991763565891473</v>
      </c>
      <c r="U588" s="30" t="n">
        <v>-0.99093992248062</v>
      </c>
      <c r="V588" s="29" t="n">
        <v>-0.005</v>
      </c>
      <c r="W588" s="29" t="n">
        <f aca="false">IF(N(Q588)=0,"",Q588+IF(I588="yes",Q588*Inputs!$B$10*Inputs!$B$9,0)+V588)</f>
        <v>0.095</v>
      </c>
      <c r="X588" s="28" t="n">
        <f aca="false">IF(OR(N(W588)&lt;=0,N(N588)=0,N(L588)=0),"",MIN(L588,N588/W588))</f>
        <v>0.223684210526316</v>
      </c>
      <c r="Y588" s="29" t="n">
        <f aca="false">IF(OR(X588="",N(O588)=0),"",X588/O588-1)</f>
        <v>-0.991330069359445</v>
      </c>
      <c r="Z588" s="29" t="n">
        <f aca="false">IF(OR(Y588="",N(O588)=0),"",Y588+N588/O588)</f>
        <v>-0.990506425948592</v>
      </c>
      <c r="AA588" s="32" t="n">
        <f aca="false">IF(OR(Z588="",N(U588)=0),"",Z588-U588)</f>
        <v>0.000433496532027733</v>
      </c>
      <c r="AB588" s="29" t="n">
        <f aca="false">IF(N(Q588)=0,"",Q588+IF(I588="yes",Q588*Inputs!$B$10*Inputs!$B$9,0)+IFERROR(INDEX(Inputs!$B$13:$B$15,MATCH(G588,Inputs!$A$13:$A$15,0)),0)+IFERROR(INDEX(Inputs!$B$18:$B$24,MATCH(H588,Inputs!$A$18:$A$24,0)),0))</f>
        <v>0.095</v>
      </c>
      <c r="AC588" s="28" t="n">
        <f aca="false">IF(OR(N(AB588)&lt;=0,N(N588)=0,N(L588)=0),"",MIN(L588,N588/AB588))</f>
        <v>0.223684210526316</v>
      </c>
      <c r="AD588" s="29" t="n">
        <f aca="false">IF(OR(AC588="",N(O588)=0),"",AC588/O588-1)</f>
        <v>-0.991330069359445</v>
      </c>
      <c r="AE588" s="29" t="n">
        <f aca="false">IF(OR(AD588="",N(O588)=0),"",AD588+N588/O588)</f>
        <v>-0.990506425948592</v>
      </c>
      <c r="AF588" s="32" t="n">
        <f aca="false">IF(OR(AE588="",N(Z588)=0),"",AE588-Z588)</f>
        <v>0</v>
      </c>
      <c r="AG588" s="28" t="n">
        <f aca="false">IF(AND(N(M588)&gt;0,N(L588)&gt;0),M588*L588,N588)</f>
        <v>0.02125</v>
      </c>
      <c r="AH588" s="28" t="n">
        <f aca="false">IF(OR(N(AB588)&lt;=0,N(AG588)=0,N(L588)=0),"",MIN(L588,AG588/AB588))</f>
        <v>0.223684210526316</v>
      </c>
      <c r="AI588" s="29" t="n">
        <f aca="false">IF(OR(AH588="",N(O588)=0),"",AH588/O588-1)</f>
        <v>-0.991330069359445</v>
      </c>
      <c r="AJ588" s="29" t="n">
        <f aca="false">IF(OR(AI588="",N(O588)=0),"",AI588+AG588/O588)</f>
        <v>-0.990506425948592</v>
      </c>
      <c r="AK588" s="32" t="n">
        <f aca="false">IF(OR(AJ588="",N(AE588)=0),"",AJ588-AE588)</f>
        <v>0</v>
      </c>
      <c r="AL588" s="33" t="n">
        <f aca="false">IF(N(F588)=0,"",INDEX(Inputs!$B$28:$B$32,IFERROR(MATCH(F588,Inputs!$A$28:$A$32,1),0)+1))</f>
        <v>0.09</v>
      </c>
      <c r="AM588" s="34"/>
      <c r="AN588" s="33" t="n">
        <f aca="false">IF(N(AM588)&gt;0,AM588,AL588)</f>
        <v>0.09</v>
      </c>
      <c r="AO588" s="29" t="n">
        <f aca="false">IF(N(AN588)=0,"",AN588+IF(I588="yes",AN588*Inputs!$B$10*Inputs!$B$9,0)+IFERROR(INDEX(Inputs!$B$13:$B$15,MATCH(G588,Inputs!$A$13:$A$15,0)),0)+IFERROR(INDEX(Inputs!$B$18:$B$24,MATCH(H588,Inputs!$A$18:$A$24,0)),0))</f>
        <v>0.085</v>
      </c>
      <c r="AP588" s="28" t="n">
        <f aca="false">IF(OR(N(AO588)&lt;=0,N(AG588)=0,N(L588)=0),"",MIN(L588,AG588/AO588))</f>
        <v>0.25</v>
      </c>
      <c r="AQ588" s="29" t="n">
        <f aca="false">IF(OR(AP588="",N(O588)=0),"",AP588/O588-1)</f>
        <v>-0.99031007751938</v>
      </c>
      <c r="AR588" s="29" t="n">
        <f aca="false">IF(OR(AQ588="",N(O588)=0),"",AQ588+AG588/O588)</f>
        <v>-0.989486434108527</v>
      </c>
      <c r="AS588" s="32" t="n">
        <f aca="false">IF(OR(AR588="",N(AJ588)=0),"",AR588-AJ588)</f>
        <v>0.00101999184006529</v>
      </c>
      <c r="AT588" s="28" t="n">
        <v>25</v>
      </c>
      <c r="AU588" s="28" t="n">
        <v>2.125</v>
      </c>
      <c r="AV588" s="28" t="n">
        <f aca="false">IF(N(AT588)&gt;0,AT588,L588)</f>
        <v>25</v>
      </c>
      <c r="AW588" s="28" t="n">
        <f aca="false">IF(AND(N(M588)&gt;0,N(AV588)&gt;0),M588*AV588,IF(N(AU588)&gt;0,AU588,N588))</f>
        <v>0.02125</v>
      </c>
      <c r="AX588" s="29" t="n">
        <f aca="false">IF(N(AN588)=0,"",AN588+IF(I588="yes",AN588*Inputs!$B$10*Inputs!$B$9,0)+IFERROR(INDEX(Inputs!$B$13:$B$15,MATCH(G588,Inputs!$A$13:$A$15,0)),0)+IFERROR(INDEX(Inputs!$B$18:$B$24,MATCH(H588,Inputs!$A$18:$A$24,0)),0))</f>
        <v>0.085</v>
      </c>
      <c r="AY588" s="28" t="n">
        <f aca="false">IF(OR(N(AX588)&lt;=0,N(AW588)=0,N(AV588)=0),"",MIN(AV588,AW588/AX588))</f>
        <v>0.25</v>
      </c>
      <c r="AZ588" s="29" t="n">
        <f aca="false">IF(OR(AY588="",N(O588)=0),"",AY588/O588-1)</f>
        <v>-0.99031007751938</v>
      </c>
      <c r="BA588" s="29" t="n">
        <f aca="false">IF(OR(AZ588="",N(O588)=0),"",AZ588+AW588/O588)</f>
        <v>-0.989486434108527</v>
      </c>
      <c r="BB588" s="32" t="n">
        <f aca="false">IF(OR(BA588="",N(AR588)=0),"",BA588-AR588)</f>
        <v>0</v>
      </c>
      <c r="BC588" s="35" t="n">
        <f aca="false">IF(OR(BA588="",N(U588)=0),"",BA588-U588)</f>
        <v>0.00145348837209303</v>
      </c>
      <c r="BD588" s="36" t="s">
        <v>224</v>
      </c>
    </row>
    <row r="589" customFormat="false" ht="15" hidden="false" customHeight="false" outlineLevel="0" collapsed="false">
      <c r="A589" s="2" t="s">
        <v>1067</v>
      </c>
      <c r="B589" s="2" t="n">
        <v>189</v>
      </c>
      <c r="C589" s="2" t="s">
        <v>1215</v>
      </c>
      <c r="D589" s="2" t="s">
        <v>1216</v>
      </c>
      <c r="E589" s="2" t="s">
        <v>1217</v>
      </c>
      <c r="F589" s="27" t="n">
        <v>15400</v>
      </c>
      <c r="G589" s="2" t="s">
        <v>51</v>
      </c>
      <c r="H589" s="2" t="s">
        <v>58</v>
      </c>
      <c r="I589" s="2" t="s">
        <v>151</v>
      </c>
      <c r="J589" s="2" t="s">
        <v>145</v>
      </c>
      <c r="K589" s="2" t="n">
        <v>4</v>
      </c>
      <c r="L589" s="28" t="n">
        <v>25</v>
      </c>
      <c r="M589" s="29" t="n">
        <v>0.0675</v>
      </c>
      <c r="N589" s="28" t="n">
        <v>1.6875</v>
      </c>
      <c r="O589" s="28" t="n">
        <v>0</v>
      </c>
      <c r="P589" s="2" t="s">
        <v>146</v>
      </c>
      <c r="Q589" s="29" t="n">
        <v>0.08</v>
      </c>
      <c r="R589" s="30" t="n">
        <v>0.076</v>
      </c>
      <c r="S589" s="31" t="n">
        <v>22.2039473684211</v>
      </c>
      <c r="T589" s="30"/>
      <c r="U589" s="30"/>
      <c r="V589" s="29" t="n">
        <v>0</v>
      </c>
      <c r="W589" s="29" t="n">
        <f aca="false">IF(N(Q589)=0,"",Q589+IF(I589="yes",Q589*Inputs!$B$10*Inputs!$B$9,0)+V589)</f>
        <v>0.076</v>
      </c>
      <c r="X589" s="28" t="n">
        <f aca="false">IF(OR(N(W589)&lt;=0,N(N589)=0,N(L589)=0),"",MIN(L589,N589/W589))</f>
        <v>22.2039473684211</v>
      </c>
      <c r="Y589" s="29" t="str">
        <f aca="false">IF(OR(X589="",N(O589)=0),"",X589/O589-1)</f>
        <v/>
      </c>
      <c r="Z589" s="29" t="str">
        <f aca="false">IF(OR(Y589="",N(O589)=0),"",Y589+N589/O589)</f>
        <v/>
      </c>
      <c r="AA589" s="32" t="str">
        <f aca="false">IF(OR(Z589="",N(U589)=0),"",Z589-U589)</f>
        <v/>
      </c>
      <c r="AB589" s="29" t="n">
        <f aca="false">IF(N(Q589)=0,"",Q589+IF(I589="yes",Q589*Inputs!$B$10*Inputs!$B$9,0)+IFERROR(INDEX(Inputs!$B$13:$B$15,MATCH(G589,Inputs!$A$13:$A$15,0)),0)+IFERROR(INDEX(Inputs!$B$18:$B$24,MATCH(H589,Inputs!$A$18:$A$24,0)),0))</f>
        <v>0.076</v>
      </c>
      <c r="AC589" s="28" t="n">
        <f aca="false">IF(OR(N(AB589)&lt;=0,N(N589)=0,N(L589)=0),"",MIN(L589,N589/AB589))</f>
        <v>22.2039473684211</v>
      </c>
      <c r="AD589" s="29" t="str">
        <f aca="false">IF(OR(AC589="",N(O589)=0),"",AC589/O589-1)</f>
        <v/>
      </c>
      <c r="AE589" s="29" t="str">
        <f aca="false">IF(OR(AD589="",N(O589)=0),"",AD589+N589/O589)</f>
        <v/>
      </c>
      <c r="AF589" s="32" t="str">
        <f aca="false">IF(OR(AE589="",N(Z589)=0),"",AE589-Z589)</f>
        <v/>
      </c>
      <c r="AG589" s="28" t="n">
        <f aca="false">IF(AND(N(M589)&gt;0,N(L589)&gt;0),M589*L589,N589)</f>
        <v>1.6875</v>
      </c>
      <c r="AH589" s="28" t="n">
        <f aca="false">IF(OR(N(AB589)&lt;=0,N(AG589)=0,N(L589)=0),"",MIN(L589,AG589/AB589))</f>
        <v>22.2039473684211</v>
      </c>
      <c r="AI589" s="29" t="str">
        <f aca="false">IF(OR(AH589="",N(O589)=0),"",AH589/O589-1)</f>
        <v/>
      </c>
      <c r="AJ589" s="29" t="str">
        <f aca="false">IF(OR(AI589="",N(O589)=0),"",AI589+AG589/O589)</f>
        <v/>
      </c>
      <c r="AK589" s="32" t="str">
        <f aca="false">IF(OR(AJ589="",N(AE589)=0),"",AJ589-AE589)</f>
        <v/>
      </c>
      <c r="AL589" s="33" t="n">
        <f aca="false">IF(N(F589)=0,"",INDEX(Inputs!$B$28:$B$32,IFERROR(MATCH(F589,Inputs!$A$28:$A$32,1),0)+1))</f>
        <v>0.08</v>
      </c>
      <c r="AM589" s="34"/>
      <c r="AN589" s="33" t="n">
        <f aca="false">IF(N(AM589)&gt;0,AM589,AL589)</f>
        <v>0.08</v>
      </c>
      <c r="AO589" s="29" t="n">
        <f aca="false">IF(N(AN589)=0,"",AN589+IF(I589="yes",AN589*Inputs!$B$10*Inputs!$B$9,0)+IFERROR(INDEX(Inputs!$B$13:$B$15,MATCH(G589,Inputs!$A$13:$A$15,0)),0)+IFERROR(INDEX(Inputs!$B$18:$B$24,MATCH(H589,Inputs!$A$18:$A$24,0)),0))</f>
        <v>0.076</v>
      </c>
      <c r="AP589" s="28" t="n">
        <f aca="false">IF(OR(N(AO589)&lt;=0,N(AG589)=0,N(L589)=0),"",MIN(L589,AG589/AO589))</f>
        <v>22.2039473684211</v>
      </c>
      <c r="AQ589" s="29" t="str">
        <f aca="false">IF(OR(AP589="",N(O589)=0),"",AP589/O589-1)</f>
        <v/>
      </c>
      <c r="AR589" s="29" t="str">
        <f aca="false">IF(OR(AQ589="",N(O589)=0),"",AQ589+AG589/O589)</f>
        <v/>
      </c>
      <c r="AS589" s="32" t="str">
        <f aca="false">IF(OR(AR589="",N(AJ589)=0),"",AR589-AJ589)</f>
        <v/>
      </c>
      <c r="AT589" s="28"/>
      <c r="AU589" s="28"/>
      <c r="AV589" s="28" t="n">
        <f aca="false">IF(N(AT589)&gt;0,AT589,L589)</f>
        <v>25</v>
      </c>
      <c r="AW589" s="28" t="n">
        <f aca="false">IF(AND(N(M589)&gt;0,N(AV589)&gt;0),M589*AV589,IF(N(AU589)&gt;0,AU589,N589))</f>
        <v>1.6875</v>
      </c>
      <c r="AX589" s="29" t="n">
        <f aca="false">IF(N(AN589)=0,"",AN589+IF(I589="yes",AN589*Inputs!$B$10*Inputs!$B$9,0)+IFERROR(INDEX(Inputs!$B$13:$B$15,MATCH(G589,Inputs!$A$13:$A$15,0)),0)+IFERROR(INDEX(Inputs!$B$18:$B$24,MATCH(H589,Inputs!$A$18:$A$24,0)),0))</f>
        <v>0.076</v>
      </c>
      <c r="AY589" s="28" t="n">
        <f aca="false">IF(OR(N(AX589)&lt;=0,N(AW589)=0,N(AV589)=0),"",MIN(AV589,AW589/AX589))</f>
        <v>22.2039473684211</v>
      </c>
      <c r="AZ589" s="29" t="str">
        <f aca="false">IF(OR(AY589="",N(O589)=0),"",AY589/O589-1)</f>
        <v/>
      </c>
      <c r="BA589" s="29" t="str">
        <f aca="false">IF(OR(AZ589="",N(O589)=0),"",AZ589+AW589/O589)</f>
        <v/>
      </c>
      <c r="BB589" s="32" t="str">
        <f aca="false">IF(OR(BA589="",N(AR589)=0),"",BA589-AR589)</f>
        <v/>
      </c>
      <c r="BC589" s="35" t="str">
        <f aca="false">IF(OR(BA589="",N(U589)=0),"",BA589-U589)</f>
        <v/>
      </c>
      <c r="BD589" s="36" t="s">
        <v>198</v>
      </c>
    </row>
    <row r="590" customFormat="false" ht="15" hidden="false" customHeight="false" outlineLevel="0" collapsed="false">
      <c r="A590" s="2" t="s">
        <v>1067</v>
      </c>
      <c r="B590" s="2" t="n">
        <v>193</v>
      </c>
      <c r="C590" s="2" t="s">
        <v>1218</v>
      </c>
      <c r="D590" s="2" t="s">
        <v>1219</v>
      </c>
      <c r="E590" s="2" t="s">
        <v>143</v>
      </c>
      <c r="F590" s="27"/>
      <c r="G590" s="2" t="s">
        <v>51</v>
      </c>
      <c r="H590" s="2" t="s">
        <v>58</v>
      </c>
      <c r="I590" s="2" t="s">
        <v>151</v>
      </c>
      <c r="J590" s="2" t="s">
        <v>145</v>
      </c>
      <c r="K590" s="2" t="n">
        <v>4</v>
      </c>
      <c r="L590" s="28" t="n">
        <v>100</v>
      </c>
      <c r="M590" s="29" t="n">
        <v>0.0458</v>
      </c>
      <c r="N590" s="28" t="n">
        <v>4.58</v>
      </c>
      <c r="O590" s="28" t="n">
        <v>73.5</v>
      </c>
      <c r="P590" s="2" t="s">
        <v>146</v>
      </c>
      <c r="Q590" s="29" t="n">
        <v>0</v>
      </c>
      <c r="R590" s="30" t="n">
        <v>0</v>
      </c>
      <c r="S590" s="31"/>
      <c r="T590" s="30"/>
      <c r="U590" s="30"/>
      <c r="V590" s="29" t="n">
        <v>0</v>
      </c>
      <c r="W590" s="29" t="str">
        <f aca="false">IF(N(Q590)=0,"",Q590+IF(I590="yes",Q590*Inputs!$B$10*Inputs!$B$9,0)+V590)</f>
        <v/>
      </c>
      <c r="X590" s="28" t="str">
        <f aca="false">IF(OR(N(W590)&lt;=0,N(N590)=0,N(L590)=0),"",MIN(L590,N590/W590))</f>
        <v/>
      </c>
      <c r="Y590" s="29" t="str">
        <f aca="false">IF(OR(X590="",N(O590)=0),"",X590/O590-1)</f>
        <v/>
      </c>
      <c r="Z590" s="29" t="str">
        <f aca="false">IF(OR(Y590="",N(O590)=0),"",Y590+N590/O590)</f>
        <v/>
      </c>
      <c r="AA590" s="32" t="str">
        <f aca="false">IF(OR(Z590="",N(U590)=0),"",Z590-U590)</f>
        <v/>
      </c>
      <c r="AB590" s="29" t="str">
        <f aca="false">IF(N(Q590)=0,"",Q590+IF(I590="yes",Q590*Inputs!$B$10*Inputs!$B$9,0)+IFERROR(INDEX(Inputs!$B$13:$B$15,MATCH(G590,Inputs!$A$13:$A$15,0)),0)+IFERROR(INDEX(Inputs!$B$18:$B$24,MATCH(H590,Inputs!$A$18:$A$24,0)),0))</f>
        <v/>
      </c>
      <c r="AC590" s="28" t="str">
        <f aca="false">IF(OR(N(AB590)&lt;=0,N(N590)=0,N(L590)=0),"",MIN(L590,N590/AB590))</f>
        <v/>
      </c>
      <c r="AD590" s="29" t="str">
        <f aca="false">IF(OR(AC590="",N(O590)=0),"",AC590/O590-1)</f>
        <v/>
      </c>
      <c r="AE590" s="29" t="str">
        <f aca="false">IF(OR(AD590="",N(O590)=0),"",AD590+N590/O590)</f>
        <v/>
      </c>
      <c r="AF590" s="32" t="str">
        <f aca="false">IF(OR(AE590="",N(Z590)=0),"",AE590-Z590)</f>
        <v/>
      </c>
      <c r="AG590" s="28" t="n">
        <f aca="false">IF(AND(N(M590)&gt;0,N(L590)&gt;0),M590*L590,N590)</f>
        <v>4.58</v>
      </c>
      <c r="AH590" s="28" t="str">
        <f aca="false">IF(OR(N(AB590)&lt;=0,N(AG590)=0,N(L590)=0),"",MIN(L590,AG590/AB590))</f>
        <v/>
      </c>
      <c r="AI590" s="29" t="str">
        <f aca="false">IF(OR(AH590="",N(O590)=0),"",AH590/O590-1)</f>
        <v/>
      </c>
      <c r="AJ590" s="29" t="str">
        <f aca="false">IF(OR(AI590="",N(O590)=0),"",AI590+AG590/O590)</f>
        <v/>
      </c>
      <c r="AK590" s="32" t="str">
        <f aca="false">IF(OR(AJ590="",N(AE590)=0),"",AJ590-AE590)</f>
        <v/>
      </c>
      <c r="AL590" s="33" t="str">
        <f aca="false">IF(N(F590)=0,"",INDEX(Inputs!$B$28:$B$32,IFERROR(MATCH(F590,Inputs!$A$28:$A$32,1),0)+1))</f>
        <v/>
      </c>
      <c r="AM590" s="34"/>
      <c r="AN590" s="33" t="str">
        <f aca="false">IF(N(AM590)&gt;0,AM590,AL590)</f>
        <v/>
      </c>
      <c r="AO590" s="29" t="str">
        <f aca="false">IF(N(AN590)=0,"",AN590+IF(I590="yes",AN590*Inputs!$B$10*Inputs!$B$9,0)+IFERROR(INDEX(Inputs!$B$13:$B$15,MATCH(G590,Inputs!$A$13:$A$15,0)),0)+IFERROR(INDEX(Inputs!$B$18:$B$24,MATCH(H590,Inputs!$A$18:$A$24,0)),0))</f>
        <v/>
      </c>
      <c r="AP590" s="28" t="str">
        <f aca="false">IF(OR(N(AO590)&lt;=0,N(AG590)=0,N(L590)=0),"",MIN(L590,AG590/AO590))</f>
        <v/>
      </c>
      <c r="AQ590" s="29" t="str">
        <f aca="false">IF(OR(AP590="",N(O590)=0),"",AP590/O590-1)</f>
        <v/>
      </c>
      <c r="AR590" s="29" t="str">
        <f aca="false">IF(OR(AQ590="",N(O590)=0),"",AQ590+AG590/O590)</f>
        <v/>
      </c>
      <c r="AS590" s="32" t="str">
        <f aca="false">IF(OR(AR590="",N(AJ590)=0),"",AR590-AJ590)</f>
        <v/>
      </c>
      <c r="AT590" s="28" t="n">
        <v>100</v>
      </c>
      <c r="AU590" s="28" t="n">
        <v>4.58</v>
      </c>
      <c r="AV590" s="28" t="n">
        <f aca="false">IF(N(AT590)&gt;0,AT590,L590)</f>
        <v>100</v>
      </c>
      <c r="AW590" s="28" t="n">
        <f aca="false">IF(AND(N(M590)&gt;0,N(AV590)&gt;0),M590*AV590,IF(N(AU590)&gt;0,AU590,N590))</f>
        <v>4.58</v>
      </c>
      <c r="AX590" s="29" t="str">
        <f aca="false">IF(N(AN590)=0,"",AN590+IF(I590="yes",AN590*Inputs!$B$10*Inputs!$B$9,0)+IFERROR(INDEX(Inputs!$B$13:$B$15,MATCH(G590,Inputs!$A$13:$A$15,0)),0)+IFERROR(INDEX(Inputs!$B$18:$B$24,MATCH(H590,Inputs!$A$18:$A$24,0)),0))</f>
        <v/>
      </c>
      <c r="AY590" s="28" t="str">
        <f aca="false">IF(OR(N(AX590)&lt;=0,N(AW590)=0,N(AV590)=0),"",MIN(AV590,AW590/AX590))</f>
        <v/>
      </c>
      <c r="AZ590" s="29" t="str">
        <f aca="false">IF(OR(AY590="",N(O590)=0),"",AY590/O590-1)</f>
        <v/>
      </c>
      <c r="BA590" s="29" t="str">
        <f aca="false">IF(OR(AZ590="",N(O590)=0),"",AZ590+AW590/O590)</f>
        <v/>
      </c>
      <c r="BB590" s="32" t="str">
        <f aca="false">IF(OR(BA590="",N(AR590)=0),"",BA590-AR590)</f>
        <v/>
      </c>
      <c r="BC590" s="35" t="str">
        <f aca="false">IF(OR(BA590="",N(U590)=0),"",BA590-U590)</f>
        <v/>
      </c>
      <c r="BD590" s="36" t="s">
        <v>231</v>
      </c>
    </row>
    <row r="591" customFormat="false" ht="15" hidden="false" customHeight="false" outlineLevel="0" collapsed="false">
      <c r="A591" s="2" t="s">
        <v>1067</v>
      </c>
      <c r="B591" s="2" t="n">
        <v>197</v>
      </c>
      <c r="C591" s="2" t="s">
        <v>1220</v>
      </c>
      <c r="D591" s="2" t="s">
        <v>1221</v>
      </c>
      <c r="E591" s="2" t="s">
        <v>1222</v>
      </c>
      <c r="F591" s="27" t="n">
        <v>262</v>
      </c>
      <c r="G591" s="2" t="s">
        <v>51</v>
      </c>
      <c r="H591" s="2" t="s">
        <v>58</v>
      </c>
      <c r="I591" s="2" t="s">
        <v>144</v>
      </c>
      <c r="J591" s="2" t="s">
        <v>145</v>
      </c>
      <c r="K591" s="2" t="n">
        <v>4</v>
      </c>
      <c r="L591" s="28" t="n">
        <v>25</v>
      </c>
      <c r="M591" s="29" t="n">
        <v>0.0875</v>
      </c>
      <c r="N591" s="28" t="n">
        <v>2.1875</v>
      </c>
      <c r="O591" s="28" t="n">
        <v>24.36</v>
      </c>
      <c r="P591" s="2" t="s">
        <v>146</v>
      </c>
      <c r="Q591" s="29" t="n">
        <v>0.1</v>
      </c>
      <c r="R591" s="30" t="n">
        <v>0.1</v>
      </c>
      <c r="S591" s="31" t="n">
        <v>21.875</v>
      </c>
      <c r="T591" s="30" t="n">
        <v>-0.102011494252874</v>
      </c>
      <c r="U591" s="30" t="n">
        <v>-0.0122126436781609</v>
      </c>
      <c r="V591" s="29" t="n">
        <v>0</v>
      </c>
      <c r="W591" s="29" t="n">
        <f aca="false">IF(N(Q591)=0,"",Q591+IF(I591="yes",Q591*Inputs!$B$10*Inputs!$B$9,0)+V591)</f>
        <v>0.1</v>
      </c>
      <c r="X591" s="28" t="n">
        <f aca="false">IF(OR(N(W591)&lt;=0,N(N591)=0,N(L591)=0),"",MIN(L591,N591/W591))</f>
        <v>21.875</v>
      </c>
      <c r="Y591" s="29" t="n">
        <f aca="false">IF(OR(X591="",N(O591)=0),"",X591/O591-1)</f>
        <v>-0.102011494252874</v>
      </c>
      <c r="Z591" s="29" t="n">
        <f aca="false">IF(OR(Y591="",N(O591)=0),"",Y591+N591/O591)</f>
        <v>-0.0122126436781609</v>
      </c>
      <c r="AA591" s="32" t="n">
        <f aca="false">IF(OR(Z591="",N(U591)=0),"",Z591-U591)</f>
        <v>0</v>
      </c>
      <c r="AB591" s="29" t="n">
        <f aca="false">IF(N(Q591)=0,"",Q591+IF(I591="yes",Q591*Inputs!$B$10*Inputs!$B$9,0)+IFERROR(INDEX(Inputs!$B$13:$B$15,MATCH(G591,Inputs!$A$13:$A$15,0)),0)+IFERROR(INDEX(Inputs!$B$18:$B$24,MATCH(H591,Inputs!$A$18:$A$24,0)),0))</f>
        <v>0.1</v>
      </c>
      <c r="AC591" s="28" t="n">
        <f aca="false">IF(OR(N(AB591)&lt;=0,N(N591)=0,N(L591)=0),"",MIN(L591,N591/AB591))</f>
        <v>21.875</v>
      </c>
      <c r="AD591" s="29" t="n">
        <f aca="false">IF(OR(AC591="",N(O591)=0),"",AC591/O591-1)</f>
        <v>-0.102011494252874</v>
      </c>
      <c r="AE591" s="29" t="n">
        <f aca="false">IF(OR(AD591="",N(O591)=0),"",AD591+N591/O591)</f>
        <v>-0.0122126436781609</v>
      </c>
      <c r="AF591" s="32" t="n">
        <f aca="false">IF(OR(AE591="",N(Z591)=0),"",AE591-Z591)</f>
        <v>0</v>
      </c>
      <c r="AG591" s="28" t="n">
        <f aca="false">IF(AND(N(M591)&gt;0,N(L591)&gt;0),M591*L591,N591)</f>
        <v>2.1875</v>
      </c>
      <c r="AH591" s="28" t="n">
        <f aca="false">IF(OR(N(AB591)&lt;=0,N(AG591)=0,N(L591)=0),"",MIN(L591,AG591/AB591))</f>
        <v>21.875</v>
      </c>
      <c r="AI591" s="29" t="n">
        <f aca="false">IF(OR(AH591="",N(O591)=0),"",AH591/O591-1)</f>
        <v>-0.102011494252874</v>
      </c>
      <c r="AJ591" s="29" t="n">
        <f aca="false">IF(OR(AI591="",N(O591)=0),"",AI591+AG591/O591)</f>
        <v>-0.0122126436781609</v>
      </c>
      <c r="AK591" s="32" t="n">
        <f aca="false">IF(OR(AJ591="",N(AE591)=0),"",AJ591-AE591)</f>
        <v>0</v>
      </c>
      <c r="AL591" s="33" t="n">
        <f aca="false">IF(N(F591)=0,"",INDEX(Inputs!$B$28:$B$32,IFERROR(MATCH(F591,Inputs!$A$28:$A$32,1),0)+1))</f>
        <v>0.09</v>
      </c>
      <c r="AM591" s="34"/>
      <c r="AN591" s="33" t="n">
        <f aca="false">IF(N(AM591)&gt;0,AM591,AL591)</f>
        <v>0.09</v>
      </c>
      <c r="AO591" s="29" t="n">
        <f aca="false">IF(N(AN591)=0,"",AN591+IF(I591="yes",AN591*Inputs!$B$10*Inputs!$B$9,0)+IFERROR(INDEX(Inputs!$B$13:$B$15,MATCH(G591,Inputs!$A$13:$A$15,0)),0)+IFERROR(INDEX(Inputs!$B$18:$B$24,MATCH(H591,Inputs!$A$18:$A$24,0)),0))</f>
        <v>0.09</v>
      </c>
      <c r="AP591" s="28" t="n">
        <f aca="false">IF(OR(N(AO591)&lt;=0,N(AG591)=0,N(L591)=0),"",MIN(L591,AG591/AO591))</f>
        <v>24.3055555555556</v>
      </c>
      <c r="AQ591" s="29" t="n">
        <f aca="false">IF(OR(AP591="",N(O591)=0),"",AP591/O591-1)</f>
        <v>-0.0022349936143039</v>
      </c>
      <c r="AR591" s="29" t="n">
        <f aca="false">IF(OR(AQ591="",N(O591)=0),"",AQ591+AG591/O591)</f>
        <v>0.0875638569604088</v>
      </c>
      <c r="AS591" s="32" t="n">
        <f aca="false">IF(OR(AR591="",N(AJ591)=0),"",AR591-AJ591)</f>
        <v>0.0997765006385697</v>
      </c>
      <c r="AT591" s="28" t="n">
        <v>25</v>
      </c>
      <c r="AU591" s="28" t="n">
        <v>2.1875</v>
      </c>
      <c r="AV591" s="28" t="n">
        <f aca="false">IF(N(AT591)&gt;0,AT591,L591)</f>
        <v>25</v>
      </c>
      <c r="AW591" s="28" t="n">
        <f aca="false">IF(AND(N(M591)&gt;0,N(AV591)&gt;0),M591*AV591,IF(N(AU591)&gt;0,AU591,N591))</f>
        <v>2.1875</v>
      </c>
      <c r="AX591" s="29" t="n">
        <f aca="false">IF(N(AN591)=0,"",AN591+IF(I591="yes",AN591*Inputs!$B$10*Inputs!$B$9,0)+IFERROR(INDEX(Inputs!$B$13:$B$15,MATCH(G591,Inputs!$A$13:$A$15,0)),0)+IFERROR(INDEX(Inputs!$B$18:$B$24,MATCH(H591,Inputs!$A$18:$A$24,0)),0))</f>
        <v>0.09</v>
      </c>
      <c r="AY591" s="28" t="n">
        <f aca="false">IF(OR(N(AX591)&lt;=0,N(AW591)=0,N(AV591)=0),"",MIN(AV591,AW591/AX591))</f>
        <v>24.3055555555556</v>
      </c>
      <c r="AZ591" s="29" t="n">
        <f aca="false">IF(OR(AY591="",N(O591)=0),"",AY591/O591-1)</f>
        <v>-0.0022349936143039</v>
      </c>
      <c r="BA591" s="29" t="n">
        <f aca="false">IF(OR(AZ591="",N(O591)=0),"",AZ591+AW591/O591)</f>
        <v>0.0875638569604088</v>
      </c>
      <c r="BB591" s="32" t="n">
        <f aca="false">IF(OR(BA591="",N(AR591)=0),"",BA591-AR591)</f>
        <v>0</v>
      </c>
      <c r="BC591" s="35" t="n">
        <f aca="false">IF(OR(BA591="",N(U591)=0),"",BA591-U591)</f>
        <v>0.0997765006385697</v>
      </c>
      <c r="BD591" s="37"/>
    </row>
    <row r="592" customFormat="false" ht="15" hidden="false" customHeight="false" outlineLevel="0" collapsed="false">
      <c r="A592" s="2" t="s">
        <v>1067</v>
      </c>
      <c r="B592" s="2" t="n">
        <v>201</v>
      </c>
      <c r="C592" s="2" t="s">
        <v>1223</v>
      </c>
      <c r="D592" s="2" t="s">
        <v>1221</v>
      </c>
      <c r="E592" s="2" t="s">
        <v>1222</v>
      </c>
      <c r="F592" s="27" t="n">
        <v>262</v>
      </c>
      <c r="G592" s="2" t="s">
        <v>51</v>
      </c>
      <c r="H592" s="2" t="s">
        <v>58</v>
      </c>
      <c r="I592" s="2" t="s">
        <v>151</v>
      </c>
      <c r="J592" s="2" t="s">
        <v>145</v>
      </c>
      <c r="K592" s="2" t="n">
        <v>4</v>
      </c>
      <c r="L592" s="28" t="n">
        <v>25</v>
      </c>
      <c r="M592" s="29" t="n">
        <v>0.04875</v>
      </c>
      <c r="N592" s="28" t="n">
        <v>1.21875</v>
      </c>
      <c r="O592" s="28" t="n">
        <v>0</v>
      </c>
      <c r="P592" s="2" t="s">
        <v>146</v>
      </c>
      <c r="Q592" s="29" t="n">
        <v>0.08</v>
      </c>
      <c r="R592" s="30" t="n">
        <v>0.076</v>
      </c>
      <c r="S592" s="31" t="n">
        <v>16.0361842105263</v>
      </c>
      <c r="T592" s="30"/>
      <c r="U592" s="30"/>
      <c r="V592" s="29" t="n">
        <v>0</v>
      </c>
      <c r="W592" s="29" t="n">
        <f aca="false">IF(N(Q592)=0,"",Q592+IF(I592="yes",Q592*Inputs!$B$10*Inputs!$B$9,0)+V592)</f>
        <v>0.076</v>
      </c>
      <c r="X592" s="28" t="n">
        <f aca="false">IF(OR(N(W592)&lt;=0,N(N592)=0,N(L592)=0),"",MIN(L592,N592/W592))</f>
        <v>16.0361842105263</v>
      </c>
      <c r="Y592" s="29" t="str">
        <f aca="false">IF(OR(X592="",N(O592)=0),"",X592/O592-1)</f>
        <v/>
      </c>
      <c r="Z592" s="29" t="str">
        <f aca="false">IF(OR(Y592="",N(O592)=0),"",Y592+N592/O592)</f>
        <v/>
      </c>
      <c r="AA592" s="32" t="str">
        <f aca="false">IF(OR(Z592="",N(U592)=0),"",Z592-U592)</f>
        <v/>
      </c>
      <c r="AB592" s="29" t="n">
        <f aca="false">IF(N(Q592)=0,"",Q592+IF(I592="yes",Q592*Inputs!$B$10*Inputs!$B$9,0)+IFERROR(INDEX(Inputs!$B$13:$B$15,MATCH(G592,Inputs!$A$13:$A$15,0)),0)+IFERROR(INDEX(Inputs!$B$18:$B$24,MATCH(H592,Inputs!$A$18:$A$24,0)),0))</f>
        <v>0.076</v>
      </c>
      <c r="AC592" s="28" t="n">
        <f aca="false">IF(OR(N(AB592)&lt;=0,N(N592)=0,N(L592)=0),"",MIN(L592,N592/AB592))</f>
        <v>16.0361842105263</v>
      </c>
      <c r="AD592" s="29" t="str">
        <f aca="false">IF(OR(AC592="",N(O592)=0),"",AC592/O592-1)</f>
        <v/>
      </c>
      <c r="AE592" s="29" t="str">
        <f aca="false">IF(OR(AD592="",N(O592)=0),"",AD592+N592/O592)</f>
        <v/>
      </c>
      <c r="AF592" s="32" t="str">
        <f aca="false">IF(OR(AE592="",N(Z592)=0),"",AE592-Z592)</f>
        <v/>
      </c>
      <c r="AG592" s="28" t="n">
        <f aca="false">IF(AND(N(M592)&gt;0,N(L592)&gt;0),M592*L592,N592)</f>
        <v>1.21875</v>
      </c>
      <c r="AH592" s="28" t="n">
        <f aca="false">IF(OR(N(AB592)&lt;=0,N(AG592)=0,N(L592)=0),"",MIN(L592,AG592/AB592))</f>
        <v>16.0361842105263</v>
      </c>
      <c r="AI592" s="29" t="str">
        <f aca="false">IF(OR(AH592="",N(O592)=0),"",AH592/O592-1)</f>
        <v/>
      </c>
      <c r="AJ592" s="29" t="str">
        <f aca="false">IF(OR(AI592="",N(O592)=0),"",AI592+AG592/O592)</f>
        <v/>
      </c>
      <c r="AK592" s="32" t="str">
        <f aca="false">IF(OR(AJ592="",N(AE592)=0),"",AJ592-AE592)</f>
        <v/>
      </c>
      <c r="AL592" s="33" t="n">
        <f aca="false">IF(N(F592)=0,"",INDEX(Inputs!$B$28:$B$32,IFERROR(MATCH(F592,Inputs!$A$28:$A$32,1),0)+1))</f>
        <v>0.09</v>
      </c>
      <c r="AM592" s="34"/>
      <c r="AN592" s="33" t="n">
        <f aca="false">IF(N(AM592)&gt;0,AM592,AL592)</f>
        <v>0.09</v>
      </c>
      <c r="AO592" s="29" t="n">
        <f aca="false">IF(N(AN592)=0,"",AN592+IF(I592="yes",AN592*Inputs!$B$10*Inputs!$B$9,0)+IFERROR(INDEX(Inputs!$B$13:$B$15,MATCH(G592,Inputs!$A$13:$A$15,0)),0)+IFERROR(INDEX(Inputs!$B$18:$B$24,MATCH(H592,Inputs!$A$18:$A$24,0)),0))</f>
        <v>0.0855</v>
      </c>
      <c r="AP592" s="28" t="n">
        <f aca="false">IF(OR(N(AO592)&lt;=0,N(AG592)=0,N(L592)=0),"",MIN(L592,AG592/AO592))</f>
        <v>14.2543859649123</v>
      </c>
      <c r="AQ592" s="29" t="str">
        <f aca="false">IF(OR(AP592="",N(O592)=0),"",AP592/O592-1)</f>
        <v/>
      </c>
      <c r="AR592" s="29" t="str">
        <f aca="false">IF(OR(AQ592="",N(O592)=0),"",AQ592+AG592/O592)</f>
        <v/>
      </c>
      <c r="AS592" s="32" t="str">
        <f aca="false">IF(OR(AR592="",N(AJ592)=0),"",AR592-AJ592)</f>
        <v/>
      </c>
      <c r="AT592" s="28"/>
      <c r="AU592" s="28"/>
      <c r="AV592" s="28" t="n">
        <f aca="false">IF(N(AT592)&gt;0,AT592,L592)</f>
        <v>25</v>
      </c>
      <c r="AW592" s="28" t="n">
        <f aca="false">IF(AND(N(M592)&gt;0,N(AV592)&gt;0),M592*AV592,IF(N(AU592)&gt;0,AU592,N592))</f>
        <v>1.21875</v>
      </c>
      <c r="AX592" s="29" t="n">
        <f aca="false">IF(N(AN592)=0,"",AN592+IF(I592="yes",AN592*Inputs!$B$10*Inputs!$B$9,0)+IFERROR(INDEX(Inputs!$B$13:$B$15,MATCH(G592,Inputs!$A$13:$A$15,0)),0)+IFERROR(INDEX(Inputs!$B$18:$B$24,MATCH(H592,Inputs!$A$18:$A$24,0)),0))</f>
        <v>0.0855</v>
      </c>
      <c r="AY592" s="28" t="n">
        <f aca="false">IF(OR(N(AX592)&lt;=0,N(AW592)=0,N(AV592)=0),"",MIN(AV592,AW592/AX592))</f>
        <v>14.2543859649123</v>
      </c>
      <c r="AZ592" s="29" t="str">
        <f aca="false">IF(OR(AY592="",N(O592)=0),"",AY592/O592-1)</f>
        <v/>
      </c>
      <c r="BA592" s="29" t="str">
        <f aca="false">IF(OR(AZ592="",N(O592)=0),"",AZ592+AW592/O592)</f>
        <v/>
      </c>
      <c r="BB592" s="32" t="str">
        <f aca="false">IF(OR(BA592="",N(AR592)=0),"",BA592-AR592)</f>
        <v/>
      </c>
      <c r="BC592" s="35" t="str">
        <f aca="false">IF(OR(BA592="",N(U592)=0),"",BA592-U592)</f>
        <v/>
      </c>
      <c r="BD592" s="36" t="s">
        <v>198</v>
      </c>
    </row>
    <row r="593" customFormat="false" ht="15" hidden="false" customHeight="false" outlineLevel="0" collapsed="false">
      <c r="A593" s="2" t="s">
        <v>1067</v>
      </c>
      <c r="B593" s="2" t="n">
        <v>205</v>
      </c>
      <c r="C593" s="2" t="s">
        <v>1224</v>
      </c>
      <c r="D593" s="2" t="s">
        <v>1225</v>
      </c>
      <c r="E593" s="2" t="s">
        <v>143</v>
      </c>
      <c r="F593" s="27"/>
      <c r="G593" s="2" t="s">
        <v>51</v>
      </c>
      <c r="H593" s="2" t="s">
        <v>58</v>
      </c>
      <c r="I593" s="2" t="s">
        <v>144</v>
      </c>
      <c r="J593" s="2" t="s">
        <v>145</v>
      </c>
      <c r="K593" s="2" t="n">
        <v>4</v>
      </c>
      <c r="L593" s="28" t="n">
        <v>25</v>
      </c>
      <c r="M593" s="29" t="n">
        <v>0.07375</v>
      </c>
      <c r="N593" s="28" t="n">
        <v>1.84375</v>
      </c>
      <c r="O593" s="28" t="n">
        <v>0</v>
      </c>
      <c r="P593" s="2" t="s">
        <v>146</v>
      </c>
      <c r="Q593" s="29" t="n">
        <v>0</v>
      </c>
      <c r="R593" s="30" t="n">
        <v>0</v>
      </c>
      <c r="S593" s="31"/>
      <c r="T593" s="30"/>
      <c r="U593" s="30"/>
      <c r="V593" s="29" t="n">
        <v>0</v>
      </c>
      <c r="W593" s="29" t="str">
        <f aca="false">IF(N(Q593)=0,"",Q593+IF(I593="yes",Q593*Inputs!$B$10*Inputs!$B$9,0)+V593)</f>
        <v/>
      </c>
      <c r="X593" s="28" t="str">
        <f aca="false">IF(OR(N(W593)&lt;=0,N(N593)=0,N(L593)=0),"",MIN(L593,N593/W593))</f>
        <v/>
      </c>
      <c r="Y593" s="29" t="str">
        <f aca="false">IF(OR(X593="",N(O593)=0),"",X593/O593-1)</f>
        <v/>
      </c>
      <c r="Z593" s="29" t="str">
        <f aca="false">IF(OR(Y593="",N(O593)=0),"",Y593+N593/O593)</f>
        <v/>
      </c>
      <c r="AA593" s="32" t="str">
        <f aca="false">IF(OR(Z593="",N(U593)=0),"",Z593-U593)</f>
        <v/>
      </c>
      <c r="AB593" s="29" t="str">
        <f aca="false">IF(N(Q593)=0,"",Q593+IF(I593="yes",Q593*Inputs!$B$10*Inputs!$B$9,0)+IFERROR(INDEX(Inputs!$B$13:$B$15,MATCH(G593,Inputs!$A$13:$A$15,0)),0)+IFERROR(INDEX(Inputs!$B$18:$B$24,MATCH(H593,Inputs!$A$18:$A$24,0)),0))</f>
        <v/>
      </c>
      <c r="AC593" s="28" t="str">
        <f aca="false">IF(OR(N(AB593)&lt;=0,N(N593)=0,N(L593)=0),"",MIN(L593,N593/AB593))</f>
        <v/>
      </c>
      <c r="AD593" s="29" t="str">
        <f aca="false">IF(OR(AC593="",N(O593)=0),"",AC593/O593-1)</f>
        <v/>
      </c>
      <c r="AE593" s="29" t="str">
        <f aca="false">IF(OR(AD593="",N(O593)=0),"",AD593+N593/O593)</f>
        <v/>
      </c>
      <c r="AF593" s="32" t="str">
        <f aca="false">IF(OR(AE593="",N(Z593)=0),"",AE593-Z593)</f>
        <v/>
      </c>
      <c r="AG593" s="28" t="n">
        <f aca="false">IF(AND(N(M593)&gt;0,N(L593)&gt;0),M593*L593,N593)</f>
        <v>1.84375</v>
      </c>
      <c r="AH593" s="28" t="str">
        <f aca="false">IF(OR(N(AB593)&lt;=0,N(AG593)=0,N(L593)=0),"",MIN(L593,AG593/AB593))</f>
        <v/>
      </c>
      <c r="AI593" s="29" t="str">
        <f aca="false">IF(OR(AH593="",N(O593)=0),"",AH593/O593-1)</f>
        <v/>
      </c>
      <c r="AJ593" s="29" t="str">
        <f aca="false">IF(OR(AI593="",N(O593)=0),"",AI593+AG593/O593)</f>
        <v/>
      </c>
      <c r="AK593" s="32" t="str">
        <f aca="false">IF(OR(AJ593="",N(AE593)=0),"",AJ593-AE593)</f>
        <v/>
      </c>
      <c r="AL593" s="33" t="str">
        <f aca="false">IF(N(F593)=0,"",INDEX(Inputs!$B$28:$B$32,IFERROR(MATCH(F593,Inputs!$A$28:$A$32,1),0)+1))</f>
        <v/>
      </c>
      <c r="AM593" s="34"/>
      <c r="AN593" s="33" t="str">
        <f aca="false">IF(N(AM593)&gt;0,AM593,AL593)</f>
        <v/>
      </c>
      <c r="AO593" s="29" t="str">
        <f aca="false">IF(N(AN593)=0,"",AN593+IF(I593="yes",AN593*Inputs!$B$10*Inputs!$B$9,0)+IFERROR(INDEX(Inputs!$B$13:$B$15,MATCH(G593,Inputs!$A$13:$A$15,0)),0)+IFERROR(INDEX(Inputs!$B$18:$B$24,MATCH(H593,Inputs!$A$18:$A$24,0)),0))</f>
        <v/>
      </c>
      <c r="AP593" s="28" t="str">
        <f aca="false">IF(OR(N(AO593)&lt;=0,N(AG593)=0,N(L593)=0),"",MIN(L593,AG593/AO593))</f>
        <v/>
      </c>
      <c r="AQ593" s="29" t="str">
        <f aca="false">IF(OR(AP593="",N(O593)=0),"",AP593/O593-1)</f>
        <v/>
      </c>
      <c r="AR593" s="29" t="str">
        <f aca="false">IF(OR(AQ593="",N(O593)=0),"",AQ593+AG593/O593)</f>
        <v/>
      </c>
      <c r="AS593" s="32" t="str">
        <f aca="false">IF(OR(AR593="",N(AJ593)=0),"",AR593-AJ593)</f>
        <v/>
      </c>
      <c r="AT593" s="28"/>
      <c r="AU593" s="28"/>
      <c r="AV593" s="28" t="n">
        <f aca="false">IF(N(AT593)&gt;0,AT593,L593)</f>
        <v>25</v>
      </c>
      <c r="AW593" s="28" t="n">
        <f aca="false">IF(AND(N(M593)&gt;0,N(AV593)&gt;0),M593*AV593,IF(N(AU593)&gt;0,AU593,N593))</f>
        <v>1.84375</v>
      </c>
      <c r="AX593" s="29" t="str">
        <f aca="false">IF(N(AN593)=0,"",AN593+IF(I593="yes",AN593*Inputs!$B$10*Inputs!$B$9,0)+IFERROR(INDEX(Inputs!$B$13:$B$15,MATCH(G593,Inputs!$A$13:$A$15,0)),0)+IFERROR(INDEX(Inputs!$B$18:$B$24,MATCH(H593,Inputs!$A$18:$A$24,0)),0))</f>
        <v/>
      </c>
      <c r="AY593" s="28" t="str">
        <f aca="false">IF(OR(N(AX593)&lt;=0,N(AW593)=0,N(AV593)=0),"",MIN(AV593,AW593/AX593))</f>
        <v/>
      </c>
      <c r="AZ593" s="29" t="str">
        <f aca="false">IF(OR(AY593="",N(O593)=0),"",AY593/O593-1)</f>
        <v/>
      </c>
      <c r="BA593" s="29" t="str">
        <f aca="false">IF(OR(AZ593="",N(O593)=0),"",AZ593+AW593/O593)</f>
        <v/>
      </c>
      <c r="BB593" s="32" t="str">
        <f aca="false">IF(OR(BA593="",N(AR593)=0),"",BA593-AR593)</f>
        <v/>
      </c>
      <c r="BC593" s="35" t="str">
        <f aca="false">IF(OR(BA593="",N(U593)=0),"",BA593-U593)</f>
        <v/>
      </c>
      <c r="BD593" s="36" t="s">
        <v>147</v>
      </c>
    </row>
    <row r="594" customFormat="false" ht="15" hidden="false" customHeight="false" outlineLevel="0" collapsed="false">
      <c r="A594" s="2" t="s">
        <v>1067</v>
      </c>
      <c r="B594" s="2" t="n">
        <v>206</v>
      </c>
      <c r="C594" s="2" t="s">
        <v>1226</v>
      </c>
      <c r="D594" s="2" t="s">
        <v>1225</v>
      </c>
      <c r="E594" s="2" t="s">
        <v>143</v>
      </c>
      <c r="F594" s="27"/>
      <c r="G594" s="2" t="s">
        <v>51</v>
      </c>
      <c r="H594" s="2" t="s">
        <v>58</v>
      </c>
      <c r="I594" s="2" t="s">
        <v>144</v>
      </c>
      <c r="J594" s="2" t="s">
        <v>145</v>
      </c>
      <c r="K594" s="2" t="n">
        <v>4</v>
      </c>
      <c r="L594" s="28" t="n">
        <v>25</v>
      </c>
      <c r="M594" s="29" t="n">
        <v>0.072</v>
      </c>
      <c r="N594" s="28" t="n">
        <v>1.8</v>
      </c>
      <c r="O594" s="28" t="n">
        <v>0</v>
      </c>
      <c r="P594" s="2" t="s">
        <v>146</v>
      </c>
      <c r="Q594" s="29" t="n">
        <v>0</v>
      </c>
      <c r="R594" s="30" t="n">
        <v>0</v>
      </c>
      <c r="S594" s="31"/>
      <c r="T594" s="30"/>
      <c r="U594" s="30"/>
      <c r="V594" s="29" t="n">
        <v>0</v>
      </c>
      <c r="W594" s="29" t="str">
        <f aca="false">IF(N(Q594)=0,"",Q594+IF(I594="yes",Q594*Inputs!$B$10*Inputs!$B$9,0)+V594)</f>
        <v/>
      </c>
      <c r="X594" s="28" t="str">
        <f aca="false">IF(OR(N(W594)&lt;=0,N(N594)=0,N(L594)=0),"",MIN(L594,N594/W594))</f>
        <v/>
      </c>
      <c r="Y594" s="29" t="str">
        <f aca="false">IF(OR(X594="",N(O594)=0),"",X594/O594-1)</f>
        <v/>
      </c>
      <c r="Z594" s="29" t="str">
        <f aca="false">IF(OR(Y594="",N(O594)=0),"",Y594+N594/O594)</f>
        <v/>
      </c>
      <c r="AA594" s="32" t="str">
        <f aca="false">IF(OR(Z594="",N(U594)=0),"",Z594-U594)</f>
        <v/>
      </c>
      <c r="AB594" s="29" t="str">
        <f aca="false">IF(N(Q594)=0,"",Q594+IF(I594="yes",Q594*Inputs!$B$10*Inputs!$B$9,0)+IFERROR(INDEX(Inputs!$B$13:$B$15,MATCH(G594,Inputs!$A$13:$A$15,0)),0)+IFERROR(INDEX(Inputs!$B$18:$B$24,MATCH(H594,Inputs!$A$18:$A$24,0)),0))</f>
        <v/>
      </c>
      <c r="AC594" s="28" t="str">
        <f aca="false">IF(OR(N(AB594)&lt;=0,N(N594)=0,N(L594)=0),"",MIN(L594,N594/AB594))</f>
        <v/>
      </c>
      <c r="AD594" s="29" t="str">
        <f aca="false">IF(OR(AC594="",N(O594)=0),"",AC594/O594-1)</f>
        <v/>
      </c>
      <c r="AE594" s="29" t="str">
        <f aca="false">IF(OR(AD594="",N(O594)=0),"",AD594+N594/O594)</f>
        <v/>
      </c>
      <c r="AF594" s="32" t="str">
        <f aca="false">IF(OR(AE594="",N(Z594)=0),"",AE594-Z594)</f>
        <v/>
      </c>
      <c r="AG594" s="28" t="n">
        <f aca="false">IF(AND(N(M594)&gt;0,N(L594)&gt;0),M594*L594,N594)</f>
        <v>1.8</v>
      </c>
      <c r="AH594" s="28" t="str">
        <f aca="false">IF(OR(N(AB594)&lt;=0,N(AG594)=0,N(L594)=0),"",MIN(L594,AG594/AB594))</f>
        <v/>
      </c>
      <c r="AI594" s="29" t="str">
        <f aca="false">IF(OR(AH594="",N(O594)=0),"",AH594/O594-1)</f>
        <v/>
      </c>
      <c r="AJ594" s="29" t="str">
        <f aca="false">IF(OR(AI594="",N(O594)=0),"",AI594+AG594/O594)</f>
        <v/>
      </c>
      <c r="AK594" s="32" t="str">
        <f aca="false">IF(OR(AJ594="",N(AE594)=0),"",AJ594-AE594)</f>
        <v/>
      </c>
      <c r="AL594" s="33" t="str">
        <f aca="false">IF(N(F594)=0,"",INDEX(Inputs!$B$28:$B$32,IFERROR(MATCH(F594,Inputs!$A$28:$A$32,1),0)+1))</f>
        <v/>
      </c>
      <c r="AM594" s="34"/>
      <c r="AN594" s="33" t="str">
        <f aca="false">IF(N(AM594)&gt;0,AM594,AL594)</f>
        <v/>
      </c>
      <c r="AO594" s="29" t="str">
        <f aca="false">IF(N(AN594)=0,"",AN594+IF(I594="yes",AN594*Inputs!$B$10*Inputs!$B$9,0)+IFERROR(INDEX(Inputs!$B$13:$B$15,MATCH(G594,Inputs!$A$13:$A$15,0)),0)+IFERROR(INDEX(Inputs!$B$18:$B$24,MATCH(H594,Inputs!$A$18:$A$24,0)),0))</f>
        <v/>
      </c>
      <c r="AP594" s="28" t="str">
        <f aca="false">IF(OR(N(AO594)&lt;=0,N(AG594)=0,N(L594)=0),"",MIN(L594,AG594/AO594))</f>
        <v/>
      </c>
      <c r="AQ594" s="29" t="str">
        <f aca="false">IF(OR(AP594="",N(O594)=0),"",AP594/O594-1)</f>
        <v/>
      </c>
      <c r="AR594" s="29" t="str">
        <f aca="false">IF(OR(AQ594="",N(O594)=0),"",AQ594+AG594/O594)</f>
        <v/>
      </c>
      <c r="AS594" s="32" t="str">
        <f aca="false">IF(OR(AR594="",N(AJ594)=0),"",AR594-AJ594)</f>
        <v/>
      </c>
      <c r="AT594" s="28"/>
      <c r="AU594" s="28"/>
      <c r="AV594" s="28" t="n">
        <f aca="false">IF(N(AT594)&gt;0,AT594,L594)</f>
        <v>25</v>
      </c>
      <c r="AW594" s="28" t="n">
        <f aca="false">IF(AND(N(M594)&gt;0,N(AV594)&gt;0),M594*AV594,IF(N(AU594)&gt;0,AU594,N594))</f>
        <v>1.8</v>
      </c>
      <c r="AX594" s="29" t="str">
        <f aca="false">IF(N(AN594)=0,"",AN594+IF(I594="yes",AN594*Inputs!$B$10*Inputs!$B$9,0)+IFERROR(INDEX(Inputs!$B$13:$B$15,MATCH(G594,Inputs!$A$13:$A$15,0)),0)+IFERROR(INDEX(Inputs!$B$18:$B$24,MATCH(H594,Inputs!$A$18:$A$24,0)),0))</f>
        <v/>
      </c>
      <c r="AY594" s="28" t="str">
        <f aca="false">IF(OR(N(AX594)&lt;=0,N(AW594)=0,N(AV594)=0),"",MIN(AV594,AW594/AX594))</f>
        <v/>
      </c>
      <c r="AZ594" s="29" t="str">
        <f aca="false">IF(OR(AY594="",N(O594)=0),"",AY594/O594-1)</f>
        <v/>
      </c>
      <c r="BA594" s="29" t="str">
        <f aca="false">IF(OR(AZ594="",N(O594)=0),"",AZ594+AW594/O594)</f>
        <v/>
      </c>
      <c r="BB594" s="32" t="str">
        <f aca="false">IF(OR(BA594="",N(AR594)=0),"",BA594-AR594)</f>
        <v/>
      </c>
      <c r="BC594" s="35" t="str">
        <f aca="false">IF(OR(BA594="",N(U594)=0),"",BA594-U594)</f>
        <v/>
      </c>
      <c r="BD594" s="36" t="s">
        <v>147</v>
      </c>
    </row>
    <row r="595" customFormat="false" ht="15" hidden="false" customHeight="false" outlineLevel="0" collapsed="false">
      <c r="A595" s="2" t="s">
        <v>1067</v>
      </c>
      <c r="B595" s="2" t="n">
        <v>207</v>
      </c>
      <c r="C595" s="2" t="s">
        <v>1227</v>
      </c>
      <c r="D595" s="2" t="s">
        <v>1225</v>
      </c>
      <c r="E595" s="2" t="s">
        <v>143</v>
      </c>
      <c r="F595" s="27"/>
      <c r="G595" s="2" t="s">
        <v>51</v>
      </c>
      <c r="H595" s="2" t="s">
        <v>58</v>
      </c>
      <c r="I595" s="2" t="s">
        <v>144</v>
      </c>
      <c r="J595" s="2" t="s">
        <v>145</v>
      </c>
      <c r="K595" s="2" t="n">
        <v>4</v>
      </c>
      <c r="L595" s="28" t="n">
        <v>25</v>
      </c>
      <c r="M595" s="29" t="n">
        <v>0.06875</v>
      </c>
      <c r="N595" s="28" t="n">
        <v>1.71875</v>
      </c>
      <c r="O595" s="28" t="n">
        <v>0</v>
      </c>
      <c r="P595" s="2" t="s">
        <v>146</v>
      </c>
      <c r="Q595" s="29" t="n">
        <v>0</v>
      </c>
      <c r="R595" s="30" t="n">
        <v>0</v>
      </c>
      <c r="S595" s="31"/>
      <c r="T595" s="30"/>
      <c r="U595" s="30"/>
      <c r="V595" s="29" t="n">
        <v>0</v>
      </c>
      <c r="W595" s="29" t="str">
        <f aca="false">IF(N(Q595)=0,"",Q595+IF(I595="yes",Q595*Inputs!$B$10*Inputs!$B$9,0)+V595)</f>
        <v/>
      </c>
      <c r="X595" s="28" t="str">
        <f aca="false">IF(OR(N(W595)&lt;=0,N(N595)=0,N(L595)=0),"",MIN(L595,N595/W595))</f>
        <v/>
      </c>
      <c r="Y595" s="29" t="str">
        <f aca="false">IF(OR(X595="",N(O595)=0),"",X595/O595-1)</f>
        <v/>
      </c>
      <c r="Z595" s="29" t="str">
        <f aca="false">IF(OR(Y595="",N(O595)=0),"",Y595+N595/O595)</f>
        <v/>
      </c>
      <c r="AA595" s="32" t="str">
        <f aca="false">IF(OR(Z595="",N(U595)=0),"",Z595-U595)</f>
        <v/>
      </c>
      <c r="AB595" s="29" t="str">
        <f aca="false">IF(N(Q595)=0,"",Q595+IF(I595="yes",Q595*Inputs!$B$10*Inputs!$B$9,0)+IFERROR(INDEX(Inputs!$B$13:$B$15,MATCH(G595,Inputs!$A$13:$A$15,0)),0)+IFERROR(INDEX(Inputs!$B$18:$B$24,MATCH(H595,Inputs!$A$18:$A$24,0)),0))</f>
        <v/>
      </c>
      <c r="AC595" s="28" t="str">
        <f aca="false">IF(OR(N(AB595)&lt;=0,N(N595)=0,N(L595)=0),"",MIN(L595,N595/AB595))</f>
        <v/>
      </c>
      <c r="AD595" s="29" t="str">
        <f aca="false">IF(OR(AC595="",N(O595)=0),"",AC595/O595-1)</f>
        <v/>
      </c>
      <c r="AE595" s="29" t="str">
        <f aca="false">IF(OR(AD595="",N(O595)=0),"",AD595+N595/O595)</f>
        <v/>
      </c>
      <c r="AF595" s="32" t="str">
        <f aca="false">IF(OR(AE595="",N(Z595)=0),"",AE595-Z595)</f>
        <v/>
      </c>
      <c r="AG595" s="28" t="n">
        <f aca="false">IF(AND(N(M595)&gt;0,N(L595)&gt;0),M595*L595,N595)</f>
        <v>1.71875</v>
      </c>
      <c r="AH595" s="28" t="str">
        <f aca="false">IF(OR(N(AB595)&lt;=0,N(AG595)=0,N(L595)=0),"",MIN(L595,AG595/AB595))</f>
        <v/>
      </c>
      <c r="AI595" s="29" t="str">
        <f aca="false">IF(OR(AH595="",N(O595)=0),"",AH595/O595-1)</f>
        <v/>
      </c>
      <c r="AJ595" s="29" t="str">
        <f aca="false">IF(OR(AI595="",N(O595)=0),"",AI595+AG595/O595)</f>
        <v/>
      </c>
      <c r="AK595" s="32" t="str">
        <f aca="false">IF(OR(AJ595="",N(AE595)=0),"",AJ595-AE595)</f>
        <v/>
      </c>
      <c r="AL595" s="33" t="str">
        <f aca="false">IF(N(F595)=0,"",INDEX(Inputs!$B$28:$B$32,IFERROR(MATCH(F595,Inputs!$A$28:$A$32,1),0)+1))</f>
        <v/>
      </c>
      <c r="AM595" s="34"/>
      <c r="AN595" s="33" t="str">
        <f aca="false">IF(N(AM595)&gt;0,AM595,AL595)</f>
        <v/>
      </c>
      <c r="AO595" s="29" t="str">
        <f aca="false">IF(N(AN595)=0,"",AN595+IF(I595="yes",AN595*Inputs!$B$10*Inputs!$B$9,0)+IFERROR(INDEX(Inputs!$B$13:$B$15,MATCH(G595,Inputs!$A$13:$A$15,0)),0)+IFERROR(INDEX(Inputs!$B$18:$B$24,MATCH(H595,Inputs!$A$18:$A$24,0)),0))</f>
        <v/>
      </c>
      <c r="AP595" s="28" t="str">
        <f aca="false">IF(OR(N(AO595)&lt;=0,N(AG595)=0,N(L595)=0),"",MIN(L595,AG595/AO595))</f>
        <v/>
      </c>
      <c r="AQ595" s="29" t="str">
        <f aca="false">IF(OR(AP595="",N(O595)=0),"",AP595/O595-1)</f>
        <v/>
      </c>
      <c r="AR595" s="29" t="str">
        <f aca="false">IF(OR(AQ595="",N(O595)=0),"",AQ595+AG595/O595)</f>
        <v/>
      </c>
      <c r="AS595" s="32" t="str">
        <f aca="false">IF(OR(AR595="",N(AJ595)=0),"",AR595-AJ595)</f>
        <v/>
      </c>
      <c r="AT595" s="28"/>
      <c r="AU595" s="28"/>
      <c r="AV595" s="28" t="n">
        <f aca="false">IF(N(AT595)&gt;0,AT595,L595)</f>
        <v>25</v>
      </c>
      <c r="AW595" s="28" t="n">
        <f aca="false">IF(AND(N(M595)&gt;0,N(AV595)&gt;0),M595*AV595,IF(N(AU595)&gt;0,AU595,N595))</f>
        <v>1.71875</v>
      </c>
      <c r="AX595" s="29" t="str">
        <f aca="false">IF(N(AN595)=0,"",AN595+IF(I595="yes",AN595*Inputs!$B$10*Inputs!$B$9,0)+IFERROR(INDEX(Inputs!$B$13:$B$15,MATCH(G595,Inputs!$A$13:$A$15,0)),0)+IFERROR(INDEX(Inputs!$B$18:$B$24,MATCH(H595,Inputs!$A$18:$A$24,0)),0))</f>
        <v/>
      </c>
      <c r="AY595" s="28" t="str">
        <f aca="false">IF(OR(N(AX595)&lt;=0,N(AW595)=0,N(AV595)=0),"",MIN(AV595,AW595/AX595))</f>
        <v/>
      </c>
      <c r="AZ595" s="29" t="str">
        <f aca="false">IF(OR(AY595="",N(O595)=0),"",AY595/O595-1)</f>
        <v/>
      </c>
      <c r="BA595" s="29" t="str">
        <f aca="false">IF(OR(AZ595="",N(O595)=0),"",AZ595+AW595/O595)</f>
        <v/>
      </c>
      <c r="BB595" s="32" t="str">
        <f aca="false">IF(OR(BA595="",N(AR595)=0),"",BA595-AR595)</f>
        <v/>
      </c>
      <c r="BC595" s="35" t="str">
        <f aca="false">IF(OR(BA595="",N(U595)=0),"",BA595-U595)</f>
        <v/>
      </c>
      <c r="BD595" s="36" t="s">
        <v>147</v>
      </c>
    </row>
    <row r="596" customFormat="false" ht="15" hidden="false" customHeight="false" outlineLevel="0" collapsed="false">
      <c r="A596" s="2" t="s">
        <v>1067</v>
      </c>
      <c r="B596" s="2" t="n">
        <v>210</v>
      </c>
      <c r="C596" s="2" t="s">
        <v>1228</v>
      </c>
      <c r="D596" s="2" t="s">
        <v>1225</v>
      </c>
      <c r="E596" s="2" t="s">
        <v>143</v>
      </c>
      <c r="F596" s="27"/>
      <c r="G596" s="2" t="s">
        <v>51</v>
      </c>
      <c r="H596" s="2" t="s">
        <v>58</v>
      </c>
      <c r="I596" s="2" t="s">
        <v>151</v>
      </c>
      <c r="J596" s="2" t="s">
        <v>145</v>
      </c>
      <c r="K596" s="2" t="n">
        <v>4</v>
      </c>
      <c r="L596" s="28" t="n">
        <v>25</v>
      </c>
      <c r="M596" s="29" t="n">
        <v>0.0676</v>
      </c>
      <c r="N596" s="28" t="n">
        <v>1.69</v>
      </c>
      <c r="O596" s="28" t="n">
        <v>24.56</v>
      </c>
      <c r="P596" s="2" t="s">
        <v>146</v>
      </c>
      <c r="Q596" s="29" t="n">
        <v>0.1</v>
      </c>
      <c r="R596" s="30" t="n">
        <v>0.095</v>
      </c>
      <c r="S596" s="31" t="n">
        <v>17.7894736842105</v>
      </c>
      <c r="T596" s="30" t="n">
        <v>-0.275672895594034</v>
      </c>
      <c r="U596" s="30" t="n">
        <v>-0.206861820675467</v>
      </c>
      <c r="V596" s="29" t="n">
        <v>0</v>
      </c>
      <c r="W596" s="29" t="n">
        <f aca="false">IF(N(Q596)=0,"",Q596+IF(I596="yes",Q596*Inputs!$B$10*Inputs!$B$9,0)+V596)</f>
        <v>0.095</v>
      </c>
      <c r="X596" s="28" t="n">
        <f aca="false">IF(OR(N(W596)&lt;=0,N(N596)=0,N(L596)=0),"",MIN(L596,N596/W596))</f>
        <v>17.7894736842105</v>
      </c>
      <c r="Y596" s="29" t="n">
        <f aca="false">IF(OR(X596="",N(O596)=0),"",X596/O596-1)</f>
        <v>-0.275672895594034</v>
      </c>
      <c r="Z596" s="29" t="n">
        <f aca="false">IF(OR(Y596="",N(O596)=0),"",Y596+N596/O596)</f>
        <v>-0.206861820675467</v>
      </c>
      <c r="AA596" s="32" t="n">
        <f aca="false">IF(OR(Z596="",N(U596)=0),"",Z596-U596)</f>
        <v>0</v>
      </c>
      <c r="AB596" s="29" t="n">
        <f aca="false">IF(N(Q596)=0,"",Q596+IF(I596="yes",Q596*Inputs!$B$10*Inputs!$B$9,0)+IFERROR(INDEX(Inputs!$B$13:$B$15,MATCH(G596,Inputs!$A$13:$A$15,0)),0)+IFERROR(INDEX(Inputs!$B$18:$B$24,MATCH(H596,Inputs!$A$18:$A$24,0)),0))</f>
        <v>0.095</v>
      </c>
      <c r="AC596" s="28" t="n">
        <f aca="false">IF(OR(N(AB596)&lt;=0,N(N596)=0,N(L596)=0),"",MIN(L596,N596/AB596))</f>
        <v>17.7894736842105</v>
      </c>
      <c r="AD596" s="29" t="n">
        <f aca="false">IF(OR(AC596="",N(O596)=0),"",AC596/O596-1)</f>
        <v>-0.275672895594034</v>
      </c>
      <c r="AE596" s="29" t="n">
        <f aca="false">IF(OR(AD596="",N(O596)=0),"",AD596+N596/O596)</f>
        <v>-0.206861820675467</v>
      </c>
      <c r="AF596" s="32" t="n">
        <f aca="false">IF(OR(AE596="",N(Z596)=0),"",AE596-Z596)</f>
        <v>0</v>
      </c>
      <c r="AG596" s="28" t="n">
        <f aca="false">IF(AND(N(M596)&gt;0,N(L596)&gt;0),M596*L596,N596)</f>
        <v>1.69</v>
      </c>
      <c r="AH596" s="28" t="n">
        <f aca="false">IF(OR(N(AB596)&lt;=0,N(AG596)=0,N(L596)=0),"",MIN(L596,AG596/AB596))</f>
        <v>17.7894736842105</v>
      </c>
      <c r="AI596" s="29" t="n">
        <f aca="false">IF(OR(AH596="",N(O596)=0),"",AH596/O596-1)</f>
        <v>-0.275672895594034</v>
      </c>
      <c r="AJ596" s="29" t="n">
        <f aca="false">IF(OR(AI596="",N(O596)=0),"",AI596+AG596/O596)</f>
        <v>-0.206861820675467</v>
      </c>
      <c r="AK596" s="32" t="n">
        <f aca="false">IF(OR(AJ596="",N(AE596)=0),"",AJ596-AE596)</f>
        <v>0</v>
      </c>
      <c r="AL596" s="33" t="str">
        <f aca="false">IF(N(F596)=0,"",INDEX(Inputs!$B$28:$B$32,IFERROR(MATCH(F596,Inputs!$A$28:$A$32,1),0)+1))</f>
        <v/>
      </c>
      <c r="AM596" s="34"/>
      <c r="AN596" s="33" t="str">
        <f aca="false">IF(N(AM596)&gt;0,AM596,AL596)</f>
        <v/>
      </c>
      <c r="AO596" s="29" t="str">
        <f aca="false">IF(N(AN596)=0,"",AN596+IF(I596="yes",AN596*Inputs!$B$10*Inputs!$B$9,0)+IFERROR(INDEX(Inputs!$B$13:$B$15,MATCH(G596,Inputs!$A$13:$A$15,0)),0)+IFERROR(INDEX(Inputs!$B$18:$B$24,MATCH(H596,Inputs!$A$18:$A$24,0)),0))</f>
        <v/>
      </c>
      <c r="AP596" s="28" t="str">
        <f aca="false">IF(OR(N(AO596)&lt;=0,N(AG596)=0,N(L596)=0),"",MIN(L596,AG596/AO596))</f>
        <v/>
      </c>
      <c r="AQ596" s="29" t="str">
        <f aca="false">IF(OR(AP596="",N(O596)=0),"",AP596/O596-1)</f>
        <v/>
      </c>
      <c r="AR596" s="29" t="str">
        <f aca="false">IF(OR(AQ596="",N(O596)=0),"",AQ596+AG596/O596)</f>
        <v/>
      </c>
      <c r="AS596" s="32" t="str">
        <f aca="false">IF(OR(AR596="",N(AJ596)=0),"",AR596-AJ596)</f>
        <v/>
      </c>
      <c r="AT596" s="28" t="n">
        <v>25</v>
      </c>
      <c r="AU596" s="28" t="n">
        <v>1.75</v>
      </c>
      <c r="AV596" s="28" t="n">
        <f aca="false">IF(N(AT596)&gt;0,AT596,L596)</f>
        <v>25</v>
      </c>
      <c r="AW596" s="28" t="n">
        <f aca="false">IF(AND(N(M596)&gt;0,N(AV596)&gt;0),M596*AV596,IF(N(AU596)&gt;0,AU596,N596))</f>
        <v>1.69</v>
      </c>
      <c r="AX596" s="29" t="str">
        <f aca="false">IF(N(AN596)=0,"",AN596+IF(I596="yes",AN596*Inputs!$B$10*Inputs!$B$9,0)+IFERROR(INDEX(Inputs!$B$13:$B$15,MATCH(G596,Inputs!$A$13:$A$15,0)),0)+IFERROR(INDEX(Inputs!$B$18:$B$24,MATCH(H596,Inputs!$A$18:$A$24,0)),0))</f>
        <v/>
      </c>
      <c r="AY596" s="28" t="str">
        <f aca="false">IF(OR(N(AX596)&lt;=0,N(AW596)=0,N(AV596)=0),"",MIN(AV596,AW596/AX596))</f>
        <v/>
      </c>
      <c r="AZ596" s="29" t="str">
        <f aca="false">IF(OR(AY596="",N(O596)=0),"",AY596/O596-1)</f>
        <v/>
      </c>
      <c r="BA596" s="29" t="str">
        <f aca="false">IF(OR(AZ596="",N(O596)=0),"",AZ596+AW596/O596)</f>
        <v/>
      </c>
      <c r="BB596" s="32" t="str">
        <f aca="false">IF(OR(BA596="",N(AR596)=0),"",BA596-AR596)</f>
        <v/>
      </c>
      <c r="BC596" s="35" t="str">
        <f aca="false">IF(OR(BA596="",N(U596)=0),"",BA596-U596)</f>
        <v/>
      </c>
      <c r="BD596" s="37"/>
    </row>
    <row r="597" customFormat="false" ht="15" hidden="false" customHeight="false" outlineLevel="0" collapsed="false">
      <c r="A597" s="2" t="s">
        <v>1067</v>
      </c>
      <c r="B597" s="2" t="n">
        <v>211</v>
      </c>
      <c r="C597" s="2" t="s">
        <v>1229</v>
      </c>
      <c r="D597" s="2" t="s">
        <v>1225</v>
      </c>
      <c r="E597" s="2" t="s">
        <v>143</v>
      </c>
      <c r="F597" s="27"/>
      <c r="G597" s="2" t="s">
        <v>51</v>
      </c>
      <c r="H597" s="2" t="s">
        <v>58</v>
      </c>
      <c r="I597" s="2" t="s">
        <v>151</v>
      </c>
      <c r="J597" s="2" t="s">
        <v>145</v>
      </c>
      <c r="K597" s="2" t="n">
        <v>4</v>
      </c>
      <c r="L597" s="28" t="n">
        <v>25</v>
      </c>
      <c r="M597" s="29" t="n">
        <v>0.06625</v>
      </c>
      <c r="N597" s="28" t="n">
        <v>1.65625</v>
      </c>
      <c r="O597" s="28" t="n">
        <v>0</v>
      </c>
      <c r="P597" s="2" t="s">
        <v>146</v>
      </c>
      <c r="Q597" s="29" t="n">
        <v>0.1</v>
      </c>
      <c r="R597" s="30" t="n">
        <v>0.095</v>
      </c>
      <c r="S597" s="31" t="n">
        <v>17.4342105263158</v>
      </c>
      <c r="T597" s="30"/>
      <c r="U597" s="30"/>
      <c r="V597" s="29" t="n">
        <v>0</v>
      </c>
      <c r="W597" s="29" t="n">
        <f aca="false">IF(N(Q597)=0,"",Q597+IF(I597="yes",Q597*Inputs!$B$10*Inputs!$B$9,0)+V597)</f>
        <v>0.095</v>
      </c>
      <c r="X597" s="28" t="n">
        <f aca="false">IF(OR(N(W597)&lt;=0,N(N597)=0,N(L597)=0),"",MIN(L597,N597/W597))</f>
        <v>17.4342105263158</v>
      </c>
      <c r="Y597" s="29" t="str">
        <f aca="false">IF(OR(X597="",N(O597)=0),"",X597/O597-1)</f>
        <v/>
      </c>
      <c r="Z597" s="29" t="str">
        <f aca="false">IF(OR(Y597="",N(O597)=0),"",Y597+N597/O597)</f>
        <v/>
      </c>
      <c r="AA597" s="32" t="str">
        <f aca="false">IF(OR(Z597="",N(U597)=0),"",Z597-U597)</f>
        <v/>
      </c>
      <c r="AB597" s="29" t="n">
        <f aca="false">IF(N(Q597)=0,"",Q597+IF(I597="yes",Q597*Inputs!$B$10*Inputs!$B$9,0)+IFERROR(INDEX(Inputs!$B$13:$B$15,MATCH(G597,Inputs!$A$13:$A$15,0)),0)+IFERROR(INDEX(Inputs!$B$18:$B$24,MATCH(H597,Inputs!$A$18:$A$24,0)),0))</f>
        <v>0.095</v>
      </c>
      <c r="AC597" s="28" t="n">
        <f aca="false">IF(OR(N(AB597)&lt;=0,N(N597)=0,N(L597)=0),"",MIN(L597,N597/AB597))</f>
        <v>17.4342105263158</v>
      </c>
      <c r="AD597" s="29" t="str">
        <f aca="false">IF(OR(AC597="",N(O597)=0),"",AC597/O597-1)</f>
        <v/>
      </c>
      <c r="AE597" s="29" t="str">
        <f aca="false">IF(OR(AD597="",N(O597)=0),"",AD597+N597/O597)</f>
        <v/>
      </c>
      <c r="AF597" s="32" t="str">
        <f aca="false">IF(OR(AE597="",N(Z597)=0),"",AE597-Z597)</f>
        <v/>
      </c>
      <c r="AG597" s="28" t="n">
        <f aca="false">IF(AND(N(M597)&gt;0,N(L597)&gt;0),M597*L597,N597)</f>
        <v>1.65625</v>
      </c>
      <c r="AH597" s="28" t="n">
        <f aca="false">IF(OR(N(AB597)&lt;=0,N(AG597)=0,N(L597)=0),"",MIN(L597,AG597/AB597))</f>
        <v>17.4342105263158</v>
      </c>
      <c r="AI597" s="29" t="str">
        <f aca="false">IF(OR(AH597="",N(O597)=0),"",AH597/O597-1)</f>
        <v/>
      </c>
      <c r="AJ597" s="29" t="str">
        <f aca="false">IF(OR(AI597="",N(O597)=0),"",AI597+AG597/O597)</f>
        <v/>
      </c>
      <c r="AK597" s="32" t="str">
        <f aca="false">IF(OR(AJ597="",N(AE597)=0),"",AJ597-AE597)</f>
        <v/>
      </c>
      <c r="AL597" s="33" t="str">
        <f aca="false">IF(N(F597)=0,"",INDEX(Inputs!$B$28:$B$32,IFERROR(MATCH(F597,Inputs!$A$28:$A$32,1),0)+1))</f>
        <v/>
      </c>
      <c r="AM597" s="34"/>
      <c r="AN597" s="33" t="str">
        <f aca="false">IF(N(AM597)&gt;0,AM597,AL597)</f>
        <v/>
      </c>
      <c r="AO597" s="29" t="str">
        <f aca="false">IF(N(AN597)=0,"",AN597+IF(I597="yes",AN597*Inputs!$B$10*Inputs!$B$9,0)+IFERROR(INDEX(Inputs!$B$13:$B$15,MATCH(G597,Inputs!$A$13:$A$15,0)),0)+IFERROR(INDEX(Inputs!$B$18:$B$24,MATCH(H597,Inputs!$A$18:$A$24,0)),0))</f>
        <v/>
      </c>
      <c r="AP597" s="28" t="str">
        <f aca="false">IF(OR(N(AO597)&lt;=0,N(AG597)=0,N(L597)=0),"",MIN(L597,AG597/AO597))</f>
        <v/>
      </c>
      <c r="AQ597" s="29" t="str">
        <f aca="false">IF(OR(AP597="",N(O597)=0),"",AP597/O597-1)</f>
        <v/>
      </c>
      <c r="AR597" s="29" t="str">
        <f aca="false">IF(OR(AQ597="",N(O597)=0),"",AQ597+AG597/O597)</f>
        <v/>
      </c>
      <c r="AS597" s="32" t="str">
        <f aca="false">IF(OR(AR597="",N(AJ597)=0),"",AR597-AJ597)</f>
        <v/>
      </c>
      <c r="AT597" s="28" t="n">
        <v>25</v>
      </c>
      <c r="AU597" s="28" t="n">
        <v>1.65625</v>
      </c>
      <c r="AV597" s="28" t="n">
        <f aca="false">IF(N(AT597)&gt;0,AT597,L597)</f>
        <v>25</v>
      </c>
      <c r="AW597" s="28" t="n">
        <f aca="false">IF(AND(N(M597)&gt;0,N(AV597)&gt;0),M597*AV597,IF(N(AU597)&gt;0,AU597,N597))</f>
        <v>1.65625</v>
      </c>
      <c r="AX597" s="29" t="str">
        <f aca="false">IF(N(AN597)=0,"",AN597+IF(I597="yes",AN597*Inputs!$B$10*Inputs!$B$9,0)+IFERROR(INDEX(Inputs!$B$13:$B$15,MATCH(G597,Inputs!$A$13:$A$15,0)),0)+IFERROR(INDEX(Inputs!$B$18:$B$24,MATCH(H597,Inputs!$A$18:$A$24,0)),0))</f>
        <v/>
      </c>
      <c r="AY597" s="28" t="str">
        <f aca="false">IF(OR(N(AX597)&lt;=0,N(AW597)=0,N(AV597)=0),"",MIN(AV597,AW597/AX597))</f>
        <v/>
      </c>
      <c r="AZ597" s="29" t="str">
        <f aca="false">IF(OR(AY597="",N(O597)=0),"",AY597/O597-1)</f>
        <v/>
      </c>
      <c r="BA597" s="29" t="str">
        <f aca="false">IF(OR(AZ597="",N(O597)=0),"",AZ597+AW597/O597)</f>
        <v/>
      </c>
      <c r="BB597" s="32" t="str">
        <f aca="false">IF(OR(BA597="",N(AR597)=0),"",BA597-AR597)</f>
        <v/>
      </c>
      <c r="BC597" s="35" t="str">
        <f aca="false">IF(OR(BA597="",N(U597)=0),"",BA597-U597)</f>
        <v/>
      </c>
      <c r="BD597" s="36" t="s">
        <v>299</v>
      </c>
    </row>
    <row r="598" customFormat="false" ht="15" hidden="false" customHeight="false" outlineLevel="0" collapsed="false">
      <c r="A598" s="2" t="s">
        <v>1067</v>
      </c>
      <c r="B598" s="2" t="n">
        <v>212</v>
      </c>
      <c r="C598" s="2" t="s">
        <v>1230</v>
      </c>
      <c r="D598" s="2" t="s">
        <v>1225</v>
      </c>
      <c r="E598" s="2" t="s">
        <v>143</v>
      </c>
      <c r="F598" s="27"/>
      <c r="G598" s="2" t="s">
        <v>51</v>
      </c>
      <c r="H598" s="2" t="s">
        <v>58</v>
      </c>
      <c r="I598" s="2" t="s">
        <v>151</v>
      </c>
      <c r="J598" s="2" t="s">
        <v>145</v>
      </c>
      <c r="K598" s="2" t="n">
        <v>4</v>
      </c>
      <c r="L598" s="28" t="n">
        <v>25</v>
      </c>
      <c r="M598" s="29" t="n">
        <v>0.0625</v>
      </c>
      <c r="N598" s="28" t="n">
        <v>1.5625</v>
      </c>
      <c r="O598" s="28" t="n">
        <v>0</v>
      </c>
      <c r="P598" s="2" t="s">
        <v>146</v>
      </c>
      <c r="Q598" s="29" t="n">
        <v>0.1</v>
      </c>
      <c r="R598" s="30" t="n">
        <v>0.095</v>
      </c>
      <c r="S598" s="31" t="n">
        <v>16.4473684210526</v>
      </c>
      <c r="T598" s="30"/>
      <c r="U598" s="30"/>
      <c r="V598" s="29" t="n">
        <v>0</v>
      </c>
      <c r="W598" s="29" t="n">
        <f aca="false">IF(N(Q598)=0,"",Q598+IF(I598="yes",Q598*Inputs!$B$10*Inputs!$B$9,0)+V598)</f>
        <v>0.095</v>
      </c>
      <c r="X598" s="28" t="n">
        <f aca="false">IF(OR(N(W598)&lt;=0,N(N598)=0,N(L598)=0),"",MIN(L598,N598/W598))</f>
        <v>16.4473684210526</v>
      </c>
      <c r="Y598" s="29" t="str">
        <f aca="false">IF(OR(X598="",N(O598)=0),"",X598/O598-1)</f>
        <v/>
      </c>
      <c r="Z598" s="29" t="str">
        <f aca="false">IF(OR(Y598="",N(O598)=0),"",Y598+N598/O598)</f>
        <v/>
      </c>
      <c r="AA598" s="32" t="str">
        <f aca="false">IF(OR(Z598="",N(U598)=0),"",Z598-U598)</f>
        <v/>
      </c>
      <c r="AB598" s="29" t="n">
        <f aca="false">IF(N(Q598)=0,"",Q598+IF(I598="yes",Q598*Inputs!$B$10*Inputs!$B$9,0)+IFERROR(INDEX(Inputs!$B$13:$B$15,MATCH(G598,Inputs!$A$13:$A$15,0)),0)+IFERROR(INDEX(Inputs!$B$18:$B$24,MATCH(H598,Inputs!$A$18:$A$24,0)),0))</f>
        <v>0.095</v>
      </c>
      <c r="AC598" s="28" t="n">
        <f aca="false">IF(OR(N(AB598)&lt;=0,N(N598)=0,N(L598)=0),"",MIN(L598,N598/AB598))</f>
        <v>16.4473684210526</v>
      </c>
      <c r="AD598" s="29" t="str">
        <f aca="false">IF(OR(AC598="",N(O598)=0),"",AC598/O598-1)</f>
        <v/>
      </c>
      <c r="AE598" s="29" t="str">
        <f aca="false">IF(OR(AD598="",N(O598)=0),"",AD598+N598/O598)</f>
        <v/>
      </c>
      <c r="AF598" s="32" t="str">
        <f aca="false">IF(OR(AE598="",N(Z598)=0),"",AE598-Z598)</f>
        <v/>
      </c>
      <c r="AG598" s="28" t="n">
        <f aca="false">IF(AND(N(M598)&gt;0,N(L598)&gt;0),M598*L598,N598)</f>
        <v>1.5625</v>
      </c>
      <c r="AH598" s="28" t="n">
        <f aca="false">IF(OR(N(AB598)&lt;=0,N(AG598)=0,N(L598)=0),"",MIN(L598,AG598/AB598))</f>
        <v>16.4473684210526</v>
      </c>
      <c r="AI598" s="29" t="str">
        <f aca="false">IF(OR(AH598="",N(O598)=0),"",AH598/O598-1)</f>
        <v/>
      </c>
      <c r="AJ598" s="29" t="str">
        <f aca="false">IF(OR(AI598="",N(O598)=0),"",AI598+AG598/O598)</f>
        <v/>
      </c>
      <c r="AK598" s="32" t="str">
        <f aca="false">IF(OR(AJ598="",N(AE598)=0),"",AJ598-AE598)</f>
        <v/>
      </c>
      <c r="AL598" s="33" t="str">
        <f aca="false">IF(N(F598)=0,"",INDEX(Inputs!$B$28:$B$32,IFERROR(MATCH(F598,Inputs!$A$28:$A$32,1),0)+1))</f>
        <v/>
      </c>
      <c r="AM598" s="34"/>
      <c r="AN598" s="33" t="str">
        <f aca="false">IF(N(AM598)&gt;0,AM598,AL598)</f>
        <v/>
      </c>
      <c r="AO598" s="29" t="str">
        <f aca="false">IF(N(AN598)=0,"",AN598+IF(I598="yes",AN598*Inputs!$B$10*Inputs!$B$9,0)+IFERROR(INDEX(Inputs!$B$13:$B$15,MATCH(G598,Inputs!$A$13:$A$15,0)),0)+IFERROR(INDEX(Inputs!$B$18:$B$24,MATCH(H598,Inputs!$A$18:$A$24,0)),0))</f>
        <v/>
      </c>
      <c r="AP598" s="28" t="str">
        <f aca="false">IF(OR(N(AO598)&lt;=0,N(AG598)=0,N(L598)=0),"",MIN(L598,AG598/AO598))</f>
        <v/>
      </c>
      <c r="AQ598" s="29" t="str">
        <f aca="false">IF(OR(AP598="",N(O598)=0),"",AP598/O598-1)</f>
        <v/>
      </c>
      <c r="AR598" s="29" t="str">
        <f aca="false">IF(OR(AQ598="",N(O598)=0),"",AQ598+AG598/O598)</f>
        <v/>
      </c>
      <c r="AS598" s="32" t="str">
        <f aca="false">IF(OR(AR598="",N(AJ598)=0),"",AR598-AJ598)</f>
        <v/>
      </c>
      <c r="AT598" s="28"/>
      <c r="AU598" s="28"/>
      <c r="AV598" s="28" t="n">
        <f aca="false">IF(N(AT598)&gt;0,AT598,L598)</f>
        <v>25</v>
      </c>
      <c r="AW598" s="28" t="n">
        <f aca="false">IF(AND(N(M598)&gt;0,N(AV598)&gt;0),M598*AV598,IF(N(AU598)&gt;0,AU598,N598))</f>
        <v>1.5625</v>
      </c>
      <c r="AX598" s="29" t="str">
        <f aca="false">IF(N(AN598)=0,"",AN598+IF(I598="yes",AN598*Inputs!$B$10*Inputs!$B$9,0)+IFERROR(INDEX(Inputs!$B$13:$B$15,MATCH(G598,Inputs!$A$13:$A$15,0)),0)+IFERROR(INDEX(Inputs!$B$18:$B$24,MATCH(H598,Inputs!$A$18:$A$24,0)),0))</f>
        <v/>
      </c>
      <c r="AY598" s="28" t="str">
        <f aca="false">IF(OR(N(AX598)&lt;=0,N(AW598)=0,N(AV598)=0),"",MIN(AV598,AW598/AX598))</f>
        <v/>
      </c>
      <c r="AZ598" s="29" t="str">
        <f aca="false">IF(OR(AY598="",N(O598)=0),"",AY598/O598-1)</f>
        <v/>
      </c>
      <c r="BA598" s="29" t="str">
        <f aca="false">IF(OR(AZ598="",N(O598)=0),"",AZ598+AW598/O598)</f>
        <v/>
      </c>
      <c r="BB598" s="32" t="str">
        <f aca="false">IF(OR(BA598="",N(AR598)=0),"",BA598-AR598)</f>
        <v/>
      </c>
      <c r="BC598" s="35" t="str">
        <f aca="false">IF(OR(BA598="",N(U598)=0),"",BA598-U598)</f>
        <v/>
      </c>
      <c r="BD598" s="36" t="s">
        <v>198</v>
      </c>
    </row>
    <row r="599" customFormat="false" ht="15" hidden="false" customHeight="false" outlineLevel="0" collapsed="false">
      <c r="A599" s="2" t="s">
        <v>1067</v>
      </c>
      <c r="B599" s="2" t="n">
        <v>213</v>
      </c>
      <c r="C599" s="2" t="s">
        <v>1231</v>
      </c>
      <c r="D599" s="2" t="s">
        <v>1225</v>
      </c>
      <c r="E599" s="2" t="s">
        <v>143</v>
      </c>
      <c r="F599" s="27"/>
      <c r="G599" s="2" t="s">
        <v>51</v>
      </c>
      <c r="H599" s="2" t="s">
        <v>58</v>
      </c>
      <c r="I599" s="2" t="s">
        <v>151</v>
      </c>
      <c r="J599" s="2" t="s">
        <v>145</v>
      </c>
      <c r="K599" s="2" t="n">
        <v>4</v>
      </c>
      <c r="L599" s="28" t="n">
        <v>25</v>
      </c>
      <c r="M599" s="29" t="n">
        <v>0.06</v>
      </c>
      <c r="N599" s="28" t="n">
        <v>1.5</v>
      </c>
      <c r="O599" s="28" t="n">
        <v>0</v>
      </c>
      <c r="P599" s="2" t="s">
        <v>146</v>
      </c>
      <c r="Q599" s="29" t="n">
        <v>0.1</v>
      </c>
      <c r="R599" s="30" t="n">
        <v>0.095</v>
      </c>
      <c r="S599" s="31" t="n">
        <v>15.7894736842105</v>
      </c>
      <c r="T599" s="30"/>
      <c r="U599" s="30"/>
      <c r="V599" s="29" t="n">
        <v>0</v>
      </c>
      <c r="W599" s="29" t="n">
        <f aca="false">IF(N(Q599)=0,"",Q599+IF(I599="yes",Q599*Inputs!$B$10*Inputs!$B$9,0)+V599)</f>
        <v>0.095</v>
      </c>
      <c r="X599" s="28" t="n">
        <f aca="false">IF(OR(N(W599)&lt;=0,N(N599)=0,N(L599)=0),"",MIN(L599,N599/W599))</f>
        <v>15.7894736842105</v>
      </c>
      <c r="Y599" s="29" t="str">
        <f aca="false">IF(OR(X599="",N(O599)=0),"",X599/O599-1)</f>
        <v/>
      </c>
      <c r="Z599" s="29" t="str">
        <f aca="false">IF(OR(Y599="",N(O599)=0),"",Y599+N599/O599)</f>
        <v/>
      </c>
      <c r="AA599" s="32" t="str">
        <f aca="false">IF(OR(Z599="",N(U599)=0),"",Z599-U599)</f>
        <v/>
      </c>
      <c r="AB599" s="29" t="n">
        <f aca="false">IF(N(Q599)=0,"",Q599+IF(I599="yes",Q599*Inputs!$B$10*Inputs!$B$9,0)+IFERROR(INDEX(Inputs!$B$13:$B$15,MATCH(G599,Inputs!$A$13:$A$15,0)),0)+IFERROR(INDEX(Inputs!$B$18:$B$24,MATCH(H599,Inputs!$A$18:$A$24,0)),0))</f>
        <v>0.095</v>
      </c>
      <c r="AC599" s="28" t="n">
        <f aca="false">IF(OR(N(AB599)&lt;=0,N(N599)=0,N(L599)=0),"",MIN(L599,N599/AB599))</f>
        <v>15.7894736842105</v>
      </c>
      <c r="AD599" s="29" t="str">
        <f aca="false">IF(OR(AC599="",N(O599)=0),"",AC599/O599-1)</f>
        <v/>
      </c>
      <c r="AE599" s="29" t="str">
        <f aca="false">IF(OR(AD599="",N(O599)=0),"",AD599+N599/O599)</f>
        <v/>
      </c>
      <c r="AF599" s="32" t="str">
        <f aca="false">IF(OR(AE599="",N(Z599)=0),"",AE599-Z599)</f>
        <v/>
      </c>
      <c r="AG599" s="28" t="n">
        <f aca="false">IF(AND(N(M599)&gt;0,N(L599)&gt;0),M599*L599,N599)</f>
        <v>1.5</v>
      </c>
      <c r="AH599" s="28" t="n">
        <f aca="false">IF(OR(N(AB599)&lt;=0,N(AG599)=0,N(L599)=0),"",MIN(L599,AG599/AB599))</f>
        <v>15.7894736842105</v>
      </c>
      <c r="AI599" s="29" t="str">
        <f aca="false">IF(OR(AH599="",N(O599)=0),"",AH599/O599-1)</f>
        <v/>
      </c>
      <c r="AJ599" s="29" t="str">
        <f aca="false">IF(OR(AI599="",N(O599)=0),"",AI599+AG599/O599)</f>
        <v/>
      </c>
      <c r="AK599" s="32" t="str">
        <f aca="false">IF(OR(AJ599="",N(AE599)=0),"",AJ599-AE599)</f>
        <v/>
      </c>
      <c r="AL599" s="33" t="str">
        <f aca="false">IF(N(F599)=0,"",INDEX(Inputs!$B$28:$B$32,IFERROR(MATCH(F599,Inputs!$A$28:$A$32,1),0)+1))</f>
        <v/>
      </c>
      <c r="AM599" s="34"/>
      <c r="AN599" s="33" t="str">
        <f aca="false">IF(N(AM599)&gt;0,AM599,AL599)</f>
        <v/>
      </c>
      <c r="AO599" s="29" t="str">
        <f aca="false">IF(N(AN599)=0,"",AN599+IF(I599="yes",AN599*Inputs!$B$10*Inputs!$B$9,0)+IFERROR(INDEX(Inputs!$B$13:$B$15,MATCH(G599,Inputs!$A$13:$A$15,0)),0)+IFERROR(INDEX(Inputs!$B$18:$B$24,MATCH(H599,Inputs!$A$18:$A$24,0)),0))</f>
        <v/>
      </c>
      <c r="AP599" s="28" t="str">
        <f aca="false">IF(OR(N(AO599)&lt;=0,N(AG599)=0,N(L599)=0),"",MIN(L599,AG599/AO599))</f>
        <v/>
      </c>
      <c r="AQ599" s="29" t="str">
        <f aca="false">IF(OR(AP599="",N(O599)=0),"",AP599/O599-1)</f>
        <v/>
      </c>
      <c r="AR599" s="29" t="str">
        <f aca="false">IF(OR(AQ599="",N(O599)=0),"",AQ599+AG599/O599)</f>
        <v/>
      </c>
      <c r="AS599" s="32" t="str">
        <f aca="false">IF(OR(AR599="",N(AJ599)=0),"",AR599-AJ599)</f>
        <v/>
      </c>
      <c r="AT599" s="28"/>
      <c r="AU599" s="28"/>
      <c r="AV599" s="28" t="n">
        <f aca="false">IF(N(AT599)&gt;0,AT599,L599)</f>
        <v>25</v>
      </c>
      <c r="AW599" s="28" t="n">
        <f aca="false">IF(AND(N(M599)&gt;0,N(AV599)&gt;0),M599*AV599,IF(N(AU599)&gt;0,AU599,N599))</f>
        <v>1.5</v>
      </c>
      <c r="AX599" s="29" t="str">
        <f aca="false">IF(N(AN599)=0,"",AN599+IF(I599="yes",AN599*Inputs!$B$10*Inputs!$B$9,0)+IFERROR(INDEX(Inputs!$B$13:$B$15,MATCH(G599,Inputs!$A$13:$A$15,0)),0)+IFERROR(INDEX(Inputs!$B$18:$B$24,MATCH(H599,Inputs!$A$18:$A$24,0)),0))</f>
        <v/>
      </c>
      <c r="AY599" s="28" t="str">
        <f aca="false">IF(OR(N(AX599)&lt;=0,N(AW599)=0,N(AV599)=0),"",MIN(AV599,AW599/AX599))</f>
        <v/>
      </c>
      <c r="AZ599" s="29" t="str">
        <f aca="false">IF(OR(AY599="",N(O599)=0),"",AY599/O599-1)</f>
        <v/>
      </c>
      <c r="BA599" s="29" t="str">
        <f aca="false">IF(OR(AZ599="",N(O599)=0),"",AZ599+AW599/O599)</f>
        <v/>
      </c>
      <c r="BB599" s="32" t="str">
        <f aca="false">IF(OR(BA599="",N(AR599)=0),"",BA599-AR599)</f>
        <v/>
      </c>
      <c r="BC599" s="35" t="str">
        <f aca="false">IF(OR(BA599="",N(U599)=0),"",BA599-U599)</f>
        <v/>
      </c>
      <c r="BD599" s="36" t="s">
        <v>198</v>
      </c>
    </row>
    <row r="600" customFormat="false" ht="15" hidden="false" customHeight="false" outlineLevel="0" collapsed="false">
      <c r="A600" s="2" t="s">
        <v>1067</v>
      </c>
      <c r="B600" s="2" t="n">
        <v>214</v>
      </c>
      <c r="C600" s="2" t="s">
        <v>1232</v>
      </c>
      <c r="D600" s="2" t="s">
        <v>1225</v>
      </c>
      <c r="E600" s="2" t="s">
        <v>143</v>
      </c>
      <c r="F600" s="27"/>
      <c r="G600" s="2" t="s">
        <v>51</v>
      </c>
      <c r="H600" s="2" t="s">
        <v>58</v>
      </c>
      <c r="I600" s="2" t="s">
        <v>151</v>
      </c>
      <c r="J600" s="2" t="s">
        <v>145</v>
      </c>
      <c r="K600" s="2" t="n">
        <v>4</v>
      </c>
      <c r="L600" s="28" t="n">
        <v>25</v>
      </c>
      <c r="M600" s="29" t="n">
        <v>0.06125</v>
      </c>
      <c r="N600" s="28" t="n">
        <v>1.53125</v>
      </c>
      <c r="O600" s="28" t="n">
        <v>0</v>
      </c>
      <c r="P600" s="2" t="s">
        <v>146</v>
      </c>
      <c r="Q600" s="29" t="n">
        <v>0.1</v>
      </c>
      <c r="R600" s="30" t="n">
        <v>0.095</v>
      </c>
      <c r="S600" s="31" t="n">
        <v>16.1184210526316</v>
      </c>
      <c r="T600" s="30"/>
      <c r="U600" s="30"/>
      <c r="V600" s="29" t="n">
        <v>0</v>
      </c>
      <c r="W600" s="29" t="n">
        <f aca="false">IF(N(Q600)=0,"",Q600+IF(I600="yes",Q600*Inputs!$B$10*Inputs!$B$9,0)+V600)</f>
        <v>0.095</v>
      </c>
      <c r="X600" s="28" t="n">
        <f aca="false">IF(OR(N(W600)&lt;=0,N(N600)=0,N(L600)=0),"",MIN(L600,N600/W600))</f>
        <v>16.1184210526316</v>
      </c>
      <c r="Y600" s="29" t="str">
        <f aca="false">IF(OR(X600="",N(O600)=0),"",X600/O600-1)</f>
        <v/>
      </c>
      <c r="Z600" s="29" t="str">
        <f aca="false">IF(OR(Y600="",N(O600)=0),"",Y600+N600/O600)</f>
        <v/>
      </c>
      <c r="AA600" s="32" t="str">
        <f aca="false">IF(OR(Z600="",N(U600)=0),"",Z600-U600)</f>
        <v/>
      </c>
      <c r="AB600" s="29" t="n">
        <f aca="false">IF(N(Q600)=0,"",Q600+IF(I600="yes",Q600*Inputs!$B$10*Inputs!$B$9,0)+IFERROR(INDEX(Inputs!$B$13:$B$15,MATCH(G600,Inputs!$A$13:$A$15,0)),0)+IFERROR(INDEX(Inputs!$B$18:$B$24,MATCH(H600,Inputs!$A$18:$A$24,0)),0))</f>
        <v>0.095</v>
      </c>
      <c r="AC600" s="28" t="n">
        <f aca="false">IF(OR(N(AB600)&lt;=0,N(N600)=0,N(L600)=0),"",MIN(L600,N600/AB600))</f>
        <v>16.1184210526316</v>
      </c>
      <c r="AD600" s="29" t="str">
        <f aca="false">IF(OR(AC600="",N(O600)=0),"",AC600/O600-1)</f>
        <v/>
      </c>
      <c r="AE600" s="29" t="str">
        <f aca="false">IF(OR(AD600="",N(O600)=0),"",AD600+N600/O600)</f>
        <v/>
      </c>
      <c r="AF600" s="32" t="str">
        <f aca="false">IF(OR(AE600="",N(Z600)=0),"",AE600-Z600)</f>
        <v/>
      </c>
      <c r="AG600" s="28" t="n">
        <f aca="false">IF(AND(N(M600)&gt;0,N(L600)&gt;0),M600*L600,N600)</f>
        <v>1.53125</v>
      </c>
      <c r="AH600" s="28" t="n">
        <f aca="false">IF(OR(N(AB600)&lt;=0,N(AG600)=0,N(L600)=0),"",MIN(L600,AG600/AB600))</f>
        <v>16.1184210526316</v>
      </c>
      <c r="AI600" s="29" t="str">
        <f aca="false">IF(OR(AH600="",N(O600)=0),"",AH600/O600-1)</f>
        <v/>
      </c>
      <c r="AJ600" s="29" t="str">
        <f aca="false">IF(OR(AI600="",N(O600)=0),"",AI600+AG600/O600)</f>
        <v/>
      </c>
      <c r="AK600" s="32" t="str">
        <f aca="false">IF(OR(AJ600="",N(AE600)=0),"",AJ600-AE600)</f>
        <v/>
      </c>
      <c r="AL600" s="33" t="str">
        <f aca="false">IF(N(F600)=0,"",INDEX(Inputs!$B$28:$B$32,IFERROR(MATCH(F600,Inputs!$A$28:$A$32,1),0)+1))</f>
        <v/>
      </c>
      <c r="AM600" s="34"/>
      <c r="AN600" s="33" t="str">
        <f aca="false">IF(N(AM600)&gt;0,AM600,AL600)</f>
        <v/>
      </c>
      <c r="AO600" s="29" t="str">
        <f aca="false">IF(N(AN600)=0,"",AN600+IF(I600="yes",AN600*Inputs!$B$10*Inputs!$B$9,0)+IFERROR(INDEX(Inputs!$B$13:$B$15,MATCH(G600,Inputs!$A$13:$A$15,0)),0)+IFERROR(INDEX(Inputs!$B$18:$B$24,MATCH(H600,Inputs!$A$18:$A$24,0)),0))</f>
        <v/>
      </c>
      <c r="AP600" s="28" t="str">
        <f aca="false">IF(OR(N(AO600)&lt;=0,N(AG600)=0,N(L600)=0),"",MIN(L600,AG600/AO600))</f>
        <v/>
      </c>
      <c r="AQ600" s="29" t="str">
        <f aca="false">IF(OR(AP600="",N(O600)=0),"",AP600/O600-1)</f>
        <v/>
      </c>
      <c r="AR600" s="29" t="str">
        <f aca="false">IF(OR(AQ600="",N(O600)=0),"",AQ600+AG600/O600)</f>
        <v/>
      </c>
      <c r="AS600" s="32" t="str">
        <f aca="false">IF(OR(AR600="",N(AJ600)=0),"",AR600-AJ600)</f>
        <v/>
      </c>
      <c r="AT600" s="28"/>
      <c r="AU600" s="28"/>
      <c r="AV600" s="28" t="n">
        <f aca="false">IF(N(AT600)&gt;0,AT600,L600)</f>
        <v>25</v>
      </c>
      <c r="AW600" s="28" t="n">
        <f aca="false">IF(AND(N(M600)&gt;0,N(AV600)&gt;0),M600*AV600,IF(N(AU600)&gt;0,AU600,N600))</f>
        <v>1.53125</v>
      </c>
      <c r="AX600" s="29" t="str">
        <f aca="false">IF(N(AN600)=0,"",AN600+IF(I600="yes",AN600*Inputs!$B$10*Inputs!$B$9,0)+IFERROR(INDEX(Inputs!$B$13:$B$15,MATCH(G600,Inputs!$A$13:$A$15,0)),0)+IFERROR(INDEX(Inputs!$B$18:$B$24,MATCH(H600,Inputs!$A$18:$A$24,0)),0))</f>
        <v/>
      </c>
      <c r="AY600" s="28" t="str">
        <f aca="false">IF(OR(N(AX600)&lt;=0,N(AW600)=0,N(AV600)=0),"",MIN(AV600,AW600/AX600))</f>
        <v/>
      </c>
      <c r="AZ600" s="29" t="str">
        <f aca="false">IF(OR(AY600="",N(O600)=0),"",AY600/O600-1)</f>
        <v/>
      </c>
      <c r="BA600" s="29" t="str">
        <f aca="false">IF(OR(AZ600="",N(O600)=0),"",AZ600+AW600/O600)</f>
        <v/>
      </c>
      <c r="BB600" s="32" t="str">
        <f aca="false">IF(OR(BA600="",N(AR600)=0),"",BA600-AR600)</f>
        <v/>
      </c>
      <c r="BC600" s="35" t="str">
        <f aca="false">IF(OR(BA600="",N(U600)=0),"",BA600-U600)</f>
        <v/>
      </c>
      <c r="BD600" s="36" t="s">
        <v>198</v>
      </c>
    </row>
    <row r="601" customFormat="false" ht="15" hidden="false" customHeight="false" outlineLevel="0" collapsed="false">
      <c r="A601" s="2" t="s">
        <v>1067</v>
      </c>
      <c r="B601" s="2" t="n">
        <v>215</v>
      </c>
      <c r="C601" s="2" t="s">
        <v>1233</v>
      </c>
      <c r="D601" s="2" t="s">
        <v>1225</v>
      </c>
      <c r="E601" s="2" t="s">
        <v>143</v>
      </c>
      <c r="F601" s="27"/>
      <c r="G601" s="2" t="s">
        <v>51</v>
      </c>
      <c r="H601" s="2" t="s">
        <v>58</v>
      </c>
      <c r="I601" s="2" t="s">
        <v>151</v>
      </c>
      <c r="J601" s="2" t="s">
        <v>145</v>
      </c>
      <c r="K601" s="2" t="n">
        <v>4</v>
      </c>
      <c r="L601" s="28" t="n">
        <v>25</v>
      </c>
      <c r="M601" s="29" t="n">
        <v>0.06</v>
      </c>
      <c r="N601" s="28" t="n">
        <v>1.5</v>
      </c>
      <c r="O601" s="28" t="n">
        <v>0</v>
      </c>
      <c r="P601" s="2" t="s">
        <v>146</v>
      </c>
      <c r="Q601" s="29" t="n">
        <v>0.1</v>
      </c>
      <c r="R601" s="30" t="n">
        <v>0.095</v>
      </c>
      <c r="S601" s="31" t="n">
        <v>15.7894736842105</v>
      </c>
      <c r="T601" s="30"/>
      <c r="U601" s="30"/>
      <c r="V601" s="29" t="n">
        <v>0</v>
      </c>
      <c r="W601" s="29" t="n">
        <f aca="false">IF(N(Q601)=0,"",Q601+IF(I601="yes",Q601*Inputs!$B$10*Inputs!$B$9,0)+V601)</f>
        <v>0.095</v>
      </c>
      <c r="X601" s="28" t="n">
        <f aca="false">IF(OR(N(W601)&lt;=0,N(N601)=0,N(L601)=0),"",MIN(L601,N601/W601))</f>
        <v>15.7894736842105</v>
      </c>
      <c r="Y601" s="29" t="str">
        <f aca="false">IF(OR(X601="",N(O601)=0),"",X601/O601-1)</f>
        <v/>
      </c>
      <c r="Z601" s="29" t="str">
        <f aca="false">IF(OR(Y601="",N(O601)=0),"",Y601+N601/O601)</f>
        <v/>
      </c>
      <c r="AA601" s="32" t="str">
        <f aca="false">IF(OR(Z601="",N(U601)=0),"",Z601-U601)</f>
        <v/>
      </c>
      <c r="AB601" s="29" t="n">
        <f aca="false">IF(N(Q601)=0,"",Q601+IF(I601="yes",Q601*Inputs!$B$10*Inputs!$B$9,0)+IFERROR(INDEX(Inputs!$B$13:$B$15,MATCH(G601,Inputs!$A$13:$A$15,0)),0)+IFERROR(INDEX(Inputs!$B$18:$B$24,MATCH(H601,Inputs!$A$18:$A$24,0)),0))</f>
        <v>0.095</v>
      </c>
      <c r="AC601" s="28" t="n">
        <f aca="false">IF(OR(N(AB601)&lt;=0,N(N601)=0,N(L601)=0),"",MIN(L601,N601/AB601))</f>
        <v>15.7894736842105</v>
      </c>
      <c r="AD601" s="29" t="str">
        <f aca="false">IF(OR(AC601="",N(O601)=0),"",AC601/O601-1)</f>
        <v/>
      </c>
      <c r="AE601" s="29" t="str">
        <f aca="false">IF(OR(AD601="",N(O601)=0),"",AD601+N601/O601)</f>
        <v/>
      </c>
      <c r="AF601" s="32" t="str">
        <f aca="false">IF(OR(AE601="",N(Z601)=0),"",AE601-Z601)</f>
        <v/>
      </c>
      <c r="AG601" s="28" t="n">
        <f aca="false">IF(AND(N(M601)&gt;0,N(L601)&gt;0),M601*L601,N601)</f>
        <v>1.5</v>
      </c>
      <c r="AH601" s="28" t="n">
        <f aca="false">IF(OR(N(AB601)&lt;=0,N(AG601)=0,N(L601)=0),"",MIN(L601,AG601/AB601))</f>
        <v>15.7894736842105</v>
      </c>
      <c r="AI601" s="29" t="str">
        <f aca="false">IF(OR(AH601="",N(O601)=0),"",AH601/O601-1)</f>
        <v/>
      </c>
      <c r="AJ601" s="29" t="str">
        <f aca="false">IF(OR(AI601="",N(O601)=0),"",AI601+AG601/O601)</f>
        <v/>
      </c>
      <c r="AK601" s="32" t="str">
        <f aca="false">IF(OR(AJ601="",N(AE601)=0),"",AJ601-AE601)</f>
        <v/>
      </c>
      <c r="AL601" s="33" t="str">
        <f aca="false">IF(N(F601)=0,"",INDEX(Inputs!$B$28:$B$32,IFERROR(MATCH(F601,Inputs!$A$28:$A$32,1),0)+1))</f>
        <v/>
      </c>
      <c r="AM601" s="34"/>
      <c r="AN601" s="33" t="str">
        <f aca="false">IF(N(AM601)&gt;0,AM601,AL601)</f>
        <v/>
      </c>
      <c r="AO601" s="29" t="str">
        <f aca="false">IF(N(AN601)=0,"",AN601+IF(I601="yes",AN601*Inputs!$B$10*Inputs!$B$9,0)+IFERROR(INDEX(Inputs!$B$13:$B$15,MATCH(G601,Inputs!$A$13:$A$15,0)),0)+IFERROR(INDEX(Inputs!$B$18:$B$24,MATCH(H601,Inputs!$A$18:$A$24,0)),0))</f>
        <v/>
      </c>
      <c r="AP601" s="28" t="str">
        <f aca="false">IF(OR(N(AO601)&lt;=0,N(AG601)=0,N(L601)=0),"",MIN(L601,AG601/AO601))</f>
        <v/>
      </c>
      <c r="AQ601" s="29" t="str">
        <f aca="false">IF(OR(AP601="",N(O601)=0),"",AP601/O601-1)</f>
        <v/>
      </c>
      <c r="AR601" s="29" t="str">
        <f aca="false">IF(OR(AQ601="",N(O601)=0),"",AQ601+AG601/O601)</f>
        <v/>
      </c>
      <c r="AS601" s="32" t="str">
        <f aca="false">IF(OR(AR601="",N(AJ601)=0),"",AR601-AJ601)</f>
        <v/>
      </c>
      <c r="AT601" s="28" t="n">
        <v>25</v>
      </c>
      <c r="AU601" s="28" t="n">
        <v>1.5</v>
      </c>
      <c r="AV601" s="28" t="n">
        <f aca="false">IF(N(AT601)&gt;0,AT601,L601)</f>
        <v>25</v>
      </c>
      <c r="AW601" s="28" t="n">
        <f aca="false">IF(AND(N(M601)&gt;0,N(AV601)&gt;0),M601*AV601,IF(N(AU601)&gt;0,AU601,N601))</f>
        <v>1.5</v>
      </c>
      <c r="AX601" s="29" t="str">
        <f aca="false">IF(N(AN601)=0,"",AN601+IF(I601="yes",AN601*Inputs!$B$10*Inputs!$B$9,0)+IFERROR(INDEX(Inputs!$B$13:$B$15,MATCH(G601,Inputs!$A$13:$A$15,0)),0)+IFERROR(INDEX(Inputs!$B$18:$B$24,MATCH(H601,Inputs!$A$18:$A$24,0)),0))</f>
        <v/>
      </c>
      <c r="AY601" s="28" t="str">
        <f aca="false">IF(OR(N(AX601)&lt;=0,N(AW601)=0,N(AV601)=0),"",MIN(AV601,AW601/AX601))</f>
        <v/>
      </c>
      <c r="AZ601" s="29" t="str">
        <f aca="false">IF(OR(AY601="",N(O601)=0),"",AY601/O601-1)</f>
        <v/>
      </c>
      <c r="BA601" s="29" t="str">
        <f aca="false">IF(OR(AZ601="",N(O601)=0),"",AZ601+AW601/O601)</f>
        <v/>
      </c>
      <c r="BB601" s="32" t="str">
        <f aca="false">IF(OR(BA601="",N(AR601)=0),"",BA601-AR601)</f>
        <v/>
      </c>
      <c r="BC601" s="35" t="str">
        <f aca="false">IF(OR(BA601="",N(U601)=0),"",BA601-U601)</f>
        <v/>
      </c>
      <c r="BD601" s="36" t="s">
        <v>299</v>
      </c>
    </row>
    <row r="602" customFormat="false" ht="15" hidden="false" customHeight="false" outlineLevel="0" collapsed="false">
      <c r="A602" s="2" t="s">
        <v>1067</v>
      </c>
      <c r="B602" s="2" t="n">
        <v>216</v>
      </c>
      <c r="C602" s="2" t="s">
        <v>1234</v>
      </c>
      <c r="D602" s="2" t="s">
        <v>1225</v>
      </c>
      <c r="E602" s="2" t="s">
        <v>143</v>
      </c>
      <c r="F602" s="27"/>
      <c r="G602" s="2" t="s">
        <v>51</v>
      </c>
      <c r="H602" s="2" t="s">
        <v>58</v>
      </c>
      <c r="I602" s="2" t="s">
        <v>151</v>
      </c>
      <c r="J602" s="2" t="s">
        <v>145</v>
      </c>
      <c r="K602" s="2" t="n">
        <v>4</v>
      </c>
      <c r="L602" s="28" t="n">
        <v>25</v>
      </c>
      <c r="M602" s="29" t="n">
        <v>0.07</v>
      </c>
      <c r="N602" s="28" t="n">
        <v>1.75</v>
      </c>
      <c r="O602" s="28" t="n">
        <v>21.85</v>
      </c>
      <c r="P602" s="2" t="s">
        <v>223</v>
      </c>
      <c r="Q602" s="29" t="n">
        <v>0.1</v>
      </c>
      <c r="R602" s="30" t="n">
        <v>0.1</v>
      </c>
      <c r="S602" s="31" t="n">
        <v>17.5</v>
      </c>
      <c r="T602" s="30" t="n">
        <v>-0.19908466819222</v>
      </c>
      <c r="U602" s="30" t="n">
        <v>-0.118993135011442</v>
      </c>
      <c r="V602" s="29" t="n">
        <v>0</v>
      </c>
      <c r="W602" s="29" t="n">
        <f aca="false">IF(N(Q602)=0,"",Q602+IF(I602="yes",Q602*Inputs!$B$10*Inputs!$B$9,0)+V602)</f>
        <v>0.095</v>
      </c>
      <c r="X602" s="28" t="n">
        <f aca="false">IF(OR(N(W602)&lt;=0,N(N602)=0,N(L602)=0),"",MIN(L602,N602/W602))</f>
        <v>18.421052631579</v>
      </c>
      <c r="Y602" s="29" t="n">
        <f aca="false">IF(OR(X602="",N(O602)=0),"",X602/O602-1)</f>
        <v>-0.156931229676021</v>
      </c>
      <c r="Z602" s="29" t="n">
        <f aca="false">IF(OR(Y602="",N(O602)=0),"",Y602+N602/O602)</f>
        <v>-0.0768396964952427</v>
      </c>
      <c r="AA602" s="32" t="n">
        <f aca="false">IF(OR(Z602="",N(U602)=0),"",Z602-U602)</f>
        <v>0.042153438516199</v>
      </c>
      <c r="AB602" s="29" t="n">
        <f aca="false">IF(N(Q602)=0,"",Q602+IF(I602="yes",Q602*Inputs!$B$10*Inputs!$B$9,0)+IFERROR(INDEX(Inputs!$B$13:$B$15,MATCH(G602,Inputs!$A$13:$A$15,0)),0)+IFERROR(INDEX(Inputs!$B$18:$B$24,MATCH(H602,Inputs!$A$18:$A$24,0)),0))</f>
        <v>0.095</v>
      </c>
      <c r="AC602" s="28" t="n">
        <f aca="false">IF(OR(N(AB602)&lt;=0,N(N602)=0,N(L602)=0),"",MIN(L602,N602/AB602))</f>
        <v>18.421052631579</v>
      </c>
      <c r="AD602" s="29" t="n">
        <f aca="false">IF(OR(AC602="",N(O602)=0),"",AC602/O602-1)</f>
        <v>-0.156931229676021</v>
      </c>
      <c r="AE602" s="29" t="n">
        <f aca="false">IF(OR(AD602="",N(O602)=0),"",AD602+N602/O602)</f>
        <v>-0.0768396964952427</v>
      </c>
      <c r="AF602" s="32" t="n">
        <f aca="false">IF(OR(AE602="",N(Z602)=0),"",AE602-Z602)</f>
        <v>0</v>
      </c>
      <c r="AG602" s="28" t="n">
        <f aca="false">IF(AND(N(M602)&gt;0,N(L602)&gt;0),M602*L602,N602)</f>
        <v>1.75</v>
      </c>
      <c r="AH602" s="28" t="n">
        <f aca="false">IF(OR(N(AB602)&lt;=0,N(AG602)=0,N(L602)=0),"",MIN(L602,AG602/AB602))</f>
        <v>18.421052631579</v>
      </c>
      <c r="AI602" s="29" t="n">
        <f aca="false">IF(OR(AH602="",N(O602)=0),"",AH602/O602-1)</f>
        <v>-0.156931229676021</v>
      </c>
      <c r="AJ602" s="29" t="n">
        <f aca="false">IF(OR(AI602="",N(O602)=0),"",AI602+AG602/O602)</f>
        <v>-0.0768396964952427</v>
      </c>
      <c r="AK602" s="32" t="n">
        <f aca="false">IF(OR(AJ602="",N(AE602)=0),"",AJ602-AE602)</f>
        <v>0</v>
      </c>
      <c r="AL602" s="33" t="str">
        <f aca="false">IF(N(F602)=0,"",INDEX(Inputs!$B$28:$B$32,IFERROR(MATCH(F602,Inputs!$A$28:$A$32,1),0)+1))</f>
        <v/>
      </c>
      <c r="AM602" s="34"/>
      <c r="AN602" s="33" t="str">
        <f aca="false">IF(N(AM602)&gt;0,AM602,AL602)</f>
        <v/>
      </c>
      <c r="AO602" s="29" t="str">
        <f aca="false">IF(N(AN602)=0,"",AN602+IF(I602="yes",AN602*Inputs!$B$10*Inputs!$B$9,0)+IFERROR(INDEX(Inputs!$B$13:$B$15,MATCH(G602,Inputs!$A$13:$A$15,0)),0)+IFERROR(INDEX(Inputs!$B$18:$B$24,MATCH(H602,Inputs!$A$18:$A$24,0)),0))</f>
        <v/>
      </c>
      <c r="AP602" s="28" t="str">
        <f aca="false">IF(OR(N(AO602)&lt;=0,N(AG602)=0,N(L602)=0),"",MIN(L602,AG602/AO602))</f>
        <v/>
      </c>
      <c r="AQ602" s="29" t="str">
        <f aca="false">IF(OR(AP602="",N(O602)=0),"",AP602/O602-1)</f>
        <v/>
      </c>
      <c r="AR602" s="29" t="str">
        <f aca="false">IF(OR(AQ602="",N(O602)=0),"",AQ602+AG602/O602)</f>
        <v/>
      </c>
      <c r="AS602" s="32" t="str">
        <f aca="false">IF(OR(AR602="",N(AJ602)=0),"",AR602-AJ602)</f>
        <v/>
      </c>
      <c r="AT602" s="28" t="n">
        <v>25</v>
      </c>
      <c r="AU602" s="28" t="n">
        <v>1.75</v>
      </c>
      <c r="AV602" s="28" t="n">
        <f aca="false">IF(N(AT602)&gt;0,AT602,L602)</f>
        <v>25</v>
      </c>
      <c r="AW602" s="28" t="n">
        <f aca="false">IF(AND(N(M602)&gt;0,N(AV602)&gt;0),M602*AV602,IF(N(AU602)&gt;0,AU602,N602))</f>
        <v>1.75</v>
      </c>
      <c r="AX602" s="29" t="str">
        <f aca="false">IF(N(AN602)=0,"",AN602+IF(I602="yes",AN602*Inputs!$B$10*Inputs!$B$9,0)+IFERROR(INDEX(Inputs!$B$13:$B$15,MATCH(G602,Inputs!$A$13:$A$15,0)),0)+IFERROR(INDEX(Inputs!$B$18:$B$24,MATCH(H602,Inputs!$A$18:$A$24,0)),0))</f>
        <v/>
      </c>
      <c r="AY602" s="28" t="str">
        <f aca="false">IF(OR(N(AX602)&lt;=0,N(AW602)=0,N(AV602)=0),"",MIN(AV602,AW602/AX602))</f>
        <v/>
      </c>
      <c r="AZ602" s="29" t="str">
        <f aca="false">IF(OR(AY602="",N(O602)=0),"",AY602/O602-1)</f>
        <v/>
      </c>
      <c r="BA602" s="29" t="str">
        <f aca="false">IF(OR(AZ602="",N(O602)=0),"",AZ602+AW602/O602)</f>
        <v/>
      </c>
      <c r="BB602" s="32" t="str">
        <f aca="false">IF(OR(BA602="",N(AR602)=0),"",BA602-AR602)</f>
        <v/>
      </c>
      <c r="BC602" s="35" t="str">
        <f aca="false">IF(OR(BA602="",N(U602)=0),"",BA602-U602)</f>
        <v/>
      </c>
      <c r="BD602" s="36" t="s">
        <v>224</v>
      </c>
    </row>
    <row r="603" customFormat="false" ht="15" hidden="false" customHeight="false" outlineLevel="0" collapsed="false">
      <c r="A603" s="2" t="s">
        <v>1067</v>
      </c>
      <c r="B603" s="2" t="n">
        <v>217</v>
      </c>
      <c r="C603" s="2" t="s">
        <v>1235</v>
      </c>
      <c r="D603" s="2" t="s">
        <v>1225</v>
      </c>
      <c r="E603" s="2" t="s">
        <v>143</v>
      </c>
      <c r="F603" s="27"/>
      <c r="G603" s="2" t="s">
        <v>51</v>
      </c>
      <c r="H603" s="2" t="s">
        <v>58</v>
      </c>
      <c r="I603" s="2" t="s">
        <v>151</v>
      </c>
      <c r="J603" s="2" t="s">
        <v>145</v>
      </c>
      <c r="K603" s="2" t="n">
        <v>4</v>
      </c>
      <c r="L603" s="28" t="n">
        <v>25</v>
      </c>
      <c r="M603" s="29" t="n">
        <v>0.06375</v>
      </c>
      <c r="N603" s="28" t="n">
        <v>1.59375</v>
      </c>
      <c r="O603" s="28" t="n">
        <v>24.37</v>
      </c>
      <c r="P603" s="2" t="s">
        <v>223</v>
      </c>
      <c r="Q603" s="29" t="n">
        <v>0.1</v>
      </c>
      <c r="R603" s="30" t="n">
        <v>0.1</v>
      </c>
      <c r="S603" s="31" t="n">
        <v>15.9375</v>
      </c>
      <c r="T603" s="30" t="n">
        <v>-0.346019696347969</v>
      </c>
      <c r="U603" s="30" t="n">
        <v>-0.280621665982766</v>
      </c>
      <c r="V603" s="29" t="n">
        <v>0</v>
      </c>
      <c r="W603" s="29" t="n">
        <f aca="false">IF(N(Q603)=0,"",Q603+IF(I603="yes",Q603*Inputs!$B$10*Inputs!$B$9,0)+V603)</f>
        <v>0.095</v>
      </c>
      <c r="X603" s="28" t="n">
        <f aca="false">IF(OR(N(W603)&lt;=0,N(N603)=0,N(L603)=0),"",MIN(L603,N603/W603))</f>
        <v>16.7763157894737</v>
      </c>
      <c r="Y603" s="29" t="n">
        <f aca="false">IF(OR(X603="",N(O603)=0),"",X603/O603-1)</f>
        <v>-0.311599680366283</v>
      </c>
      <c r="Z603" s="29" t="n">
        <f aca="false">IF(OR(Y603="",N(O603)=0),"",Y603+N603/O603)</f>
        <v>-0.24620165000108</v>
      </c>
      <c r="AA603" s="32" t="n">
        <f aca="false">IF(OR(Z603="",N(U603)=0),"",Z603-U603)</f>
        <v>0.0344200159816859</v>
      </c>
      <c r="AB603" s="29" t="n">
        <f aca="false">IF(N(Q603)=0,"",Q603+IF(I603="yes",Q603*Inputs!$B$10*Inputs!$B$9,0)+IFERROR(INDEX(Inputs!$B$13:$B$15,MATCH(G603,Inputs!$A$13:$A$15,0)),0)+IFERROR(INDEX(Inputs!$B$18:$B$24,MATCH(H603,Inputs!$A$18:$A$24,0)),0))</f>
        <v>0.095</v>
      </c>
      <c r="AC603" s="28" t="n">
        <f aca="false">IF(OR(N(AB603)&lt;=0,N(N603)=0,N(L603)=0),"",MIN(L603,N603/AB603))</f>
        <v>16.7763157894737</v>
      </c>
      <c r="AD603" s="29" t="n">
        <f aca="false">IF(OR(AC603="",N(O603)=0),"",AC603/O603-1)</f>
        <v>-0.311599680366283</v>
      </c>
      <c r="AE603" s="29" t="n">
        <f aca="false">IF(OR(AD603="",N(O603)=0),"",AD603+N603/O603)</f>
        <v>-0.24620165000108</v>
      </c>
      <c r="AF603" s="32" t="n">
        <f aca="false">IF(OR(AE603="",N(Z603)=0),"",AE603-Z603)</f>
        <v>0</v>
      </c>
      <c r="AG603" s="28" t="n">
        <f aca="false">IF(AND(N(M603)&gt;0,N(L603)&gt;0),M603*L603,N603)</f>
        <v>1.59375</v>
      </c>
      <c r="AH603" s="28" t="n">
        <f aca="false">IF(OR(N(AB603)&lt;=0,N(AG603)=0,N(L603)=0),"",MIN(L603,AG603/AB603))</f>
        <v>16.7763157894737</v>
      </c>
      <c r="AI603" s="29" t="n">
        <f aca="false">IF(OR(AH603="",N(O603)=0),"",AH603/O603-1)</f>
        <v>-0.311599680366283</v>
      </c>
      <c r="AJ603" s="29" t="n">
        <f aca="false">IF(OR(AI603="",N(O603)=0),"",AI603+AG603/O603)</f>
        <v>-0.24620165000108</v>
      </c>
      <c r="AK603" s="32" t="n">
        <f aca="false">IF(OR(AJ603="",N(AE603)=0),"",AJ603-AE603)</f>
        <v>0</v>
      </c>
      <c r="AL603" s="33" t="str">
        <f aca="false">IF(N(F603)=0,"",INDEX(Inputs!$B$28:$B$32,IFERROR(MATCH(F603,Inputs!$A$28:$A$32,1),0)+1))</f>
        <v/>
      </c>
      <c r="AM603" s="34"/>
      <c r="AN603" s="33" t="str">
        <f aca="false">IF(N(AM603)&gt;0,AM603,AL603)</f>
        <v/>
      </c>
      <c r="AO603" s="29" t="str">
        <f aca="false">IF(N(AN603)=0,"",AN603+IF(I603="yes",AN603*Inputs!$B$10*Inputs!$B$9,0)+IFERROR(INDEX(Inputs!$B$13:$B$15,MATCH(G603,Inputs!$A$13:$A$15,0)),0)+IFERROR(INDEX(Inputs!$B$18:$B$24,MATCH(H603,Inputs!$A$18:$A$24,0)),0))</f>
        <v/>
      </c>
      <c r="AP603" s="28" t="str">
        <f aca="false">IF(OR(N(AO603)&lt;=0,N(AG603)=0,N(L603)=0),"",MIN(L603,AG603/AO603))</f>
        <v/>
      </c>
      <c r="AQ603" s="29" t="str">
        <f aca="false">IF(OR(AP603="",N(O603)=0),"",AP603/O603-1)</f>
        <v/>
      </c>
      <c r="AR603" s="29" t="str">
        <f aca="false">IF(OR(AQ603="",N(O603)=0),"",AQ603+AG603/O603)</f>
        <v/>
      </c>
      <c r="AS603" s="32" t="str">
        <f aca="false">IF(OR(AR603="",N(AJ603)=0),"",AR603-AJ603)</f>
        <v/>
      </c>
      <c r="AT603" s="28" t="n">
        <v>25</v>
      </c>
      <c r="AU603" s="28" t="n">
        <v>1.59375</v>
      </c>
      <c r="AV603" s="28" t="n">
        <f aca="false">IF(N(AT603)&gt;0,AT603,L603)</f>
        <v>25</v>
      </c>
      <c r="AW603" s="28" t="n">
        <f aca="false">IF(AND(N(M603)&gt;0,N(AV603)&gt;0),M603*AV603,IF(N(AU603)&gt;0,AU603,N603))</f>
        <v>1.59375</v>
      </c>
      <c r="AX603" s="29" t="str">
        <f aca="false">IF(N(AN603)=0,"",AN603+IF(I603="yes",AN603*Inputs!$B$10*Inputs!$B$9,0)+IFERROR(INDEX(Inputs!$B$13:$B$15,MATCH(G603,Inputs!$A$13:$A$15,0)),0)+IFERROR(INDEX(Inputs!$B$18:$B$24,MATCH(H603,Inputs!$A$18:$A$24,0)),0))</f>
        <v/>
      </c>
      <c r="AY603" s="28" t="str">
        <f aca="false">IF(OR(N(AX603)&lt;=0,N(AW603)=0,N(AV603)=0),"",MIN(AV603,AW603/AX603))</f>
        <v/>
      </c>
      <c r="AZ603" s="29" t="str">
        <f aca="false">IF(OR(AY603="",N(O603)=0),"",AY603/O603-1)</f>
        <v/>
      </c>
      <c r="BA603" s="29" t="str">
        <f aca="false">IF(OR(AZ603="",N(O603)=0),"",AZ603+AW603/O603)</f>
        <v/>
      </c>
      <c r="BB603" s="32" t="str">
        <f aca="false">IF(OR(BA603="",N(AR603)=0),"",BA603-AR603)</f>
        <v/>
      </c>
      <c r="BC603" s="35" t="str">
        <f aca="false">IF(OR(BA603="",N(U603)=0),"",BA603-U603)</f>
        <v/>
      </c>
      <c r="BD603" s="36" t="s">
        <v>224</v>
      </c>
    </row>
    <row r="604" customFormat="false" ht="15" hidden="false" customHeight="false" outlineLevel="0" collapsed="false">
      <c r="A604" s="2" t="s">
        <v>1067</v>
      </c>
      <c r="B604" s="2" t="n">
        <v>220</v>
      </c>
      <c r="C604" s="2" t="s">
        <v>1236</v>
      </c>
      <c r="D604" s="2" t="s">
        <v>1237</v>
      </c>
      <c r="E604" s="2" t="s">
        <v>1238</v>
      </c>
      <c r="F604" s="27" t="n">
        <v>41600</v>
      </c>
      <c r="G604" s="2" t="s">
        <v>52</v>
      </c>
      <c r="H604" s="2" t="s">
        <v>58</v>
      </c>
      <c r="I604" s="2" t="s">
        <v>144</v>
      </c>
      <c r="J604" s="2" t="s">
        <v>145</v>
      </c>
      <c r="K604" s="2" t="n">
        <v>4</v>
      </c>
      <c r="L604" s="28" t="n">
        <v>25</v>
      </c>
      <c r="M604" s="29" t="n">
        <v>0.04125</v>
      </c>
      <c r="N604" s="28" t="n">
        <v>1.03125</v>
      </c>
      <c r="O604" s="28" t="n">
        <v>15.33</v>
      </c>
      <c r="P604" s="2" t="s">
        <v>146</v>
      </c>
      <c r="Q604" s="29" t="n">
        <v>0.08</v>
      </c>
      <c r="R604" s="30" t="n">
        <v>0.075</v>
      </c>
      <c r="S604" s="31" t="n">
        <v>13.75</v>
      </c>
      <c r="T604" s="30" t="n">
        <v>-0.103065883887802</v>
      </c>
      <c r="U604" s="30" t="n">
        <v>-0.0357958251793868</v>
      </c>
      <c r="V604" s="29" t="n">
        <v>-0.005</v>
      </c>
      <c r="W604" s="29" t="n">
        <f aca="false">IF(N(Q604)=0,"",Q604+IF(I604="yes",Q604*Inputs!$B$10*Inputs!$B$9,0)+V604)</f>
        <v>0.075</v>
      </c>
      <c r="X604" s="28" t="n">
        <f aca="false">IF(OR(N(W604)&lt;=0,N(N604)=0,N(L604)=0),"",MIN(L604,N604/W604))</f>
        <v>13.75</v>
      </c>
      <c r="Y604" s="29" t="n">
        <f aca="false">IF(OR(X604="",N(O604)=0),"",X604/O604-1)</f>
        <v>-0.103065883887802</v>
      </c>
      <c r="Z604" s="29" t="n">
        <f aca="false">IF(OR(Y604="",N(O604)=0),"",Y604+N604/O604)</f>
        <v>-0.0357958251793868</v>
      </c>
      <c r="AA604" s="32" t="n">
        <f aca="false">IF(OR(Z604="",N(U604)=0),"",Z604-U604)</f>
        <v>0</v>
      </c>
      <c r="AB604" s="29" t="n">
        <f aca="false">IF(N(Q604)=0,"",Q604+IF(I604="yes",Q604*Inputs!$B$10*Inputs!$B$9,0)+IFERROR(INDEX(Inputs!$B$13:$B$15,MATCH(G604,Inputs!$A$13:$A$15,0)),0)+IFERROR(INDEX(Inputs!$B$18:$B$24,MATCH(H604,Inputs!$A$18:$A$24,0)),0))</f>
        <v>0.075</v>
      </c>
      <c r="AC604" s="28" t="n">
        <f aca="false">IF(OR(N(AB604)&lt;=0,N(N604)=0,N(L604)=0),"",MIN(L604,N604/AB604))</f>
        <v>13.75</v>
      </c>
      <c r="AD604" s="29" t="n">
        <f aca="false">IF(OR(AC604="",N(O604)=0),"",AC604/O604-1)</f>
        <v>-0.103065883887802</v>
      </c>
      <c r="AE604" s="29" t="n">
        <f aca="false">IF(OR(AD604="",N(O604)=0),"",AD604+N604/O604)</f>
        <v>-0.0357958251793868</v>
      </c>
      <c r="AF604" s="32" t="n">
        <f aca="false">IF(OR(AE604="",N(Z604)=0),"",AE604-Z604)</f>
        <v>0</v>
      </c>
      <c r="AG604" s="28" t="n">
        <f aca="false">IF(AND(N(M604)&gt;0,N(L604)&gt;0),M604*L604,N604)</f>
        <v>1.03125</v>
      </c>
      <c r="AH604" s="28" t="n">
        <f aca="false">IF(OR(N(AB604)&lt;=0,N(AG604)=0,N(L604)=0),"",MIN(L604,AG604/AB604))</f>
        <v>13.75</v>
      </c>
      <c r="AI604" s="29" t="n">
        <f aca="false">IF(OR(AH604="",N(O604)=0),"",AH604/O604-1)</f>
        <v>-0.103065883887802</v>
      </c>
      <c r="AJ604" s="29" t="n">
        <f aca="false">IF(OR(AI604="",N(O604)=0),"",AI604+AG604/O604)</f>
        <v>-0.0357958251793868</v>
      </c>
      <c r="AK604" s="32" t="n">
        <f aca="false">IF(OR(AJ604="",N(AE604)=0),"",AJ604-AE604)</f>
        <v>0</v>
      </c>
      <c r="AL604" s="33" t="n">
        <f aca="false">IF(N(F604)=0,"",INDEX(Inputs!$B$28:$B$32,IFERROR(MATCH(F604,Inputs!$A$28:$A$32,1),0)+1))</f>
        <v>0.075</v>
      </c>
      <c r="AM604" s="34"/>
      <c r="AN604" s="33" t="n">
        <f aca="false">IF(N(AM604)&gt;0,AM604,AL604)</f>
        <v>0.075</v>
      </c>
      <c r="AO604" s="29" t="n">
        <f aca="false">IF(N(AN604)=0,"",AN604+IF(I604="yes",AN604*Inputs!$B$10*Inputs!$B$9,0)+IFERROR(INDEX(Inputs!$B$13:$B$15,MATCH(G604,Inputs!$A$13:$A$15,0)),0)+IFERROR(INDEX(Inputs!$B$18:$B$24,MATCH(H604,Inputs!$A$18:$A$24,0)),0))</f>
        <v>0.07</v>
      </c>
      <c r="AP604" s="28" t="n">
        <f aca="false">IF(OR(N(AO604)&lt;=0,N(AG604)=0,N(L604)=0),"",MIN(L604,AG604/AO604))</f>
        <v>14.7321428571429</v>
      </c>
      <c r="AQ604" s="29" t="n">
        <f aca="false">IF(OR(AP604="",N(O604)=0),"",AP604/O604-1)</f>
        <v>-0.0389991613083588</v>
      </c>
      <c r="AR604" s="29" t="n">
        <f aca="false">IF(OR(AQ604="",N(O604)=0),"",AQ604+AG604/O604)</f>
        <v>0.0282708974000561</v>
      </c>
      <c r="AS604" s="32" t="n">
        <f aca="false">IF(OR(AR604="",N(AJ604)=0),"",AR604-AJ604)</f>
        <v>0.0640667225794429</v>
      </c>
      <c r="AT604" s="28" t="n">
        <v>25</v>
      </c>
      <c r="AU604" s="28" t="n">
        <v>1.03125</v>
      </c>
      <c r="AV604" s="28" t="n">
        <f aca="false">IF(N(AT604)&gt;0,AT604,L604)</f>
        <v>25</v>
      </c>
      <c r="AW604" s="28" t="n">
        <f aca="false">IF(AND(N(M604)&gt;0,N(AV604)&gt;0),M604*AV604,IF(N(AU604)&gt;0,AU604,N604))</f>
        <v>1.03125</v>
      </c>
      <c r="AX604" s="29" t="n">
        <f aca="false">IF(N(AN604)=0,"",AN604+IF(I604="yes",AN604*Inputs!$B$10*Inputs!$B$9,0)+IFERROR(INDEX(Inputs!$B$13:$B$15,MATCH(G604,Inputs!$A$13:$A$15,0)),0)+IFERROR(INDEX(Inputs!$B$18:$B$24,MATCH(H604,Inputs!$A$18:$A$24,0)),0))</f>
        <v>0.07</v>
      </c>
      <c r="AY604" s="28" t="n">
        <f aca="false">IF(OR(N(AX604)&lt;=0,N(AW604)=0,N(AV604)=0),"",MIN(AV604,AW604/AX604))</f>
        <v>14.7321428571429</v>
      </c>
      <c r="AZ604" s="29" t="n">
        <f aca="false">IF(OR(AY604="",N(O604)=0),"",AY604/O604-1)</f>
        <v>-0.0389991613083588</v>
      </c>
      <c r="BA604" s="29" t="n">
        <f aca="false">IF(OR(AZ604="",N(O604)=0),"",AZ604+AW604/O604)</f>
        <v>0.0282708974000561</v>
      </c>
      <c r="BB604" s="32" t="n">
        <f aca="false">IF(OR(BA604="",N(AR604)=0),"",BA604-AR604)</f>
        <v>0</v>
      </c>
      <c r="BC604" s="35" t="n">
        <f aca="false">IF(OR(BA604="",N(U604)=0),"",BA604-U604)</f>
        <v>0.0640667225794429</v>
      </c>
      <c r="BD604" s="37"/>
    </row>
    <row r="605" customFormat="false" ht="15" hidden="false" customHeight="false" outlineLevel="0" collapsed="false">
      <c r="A605" s="2" t="s">
        <v>1067</v>
      </c>
      <c r="B605" s="2" t="n">
        <v>221</v>
      </c>
      <c r="C605" s="2" t="s">
        <v>1239</v>
      </c>
      <c r="D605" s="2" t="s">
        <v>1237</v>
      </c>
      <c r="E605" s="2" t="s">
        <v>1238</v>
      </c>
      <c r="F605" s="27" t="n">
        <v>41600</v>
      </c>
      <c r="G605" s="2" t="s">
        <v>52</v>
      </c>
      <c r="H605" s="2" t="s">
        <v>58</v>
      </c>
      <c r="I605" s="2" t="s">
        <v>144</v>
      </c>
      <c r="J605" s="2" t="s">
        <v>145</v>
      </c>
      <c r="K605" s="2" t="n">
        <v>4</v>
      </c>
      <c r="L605" s="28" t="n">
        <v>25</v>
      </c>
      <c r="M605" s="29" t="n">
        <v>0.0595</v>
      </c>
      <c r="N605" s="28" t="n">
        <v>1.4875</v>
      </c>
      <c r="O605" s="28" t="n">
        <v>21.35</v>
      </c>
      <c r="P605" s="2" t="s">
        <v>223</v>
      </c>
      <c r="Q605" s="29" t="n">
        <v>0.08</v>
      </c>
      <c r="R605" s="30" t="n">
        <v>0.08</v>
      </c>
      <c r="S605" s="31" t="n">
        <v>18.59375</v>
      </c>
      <c r="T605" s="30" t="n">
        <v>-0.129098360655738</v>
      </c>
      <c r="U605" s="30" t="n">
        <v>-0.0594262295081968</v>
      </c>
      <c r="V605" s="29" t="n">
        <v>-0.005</v>
      </c>
      <c r="W605" s="29" t="n">
        <f aca="false">IF(N(Q605)=0,"",Q605+IF(I605="yes",Q605*Inputs!$B$10*Inputs!$B$9,0)+V605)</f>
        <v>0.075</v>
      </c>
      <c r="X605" s="28" t="n">
        <f aca="false">IF(OR(N(W605)&lt;=0,N(N605)=0,N(L605)=0),"",MIN(L605,N605/W605))</f>
        <v>19.8333333333333</v>
      </c>
      <c r="Y605" s="29" t="n">
        <f aca="false">IF(OR(X605="",N(O605)=0),"",X605/O605-1)</f>
        <v>-0.0710382513661202</v>
      </c>
      <c r="Z605" s="29" t="n">
        <f aca="false">IF(OR(Y605="",N(O605)=0),"",Y605+N605/O605)</f>
        <v>-0.00136612021857921</v>
      </c>
      <c r="AA605" s="32" t="n">
        <f aca="false">IF(OR(Z605="",N(U605)=0),"",Z605-U605)</f>
        <v>0.0580601092896176</v>
      </c>
      <c r="AB605" s="29" t="n">
        <f aca="false">IF(N(Q605)=0,"",Q605+IF(I605="yes",Q605*Inputs!$B$10*Inputs!$B$9,0)+IFERROR(INDEX(Inputs!$B$13:$B$15,MATCH(G605,Inputs!$A$13:$A$15,0)),0)+IFERROR(INDEX(Inputs!$B$18:$B$24,MATCH(H605,Inputs!$A$18:$A$24,0)),0))</f>
        <v>0.075</v>
      </c>
      <c r="AC605" s="28" t="n">
        <f aca="false">IF(OR(N(AB605)&lt;=0,N(N605)=0,N(L605)=0),"",MIN(L605,N605/AB605))</f>
        <v>19.8333333333333</v>
      </c>
      <c r="AD605" s="29" t="n">
        <f aca="false">IF(OR(AC605="",N(O605)=0),"",AC605/O605-1)</f>
        <v>-0.0710382513661202</v>
      </c>
      <c r="AE605" s="29" t="n">
        <f aca="false">IF(OR(AD605="",N(O605)=0),"",AD605+N605/O605)</f>
        <v>-0.00136612021857921</v>
      </c>
      <c r="AF605" s="32" t="n">
        <f aca="false">IF(OR(AE605="",N(Z605)=0),"",AE605-Z605)</f>
        <v>0</v>
      </c>
      <c r="AG605" s="28" t="n">
        <f aca="false">IF(AND(N(M605)&gt;0,N(L605)&gt;0),M605*L605,N605)</f>
        <v>1.4875</v>
      </c>
      <c r="AH605" s="28" t="n">
        <f aca="false">IF(OR(N(AB605)&lt;=0,N(AG605)=0,N(L605)=0),"",MIN(L605,AG605/AB605))</f>
        <v>19.8333333333333</v>
      </c>
      <c r="AI605" s="29" t="n">
        <f aca="false">IF(OR(AH605="",N(O605)=0),"",AH605/O605-1)</f>
        <v>-0.0710382513661203</v>
      </c>
      <c r="AJ605" s="29" t="n">
        <f aca="false">IF(OR(AI605="",N(O605)=0),"",AI605+AG605/O605)</f>
        <v>-0.00136612021857933</v>
      </c>
      <c r="AK605" s="32" t="n">
        <f aca="false">IF(OR(AJ605="",N(AE605)=0),"",AJ605-AE605)</f>
        <v>-1.2490009027033E-016</v>
      </c>
      <c r="AL605" s="33" t="n">
        <f aca="false">IF(N(F605)=0,"",INDEX(Inputs!$B$28:$B$32,IFERROR(MATCH(F605,Inputs!$A$28:$A$32,1),0)+1))</f>
        <v>0.075</v>
      </c>
      <c r="AM605" s="34"/>
      <c r="AN605" s="33" t="n">
        <f aca="false">IF(N(AM605)&gt;0,AM605,AL605)</f>
        <v>0.075</v>
      </c>
      <c r="AO605" s="29" t="n">
        <f aca="false">IF(N(AN605)=0,"",AN605+IF(I605="yes",AN605*Inputs!$B$10*Inputs!$B$9,0)+IFERROR(INDEX(Inputs!$B$13:$B$15,MATCH(G605,Inputs!$A$13:$A$15,0)),0)+IFERROR(INDEX(Inputs!$B$18:$B$24,MATCH(H605,Inputs!$A$18:$A$24,0)),0))</f>
        <v>0.07</v>
      </c>
      <c r="AP605" s="28" t="n">
        <f aca="false">IF(OR(N(AO605)&lt;=0,N(AG605)=0,N(L605)=0),"",MIN(L605,AG605/AO605))</f>
        <v>21.25</v>
      </c>
      <c r="AQ605" s="29" t="n">
        <f aca="false">IF(OR(AP605="",N(O605)=0),"",AP605/O605-1)</f>
        <v>-0.00468384074941464</v>
      </c>
      <c r="AR605" s="29" t="n">
        <f aca="false">IF(OR(AQ605="",N(O605)=0),"",AQ605+AG605/O605)</f>
        <v>0.0649882903981263</v>
      </c>
      <c r="AS605" s="32" t="n">
        <f aca="false">IF(OR(AR605="",N(AJ605)=0),"",AR605-AJ605)</f>
        <v>0.0663544106167057</v>
      </c>
      <c r="AT605" s="28" t="n">
        <v>25</v>
      </c>
      <c r="AU605" s="28" t="n">
        <v>1.4875</v>
      </c>
      <c r="AV605" s="28" t="n">
        <f aca="false">IF(N(AT605)&gt;0,AT605,L605)</f>
        <v>25</v>
      </c>
      <c r="AW605" s="28" t="n">
        <f aca="false">IF(AND(N(M605)&gt;0,N(AV605)&gt;0),M605*AV605,IF(N(AU605)&gt;0,AU605,N605))</f>
        <v>1.4875</v>
      </c>
      <c r="AX605" s="29" t="n">
        <f aca="false">IF(N(AN605)=0,"",AN605+IF(I605="yes",AN605*Inputs!$B$10*Inputs!$B$9,0)+IFERROR(INDEX(Inputs!$B$13:$B$15,MATCH(G605,Inputs!$A$13:$A$15,0)),0)+IFERROR(INDEX(Inputs!$B$18:$B$24,MATCH(H605,Inputs!$A$18:$A$24,0)),0))</f>
        <v>0.07</v>
      </c>
      <c r="AY605" s="28" t="n">
        <f aca="false">IF(OR(N(AX605)&lt;=0,N(AW605)=0,N(AV605)=0),"",MIN(AV605,AW605/AX605))</f>
        <v>21.25</v>
      </c>
      <c r="AZ605" s="29" t="n">
        <f aca="false">IF(OR(AY605="",N(O605)=0),"",AY605/O605-1)</f>
        <v>-0.00468384074941464</v>
      </c>
      <c r="BA605" s="29" t="n">
        <f aca="false">IF(OR(AZ605="",N(O605)=0),"",AZ605+AW605/O605)</f>
        <v>0.0649882903981263</v>
      </c>
      <c r="BB605" s="32" t="n">
        <f aca="false">IF(OR(BA605="",N(AR605)=0),"",BA605-AR605)</f>
        <v>0</v>
      </c>
      <c r="BC605" s="35" t="n">
        <f aca="false">IF(OR(BA605="",N(U605)=0),"",BA605-U605)</f>
        <v>0.124414519906323</v>
      </c>
      <c r="BD605" s="36" t="s">
        <v>224</v>
      </c>
    </row>
    <row r="606" customFormat="false" ht="15" hidden="false" customHeight="false" outlineLevel="0" collapsed="false">
      <c r="A606" s="2" t="s">
        <v>1067</v>
      </c>
      <c r="B606" s="2" t="n">
        <v>222</v>
      </c>
      <c r="C606" s="2" t="s">
        <v>1240</v>
      </c>
      <c r="D606" s="2" t="s">
        <v>1237</v>
      </c>
      <c r="E606" s="2" t="s">
        <v>1238</v>
      </c>
      <c r="F606" s="27" t="n">
        <v>41600</v>
      </c>
      <c r="G606" s="2" t="s">
        <v>52</v>
      </c>
      <c r="H606" s="2" t="s">
        <v>58</v>
      </c>
      <c r="I606" s="2" t="s">
        <v>144</v>
      </c>
      <c r="J606" s="2" t="s">
        <v>145</v>
      </c>
      <c r="K606" s="2" t="n">
        <v>4</v>
      </c>
      <c r="L606" s="28" t="n">
        <v>25</v>
      </c>
      <c r="M606" s="29" t="n">
        <v>0.05625</v>
      </c>
      <c r="N606" s="28" t="n">
        <v>1.40625</v>
      </c>
      <c r="O606" s="28" t="n">
        <v>20.63</v>
      </c>
      <c r="P606" s="2" t="s">
        <v>146</v>
      </c>
      <c r="Q606" s="29" t="n">
        <v>0.08</v>
      </c>
      <c r="R606" s="30" t="n">
        <v>0.075</v>
      </c>
      <c r="S606" s="31" t="n">
        <v>18.75</v>
      </c>
      <c r="T606" s="30" t="n">
        <v>-0.0911294231701405</v>
      </c>
      <c r="U606" s="30" t="n">
        <v>-0.0229641299079011</v>
      </c>
      <c r="V606" s="29" t="n">
        <v>-0.005</v>
      </c>
      <c r="W606" s="29" t="n">
        <f aca="false">IF(N(Q606)=0,"",Q606+IF(I606="yes",Q606*Inputs!$B$10*Inputs!$B$9,0)+V606)</f>
        <v>0.075</v>
      </c>
      <c r="X606" s="28" t="n">
        <f aca="false">IF(OR(N(W606)&lt;=0,N(N606)=0,N(L606)=0),"",MIN(L606,N606/W606))</f>
        <v>18.75</v>
      </c>
      <c r="Y606" s="29" t="n">
        <f aca="false">IF(OR(X606="",N(O606)=0),"",X606/O606-1)</f>
        <v>-0.0911294231701405</v>
      </c>
      <c r="Z606" s="29" t="n">
        <f aca="false">IF(OR(Y606="",N(O606)=0),"",Y606+N606/O606)</f>
        <v>-0.022964129907901</v>
      </c>
      <c r="AA606" s="32" t="n">
        <f aca="false">IF(OR(Z606="",N(U606)=0),"",Z606-U606)</f>
        <v>0</v>
      </c>
      <c r="AB606" s="29" t="n">
        <f aca="false">IF(N(Q606)=0,"",Q606+IF(I606="yes",Q606*Inputs!$B$10*Inputs!$B$9,0)+IFERROR(INDEX(Inputs!$B$13:$B$15,MATCH(G606,Inputs!$A$13:$A$15,0)),0)+IFERROR(INDEX(Inputs!$B$18:$B$24,MATCH(H606,Inputs!$A$18:$A$24,0)),0))</f>
        <v>0.075</v>
      </c>
      <c r="AC606" s="28" t="n">
        <f aca="false">IF(OR(N(AB606)&lt;=0,N(N606)=0,N(L606)=0),"",MIN(L606,N606/AB606))</f>
        <v>18.75</v>
      </c>
      <c r="AD606" s="29" t="n">
        <f aca="false">IF(OR(AC606="",N(O606)=0),"",AC606/O606-1)</f>
        <v>-0.0911294231701405</v>
      </c>
      <c r="AE606" s="29" t="n">
        <f aca="false">IF(OR(AD606="",N(O606)=0),"",AD606+N606/O606)</f>
        <v>-0.022964129907901</v>
      </c>
      <c r="AF606" s="32" t="n">
        <f aca="false">IF(OR(AE606="",N(Z606)=0),"",AE606-Z606)</f>
        <v>0</v>
      </c>
      <c r="AG606" s="28" t="n">
        <f aca="false">IF(AND(N(M606)&gt;0,N(L606)&gt;0),M606*L606,N606)</f>
        <v>1.40625</v>
      </c>
      <c r="AH606" s="28" t="n">
        <f aca="false">IF(OR(N(AB606)&lt;=0,N(AG606)=0,N(L606)=0),"",MIN(L606,AG606/AB606))</f>
        <v>18.75</v>
      </c>
      <c r="AI606" s="29" t="n">
        <f aca="false">IF(OR(AH606="",N(O606)=0),"",AH606/O606-1)</f>
        <v>-0.0911294231701405</v>
      </c>
      <c r="AJ606" s="29" t="n">
        <f aca="false">IF(OR(AI606="",N(O606)=0),"",AI606+AG606/O606)</f>
        <v>-0.022964129907901</v>
      </c>
      <c r="AK606" s="32" t="n">
        <f aca="false">IF(OR(AJ606="",N(AE606)=0),"",AJ606-AE606)</f>
        <v>0</v>
      </c>
      <c r="AL606" s="33" t="n">
        <f aca="false">IF(N(F606)=0,"",INDEX(Inputs!$B$28:$B$32,IFERROR(MATCH(F606,Inputs!$A$28:$A$32,1),0)+1))</f>
        <v>0.075</v>
      </c>
      <c r="AM606" s="34"/>
      <c r="AN606" s="33" t="n">
        <f aca="false">IF(N(AM606)&gt;0,AM606,AL606)</f>
        <v>0.075</v>
      </c>
      <c r="AO606" s="29" t="n">
        <f aca="false">IF(N(AN606)=0,"",AN606+IF(I606="yes",AN606*Inputs!$B$10*Inputs!$B$9,0)+IFERROR(INDEX(Inputs!$B$13:$B$15,MATCH(G606,Inputs!$A$13:$A$15,0)),0)+IFERROR(INDEX(Inputs!$B$18:$B$24,MATCH(H606,Inputs!$A$18:$A$24,0)),0))</f>
        <v>0.07</v>
      </c>
      <c r="AP606" s="28" t="n">
        <f aca="false">IF(OR(N(AO606)&lt;=0,N(AG606)=0,N(L606)=0),"",MIN(L606,AG606/AO606))</f>
        <v>20.0892857142857</v>
      </c>
      <c r="AQ606" s="29" t="n">
        <f aca="false">IF(OR(AP606="",N(O606)=0),"",AP606/O606-1)</f>
        <v>-0.026210096253722</v>
      </c>
      <c r="AR606" s="29" t="n">
        <f aca="false">IF(OR(AQ606="",N(O606)=0),"",AQ606+AG606/O606)</f>
        <v>0.0419551970085175</v>
      </c>
      <c r="AS606" s="32" t="n">
        <f aca="false">IF(OR(AR606="",N(AJ606)=0),"",AR606-AJ606)</f>
        <v>0.0649193269164186</v>
      </c>
      <c r="AT606" s="28" t="n">
        <v>25</v>
      </c>
      <c r="AU606" s="28" t="n">
        <v>1.41</v>
      </c>
      <c r="AV606" s="28" t="n">
        <f aca="false">IF(N(AT606)&gt;0,AT606,L606)</f>
        <v>25</v>
      </c>
      <c r="AW606" s="28" t="n">
        <f aca="false">IF(AND(N(M606)&gt;0,N(AV606)&gt;0),M606*AV606,IF(N(AU606)&gt;0,AU606,N606))</f>
        <v>1.40625</v>
      </c>
      <c r="AX606" s="29" t="n">
        <f aca="false">IF(N(AN606)=0,"",AN606+IF(I606="yes",AN606*Inputs!$B$10*Inputs!$B$9,0)+IFERROR(INDEX(Inputs!$B$13:$B$15,MATCH(G606,Inputs!$A$13:$A$15,0)),0)+IFERROR(INDEX(Inputs!$B$18:$B$24,MATCH(H606,Inputs!$A$18:$A$24,0)),0))</f>
        <v>0.07</v>
      </c>
      <c r="AY606" s="28" t="n">
        <f aca="false">IF(OR(N(AX606)&lt;=0,N(AW606)=0,N(AV606)=0),"",MIN(AV606,AW606/AX606))</f>
        <v>20.0892857142857</v>
      </c>
      <c r="AZ606" s="29" t="n">
        <f aca="false">IF(OR(AY606="",N(O606)=0),"",AY606/O606-1)</f>
        <v>-0.026210096253722</v>
      </c>
      <c r="BA606" s="29" t="n">
        <f aca="false">IF(OR(AZ606="",N(O606)=0),"",AZ606+AW606/O606)</f>
        <v>0.0419551970085175</v>
      </c>
      <c r="BB606" s="32" t="n">
        <f aca="false">IF(OR(BA606="",N(AR606)=0),"",BA606-AR606)</f>
        <v>0</v>
      </c>
      <c r="BC606" s="35" t="n">
        <f aca="false">IF(OR(BA606="",N(U606)=0),"",BA606-U606)</f>
        <v>0.0649193269164186</v>
      </c>
      <c r="BD606" s="37"/>
    </row>
    <row r="607" customFormat="false" ht="15" hidden="false" customHeight="false" outlineLevel="0" collapsed="false">
      <c r="A607" s="2" t="s">
        <v>1067</v>
      </c>
      <c r="B607" s="2" t="n">
        <v>225</v>
      </c>
      <c r="C607" s="2" t="s">
        <v>1241</v>
      </c>
      <c r="D607" s="2" t="s">
        <v>1242</v>
      </c>
      <c r="E607" s="2" t="s">
        <v>1243</v>
      </c>
      <c r="F607" s="27" t="n">
        <v>60200</v>
      </c>
      <c r="G607" s="2" t="s">
        <v>51</v>
      </c>
      <c r="H607" s="2" t="s">
        <v>58</v>
      </c>
      <c r="I607" s="2" t="s">
        <v>144</v>
      </c>
      <c r="J607" s="2" t="s">
        <v>145</v>
      </c>
      <c r="K607" s="2" t="n">
        <v>4</v>
      </c>
      <c r="L607" s="28" t="n">
        <v>25</v>
      </c>
      <c r="M607" s="29" t="n">
        <v>0.0515</v>
      </c>
      <c r="N607" s="28" t="n">
        <v>1.2875</v>
      </c>
      <c r="O607" s="28" t="n">
        <v>19.4</v>
      </c>
      <c r="P607" s="2" t="s">
        <v>146</v>
      </c>
      <c r="Q607" s="29" t="n">
        <v>0.08</v>
      </c>
      <c r="R607" s="30" t="n">
        <v>0.08</v>
      </c>
      <c r="S607" s="31" t="n">
        <v>16.09375</v>
      </c>
      <c r="T607" s="30" t="n">
        <v>-0.170425257731959</v>
      </c>
      <c r="U607" s="30" t="n">
        <v>-0.104059278350516</v>
      </c>
      <c r="V607" s="29" t="n">
        <v>0</v>
      </c>
      <c r="W607" s="29" t="n">
        <f aca="false">IF(N(Q607)=0,"",Q607+IF(I607="yes",Q607*Inputs!$B$10*Inputs!$B$9,0)+V607)</f>
        <v>0.08</v>
      </c>
      <c r="X607" s="28" t="n">
        <f aca="false">IF(OR(N(W607)&lt;=0,N(N607)=0,N(L607)=0),"",MIN(L607,N607/W607))</f>
        <v>16.09375</v>
      </c>
      <c r="Y607" s="29" t="n">
        <f aca="false">IF(OR(X607="",N(O607)=0),"",X607/O607-1)</f>
        <v>-0.170425257731959</v>
      </c>
      <c r="Z607" s="29" t="n">
        <f aca="false">IF(OR(Y607="",N(O607)=0),"",Y607+N607/O607)</f>
        <v>-0.104059278350515</v>
      </c>
      <c r="AA607" s="32" t="n">
        <f aca="false">IF(OR(Z607="",N(U607)=0),"",Z607-U607)</f>
        <v>0</v>
      </c>
      <c r="AB607" s="29" t="n">
        <f aca="false">IF(N(Q607)=0,"",Q607+IF(I607="yes",Q607*Inputs!$B$10*Inputs!$B$9,0)+IFERROR(INDEX(Inputs!$B$13:$B$15,MATCH(G607,Inputs!$A$13:$A$15,0)),0)+IFERROR(INDEX(Inputs!$B$18:$B$24,MATCH(H607,Inputs!$A$18:$A$24,0)),0))</f>
        <v>0.08</v>
      </c>
      <c r="AC607" s="28" t="n">
        <f aca="false">IF(OR(N(AB607)&lt;=0,N(N607)=0,N(L607)=0),"",MIN(L607,N607/AB607))</f>
        <v>16.09375</v>
      </c>
      <c r="AD607" s="29" t="n">
        <f aca="false">IF(OR(AC607="",N(O607)=0),"",AC607/O607-1)</f>
        <v>-0.170425257731959</v>
      </c>
      <c r="AE607" s="29" t="n">
        <f aca="false">IF(OR(AD607="",N(O607)=0),"",AD607+N607/O607)</f>
        <v>-0.104059278350515</v>
      </c>
      <c r="AF607" s="32" t="n">
        <f aca="false">IF(OR(AE607="",N(Z607)=0),"",AE607-Z607)</f>
        <v>0</v>
      </c>
      <c r="AG607" s="28" t="n">
        <f aca="false">IF(AND(N(M607)&gt;0,N(L607)&gt;0),M607*L607,N607)</f>
        <v>1.2875</v>
      </c>
      <c r="AH607" s="28" t="n">
        <f aca="false">IF(OR(N(AB607)&lt;=0,N(AG607)=0,N(L607)=0),"",MIN(L607,AG607/AB607))</f>
        <v>16.09375</v>
      </c>
      <c r="AI607" s="29" t="n">
        <f aca="false">IF(OR(AH607="",N(O607)=0),"",AH607/O607-1)</f>
        <v>-0.170425257731959</v>
      </c>
      <c r="AJ607" s="29" t="n">
        <f aca="false">IF(OR(AI607="",N(O607)=0),"",AI607+AG607/O607)</f>
        <v>-0.104059278350516</v>
      </c>
      <c r="AK607" s="32" t="n">
        <f aca="false">IF(OR(AJ607="",N(AE607)=0),"",AJ607-AE607)</f>
        <v>0</v>
      </c>
      <c r="AL607" s="33" t="n">
        <f aca="false">IF(N(F607)=0,"",INDEX(Inputs!$B$28:$B$32,IFERROR(MATCH(F607,Inputs!$A$28:$A$32,1),0)+1))</f>
        <v>0.075</v>
      </c>
      <c r="AM607" s="34"/>
      <c r="AN607" s="33" t="n">
        <f aca="false">IF(N(AM607)&gt;0,AM607,AL607)</f>
        <v>0.075</v>
      </c>
      <c r="AO607" s="29" t="n">
        <f aca="false">IF(N(AN607)=0,"",AN607+IF(I607="yes",AN607*Inputs!$B$10*Inputs!$B$9,0)+IFERROR(INDEX(Inputs!$B$13:$B$15,MATCH(G607,Inputs!$A$13:$A$15,0)),0)+IFERROR(INDEX(Inputs!$B$18:$B$24,MATCH(H607,Inputs!$A$18:$A$24,0)),0))</f>
        <v>0.075</v>
      </c>
      <c r="AP607" s="28" t="n">
        <f aca="false">IF(OR(N(AO607)&lt;=0,N(AG607)=0,N(L607)=0),"",MIN(L607,AG607/AO607))</f>
        <v>17.1666666666667</v>
      </c>
      <c r="AQ607" s="29" t="n">
        <f aca="false">IF(OR(AP607="",N(O607)=0),"",AP607/O607-1)</f>
        <v>-0.115120274914089</v>
      </c>
      <c r="AR607" s="29" t="n">
        <f aca="false">IF(OR(AQ607="",N(O607)=0),"",AQ607+AG607/O607)</f>
        <v>-0.0487542955326461</v>
      </c>
      <c r="AS607" s="32" t="n">
        <f aca="false">IF(OR(AR607="",N(AJ607)=0),"",AR607-AJ607)</f>
        <v>0.0553049828178696</v>
      </c>
      <c r="AT607" s="28" t="n">
        <v>25</v>
      </c>
      <c r="AU607" s="28" t="n">
        <v>1.29</v>
      </c>
      <c r="AV607" s="28" t="n">
        <f aca="false">IF(N(AT607)&gt;0,AT607,L607)</f>
        <v>25</v>
      </c>
      <c r="AW607" s="28" t="n">
        <f aca="false">IF(AND(N(M607)&gt;0,N(AV607)&gt;0),M607*AV607,IF(N(AU607)&gt;0,AU607,N607))</f>
        <v>1.2875</v>
      </c>
      <c r="AX607" s="29" t="n">
        <f aca="false">IF(N(AN607)=0,"",AN607+IF(I607="yes",AN607*Inputs!$B$10*Inputs!$B$9,0)+IFERROR(INDEX(Inputs!$B$13:$B$15,MATCH(G607,Inputs!$A$13:$A$15,0)),0)+IFERROR(INDEX(Inputs!$B$18:$B$24,MATCH(H607,Inputs!$A$18:$A$24,0)),0))</f>
        <v>0.075</v>
      </c>
      <c r="AY607" s="28" t="n">
        <f aca="false">IF(OR(N(AX607)&lt;=0,N(AW607)=0,N(AV607)=0),"",MIN(AV607,AW607/AX607))</f>
        <v>17.1666666666667</v>
      </c>
      <c r="AZ607" s="29" t="n">
        <f aca="false">IF(OR(AY607="",N(O607)=0),"",AY607/O607-1)</f>
        <v>-0.115120274914089</v>
      </c>
      <c r="BA607" s="29" t="n">
        <f aca="false">IF(OR(AZ607="",N(O607)=0),"",AZ607+AW607/O607)</f>
        <v>-0.0487542955326461</v>
      </c>
      <c r="BB607" s="32" t="n">
        <f aca="false">IF(OR(BA607="",N(AR607)=0),"",BA607-AR607)</f>
        <v>0</v>
      </c>
      <c r="BC607" s="35" t="n">
        <f aca="false">IF(OR(BA607="",N(U607)=0),"",BA607-U607)</f>
        <v>0.0553049828178694</v>
      </c>
      <c r="BD607" s="37"/>
    </row>
    <row r="608" customFormat="false" ht="15" hidden="false" customHeight="false" outlineLevel="0" collapsed="false">
      <c r="A608" s="2" t="s">
        <v>1067</v>
      </c>
      <c r="B608" s="2" t="n">
        <v>226</v>
      </c>
      <c r="C608" s="2" t="s">
        <v>1244</v>
      </c>
      <c r="D608" s="2" t="s">
        <v>1242</v>
      </c>
      <c r="E608" s="2" t="s">
        <v>1243</v>
      </c>
      <c r="F608" s="27" t="n">
        <v>60200</v>
      </c>
      <c r="G608" s="2" t="s">
        <v>51</v>
      </c>
      <c r="H608" s="2" t="s">
        <v>58</v>
      </c>
      <c r="I608" s="2" t="s">
        <v>144</v>
      </c>
      <c r="J608" s="2" t="s">
        <v>145</v>
      </c>
      <c r="K608" s="2" t="n">
        <v>4</v>
      </c>
      <c r="L608" s="28" t="n">
        <v>25</v>
      </c>
      <c r="M608" s="29" t="n">
        <v>0.0505</v>
      </c>
      <c r="N608" s="28" t="n">
        <v>1.2625</v>
      </c>
      <c r="O608" s="28" t="n">
        <v>18.82</v>
      </c>
      <c r="P608" s="2" t="s">
        <v>146</v>
      </c>
      <c r="Q608" s="29" t="n">
        <v>0.08</v>
      </c>
      <c r="R608" s="30" t="n">
        <v>0.08</v>
      </c>
      <c r="S608" s="31" t="n">
        <v>15.78125</v>
      </c>
      <c r="T608" s="30" t="n">
        <v>-0.161463868225292</v>
      </c>
      <c r="U608" s="30" t="n">
        <v>-0.0943809776833156</v>
      </c>
      <c r="V608" s="29" t="n">
        <v>0</v>
      </c>
      <c r="W608" s="29" t="n">
        <f aca="false">IF(N(Q608)=0,"",Q608+IF(I608="yes",Q608*Inputs!$B$10*Inputs!$B$9,0)+V608)</f>
        <v>0.08</v>
      </c>
      <c r="X608" s="28" t="n">
        <f aca="false">IF(OR(N(W608)&lt;=0,N(N608)=0,N(L608)=0),"",MIN(L608,N608/W608))</f>
        <v>15.78125</v>
      </c>
      <c r="Y608" s="29" t="n">
        <f aca="false">IF(OR(X608="",N(O608)=0),"",X608/O608-1)</f>
        <v>-0.161463868225292</v>
      </c>
      <c r="Z608" s="29" t="n">
        <f aca="false">IF(OR(Y608="",N(O608)=0),"",Y608+N608/O608)</f>
        <v>-0.0943809776833156</v>
      </c>
      <c r="AA608" s="32" t="n">
        <f aca="false">IF(OR(Z608="",N(U608)=0),"",Z608-U608)</f>
        <v>0</v>
      </c>
      <c r="AB608" s="29" t="n">
        <f aca="false">IF(N(Q608)=0,"",Q608+IF(I608="yes",Q608*Inputs!$B$10*Inputs!$B$9,0)+IFERROR(INDEX(Inputs!$B$13:$B$15,MATCH(G608,Inputs!$A$13:$A$15,0)),0)+IFERROR(INDEX(Inputs!$B$18:$B$24,MATCH(H608,Inputs!$A$18:$A$24,0)),0))</f>
        <v>0.08</v>
      </c>
      <c r="AC608" s="28" t="n">
        <f aca="false">IF(OR(N(AB608)&lt;=0,N(N608)=0,N(L608)=0),"",MIN(L608,N608/AB608))</f>
        <v>15.78125</v>
      </c>
      <c r="AD608" s="29" t="n">
        <f aca="false">IF(OR(AC608="",N(O608)=0),"",AC608/O608-1)</f>
        <v>-0.161463868225292</v>
      </c>
      <c r="AE608" s="29" t="n">
        <f aca="false">IF(OR(AD608="",N(O608)=0),"",AD608+N608/O608)</f>
        <v>-0.0943809776833156</v>
      </c>
      <c r="AF608" s="32" t="n">
        <f aca="false">IF(OR(AE608="",N(Z608)=0),"",AE608-Z608)</f>
        <v>0</v>
      </c>
      <c r="AG608" s="28" t="n">
        <f aca="false">IF(AND(N(M608)&gt;0,N(L608)&gt;0),M608*L608,N608)</f>
        <v>1.2625</v>
      </c>
      <c r="AH608" s="28" t="n">
        <f aca="false">IF(OR(N(AB608)&lt;=0,N(AG608)=0,N(L608)=0),"",MIN(L608,AG608/AB608))</f>
        <v>15.78125</v>
      </c>
      <c r="AI608" s="29" t="n">
        <f aca="false">IF(OR(AH608="",N(O608)=0),"",AH608/O608-1)</f>
        <v>-0.161463868225292</v>
      </c>
      <c r="AJ608" s="29" t="n">
        <f aca="false">IF(OR(AI608="",N(O608)=0),"",AI608+AG608/O608)</f>
        <v>-0.0943809776833155</v>
      </c>
      <c r="AK608" s="32" t="n">
        <f aca="false">IF(OR(AJ608="",N(AE608)=0),"",AJ608-AE608)</f>
        <v>0</v>
      </c>
      <c r="AL608" s="33" t="n">
        <f aca="false">IF(N(F608)=0,"",INDEX(Inputs!$B$28:$B$32,IFERROR(MATCH(F608,Inputs!$A$28:$A$32,1),0)+1))</f>
        <v>0.075</v>
      </c>
      <c r="AM608" s="34"/>
      <c r="AN608" s="33" t="n">
        <f aca="false">IF(N(AM608)&gt;0,AM608,AL608)</f>
        <v>0.075</v>
      </c>
      <c r="AO608" s="29" t="n">
        <f aca="false">IF(N(AN608)=0,"",AN608+IF(I608="yes",AN608*Inputs!$B$10*Inputs!$B$9,0)+IFERROR(INDEX(Inputs!$B$13:$B$15,MATCH(G608,Inputs!$A$13:$A$15,0)),0)+IFERROR(INDEX(Inputs!$B$18:$B$24,MATCH(H608,Inputs!$A$18:$A$24,0)),0))</f>
        <v>0.075</v>
      </c>
      <c r="AP608" s="28" t="n">
        <f aca="false">IF(OR(N(AO608)&lt;=0,N(AG608)=0,N(L608)=0),"",MIN(L608,AG608/AO608))</f>
        <v>16.8333333333333</v>
      </c>
      <c r="AQ608" s="29" t="n">
        <f aca="false">IF(OR(AP608="",N(O608)=0),"",AP608/O608-1)</f>
        <v>-0.105561459440312</v>
      </c>
      <c r="AR608" s="29" t="n">
        <f aca="false">IF(OR(AQ608="",N(O608)=0),"",AQ608+AG608/O608)</f>
        <v>-0.038478568898335</v>
      </c>
      <c r="AS608" s="32" t="n">
        <f aca="false">IF(OR(AR608="",N(AJ608)=0),"",AR608-AJ608)</f>
        <v>0.0559024087849805</v>
      </c>
      <c r="AT608" s="28" t="n">
        <v>25</v>
      </c>
      <c r="AU608" s="28" t="n">
        <v>1.26</v>
      </c>
      <c r="AV608" s="28" t="n">
        <f aca="false">IF(N(AT608)&gt;0,AT608,L608)</f>
        <v>25</v>
      </c>
      <c r="AW608" s="28" t="n">
        <f aca="false">IF(AND(N(M608)&gt;0,N(AV608)&gt;0),M608*AV608,IF(N(AU608)&gt;0,AU608,N608))</f>
        <v>1.2625</v>
      </c>
      <c r="AX608" s="29" t="n">
        <f aca="false">IF(N(AN608)=0,"",AN608+IF(I608="yes",AN608*Inputs!$B$10*Inputs!$B$9,0)+IFERROR(INDEX(Inputs!$B$13:$B$15,MATCH(G608,Inputs!$A$13:$A$15,0)),0)+IFERROR(INDEX(Inputs!$B$18:$B$24,MATCH(H608,Inputs!$A$18:$A$24,0)),0))</f>
        <v>0.075</v>
      </c>
      <c r="AY608" s="28" t="n">
        <f aca="false">IF(OR(N(AX608)&lt;=0,N(AW608)=0,N(AV608)=0),"",MIN(AV608,AW608/AX608))</f>
        <v>16.8333333333333</v>
      </c>
      <c r="AZ608" s="29" t="n">
        <f aca="false">IF(OR(AY608="",N(O608)=0),"",AY608/O608-1)</f>
        <v>-0.105561459440312</v>
      </c>
      <c r="BA608" s="29" t="n">
        <f aca="false">IF(OR(AZ608="",N(O608)=0),"",AZ608+AW608/O608)</f>
        <v>-0.038478568898335</v>
      </c>
      <c r="BB608" s="32" t="n">
        <f aca="false">IF(OR(BA608="",N(AR608)=0),"",BA608-AR608)</f>
        <v>0</v>
      </c>
      <c r="BC608" s="35" t="n">
        <f aca="false">IF(OR(BA608="",N(U608)=0),"",BA608-U608)</f>
        <v>0.0559024087849807</v>
      </c>
      <c r="BD608" s="37"/>
    </row>
    <row r="609" customFormat="false" ht="15" hidden="false" customHeight="false" outlineLevel="0" collapsed="false">
      <c r="A609" s="2" t="s">
        <v>1067</v>
      </c>
      <c r="B609" s="2" t="n">
        <v>227</v>
      </c>
      <c r="C609" s="2" t="s">
        <v>1245</v>
      </c>
      <c r="D609" s="2" t="s">
        <v>1242</v>
      </c>
      <c r="E609" s="2" t="s">
        <v>1243</v>
      </c>
      <c r="F609" s="27" t="n">
        <v>60200</v>
      </c>
      <c r="G609" s="2" t="s">
        <v>51</v>
      </c>
      <c r="H609" s="2" t="s">
        <v>58</v>
      </c>
      <c r="I609" s="2" t="s">
        <v>144</v>
      </c>
      <c r="J609" s="2" t="s">
        <v>145</v>
      </c>
      <c r="K609" s="2" t="n">
        <v>4</v>
      </c>
      <c r="L609" s="28" t="n">
        <v>25</v>
      </c>
      <c r="M609" s="29" t="n">
        <v>0.056</v>
      </c>
      <c r="N609" s="28" t="n">
        <v>1.4</v>
      </c>
      <c r="O609" s="28" t="n">
        <v>20.98</v>
      </c>
      <c r="P609" s="2" t="s">
        <v>146</v>
      </c>
      <c r="Q609" s="29" t="n">
        <v>0.08</v>
      </c>
      <c r="R609" s="30" t="n">
        <v>0.08</v>
      </c>
      <c r="S609" s="31" t="n">
        <v>17.5</v>
      </c>
      <c r="T609" s="30" t="n">
        <v>-0.165872259294566</v>
      </c>
      <c r="U609" s="30" t="n">
        <v>-0.0991420400381316</v>
      </c>
      <c r="V609" s="29" t="n">
        <v>0</v>
      </c>
      <c r="W609" s="29" t="n">
        <f aca="false">IF(N(Q609)=0,"",Q609+IF(I609="yes",Q609*Inputs!$B$10*Inputs!$B$9,0)+V609)</f>
        <v>0.08</v>
      </c>
      <c r="X609" s="28" t="n">
        <f aca="false">IF(OR(N(W609)&lt;=0,N(N609)=0,N(L609)=0),"",MIN(L609,N609/W609))</f>
        <v>17.5</v>
      </c>
      <c r="Y609" s="29" t="n">
        <f aca="false">IF(OR(X609="",N(O609)=0),"",X609/O609-1)</f>
        <v>-0.165872259294566</v>
      </c>
      <c r="Z609" s="29" t="n">
        <f aca="false">IF(OR(Y609="",N(O609)=0),"",Y609+N609/O609)</f>
        <v>-0.0991420400381316</v>
      </c>
      <c r="AA609" s="32" t="n">
        <f aca="false">IF(OR(Z609="",N(U609)=0),"",Z609-U609)</f>
        <v>0</v>
      </c>
      <c r="AB609" s="29" t="n">
        <f aca="false">IF(N(Q609)=0,"",Q609+IF(I609="yes",Q609*Inputs!$B$10*Inputs!$B$9,0)+IFERROR(INDEX(Inputs!$B$13:$B$15,MATCH(G609,Inputs!$A$13:$A$15,0)),0)+IFERROR(INDEX(Inputs!$B$18:$B$24,MATCH(H609,Inputs!$A$18:$A$24,0)),0))</f>
        <v>0.08</v>
      </c>
      <c r="AC609" s="28" t="n">
        <f aca="false">IF(OR(N(AB609)&lt;=0,N(N609)=0,N(L609)=0),"",MIN(L609,N609/AB609))</f>
        <v>17.5</v>
      </c>
      <c r="AD609" s="29" t="n">
        <f aca="false">IF(OR(AC609="",N(O609)=0),"",AC609/O609-1)</f>
        <v>-0.165872259294566</v>
      </c>
      <c r="AE609" s="29" t="n">
        <f aca="false">IF(OR(AD609="",N(O609)=0),"",AD609+N609/O609)</f>
        <v>-0.0991420400381316</v>
      </c>
      <c r="AF609" s="32" t="n">
        <f aca="false">IF(OR(AE609="",N(Z609)=0),"",AE609-Z609)</f>
        <v>0</v>
      </c>
      <c r="AG609" s="28" t="n">
        <f aca="false">IF(AND(N(M609)&gt;0,N(L609)&gt;0),M609*L609,N609)</f>
        <v>1.4</v>
      </c>
      <c r="AH609" s="28" t="n">
        <f aca="false">IF(OR(N(AB609)&lt;=0,N(AG609)=0,N(L609)=0),"",MIN(L609,AG609/AB609))</f>
        <v>17.5</v>
      </c>
      <c r="AI609" s="29" t="n">
        <f aca="false">IF(OR(AH609="",N(O609)=0),"",AH609/O609-1)</f>
        <v>-0.165872259294566</v>
      </c>
      <c r="AJ609" s="29" t="n">
        <f aca="false">IF(OR(AI609="",N(O609)=0),"",AI609+AG609/O609)</f>
        <v>-0.0991420400381317</v>
      </c>
      <c r="AK609" s="32" t="n">
        <f aca="false">IF(OR(AJ609="",N(AE609)=0),"",AJ609-AE609)</f>
        <v>0</v>
      </c>
      <c r="AL609" s="33" t="n">
        <f aca="false">IF(N(F609)=0,"",INDEX(Inputs!$B$28:$B$32,IFERROR(MATCH(F609,Inputs!$A$28:$A$32,1),0)+1))</f>
        <v>0.075</v>
      </c>
      <c r="AM609" s="34"/>
      <c r="AN609" s="33" t="n">
        <f aca="false">IF(N(AM609)&gt;0,AM609,AL609)</f>
        <v>0.075</v>
      </c>
      <c r="AO609" s="29" t="n">
        <f aca="false">IF(N(AN609)=0,"",AN609+IF(I609="yes",AN609*Inputs!$B$10*Inputs!$B$9,0)+IFERROR(INDEX(Inputs!$B$13:$B$15,MATCH(G609,Inputs!$A$13:$A$15,0)),0)+IFERROR(INDEX(Inputs!$B$18:$B$24,MATCH(H609,Inputs!$A$18:$A$24,0)),0))</f>
        <v>0.075</v>
      </c>
      <c r="AP609" s="28" t="n">
        <f aca="false">IF(OR(N(AO609)&lt;=0,N(AG609)=0,N(L609)=0),"",MIN(L609,AG609/AO609))</f>
        <v>18.6666666666667</v>
      </c>
      <c r="AQ609" s="29" t="n">
        <f aca="false">IF(OR(AP609="",N(O609)=0),"",AP609/O609-1)</f>
        <v>-0.110263743247538</v>
      </c>
      <c r="AR609" s="29" t="n">
        <f aca="false">IF(OR(AQ609="",N(O609)=0),"",AQ609+AG609/O609)</f>
        <v>-0.0435335239911028</v>
      </c>
      <c r="AS609" s="32" t="n">
        <f aca="false">IF(OR(AR609="",N(AJ609)=0),"",AR609-AJ609)</f>
        <v>0.0556085160470289</v>
      </c>
      <c r="AT609" s="28" t="n">
        <v>25</v>
      </c>
      <c r="AU609" s="28" t="n">
        <v>1.4</v>
      </c>
      <c r="AV609" s="28" t="n">
        <f aca="false">IF(N(AT609)&gt;0,AT609,L609)</f>
        <v>25</v>
      </c>
      <c r="AW609" s="28" t="n">
        <f aca="false">IF(AND(N(M609)&gt;0,N(AV609)&gt;0),M609*AV609,IF(N(AU609)&gt;0,AU609,N609))</f>
        <v>1.4</v>
      </c>
      <c r="AX609" s="29" t="n">
        <f aca="false">IF(N(AN609)=0,"",AN609+IF(I609="yes",AN609*Inputs!$B$10*Inputs!$B$9,0)+IFERROR(INDEX(Inputs!$B$13:$B$15,MATCH(G609,Inputs!$A$13:$A$15,0)),0)+IFERROR(INDEX(Inputs!$B$18:$B$24,MATCH(H609,Inputs!$A$18:$A$24,0)),0))</f>
        <v>0.075</v>
      </c>
      <c r="AY609" s="28" t="n">
        <f aca="false">IF(OR(N(AX609)&lt;=0,N(AW609)=0,N(AV609)=0),"",MIN(AV609,AW609/AX609))</f>
        <v>18.6666666666667</v>
      </c>
      <c r="AZ609" s="29" t="n">
        <f aca="false">IF(OR(AY609="",N(O609)=0),"",AY609/O609-1)</f>
        <v>-0.110263743247538</v>
      </c>
      <c r="BA609" s="29" t="n">
        <f aca="false">IF(OR(AZ609="",N(O609)=0),"",AZ609+AW609/O609)</f>
        <v>-0.0435335239911028</v>
      </c>
      <c r="BB609" s="32" t="n">
        <f aca="false">IF(OR(BA609="",N(AR609)=0),"",BA609-AR609)</f>
        <v>0</v>
      </c>
      <c r="BC609" s="35" t="n">
        <f aca="false">IF(OR(BA609="",N(U609)=0),"",BA609-U609)</f>
        <v>0.0556085160470288</v>
      </c>
      <c r="BD609" s="37"/>
    </row>
    <row r="610" customFormat="false" ht="15" hidden="false" customHeight="false" outlineLevel="0" collapsed="false">
      <c r="A610" s="2" t="s">
        <v>1067</v>
      </c>
      <c r="B610" s="2" t="n">
        <v>228</v>
      </c>
      <c r="C610" s="2" t="s">
        <v>1246</v>
      </c>
      <c r="D610" s="2" t="s">
        <v>1242</v>
      </c>
      <c r="E610" s="2" t="s">
        <v>1243</v>
      </c>
      <c r="F610" s="27" t="n">
        <v>60200</v>
      </c>
      <c r="G610" s="2" t="s">
        <v>51</v>
      </c>
      <c r="H610" s="2" t="s">
        <v>58</v>
      </c>
      <c r="I610" s="2" t="s">
        <v>144</v>
      </c>
      <c r="J610" s="2" t="s">
        <v>145</v>
      </c>
      <c r="K610" s="2" t="n">
        <v>4</v>
      </c>
      <c r="L610" s="28" t="n">
        <v>25</v>
      </c>
      <c r="M610" s="29" t="n">
        <v>0.0488</v>
      </c>
      <c r="N610" s="28" t="n">
        <v>1.22</v>
      </c>
      <c r="O610" s="28" t="n">
        <v>18.51</v>
      </c>
      <c r="P610" s="2" t="s">
        <v>146</v>
      </c>
      <c r="Q610" s="29" t="n">
        <v>0.08</v>
      </c>
      <c r="R610" s="30" t="n">
        <v>0.08</v>
      </c>
      <c r="S610" s="31" t="n">
        <v>15.25</v>
      </c>
      <c r="T610" s="30" t="n">
        <v>-0.176121015667207</v>
      </c>
      <c r="U610" s="30" t="n">
        <v>-0.110210696920584</v>
      </c>
      <c r="V610" s="29" t="n">
        <v>0</v>
      </c>
      <c r="W610" s="29" t="n">
        <f aca="false">IF(N(Q610)=0,"",Q610+IF(I610="yes",Q610*Inputs!$B$10*Inputs!$B$9,0)+V610)</f>
        <v>0.08</v>
      </c>
      <c r="X610" s="28" t="n">
        <f aca="false">IF(OR(N(W610)&lt;=0,N(N610)=0,N(L610)=0),"",MIN(L610,N610/W610))</f>
        <v>15.25</v>
      </c>
      <c r="Y610" s="29" t="n">
        <f aca="false">IF(OR(X610="",N(O610)=0),"",X610/O610-1)</f>
        <v>-0.176121015667207</v>
      </c>
      <c r="Z610" s="29" t="n">
        <f aca="false">IF(OR(Y610="",N(O610)=0),"",Y610+N610/O610)</f>
        <v>-0.110210696920584</v>
      </c>
      <c r="AA610" s="32" t="n">
        <f aca="false">IF(OR(Z610="",N(U610)=0),"",Z610-U610)</f>
        <v>0</v>
      </c>
      <c r="AB610" s="29" t="n">
        <f aca="false">IF(N(Q610)=0,"",Q610+IF(I610="yes",Q610*Inputs!$B$10*Inputs!$B$9,0)+IFERROR(INDEX(Inputs!$B$13:$B$15,MATCH(G610,Inputs!$A$13:$A$15,0)),0)+IFERROR(INDEX(Inputs!$B$18:$B$24,MATCH(H610,Inputs!$A$18:$A$24,0)),0))</f>
        <v>0.08</v>
      </c>
      <c r="AC610" s="28" t="n">
        <f aca="false">IF(OR(N(AB610)&lt;=0,N(N610)=0,N(L610)=0),"",MIN(L610,N610/AB610))</f>
        <v>15.25</v>
      </c>
      <c r="AD610" s="29" t="n">
        <f aca="false">IF(OR(AC610="",N(O610)=0),"",AC610/O610-1)</f>
        <v>-0.176121015667207</v>
      </c>
      <c r="AE610" s="29" t="n">
        <f aca="false">IF(OR(AD610="",N(O610)=0),"",AD610+N610/O610)</f>
        <v>-0.110210696920584</v>
      </c>
      <c r="AF610" s="32" t="n">
        <f aca="false">IF(OR(AE610="",N(Z610)=0),"",AE610-Z610)</f>
        <v>0</v>
      </c>
      <c r="AG610" s="28" t="n">
        <f aca="false">IF(AND(N(M610)&gt;0,N(L610)&gt;0),M610*L610,N610)</f>
        <v>1.22</v>
      </c>
      <c r="AH610" s="28" t="n">
        <f aca="false">IF(OR(N(AB610)&lt;=0,N(AG610)=0,N(L610)=0),"",MIN(L610,AG610/AB610))</f>
        <v>15.25</v>
      </c>
      <c r="AI610" s="29" t="n">
        <f aca="false">IF(OR(AH610="",N(O610)=0),"",AH610/O610-1)</f>
        <v>-0.176121015667207</v>
      </c>
      <c r="AJ610" s="29" t="n">
        <f aca="false">IF(OR(AI610="",N(O610)=0),"",AI610+AG610/O610)</f>
        <v>-0.110210696920584</v>
      </c>
      <c r="AK610" s="32" t="n">
        <f aca="false">IF(OR(AJ610="",N(AE610)=0),"",AJ610-AE610)</f>
        <v>0</v>
      </c>
      <c r="AL610" s="33" t="n">
        <f aca="false">IF(N(F610)=0,"",INDEX(Inputs!$B$28:$B$32,IFERROR(MATCH(F610,Inputs!$A$28:$A$32,1),0)+1))</f>
        <v>0.075</v>
      </c>
      <c r="AM610" s="34"/>
      <c r="AN610" s="33" t="n">
        <f aca="false">IF(N(AM610)&gt;0,AM610,AL610)</f>
        <v>0.075</v>
      </c>
      <c r="AO610" s="29" t="n">
        <f aca="false">IF(N(AN610)=0,"",AN610+IF(I610="yes",AN610*Inputs!$B$10*Inputs!$B$9,0)+IFERROR(INDEX(Inputs!$B$13:$B$15,MATCH(G610,Inputs!$A$13:$A$15,0)),0)+IFERROR(INDEX(Inputs!$B$18:$B$24,MATCH(H610,Inputs!$A$18:$A$24,0)),0))</f>
        <v>0.075</v>
      </c>
      <c r="AP610" s="28" t="n">
        <f aca="false">IF(OR(N(AO610)&lt;=0,N(AG610)=0,N(L610)=0),"",MIN(L610,AG610/AO610))</f>
        <v>16.2666666666667</v>
      </c>
      <c r="AQ610" s="29" t="n">
        <f aca="false">IF(OR(AP610="",N(O610)=0),"",AP610/O610-1)</f>
        <v>-0.121195750045021</v>
      </c>
      <c r="AR610" s="29" t="n">
        <f aca="false">IF(OR(AQ610="",N(O610)=0),"",AQ610+AG610/O610)</f>
        <v>-0.0552854312983974</v>
      </c>
      <c r="AS610" s="32" t="n">
        <f aca="false">IF(OR(AR610="",N(AJ610)=0),"",AR610-AJ610)</f>
        <v>0.0549252656221861</v>
      </c>
      <c r="AT610" s="28" t="n">
        <v>25</v>
      </c>
      <c r="AU610" s="28" t="n">
        <v>1.22</v>
      </c>
      <c r="AV610" s="28" t="n">
        <f aca="false">IF(N(AT610)&gt;0,AT610,L610)</f>
        <v>25</v>
      </c>
      <c r="AW610" s="28" t="n">
        <f aca="false">IF(AND(N(M610)&gt;0,N(AV610)&gt;0),M610*AV610,IF(N(AU610)&gt;0,AU610,N610))</f>
        <v>1.22</v>
      </c>
      <c r="AX610" s="29" t="n">
        <f aca="false">IF(N(AN610)=0,"",AN610+IF(I610="yes",AN610*Inputs!$B$10*Inputs!$B$9,0)+IFERROR(INDEX(Inputs!$B$13:$B$15,MATCH(G610,Inputs!$A$13:$A$15,0)),0)+IFERROR(INDEX(Inputs!$B$18:$B$24,MATCH(H610,Inputs!$A$18:$A$24,0)),0))</f>
        <v>0.075</v>
      </c>
      <c r="AY610" s="28" t="n">
        <f aca="false">IF(OR(N(AX610)&lt;=0,N(AW610)=0,N(AV610)=0),"",MIN(AV610,AW610/AX610))</f>
        <v>16.2666666666667</v>
      </c>
      <c r="AZ610" s="29" t="n">
        <f aca="false">IF(OR(AY610="",N(O610)=0),"",AY610/O610-1)</f>
        <v>-0.121195750045021</v>
      </c>
      <c r="BA610" s="29" t="n">
        <f aca="false">IF(OR(AZ610="",N(O610)=0),"",AZ610+AW610/O610)</f>
        <v>-0.0552854312983974</v>
      </c>
      <c r="BB610" s="32" t="n">
        <f aca="false">IF(OR(BA610="",N(AR610)=0),"",BA610-AR610)</f>
        <v>0</v>
      </c>
      <c r="BC610" s="35" t="n">
        <f aca="false">IF(OR(BA610="",N(U610)=0),"",BA610-U610)</f>
        <v>0.0549252656221861</v>
      </c>
      <c r="BD610" s="37"/>
    </row>
    <row r="611" customFormat="false" ht="15" hidden="false" customHeight="false" outlineLevel="0" collapsed="false">
      <c r="A611" s="2" t="s">
        <v>1067</v>
      </c>
      <c r="B611" s="2" t="n">
        <v>229</v>
      </c>
      <c r="C611" s="2" t="s">
        <v>1247</v>
      </c>
      <c r="D611" s="2" t="s">
        <v>1242</v>
      </c>
      <c r="E611" s="2" t="s">
        <v>1243</v>
      </c>
      <c r="F611" s="27" t="n">
        <v>60200</v>
      </c>
      <c r="G611" s="2" t="s">
        <v>51</v>
      </c>
      <c r="H611" s="2" t="s">
        <v>58</v>
      </c>
      <c r="I611" s="2" t="s">
        <v>144</v>
      </c>
      <c r="J611" s="2" t="s">
        <v>145</v>
      </c>
      <c r="K611" s="2" t="n">
        <v>4</v>
      </c>
      <c r="L611" s="28" t="n">
        <v>25</v>
      </c>
      <c r="M611" s="29" t="n">
        <v>0.047</v>
      </c>
      <c r="N611" s="28" t="n">
        <v>1.175</v>
      </c>
      <c r="O611" s="28" t="n">
        <v>17.45</v>
      </c>
      <c r="P611" s="2" t="s">
        <v>146</v>
      </c>
      <c r="Q611" s="29" t="n">
        <v>0.08</v>
      </c>
      <c r="R611" s="30" t="n">
        <v>0.08</v>
      </c>
      <c r="S611" s="31" t="n">
        <v>14.6875</v>
      </c>
      <c r="T611" s="30" t="n">
        <v>-0.158309455587393</v>
      </c>
      <c r="U611" s="30" t="n">
        <v>-0.0909742120343839</v>
      </c>
      <c r="V611" s="29" t="n">
        <v>0</v>
      </c>
      <c r="W611" s="29" t="n">
        <f aca="false">IF(N(Q611)=0,"",Q611+IF(I611="yes",Q611*Inputs!$B$10*Inputs!$B$9,0)+V611)</f>
        <v>0.08</v>
      </c>
      <c r="X611" s="28" t="n">
        <f aca="false">IF(OR(N(W611)&lt;=0,N(N611)=0,N(L611)=0),"",MIN(L611,N611/W611))</f>
        <v>14.6875</v>
      </c>
      <c r="Y611" s="29" t="n">
        <f aca="false">IF(OR(X611="",N(O611)=0),"",X611/O611-1)</f>
        <v>-0.158309455587393</v>
      </c>
      <c r="Z611" s="29" t="n">
        <f aca="false">IF(OR(Y611="",N(O611)=0),"",Y611+N611/O611)</f>
        <v>-0.0909742120343839</v>
      </c>
      <c r="AA611" s="32" t="n">
        <f aca="false">IF(OR(Z611="",N(U611)=0),"",Z611-U611)</f>
        <v>0</v>
      </c>
      <c r="AB611" s="29" t="n">
        <f aca="false">IF(N(Q611)=0,"",Q611+IF(I611="yes",Q611*Inputs!$B$10*Inputs!$B$9,0)+IFERROR(INDEX(Inputs!$B$13:$B$15,MATCH(G611,Inputs!$A$13:$A$15,0)),0)+IFERROR(INDEX(Inputs!$B$18:$B$24,MATCH(H611,Inputs!$A$18:$A$24,0)),0))</f>
        <v>0.08</v>
      </c>
      <c r="AC611" s="28" t="n">
        <f aca="false">IF(OR(N(AB611)&lt;=0,N(N611)=0,N(L611)=0),"",MIN(L611,N611/AB611))</f>
        <v>14.6875</v>
      </c>
      <c r="AD611" s="29" t="n">
        <f aca="false">IF(OR(AC611="",N(O611)=0),"",AC611/O611-1)</f>
        <v>-0.158309455587393</v>
      </c>
      <c r="AE611" s="29" t="n">
        <f aca="false">IF(OR(AD611="",N(O611)=0),"",AD611+N611/O611)</f>
        <v>-0.0909742120343839</v>
      </c>
      <c r="AF611" s="32" t="n">
        <f aca="false">IF(OR(AE611="",N(Z611)=0),"",AE611-Z611)</f>
        <v>0</v>
      </c>
      <c r="AG611" s="28" t="n">
        <f aca="false">IF(AND(N(M611)&gt;0,N(L611)&gt;0),M611*L611,N611)</f>
        <v>1.175</v>
      </c>
      <c r="AH611" s="28" t="n">
        <f aca="false">IF(OR(N(AB611)&lt;=0,N(AG611)=0,N(L611)=0),"",MIN(L611,AG611/AB611))</f>
        <v>14.6875</v>
      </c>
      <c r="AI611" s="29" t="n">
        <f aca="false">IF(OR(AH611="",N(O611)=0),"",AH611/O611-1)</f>
        <v>-0.158309455587393</v>
      </c>
      <c r="AJ611" s="29" t="n">
        <f aca="false">IF(OR(AI611="",N(O611)=0),"",AI611+AG611/O611)</f>
        <v>-0.0909742120343839</v>
      </c>
      <c r="AK611" s="32" t="n">
        <f aca="false">IF(OR(AJ611="",N(AE611)=0),"",AJ611-AE611)</f>
        <v>0</v>
      </c>
      <c r="AL611" s="33" t="n">
        <f aca="false">IF(N(F611)=0,"",INDEX(Inputs!$B$28:$B$32,IFERROR(MATCH(F611,Inputs!$A$28:$A$32,1),0)+1))</f>
        <v>0.075</v>
      </c>
      <c r="AM611" s="34"/>
      <c r="AN611" s="33" t="n">
        <f aca="false">IF(N(AM611)&gt;0,AM611,AL611)</f>
        <v>0.075</v>
      </c>
      <c r="AO611" s="29" t="n">
        <f aca="false">IF(N(AN611)=0,"",AN611+IF(I611="yes",AN611*Inputs!$B$10*Inputs!$B$9,0)+IFERROR(INDEX(Inputs!$B$13:$B$15,MATCH(G611,Inputs!$A$13:$A$15,0)),0)+IFERROR(INDEX(Inputs!$B$18:$B$24,MATCH(H611,Inputs!$A$18:$A$24,0)),0))</f>
        <v>0.075</v>
      </c>
      <c r="AP611" s="28" t="n">
        <f aca="false">IF(OR(N(AO611)&lt;=0,N(AG611)=0,N(L611)=0),"",MIN(L611,AG611/AO611))</f>
        <v>15.6666666666667</v>
      </c>
      <c r="AQ611" s="29" t="n">
        <f aca="false">IF(OR(AP611="",N(O611)=0),"",AP611/O611-1)</f>
        <v>-0.102196752626552</v>
      </c>
      <c r="AR611" s="29" t="n">
        <f aca="false">IF(OR(AQ611="",N(O611)=0),"",AQ611+AG611/O611)</f>
        <v>-0.0348615090735433</v>
      </c>
      <c r="AS611" s="32" t="n">
        <f aca="false">IF(OR(AR611="",N(AJ611)=0),"",AR611-AJ611)</f>
        <v>0.0561127029608406</v>
      </c>
      <c r="AT611" s="28" t="n">
        <v>25</v>
      </c>
      <c r="AU611" s="28" t="n">
        <v>1.18</v>
      </c>
      <c r="AV611" s="28" t="n">
        <f aca="false">IF(N(AT611)&gt;0,AT611,L611)</f>
        <v>25</v>
      </c>
      <c r="AW611" s="28" t="n">
        <f aca="false">IF(AND(N(M611)&gt;0,N(AV611)&gt;0),M611*AV611,IF(N(AU611)&gt;0,AU611,N611))</f>
        <v>1.175</v>
      </c>
      <c r="AX611" s="29" t="n">
        <f aca="false">IF(N(AN611)=0,"",AN611+IF(I611="yes",AN611*Inputs!$B$10*Inputs!$B$9,0)+IFERROR(INDEX(Inputs!$B$13:$B$15,MATCH(G611,Inputs!$A$13:$A$15,0)),0)+IFERROR(INDEX(Inputs!$B$18:$B$24,MATCH(H611,Inputs!$A$18:$A$24,0)),0))</f>
        <v>0.075</v>
      </c>
      <c r="AY611" s="28" t="n">
        <f aca="false">IF(OR(N(AX611)&lt;=0,N(AW611)=0,N(AV611)=0),"",MIN(AV611,AW611/AX611))</f>
        <v>15.6666666666667</v>
      </c>
      <c r="AZ611" s="29" t="n">
        <f aca="false">IF(OR(AY611="",N(O611)=0),"",AY611/O611-1)</f>
        <v>-0.102196752626552</v>
      </c>
      <c r="BA611" s="29" t="n">
        <f aca="false">IF(OR(AZ611="",N(O611)=0),"",AZ611+AW611/O611)</f>
        <v>-0.0348615090735433</v>
      </c>
      <c r="BB611" s="32" t="n">
        <f aca="false">IF(OR(BA611="",N(AR611)=0),"",BA611-AR611)</f>
        <v>0</v>
      </c>
      <c r="BC611" s="35" t="n">
        <f aca="false">IF(OR(BA611="",N(U611)=0),"",BA611-U611)</f>
        <v>0.0561127029608406</v>
      </c>
      <c r="BD611" s="37"/>
    </row>
    <row r="612" customFormat="false" ht="15" hidden="false" customHeight="false" outlineLevel="0" collapsed="false">
      <c r="A612" s="2" t="s">
        <v>1067</v>
      </c>
      <c r="B612" s="2" t="n">
        <v>230</v>
      </c>
      <c r="C612" s="2" t="s">
        <v>1248</v>
      </c>
      <c r="D612" s="2" t="s">
        <v>1242</v>
      </c>
      <c r="E612" s="2" t="s">
        <v>1243</v>
      </c>
      <c r="F612" s="27" t="n">
        <v>60200</v>
      </c>
      <c r="G612" s="2" t="s">
        <v>51</v>
      </c>
      <c r="H612" s="2" t="s">
        <v>58</v>
      </c>
      <c r="I612" s="2" t="s">
        <v>144</v>
      </c>
      <c r="J612" s="2" t="s">
        <v>145</v>
      </c>
      <c r="K612" s="2" t="n">
        <v>4</v>
      </c>
      <c r="L612" s="28" t="n">
        <v>25</v>
      </c>
      <c r="M612" s="29" t="n">
        <v>0.0475</v>
      </c>
      <c r="N612" s="28" t="n">
        <v>1.1875</v>
      </c>
      <c r="O612" s="28" t="n">
        <v>17.93</v>
      </c>
      <c r="P612" s="2" t="s">
        <v>146</v>
      </c>
      <c r="Q612" s="29" t="n">
        <v>0.08</v>
      </c>
      <c r="R612" s="30" t="n">
        <v>0.08</v>
      </c>
      <c r="S612" s="31" t="n">
        <v>14.84375</v>
      </c>
      <c r="T612" s="30" t="n">
        <v>-0.17212771890686</v>
      </c>
      <c r="U612" s="30" t="n">
        <v>-0.105897936419409</v>
      </c>
      <c r="V612" s="29" t="n">
        <v>0</v>
      </c>
      <c r="W612" s="29" t="n">
        <f aca="false">IF(N(Q612)=0,"",Q612+IF(I612="yes",Q612*Inputs!$B$10*Inputs!$B$9,0)+V612)</f>
        <v>0.08</v>
      </c>
      <c r="X612" s="28" t="n">
        <f aca="false">IF(OR(N(W612)&lt;=0,N(N612)=0,N(L612)=0),"",MIN(L612,N612/W612))</f>
        <v>14.84375</v>
      </c>
      <c r="Y612" s="29" t="n">
        <f aca="false">IF(OR(X612="",N(O612)=0),"",X612/O612-1)</f>
        <v>-0.17212771890686</v>
      </c>
      <c r="Z612" s="29" t="n">
        <f aca="false">IF(OR(Y612="",N(O612)=0),"",Y612+N612/O612)</f>
        <v>-0.105897936419409</v>
      </c>
      <c r="AA612" s="32" t="n">
        <f aca="false">IF(OR(Z612="",N(U612)=0),"",Z612-U612)</f>
        <v>0</v>
      </c>
      <c r="AB612" s="29" t="n">
        <f aca="false">IF(N(Q612)=0,"",Q612+IF(I612="yes",Q612*Inputs!$B$10*Inputs!$B$9,0)+IFERROR(INDEX(Inputs!$B$13:$B$15,MATCH(G612,Inputs!$A$13:$A$15,0)),0)+IFERROR(INDEX(Inputs!$B$18:$B$24,MATCH(H612,Inputs!$A$18:$A$24,0)),0))</f>
        <v>0.08</v>
      </c>
      <c r="AC612" s="28" t="n">
        <f aca="false">IF(OR(N(AB612)&lt;=0,N(N612)=0,N(L612)=0),"",MIN(L612,N612/AB612))</f>
        <v>14.84375</v>
      </c>
      <c r="AD612" s="29" t="n">
        <f aca="false">IF(OR(AC612="",N(O612)=0),"",AC612/O612-1)</f>
        <v>-0.17212771890686</v>
      </c>
      <c r="AE612" s="29" t="n">
        <f aca="false">IF(OR(AD612="",N(O612)=0),"",AD612+N612/O612)</f>
        <v>-0.105897936419409</v>
      </c>
      <c r="AF612" s="32" t="n">
        <f aca="false">IF(OR(AE612="",N(Z612)=0),"",AE612-Z612)</f>
        <v>0</v>
      </c>
      <c r="AG612" s="28" t="n">
        <f aca="false">IF(AND(N(M612)&gt;0,N(L612)&gt;0),M612*L612,N612)</f>
        <v>1.1875</v>
      </c>
      <c r="AH612" s="28" t="n">
        <f aca="false">IF(OR(N(AB612)&lt;=0,N(AG612)=0,N(L612)=0),"",MIN(L612,AG612/AB612))</f>
        <v>14.84375</v>
      </c>
      <c r="AI612" s="29" t="n">
        <f aca="false">IF(OR(AH612="",N(O612)=0),"",AH612/O612-1)</f>
        <v>-0.17212771890686</v>
      </c>
      <c r="AJ612" s="29" t="n">
        <f aca="false">IF(OR(AI612="",N(O612)=0),"",AI612+AG612/O612)</f>
        <v>-0.105897936419409</v>
      </c>
      <c r="AK612" s="32" t="n">
        <f aca="false">IF(OR(AJ612="",N(AE612)=0),"",AJ612-AE612)</f>
        <v>0</v>
      </c>
      <c r="AL612" s="33" t="n">
        <f aca="false">IF(N(F612)=0,"",INDEX(Inputs!$B$28:$B$32,IFERROR(MATCH(F612,Inputs!$A$28:$A$32,1),0)+1))</f>
        <v>0.075</v>
      </c>
      <c r="AM612" s="34"/>
      <c r="AN612" s="33" t="n">
        <f aca="false">IF(N(AM612)&gt;0,AM612,AL612)</f>
        <v>0.075</v>
      </c>
      <c r="AO612" s="29" t="n">
        <f aca="false">IF(N(AN612)=0,"",AN612+IF(I612="yes",AN612*Inputs!$B$10*Inputs!$B$9,0)+IFERROR(INDEX(Inputs!$B$13:$B$15,MATCH(G612,Inputs!$A$13:$A$15,0)),0)+IFERROR(INDEX(Inputs!$B$18:$B$24,MATCH(H612,Inputs!$A$18:$A$24,0)),0))</f>
        <v>0.075</v>
      </c>
      <c r="AP612" s="28" t="n">
        <f aca="false">IF(OR(N(AO612)&lt;=0,N(AG612)=0,N(L612)=0),"",MIN(L612,AG612/AO612))</f>
        <v>15.8333333333333</v>
      </c>
      <c r="AQ612" s="29" t="n">
        <f aca="false">IF(OR(AP612="",N(O612)=0),"",AP612/O612-1)</f>
        <v>-0.116936233500651</v>
      </c>
      <c r="AR612" s="29" t="n">
        <f aca="false">IF(OR(AQ612="",N(O612)=0),"",AQ612+AG612/O612)</f>
        <v>-0.0507064510131994</v>
      </c>
      <c r="AS612" s="32" t="n">
        <f aca="false">IF(OR(AR612="",N(AJ612)=0),"",AR612-AJ612)</f>
        <v>0.0551914854062093</v>
      </c>
      <c r="AT612" s="28" t="n">
        <v>25</v>
      </c>
      <c r="AU612" s="28" t="n">
        <v>1.19</v>
      </c>
      <c r="AV612" s="28" t="n">
        <f aca="false">IF(N(AT612)&gt;0,AT612,L612)</f>
        <v>25</v>
      </c>
      <c r="AW612" s="28" t="n">
        <f aca="false">IF(AND(N(M612)&gt;0,N(AV612)&gt;0),M612*AV612,IF(N(AU612)&gt;0,AU612,N612))</f>
        <v>1.1875</v>
      </c>
      <c r="AX612" s="29" t="n">
        <f aca="false">IF(N(AN612)=0,"",AN612+IF(I612="yes",AN612*Inputs!$B$10*Inputs!$B$9,0)+IFERROR(INDEX(Inputs!$B$13:$B$15,MATCH(G612,Inputs!$A$13:$A$15,0)),0)+IFERROR(INDEX(Inputs!$B$18:$B$24,MATCH(H612,Inputs!$A$18:$A$24,0)),0))</f>
        <v>0.075</v>
      </c>
      <c r="AY612" s="28" t="n">
        <f aca="false">IF(OR(N(AX612)&lt;=0,N(AW612)=0,N(AV612)=0),"",MIN(AV612,AW612/AX612))</f>
        <v>15.8333333333333</v>
      </c>
      <c r="AZ612" s="29" t="n">
        <f aca="false">IF(OR(AY612="",N(O612)=0),"",AY612/O612-1)</f>
        <v>-0.116936233500651</v>
      </c>
      <c r="BA612" s="29" t="n">
        <f aca="false">IF(OR(AZ612="",N(O612)=0),"",AZ612+AW612/O612)</f>
        <v>-0.0507064510131994</v>
      </c>
      <c r="BB612" s="32" t="n">
        <f aca="false">IF(OR(BA612="",N(AR612)=0),"",BA612-AR612)</f>
        <v>0</v>
      </c>
      <c r="BC612" s="35" t="n">
        <f aca="false">IF(OR(BA612="",N(U612)=0),"",BA612-U612)</f>
        <v>0.0551914854062094</v>
      </c>
      <c r="BD612" s="37"/>
    </row>
    <row r="613" customFormat="false" ht="15" hidden="false" customHeight="false" outlineLevel="0" collapsed="false">
      <c r="A613" s="2" t="s">
        <v>1067</v>
      </c>
      <c r="B613" s="2" t="n">
        <v>231</v>
      </c>
      <c r="C613" s="2" t="s">
        <v>1249</v>
      </c>
      <c r="D613" s="2" t="s">
        <v>1242</v>
      </c>
      <c r="E613" s="2" t="s">
        <v>1243</v>
      </c>
      <c r="F613" s="27" t="n">
        <v>60200</v>
      </c>
      <c r="G613" s="2" t="s">
        <v>51</v>
      </c>
      <c r="H613" s="2" t="s">
        <v>58</v>
      </c>
      <c r="I613" s="2" t="s">
        <v>144</v>
      </c>
      <c r="J613" s="2" t="s">
        <v>145</v>
      </c>
      <c r="K613" s="2" t="n">
        <v>4</v>
      </c>
      <c r="L613" s="28" t="n">
        <v>25</v>
      </c>
      <c r="M613" s="29" t="n">
        <v>0.04625</v>
      </c>
      <c r="N613" s="28" t="n">
        <v>1.15625</v>
      </c>
      <c r="O613" s="28" t="n">
        <v>17.22</v>
      </c>
      <c r="P613" s="2" t="s">
        <v>146</v>
      </c>
      <c r="Q613" s="29" t="n">
        <v>0.08</v>
      </c>
      <c r="R613" s="30" t="n">
        <v>0.08</v>
      </c>
      <c r="S613" s="31" t="n">
        <v>14.453125</v>
      </c>
      <c r="T613" s="30" t="n">
        <v>-0.160677990708478</v>
      </c>
      <c r="U613" s="30" t="n">
        <v>-0.0935322299651567</v>
      </c>
      <c r="V613" s="29" t="n">
        <v>0</v>
      </c>
      <c r="W613" s="29" t="n">
        <f aca="false">IF(N(Q613)=0,"",Q613+IF(I613="yes",Q613*Inputs!$B$10*Inputs!$B$9,0)+V613)</f>
        <v>0.08</v>
      </c>
      <c r="X613" s="28" t="n">
        <f aca="false">IF(OR(N(W613)&lt;=0,N(N613)=0,N(L613)=0),"",MIN(L613,N613/W613))</f>
        <v>14.453125</v>
      </c>
      <c r="Y613" s="29" t="n">
        <f aca="false">IF(OR(X613="",N(O613)=0),"",X613/O613-1)</f>
        <v>-0.160677990708478</v>
      </c>
      <c r="Z613" s="29" t="n">
        <f aca="false">IF(OR(Y613="",N(O613)=0),"",Y613+N613/O613)</f>
        <v>-0.0935322299651567</v>
      </c>
      <c r="AA613" s="32" t="n">
        <f aca="false">IF(OR(Z613="",N(U613)=0),"",Z613-U613)</f>
        <v>0</v>
      </c>
      <c r="AB613" s="29" t="n">
        <f aca="false">IF(N(Q613)=0,"",Q613+IF(I613="yes",Q613*Inputs!$B$10*Inputs!$B$9,0)+IFERROR(INDEX(Inputs!$B$13:$B$15,MATCH(G613,Inputs!$A$13:$A$15,0)),0)+IFERROR(INDEX(Inputs!$B$18:$B$24,MATCH(H613,Inputs!$A$18:$A$24,0)),0))</f>
        <v>0.08</v>
      </c>
      <c r="AC613" s="28" t="n">
        <f aca="false">IF(OR(N(AB613)&lt;=0,N(N613)=0,N(L613)=0),"",MIN(L613,N613/AB613))</f>
        <v>14.453125</v>
      </c>
      <c r="AD613" s="29" t="n">
        <f aca="false">IF(OR(AC613="",N(O613)=0),"",AC613/O613-1)</f>
        <v>-0.160677990708478</v>
      </c>
      <c r="AE613" s="29" t="n">
        <f aca="false">IF(OR(AD613="",N(O613)=0),"",AD613+N613/O613)</f>
        <v>-0.0935322299651567</v>
      </c>
      <c r="AF613" s="32" t="n">
        <f aca="false">IF(OR(AE613="",N(Z613)=0),"",AE613-Z613)</f>
        <v>0</v>
      </c>
      <c r="AG613" s="28" t="n">
        <f aca="false">IF(AND(N(M613)&gt;0,N(L613)&gt;0),M613*L613,N613)</f>
        <v>1.15625</v>
      </c>
      <c r="AH613" s="28" t="n">
        <f aca="false">IF(OR(N(AB613)&lt;=0,N(AG613)=0,N(L613)=0),"",MIN(L613,AG613/AB613))</f>
        <v>14.453125</v>
      </c>
      <c r="AI613" s="29" t="n">
        <f aca="false">IF(OR(AH613="",N(O613)=0),"",AH613/O613-1)</f>
        <v>-0.160677990708478</v>
      </c>
      <c r="AJ613" s="29" t="n">
        <f aca="false">IF(OR(AI613="",N(O613)=0),"",AI613+AG613/O613)</f>
        <v>-0.0935322299651567</v>
      </c>
      <c r="AK613" s="32" t="n">
        <f aca="false">IF(OR(AJ613="",N(AE613)=0),"",AJ613-AE613)</f>
        <v>0</v>
      </c>
      <c r="AL613" s="33" t="n">
        <f aca="false">IF(N(F613)=0,"",INDEX(Inputs!$B$28:$B$32,IFERROR(MATCH(F613,Inputs!$A$28:$A$32,1),0)+1))</f>
        <v>0.075</v>
      </c>
      <c r="AM613" s="34"/>
      <c r="AN613" s="33" t="n">
        <f aca="false">IF(N(AM613)&gt;0,AM613,AL613)</f>
        <v>0.075</v>
      </c>
      <c r="AO613" s="29" t="n">
        <f aca="false">IF(N(AN613)=0,"",AN613+IF(I613="yes",AN613*Inputs!$B$10*Inputs!$B$9,0)+IFERROR(INDEX(Inputs!$B$13:$B$15,MATCH(G613,Inputs!$A$13:$A$15,0)),0)+IFERROR(INDEX(Inputs!$B$18:$B$24,MATCH(H613,Inputs!$A$18:$A$24,0)),0))</f>
        <v>0.075</v>
      </c>
      <c r="AP613" s="28" t="n">
        <f aca="false">IF(OR(N(AO613)&lt;=0,N(AG613)=0,N(L613)=0),"",MIN(L613,AG613/AO613))</f>
        <v>15.4166666666667</v>
      </c>
      <c r="AQ613" s="29" t="n">
        <f aca="false">IF(OR(AP613="",N(O613)=0),"",AP613/O613-1)</f>
        <v>-0.104723190089044</v>
      </c>
      <c r="AR613" s="29" t="n">
        <f aca="false">IF(OR(AQ613="",N(O613)=0),"",AQ613+AG613/O613)</f>
        <v>-0.0375774293457219</v>
      </c>
      <c r="AS613" s="32" t="n">
        <f aca="false">IF(OR(AR613="",N(AJ613)=0),"",AR613-AJ613)</f>
        <v>0.0559548006194348</v>
      </c>
      <c r="AT613" s="28" t="n">
        <v>25</v>
      </c>
      <c r="AU613" s="28" t="n">
        <v>1.15625</v>
      </c>
      <c r="AV613" s="28" t="n">
        <f aca="false">IF(N(AT613)&gt;0,AT613,L613)</f>
        <v>25</v>
      </c>
      <c r="AW613" s="28" t="n">
        <f aca="false">IF(AND(N(M613)&gt;0,N(AV613)&gt;0),M613*AV613,IF(N(AU613)&gt;0,AU613,N613))</f>
        <v>1.15625</v>
      </c>
      <c r="AX613" s="29" t="n">
        <f aca="false">IF(N(AN613)=0,"",AN613+IF(I613="yes",AN613*Inputs!$B$10*Inputs!$B$9,0)+IFERROR(INDEX(Inputs!$B$13:$B$15,MATCH(G613,Inputs!$A$13:$A$15,0)),0)+IFERROR(INDEX(Inputs!$B$18:$B$24,MATCH(H613,Inputs!$A$18:$A$24,0)),0))</f>
        <v>0.075</v>
      </c>
      <c r="AY613" s="28" t="n">
        <f aca="false">IF(OR(N(AX613)&lt;=0,N(AW613)=0,N(AV613)=0),"",MIN(AV613,AW613/AX613))</f>
        <v>15.4166666666667</v>
      </c>
      <c r="AZ613" s="29" t="n">
        <f aca="false">IF(OR(AY613="",N(O613)=0),"",AY613/O613-1)</f>
        <v>-0.104723190089044</v>
      </c>
      <c r="BA613" s="29" t="n">
        <f aca="false">IF(OR(AZ613="",N(O613)=0),"",AZ613+AW613/O613)</f>
        <v>-0.0375774293457219</v>
      </c>
      <c r="BB613" s="32" t="n">
        <f aca="false">IF(OR(BA613="",N(AR613)=0),"",BA613-AR613)</f>
        <v>0</v>
      </c>
      <c r="BC613" s="35" t="n">
        <f aca="false">IF(OR(BA613="",N(U613)=0),"",BA613-U613)</f>
        <v>0.0559548006194348</v>
      </c>
      <c r="BD613" s="37"/>
    </row>
    <row r="614" customFormat="false" ht="15" hidden="false" customHeight="false" outlineLevel="0" collapsed="false">
      <c r="A614" s="2" t="s">
        <v>1067</v>
      </c>
      <c r="B614" s="2" t="n">
        <v>232</v>
      </c>
      <c r="C614" s="2" t="s">
        <v>1250</v>
      </c>
      <c r="D614" s="2" t="s">
        <v>1242</v>
      </c>
      <c r="E614" s="2" t="s">
        <v>1243</v>
      </c>
      <c r="F614" s="27" t="n">
        <v>60200</v>
      </c>
      <c r="G614" s="2" t="s">
        <v>51</v>
      </c>
      <c r="H614" s="2" t="s">
        <v>58</v>
      </c>
      <c r="I614" s="2" t="s">
        <v>144</v>
      </c>
      <c r="J614" s="2" t="s">
        <v>145</v>
      </c>
      <c r="K614" s="2" t="n">
        <v>4</v>
      </c>
      <c r="L614" s="28" t="n">
        <v>25</v>
      </c>
      <c r="M614" s="29" t="n">
        <v>0.04125</v>
      </c>
      <c r="N614" s="28" t="n">
        <v>1.03125</v>
      </c>
      <c r="O614" s="28" t="n">
        <v>15.35</v>
      </c>
      <c r="P614" s="2" t="s">
        <v>146</v>
      </c>
      <c r="Q614" s="29" t="n">
        <v>0.08</v>
      </c>
      <c r="R614" s="30" t="n">
        <v>0.08</v>
      </c>
      <c r="S614" s="31" t="n">
        <v>12.890625</v>
      </c>
      <c r="T614" s="30" t="n">
        <v>-0.16021986970684</v>
      </c>
      <c r="U614" s="30" t="n">
        <v>-0.0930374592833876</v>
      </c>
      <c r="V614" s="29" t="n">
        <v>0</v>
      </c>
      <c r="W614" s="29" t="n">
        <f aca="false">IF(N(Q614)=0,"",Q614+IF(I614="yes",Q614*Inputs!$B$10*Inputs!$B$9,0)+V614)</f>
        <v>0.08</v>
      </c>
      <c r="X614" s="28" t="n">
        <f aca="false">IF(OR(N(W614)&lt;=0,N(N614)=0,N(L614)=0),"",MIN(L614,N614/W614))</f>
        <v>12.890625</v>
      </c>
      <c r="Y614" s="29" t="n">
        <f aca="false">IF(OR(X614="",N(O614)=0),"",X614/O614-1)</f>
        <v>-0.16021986970684</v>
      </c>
      <c r="Z614" s="29" t="n">
        <f aca="false">IF(OR(Y614="",N(O614)=0),"",Y614+N614/O614)</f>
        <v>-0.0930374592833876</v>
      </c>
      <c r="AA614" s="32" t="n">
        <f aca="false">IF(OR(Z614="",N(U614)=0),"",Z614-U614)</f>
        <v>0</v>
      </c>
      <c r="AB614" s="29" t="n">
        <f aca="false">IF(N(Q614)=0,"",Q614+IF(I614="yes",Q614*Inputs!$B$10*Inputs!$B$9,0)+IFERROR(INDEX(Inputs!$B$13:$B$15,MATCH(G614,Inputs!$A$13:$A$15,0)),0)+IFERROR(INDEX(Inputs!$B$18:$B$24,MATCH(H614,Inputs!$A$18:$A$24,0)),0))</f>
        <v>0.08</v>
      </c>
      <c r="AC614" s="28" t="n">
        <f aca="false">IF(OR(N(AB614)&lt;=0,N(N614)=0,N(L614)=0),"",MIN(L614,N614/AB614))</f>
        <v>12.890625</v>
      </c>
      <c r="AD614" s="29" t="n">
        <f aca="false">IF(OR(AC614="",N(O614)=0),"",AC614/O614-1)</f>
        <v>-0.16021986970684</v>
      </c>
      <c r="AE614" s="29" t="n">
        <f aca="false">IF(OR(AD614="",N(O614)=0),"",AD614+N614/O614)</f>
        <v>-0.0930374592833876</v>
      </c>
      <c r="AF614" s="32" t="n">
        <f aca="false">IF(OR(AE614="",N(Z614)=0),"",AE614-Z614)</f>
        <v>0</v>
      </c>
      <c r="AG614" s="28" t="n">
        <f aca="false">IF(AND(N(M614)&gt;0,N(L614)&gt;0),M614*L614,N614)</f>
        <v>1.03125</v>
      </c>
      <c r="AH614" s="28" t="n">
        <f aca="false">IF(OR(N(AB614)&lt;=0,N(AG614)=0,N(L614)=0),"",MIN(L614,AG614/AB614))</f>
        <v>12.890625</v>
      </c>
      <c r="AI614" s="29" t="n">
        <f aca="false">IF(OR(AH614="",N(O614)=0),"",AH614/O614-1)</f>
        <v>-0.16021986970684</v>
      </c>
      <c r="AJ614" s="29" t="n">
        <f aca="false">IF(OR(AI614="",N(O614)=0),"",AI614+AG614/O614)</f>
        <v>-0.0930374592833876</v>
      </c>
      <c r="AK614" s="32" t="n">
        <f aca="false">IF(OR(AJ614="",N(AE614)=0),"",AJ614-AE614)</f>
        <v>0</v>
      </c>
      <c r="AL614" s="33" t="n">
        <f aca="false">IF(N(F614)=0,"",INDEX(Inputs!$B$28:$B$32,IFERROR(MATCH(F614,Inputs!$A$28:$A$32,1),0)+1))</f>
        <v>0.075</v>
      </c>
      <c r="AM614" s="34"/>
      <c r="AN614" s="33" t="n">
        <f aca="false">IF(N(AM614)&gt;0,AM614,AL614)</f>
        <v>0.075</v>
      </c>
      <c r="AO614" s="29" t="n">
        <f aca="false">IF(N(AN614)=0,"",AN614+IF(I614="yes",AN614*Inputs!$B$10*Inputs!$B$9,0)+IFERROR(INDEX(Inputs!$B$13:$B$15,MATCH(G614,Inputs!$A$13:$A$15,0)),0)+IFERROR(INDEX(Inputs!$B$18:$B$24,MATCH(H614,Inputs!$A$18:$A$24,0)),0))</f>
        <v>0.075</v>
      </c>
      <c r="AP614" s="28" t="n">
        <f aca="false">IF(OR(N(AO614)&lt;=0,N(AG614)=0,N(L614)=0),"",MIN(L614,AG614/AO614))</f>
        <v>13.75</v>
      </c>
      <c r="AQ614" s="29" t="n">
        <f aca="false">IF(OR(AP614="",N(O614)=0),"",AP614/O614-1)</f>
        <v>-0.104234527687296</v>
      </c>
      <c r="AR614" s="29" t="n">
        <f aca="false">IF(OR(AQ614="",N(O614)=0),"",AQ614+AG614/O614)</f>
        <v>-0.0370521172638436</v>
      </c>
      <c r="AS614" s="32" t="n">
        <f aca="false">IF(OR(AR614="",N(AJ614)=0),"",AR614-AJ614)</f>
        <v>0.055985342019544</v>
      </c>
      <c r="AT614" s="28" t="n">
        <v>25</v>
      </c>
      <c r="AU614" s="28" t="n">
        <v>1.03125</v>
      </c>
      <c r="AV614" s="28" t="n">
        <f aca="false">IF(N(AT614)&gt;0,AT614,L614)</f>
        <v>25</v>
      </c>
      <c r="AW614" s="28" t="n">
        <f aca="false">IF(AND(N(M614)&gt;0,N(AV614)&gt;0),M614*AV614,IF(N(AU614)&gt;0,AU614,N614))</f>
        <v>1.03125</v>
      </c>
      <c r="AX614" s="29" t="n">
        <f aca="false">IF(N(AN614)=0,"",AN614+IF(I614="yes",AN614*Inputs!$B$10*Inputs!$B$9,0)+IFERROR(INDEX(Inputs!$B$13:$B$15,MATCH(G614,Inputs!$A$13:$A$15,0)),0)+IFERROR(INDEX(Inputs!$B$18:$B$24,MATCH(H614,Inputs!$A$18:$A$24,0)),0))</f>
        <v>0.075</v>
      </c>
      <c r="AY614" s="28" t="n">
        <f aca="false">IF(OR(N(AX614)&lt;=0,N(AW614)=0,N(AV614)=0),"",MIN(AV614,AW614/AX614))</f>
        <v>13.75</v>
      </c>
      <c r="AZ614" s="29" t="n">
        <f aca="false">IF(OR(AY614="",N(O614)=0),"",AY614/O614-1)</f>
        <v>-0.104234527687296</v>
      </c>
      <c r="BA614" s="29" t="n">
        <f aca="false">IF(OR(AZ614="",N(O614)=0),"",AZ614+AW614/O614)</f>
        <v>-0.0370521172638436</v>
      </c>
      <c r="BB614" s="32" t="n">
        <f aca="false">IF(OR(BA614="",N(AR614)=0),"",BA614-AR614)</f>
        <v>0</v>
      </c>
      <c r="BC614" s="35" t="n">
        <f aca="false">IF(OR(BA614="",N(U614)=0),"",BA614-U614)</f>
        <v>0.055985342019544</v>
      </c>
      <c r="BD614" s="37"/>
    </row>
    <row r="615" customFormat="false" ht="15" hidden="false" customHeight="false" outlineLevel="0" collapsed="false">
      <c r="A615" s="2" t="s">
        <v>1067</v>
      </c>
      <c r="B615" s="2" t="n">
        <v>233</v>
      </c>
      <c r="C615" s="2" t="s">
        <v>1251</v>
      </c>
      <c r="D615" s="2" t="s">
        <v>1242</v>
      </c>
      <c r="E615" s="2" t="s">
        <v>1243</v>
      </c>
      <c r="F615" s="27" t="n">
        <v>60200</v>
      </c>
      <c r="G615" s="2" t="s">
        <v>51</v>
      </c>
      <c r="H615" s="2" t="s">
        <v>58</v>
      </c>
      <c r="I615" s="2" t="s">
        <v>144</v>
      </c>
      <c r="J615" s="2" t="s">
        <v>145</v>
      </c>
      <c r="K615" s="2" t="n">
        <v>4</v>
      </c>
      <c r="L615" s="28" t="n">
        <v>25</v>
      </c>
      <c r="M615" s="29" t="n">
        <v>0.03875</v>
      </c>
      <c r="N615" s="28" t="n">
        <v>0.96875</v>
      </c>
      <c r="O615" s="28" t="n">
        <v>14.55</v>
      </c>
      <c r="P615" s="2" t="s">
        <v>146</v>
      </c>
      <c r="Q615" s="29" t="n">
        <v>0.08</v>
      </c>
      <c r="R615" s="30" t="n">
        <v>0.08</v>
      </c>
      <c r="S615" s="31" t="n">
        <v>12.109375</v>
      </c>
      <c r="T615" s="30" t="n">
        <v>-0.167740549828179</v>
      </c>
      <c r="U615" s="30" t="n">
        <v>-0.101159793814433</v>
      </c>
      <c r="V615" s="29" t="n">
        <v>0</v>
      </c>
      <c r="W615" s="29" t="n">
        <f aca="false">IF(N(Q615)=0,"",Q615+IF(I615="yes",Q615*Inputs!$B$10*Inputs!$B$9,0)+V615)</f>
        <v>0.08</v>
      </c>
      <c r="X615" s="28" t="n">
        <f aca="false">IF(OR(N(W615)&lt;=0,N(N615)=0,N(L615)=0),"",MIN(L615,N615/W615))</f>
        <v>12.109375</v>
      </c>
      <c r="Y615" s="29" t="n">
        <f aca="false">IF(OR(X615="",N(O615)=0),"",X615/O615-1)</f>
        <v>-0.167740549828179</v>
      </c>
      <c r="Z615" s="29" t="n">
        <f aca="false">IF(OR(Y615="",N(O615)=0),"",Y615+N615/O615)</f>
        <v>-0.101159793814433</v>
      </c>
      <c r="AA615" s="32" t="n">
        <f aca="false">IF(OR(Z615="",N(U615)=0),"",Z615-U615)</f>
        <v>0</v>
      </c>
      <c r="AB615" s="29" t="n">
        <f aca="false">IF(N(Q615)=0,"",Q615+IF(I615="yes",Q615*Inputs!$B$10*Inputs!$B$9,0)+IFERROR(INDEX(Inputs!$B$13:$B$15,MATCH(G615,Inputs!$A$13:$A$15,0)),0)+IFERROR(INDEX(Inputs!$B$18:$B$24,MATCH(H615,Inputs!$A$18:$A$24,0)),0))</f>
        <v>0.08</v>
      </c>
      <c r="AC615" s="28" t="n">
        <f aca="false">IF(OR(N(AB615)&lt;=0,N(N615)=0,N(L615)=0),"",MIN(L615,N615/AB615))</f>
        <v>12.109375</v>
      </c>
      <c r="AD615" s="29" t="n">
        <f aca="false">IF(OR(AC615="",N(O615)=0),"",AC615/O615-1)</f>
        <v>-0.167740549828179</v>
      </c>
      <c r="AE615" s="29" t="n">
        <f aca="false">IF(OR(AD615="",N(O615)=0),"",AD615+N615/O615)</f>
        <v>-0.101159793814433</v>
      </c>
      <c r="AF615" s="32" t="n">
        <f aca="false">IF(OR(AE615="",N(Z615)=0),"",AE615-Z615)</f>
        <v>0</v>
      </c>
      <c r="AG615" s="28" t="n">
        <f aca="false">IF(AND(N(M615)&gt;0,N(L615)&gt;0),M615*L615,N615)</f>
        <v>0.96875</v>
      </c>
      <c r="AH615" s="28" t="n">
        <f aca="false">IF(OR(N(AB615)&lt;=0,N(AG615)=0,N(L615)=0),"",MIN(L615,AG615/AB615))</f>
        <v>12.109375</v>
      </c>
      <c r="AI615" s="29" t="n">
        <f aca="false">IF(OR(AH615="",N(O615)=0),"",AH615/O615-1)</f>
        <v>-0.167740549828179</v>
      </c>
      <c r="AJ615" s="29" t="n">
        <f aca="false">IF(OR(AI615="",N(O615)=0),"",AI615+AG615/O615)</f>
        <v>-0.101159793814433</v>
      </c>
      <c r="AK615" s="32" t="n">
        <f aca="false">IF(OR(AJ615="",N(AE615)=0),"",AJ615-AE615)</f>
        <v>0</v>
      </c>
      <c r="AL615" s="33" t="n">
        <f aca="false">IF(N(F615)=0,"",INDEX(Inputs!$B$28:$B$32,IFERROR(MATCH(F615,Inputs!$A$28:$A$32,1),0)+1))</f>
        <v>0.075</v>
      </c>
      <c r="AM615" s="34"/>
      <c r="AN615" s="33" t="n">
        <f aca="false">IF(N(AM615)&gt;0,AM615,AL615)</f>
        <v>0.075</v>
      </c>
      <c r="AO615" s="29" t="n">
        <f aca="false">IF(N(AN615)=0,"",AN615+IF(I615="yes",AN615*Inputs!$B$10*Inputs!$B$9,0)+IFERROR(INDEX(Inputs!$B$13:$B$15,MATCH(G615,Inputs!$A$13:$A$15,0)),0)+IFERROR(INDEX(Inputs!$B$18:$B$24,MATCH(H615,Inputs!$A$18:$A$24,0)),0))</f>
        <v>0.075</v>
      </c>
      <c r="AP615" s="28" t="n">
        <f aca="false">IF(OR(N(AO615)&lt;=0,N(AG615)=0,N(L615)=0),"",MIN(L615,AG615/AO615))</f>
        <v>12.9166666666667</v>
      </c>
      <c r="AQ615" s="29" t="n">
        <f aca="false">IF(OR(AP615="",N(O615)=0),"",AP615/O615-1)</f>
        <v>-0.112256586483391</v>
      </c>
      <c r="AR615" s="29" t="n">
        <f aca="false">IF(OR(AQ615="",N(O615)=0),"",AQ615+AG615/O615)</f>
        <v>-0.0456758304696448</v>
      </c>
      <c r="AS615" s="32" t="n">
        <f aca="false">IF(OR(AR615="",N(AJ615)=0),"",AR615-AJ615)</f>
        <v>0.0554839633447882</v>
      </c>
      <c r="AT615" s="28" t="n">
        <v>25</v>
      </c>
      <c r="AU615" s="28" t="n">
        <v>0.96875</v>
      </c>
      <c r="AV615" s="28" t="n">
        <f aca="false">IF(N(AT615)&gt;0,AT615,L615)</f>
        <v>25</v>
      </c>
      <c r="AW615" s="28" t="n">
        <f aca="false">IF(AND(N(M615)&gt;0,N(AV615)&gt;0),M615*AV615,IF(N(AU615)&gt;0,AU615,N615))</f>
        <v>0.96875</v>
      </c>
      <c r="AX615" s="29" t="n">
        <f aca="false">IF(N(AN615)=0,"",AN615+IF(I615="yes",AN615*Inputs!$B$10*Inputs!$B$9,0)+IFERROR(INDEX(Inputs!$B$13:$B$15,MATCH(G615,Inputs!$A$13:$A$15,0)),0)+IFERROR(INDEX(Inputs!$B$18:$B$24,MATCH(H615,Inputs!$A$18:$A$24,0)),0))</f>
        <v>0.075</v>
      </c>
      <c r="AY615" s="28" t="n">
        <f aca="false">IF(OR(N(AX615)&lt;=0,N(AW615)=0,N(AV615)=0),"",MIN(AV615,AW615/AX615))</f>
        <v>12.9166666666667</v>
      </c>
      <c r="AZ615" s="29" t="n">
        <f aca="false">IF(OR(AY615="",N(O615)=0),"",AY615/O615-1)</f>
        <v>-0.112256586483391</v>
      </c>
      <c r="BA615" s="29" t="n">
        <f aca="false">IF(OR(AZ615="",N(O615)=0),"",AZ615+AW615/O615)</f>
        <v>-0.0456758304696448</v>
      </c>
      <c r="BB615" s="32" t="n">
        <f aca="false">IF(OR(BA615="",N(AR615)=0),"",BA615-AR615)</f>
        <v>0</v>
      </c>
      <c r="BC615" s="35" t="n">
        <f aca="false">IF(OR(BA615="",N(U615)=0),"",BA615-U615)</f>
        <v>0.0554839633447883</v>
      </c>
      <c r="BD615" s="37"/>
    </row>
    <row r="616" customFormat="false" ht="15" hidden="false" customHeight="false" outlineLevel="0" collapsed="false">
      <c r="A616" s="2" t="s">
        <v>1067</v>
      </c>
      <c r="B616" s="2" t="n">
        <v>234</v>
      </c>
      <c r="C616" s="2" t="s">
        <v>1252</v>
      </c>
      <c r="D616" s="2" t="s">
        <v>1242</v>
      </c>
      <c r="E616" s="2" t="s">
        <v>1243</v>
      </c>
      <c r="F616" s="27" t="n">
        <v>60200</v>
      </c>
      <c r="G616" s="2" t="s">
        <v>51</v>
      </c>
      <c r="H616" s="2" t="s">
        <v>58</v>
      </c>
      <c r="I616" s="2" t="s">
        <v>144</v>
      </c>
      <c r="J616" s="2" t="s">
        <v>145</v>
      </c>
      <c r="K616" s="2" t="n">
        <v>4</v>
      </c>
      <c r="L616" s="28" t="n">
        <v>25</v>
      </c>
      <c r="M616" s="29" t="n">
        <v>0.039</v>
      </c>
      <c r="N616" s="28" t="n">
        <v>0.975</v>
      </c>
      <c r="O616" s="28" t="n">
        <v>14.47</v>
      </c>
      <c r="P616" s="2" t="s">
        <v>146</v>
      </c>
      <c r="Q616" s="29" t="n">
        <v>0.08</v>
      </c>
      <c r="R616" s="30" t="n">
        <v>0.08</v>
      </c>
      <c r="S616" s="31" t="n">
        <v>12.1875</v>
      </c>
      <c r="T616" s="30" t="n">
        <v>-0.157740152038701</v>
      </c>
      <c r="U616" s="30" t="n">
        <v>-0.0903593642017969</v>
      </c>
      <c r="V616" s="29" t="n">
        <v>0</v>
      </c>
      <c r="W616" s="29" t="n">
        <f aca="false">IF(N(Q616)=0,"",Q616+IF(I616="yes",Q616*Inputs!$B$10*Inputs!$B$9,0)+V616)</f>
        <v>0.08</v>
      </c>
      <c r="X616" s="28" t="n">
        <f aca="false">IF(OR(N(W616)&lt;=0,N(N616)=0,N(L616)=0),"",MIN(L616,N616/W616))</f>
        <v>12.1875</v>
      </c>
      <c r="Y616" s="29" t="n">
        <f aca="false">IF(OR(X616="",N(O616)=0),"",X616/O616-1)</f>
        <v>-0.157740152038701</v>
      </c>
      <c r="Z616" s="29" t="n">
        <f aca="false">IF(OR(Y616="",N(O616)=0),"",Y616+N616/O616)</f>
        <v>-0.0903593642017969</v>
      </c>
      <c r="AA616" s="32" t="n">
        <f aca="false">IF(OR(Z616="",N(U616)=0),"",Z616-U616)</f>
        <v>0</v>
      </c>
      <c r="AB616" s="29" t="n">
        <f aca="false">IF(N(Q616)=0,"",Q616+IF(I616="yes",Q616*Inputs!$B$10*Inputs!$B$9,0)+IFERROR(INDEX(Inputs!$B$13:$B$15,MATCH(G616,Inputs!$A$13:$A$15,0)),0)+IFERROR(INDEX(Inputs!$B$18:$B$24,MATCH(H616,Inputs!$A$18:$A$24,0)),0))</f>
        <v>0.08</v>
      </c>
      <c r="AC616" s="28" t="n">
        <f aca="false">IF(OR(N(AB616)&lt;=0,N(N616)=0,N(L616)=0),"",MIN(L616,N616/AB616))</f>
        <v>12.1875</v>
      </c>
      <c r="AD616" s="29" t="n">
        <f aca="false">IF(OR(AC616="",N(O616)=0),"",AC616/O616-1)</f>
        <v>-0.157740152038701</v>
      </c>
      <c r="AE616" s="29" t="n">
        <f aca="false">IF(OR(AD616="",N(O616)=0),"",AD616+N616/O616)</f>
        <v>-0.0903593642017969</v>
      </c>
      <c r="AF616" s="32" t="n">
        <f aca="false">IF(OR(AE616="",N(Z616)=0),"",AE616-Z616)</f>
        <v>0</v>
      </c>
      <c r="AG616" s="28" t="n">
        <f aca="false">IF(AND(N(M616)&gt;0,N(L616)&gt;0),M616*L616,N616)</f>
        <v>0.975</v>
      </c>
      <c r="AH616" s="28" t="n">
        <f aca="false">IF(OR(N(AB616)&lt;=0,N(AG616)=0,N(L616)=0),"",MIN(L616,AG616/AB616))</f>
        <v>12.1875</v>
      </c>
      <c r="AI616" s="29" t="n">
        <f aca="false">IF(OR(AH616="",N(O616)=0),"",AH616/O616-1)</f>
        <v>-0.157740152038701</v>
      </c>
      <c r="AJ616" s="29" t="n">
        <f aca="false">IF(OR(AI616="",N(O616)=0),"",AI616+AG616/O616)</f>
        <v>-0.0903593642017969</v>
      </c>
      <c r="AK616" s="32" t="n">
        <f aca="false">IF(OR(AJ616="",N(AE616)=0),"",AJ616-AE616)</f>
        <v>0</v>
      </c>
      <c r="AL616" s="33" t="n">
        <f aca="false">IF(N(F616)=0,"",INDEX(Inputs!$B$28:$B$32,IFERROR(MATCH(F616,Inputs!$A$28:$A$32,1),0)+1))</f>
        <v>0.075</v>
      </c>
      <c r="AM616" s="34"/>
      <c r="AN616" s="33" t="n">
        <f aca="false">IF(N(AM616)&gt;0,AM616,AL616)</f>
        <v>0.075</v>
      </c>
      <c r="AO616" s="29" t="n">
        <f aca="false">IF(N(AN616)=0,"",AN616+IF(I616="yes",AN616*Inputs!$B$10*Inputs!$B$9,0)+IFERROR(INDEX(Inputs!$B$13:$B$15,MATCH(G616,Inputs!$A$13:$A$15,0)),0)+IFERROR(INDEX(Inputs!$B$18:$B$24,MATCH(H616,Inputs!$A$18:$A$24,0)),0))</f>
        <v>0.075</v>
      </c>
      <c r="AP616" s="28" t="n">
        <f aca="false">IF(OR(N(AO616)&lt;=0,N(AG616)=0,N(L616)=0),"",MIN(L616,AG616/AO616))</f>
        <v>13</v>
      </c>
      <c r="AQ616" s="29" t="n">
        <f aca="false">IF(OR(AP616="",N(O616)=0),"",AP616/O616-1)</f>
        <v>-0.101589495507947</v>
      </c>
      <c r="AR616" s="29" t="n">
        <f aca="false">IF(OR(AQ616="",N(O616)=0),"",AQ616+AG616/O616)</f>
        <v>-0.0342087076710436</v>
      </c>
      <c r="AS616" s="32" t="n">
        <f aca="false">IF(OR(AR616="",N(AJ616)=0),"",AR616-AJ616)</f>
        <v>0.0561506565307534</v>
      </c>
      <c r="AT616" s="28" t="n">
        <v>25</v>
      </c>
      <c r="AU616" s="28" t="n">
        <v>0.975</v>
      </c>
      <c r="AV616" s="28" t="n">
        <f aca="false">IF(N(AT616)&gt;0,AT616,L616)</f>
        <v>25</v>
      </c>
      <c r="AW616" s="28" t="n">
        <f aca="false">IF(AND(N(M616)&gt;0,N(AV616)&gt;0),M616*AV616,IF(N(AU616)&gt;0,AU616,N616))</f>
        <v>0.975</v>
      </c>
      <c r="AX616" s="29" t="n">
        <f aca="false">IF(N(AN616)=0,"",AN616+IF(I616="yes",AN616*Inputs!$B$10*Inputs!$B$9,0)+IFERROR(INDEX(Inputs!$B$13:$B$15,MATCH(G616,Inputs!$A$13:$A$15,0)),0)+IFERROR(INDEX(Inputs!$B$18:$B$24,MATCH(H616,Inputs!$A$18:$A$24,0)),0))</f>
        <v>0.075</v>
      </c>
      <c r="AY616" s="28" t="n">
        <f aca="false">IF(OR(N(AX616)&lt;=0,N(AW616)=0,N(AV616)=0),"",MIN(AV616,AW616/AX616))</f>
        <v>13</v>
      </c>
      <c r="AZ616" s="29" t="n">
        <f aca="false">IF(OR(AY616="",N(O616)=0),"",AY616/O616-1)</f>
        <v>-0.101589495507947</v>
      </c>
      <c r="BA616" s="29" t="n">
        <f aca="false">IF(OR(AZ616="",N(O616)=0),"",AZ616+AW616/O616)</f>
        <v>-0.0342087076710436</v>
      </c>
      <c r="BB616" s="32" t="n">
        <f aca="false">IF(OR(BA616="",N(AR616)=0),"",BA616-AR616)</f>
        <v>0</v>
      </c>
      <c r="BC616" s="35" t="n">
        <f aca="false">IF(OR(BA616="",N(U616)=0),"",BA616-U616)</f>
        <v>0.0561506565307534</v>
      </c>
      <c r="BD616" s="37"/>
    </row>
    <row r="617" customFormat="false" ht="15" hidden="false" customHeight="false" outlineLevel="0" collapsed="false">
      <c r="A617" s="2" t="s">
        <v>1067</v>
      </c>
      <c r="B617" s="2" t="n">
        <v>235</v>
      </c>
      <c r="C617" s="2" t="s">
        <v>1253</v>
      </c>
      <c r="D617" s="2" t="s">
        <v>1242</v>
      </c>
      <c r="E617" s="2" t="s">
        <v>1243</v>
      </c>
      <c r="F617" s="27" t="n">
        <v>60200</v>
      </c>
      <c r="G617" s="2" t="s">
        <v>51</v>
      </c>
      <c r="H617" s="2" t="s">
        <v>58</v>
      </c>
      <c r="I617" s="2" t="s">
        <v>144</v>
      </c>
      <c r="J617" s="2" t="s">
        <v>145</v>
      </c>
      <c r="K617" s="2" t="n">
        <v>4</v>
      </c>
      <c r="L617" s="28" t="n">
        <v>25</v>
      </c>
      <c r="M617" s="29" t="n">
        <v>0.04</v>
      </c>
      <c r="N617" s="28" t="n">
        <v>1</v>
      </c>
      <c r="O617" s="28" t="n">
        <v>14.9</v>
      </c>
      <c r="P617" s="2" t="s">
        <v>146</v>
      </c>
      <c r="Q617" s="29" t="n">
        <v>0.08</v>
      </c>
      <c r="R617" s="30" t="n">
        <v>0.08</v>
      </c>
      <c r="S617" s="31" t="n">
        <v>12.5</v>
      </c>
      <c r="T617" s="30" t="n">
        <v>-0.161073825503356</v>
      </c>
      <c r="U617" s="30" t="n">
        <v>-0.0939597315436242</v>
      </c>
      <c r="V617" s="29" t="n">
        <v>0</v>
      </c>
      <c r="W617" s="29" t="n">
        <f aca="false">IF(N(Q617)=0,"",Q617+IF(I617="yes",Q617*Inputs!$B$10*Inputs!$B$9,0)+V617)</f>
        <v>0.08</v>
      </c>
      <c r="X617" s="28" t="n">
        <f aca="false">IF(OR(N(W617)&lt;=0,N(N617)=0,N(L617)=0),"",MIN(L617,N617/W617))</f>
        <v>12.5</v>
      </c>
      <c r="Y617" s="29" t="n">
        <f aca="false">IF(OR(X617="",N(O617)=0),"",X617/O617-1)</f>
        <v>-0.161073825503356</v>
      </c>
      <c r="Z617" s="29" t="n">
        <f aca="false">IF(OR(Y617="",N(O617)=0),"",Y617+N617/O617)</f>
        <v>-0.0939597315436242</v>
      </c>
      <c r="AA617" s="32" t="n">
        <f aca="false">IF(OR(Z617="",N(U617)=0),"",Z617-U617)</f>
        <v>0</v>
      </c>
      <c r="AB617" s="29" t="n">
        <f aca="false">IF(N(Q617)=0,"",Q617+IF(I617="yes",Q617*Inputs!$B$10*Inputs!$B$9,0)+IFERROR(INDEX(Inputs!$B$13:$B$15,MATCH(G617,Inputs!$A$13:$A$15,0)),0)+IFERROR(INDEX(Inputs!$B$18:$B$24,MATCH(H617,Inputs!$A$18:$A$24,0)),0))</f>
        <v>0.08</v>
      </c>
      <c r="AC617" s="28" t="n">
        <f aca="false">IF(OR(N(AB617)&lt;=0,N(N617)=0,N(L617)=0),"",MIN(L617,N617/AB617))</f>
        <v>12.5</v>
      </c>
      <c r="AD617" s="29" t="n">
        <f aca="false">IF(OR(AC617="",N(O617)=0),"",AC617/O617-1)</f>
        <v>-0.161073825503356</v>
      </c>
      <c r="AE617" s="29" t="n">
        <f aca="false">IF(OR(AD617="",N(O617)=0),"",AD617+N617/O617)</f>
        <v>-0.0939597315436242</v>
      </c>
      <c r="AF617" s="32" t="n">
        <f aca="false">IF(OR(AE617="",N(Z617)=0),"",AE617-Z617)</f>
        <v>0</v>
      </c>
      <c r="AG617" s="28" t="n">
        <f aca="false">IF(AND(N(M617)&gt;0,N(L617)&gt;0),M617*L617,N617)</f>
        <v>1</v>
      </c>
      <c r="AH617" s="28" t="n">
        <f aca="false">IF(OR(N(AB617)&lt;=0,N(AG617)=0,N(L617)=0),"",MIN(L617,AG617/AB617))</f>
        <v>12.5</v>
      </c>
      <c r="AI617" s="29" t="n">
        <f aca="false">IF(OR(AH617="",N(O617)=0),"",AH617/O617-1)</f>
        <v>-0.161073825503356</v>
      </c>
      <c r="AJ617" s="29" t="n">
        <f aca="false">IF(OR(AI617="",N(O617)=0),"",AI617+AG617/O617)</f>
        <v>-0.0939597315436242</v>
      </c>
      <c r="AK617" s="32" t="n">
        <f aca="false">IF(OR(AJ617="",N(AE617)=0),"",AJ617-AE617)</f>
        <v>0</v>
      </c>
      <c r="AL617" s="33" t="n">
        <f aca="false">IF(N(F617)=0,"",INDEX(Inputs!$B$28:$B$32,IFERROR(MATCH(F617,Inputs!$A$28:$A$32,1),0)+1))</f>
        <v>0.075</v>
      </c>
      <c r="AM617" s="34"/>
      <c r="AN617" s="33" t="n">
        <f aca="false">IF(N(AM617)&gt;0,AM617,AL617)</f>
        <v>0.075</v>
      </c>
      <c r="AO617" s="29" t="n">
        <f aca="false">IF(N(AN617)=0,"",AN617+IF(I617="yes",AN617*Inputs!$B$10*Inputs!$B$9,0)+IFERROR(INDEX(Inputs!$B$13:$B$15,MATCH(G617,Inputs!$A$13:$A$15,0)),0)+IFERROR(INDEX(Inputs!$B$18:$B$24,MATCH(H617,Inputs!$A$18:$A$24,0)),0))</f>
        <v>0.075</v>
      </c>
      <c r="AP617" s="28" t="n">
        <f aca="false">IF(OR(N(AO617)&lt;=0,N(AG617)=0,N(L617)=0),"",MIN(L617,AG617/AO617))</f>
        <v>13.3333333333333</v>
      </c>
      <c r="AQ617" s="29" t="n">
        <f aca="false">IF(OR(AP617="",N(O617)=0),"",AP617/O617-1)</f>
        <v>-0.105145413870246</v>
      </c>
      <c r="AR617" s="29" t="n">
        <f aca="false">IF(OR(AQ617="",N(O617)=0),"",AQ617+AG617/O617)</f>
        <v>-0.0380313199105146</v>
      </c>
      <c r="AS617" s="32" t="n">
        <f aca="false">IF(OR(AR617="",N(AJ617)=0),"",AR617-AJ617)</f>
        <v>0.0559284116331096</v>
      </c>
      <c r="AT617" s="28" t="n">
        <v>25</v>
      </c>
      <c r="AU617" s="28" t="n">
        <v>1</v>
      </c>
      <c r="AV617" s="28" t="n">
        <f aca="false">IF(N(AT617)&gt;0,AT617,L617)</f>
        <v>25</v>
      </c>
      <c r="AW617" s="28" t="n">
        <f aca="false">IF(AND(N(M617)&gt;0,N(AV617)&gt;0),M617*AV617,IF(N(AU617)&gt;0,AU617,N617))</f>
        <v>1</v>
      </c>
      <c r="AX617" s="29" t="n">
        <f aca="false">IF(N(AN617)=0,"",AN617+IF(I617="yes",AN617*Inputs!$B$10*Inputs!$B$9,0)+IFERROR(INDEX(Inputs!$B$13:$B$15,MATCH(G617,Inputs!$A$13:$A$15,0)),0)+IFERROR(INDEX(Inputs!$B$18:$B$24,MATCH(H617,Inputs!$A$18:$A$24,0)),0))</f>
        <v>0.075</v>
      </c>
      <c r="AY617" s="28" t="n">
        <f aca="false">IF(OR(N(AX617)&lt;=0,N(AW617)=0,N(AV617)=0),"",MIN(AV617,AW617/AX617))</f>
        <v>13.3333333333333</v>
      </c>
      <c r="AZ617" s="29" t="n">
        <f aca="false">IF(OR(AY617="",N(O617)=0),"",AY617/O617-1)</f>
        <v>-0.105145413870246</v>
      </c>
      <c r="BA617" s="29" t="n">
        <f aca="false">IF(OR(AZ617="",N(O617)=0),"",AZ617+AW617/O617)</f>
        <v>-0.0380313199105146</v>
      </c>
      <c r="BB617" s="32" t="n">
        <f aca="false">IF(OR(BA617="",N(AR617)=0),"",BA617-AR617)</f>
        <v>0</v>
      </c>
      <c r="BC617" s="35" t="n">
        <f aca="false">IF(OR(BA617="",N(U617)=0),"",BA617-U617)</f>
        <v>0.0559284116331096</v>
      </c>
      <c r="BD617" s="37"/>
    </row>
    <row r="618" customFormat="false" ht="15" hidden="false" customHeight="false" outlineLevel="0" collapsed="false">
      <c r="A618" s="2" t="s">
        <v>1067</v>
      </c>
      <c r="B618" s="2" t="n">
        <v>236</v>
      </c>
      <c r="C618" s="2" t="s">
        <v>1254</v>
      </c>
      <c r="D618" s="2" t="s">
        <v>1242</v>
      </c>
      <c r="E618" s="2" t="s">
        <v>1243</v>
      </c>
      <c r="F618" s="27" t="n">
        <v>60200</v>
      </c>
      <c r="G618" s="2" t="s">
        <v>51</v>
      </c>
      <c r="H618" s="2" t="s">
        <v>58</v>
      </c>
      <c r="I618" s="2" t="s">
        <v>144</v>
      </c>
      <c r="J618" s="2" t="s">
        <v>145</v>
      </c>
      <c r="K618" s="2" t="n">
        <v>4</v>
      </c>
      <c r="L618" s="28" t="n">
        <v>25</v>
      </c>
      <c r="M618" s="29" t="n">
        <v>0.04</v>
      </c>
      <c r="N618" s="28" t="n">
        <v>1</v>
      </c>
      <c r="O618" s="28" t="n">
        <v>14.75</v>
      </c>
      <c r="P618" s="2" t="s">
        <v>146</v>
      </c>
      <c r="Q618" s="29" t="n">
        <v>0.08</v>
      </c>
      <c r="R618" s="30" t="n">
        <v>0.08</v>
      </c>
      <c r="S618" s="31" t="n">
        <v>12.5</v>
      </c>
      <c r="T618" s="30" t="n">
        <v>-0.152542372881356</v>
      </c>
      <c r="U618" s="30" t="n">
        <v>-0.0847457627118644</v>
      </c>
      <c r="V618" s="29" t="n">
        <v>0</v>
      </c>
      <c r="W618" s="29" t="n">
        <f aca="false">IF(N(Q618)=0,"",Q618+IF(I618="yes",Q618*Inputs!$B$10*Inputs!$B$9,0)+V618)</f>
        <v>0.08</v>
      </c>
      <c r="X618" s="28" t="n">
        <f aca="false">IF(OR(N(W618)&lt;=0,N(N618)=0,N(L618)=0),"",MIN(L618,N618/W618))</f>
        <v>12.5</v>
      </c>
      <c r="Y618" s="29" t="n">
        <f aca="false">IF(OR(X618="",N(O618)=0),"",X618/O618-1)</f>
        <v>-0.152542372881356</v>
      </c>
      <c r="Z618" s="29" t="n">
        <f aca="false">IF(OR(Y618="",N(O618)=0),"",Y618+N618/O618)</f>
        <v>-0.0847457627118644</v>
      </c>
      <c r="AA618" s="32" t="n">
        <f aca="false">IF(OR(Z618="",N(U618)=0),"",Z618-U618)</f>
        <v>0</v>
      </c>
      <c r="AB618" s="29" t="n">
        <f aca="false">IF(N(Q618)=0,"",Q618+IF(I618="yes",Q618*Inputs!$B$10*Inputs!$B$9,0)+IFERROR(INDEX(Inputs!$B$13:$B$15,MATCH(G618,Inputs!$A$13:$A$15,0)),0)+IFERROR(INDEX(Inputs!$B$18:$B$24,MATCH(H618,Inputs!$A$18:$A$24,0)),0))</f>
        <v>0.08</v>
      </c>
      <c r="AC618" s="28" t="n">
        <f aca="false">IF(OR(N(AB618)&lt;=0,N(N618)=0,N(L618)=0),"",MIN(L618,N618/AB618))</f>
        <v>12.5</v>
      </c>
      <c r="AD618" s="29" t="n">
        <f aca="false">IF(OR(AC618="",N(O618)=0),"",AC618/O618-1)</f>
        <v>-0.152542372881356</v>
      </c>
      <c r="AE618" s="29" t="n">
        <f aca="false">IF(OR(AD618="",N(O618)=0),"",AD618+N618/O618)</f>
        <v>-0.0847457627118644</v>
      </c>
      <c r="AF618" s="32" t="n">
        <f aca="false">IF(OR(AE618="",N(Z618)=0),"",AE618-Z618)</f>
        <v>0</v>
      </c>
      <c r="AG618" s="28" t="n">
        <f aca="false">IF(AND(N(M618)&gt;0,N(L618)&gt;0),M618*L618,N618)</f>
        <v>1</v>
      </c>
      <c r="AH618" s="28" t="n">
        <f aca="false">IF(OR(N(AB618)&lt;=0,N(AG618)=0,N(L618)=0),"",MIN(L618,AG618/AB618))</f>
        <v>12.5</v>
      </c>
      <c r="AI618" s="29" t="n">
        <f aca="false">IF(OR(AH618="",N(O618)=0),"",AH618/O618-1)</f>
        <v>-0.152542372881356</v>
      </c>
      <c r="AJ618" s="29" t="n">
        <f aca="false">IF(OR(AI618="",N(O618)=0),"",AI618+AG618/O618)</f>
        <v>-0.0847457627118644</v>
      </c>
      <c r="AK618" s="32" t="n">
        <f aca="false">IF(OR(AJ618="",N(AE618)=0),"",AJ618-AE618)</f>
        <v>0</v>
      </c>
      <c r="AL618" s="33" t="n">
        <f aca="false">IF(N(F618)=0,"",INDEX(Inputs!$B$28:$B$32,IFERROR(MATCH(F618,Inputs!$A$28:$A$32,1),0)+1))</f>
        <v>0.075</v>
      </c>
      <c r="AM618" s="34"/>
      <c r="AN618" s="33" t="n">
        <f aca="false">IF(N(AM618)&gt;0,AM618,AL618)</f>
        <v>0.075</v>
      </c>
      <c r="AO618" s="29" t="n">
        <f aca="false">IF(N(AN618)=0,"",AN618+IF(I618="yes",AN618*Inputs!$B$10*Inputs!$B$9,0)+IFERROR(INDEX(Inputs!$B$13:$B$15,MATCH(G618,Inputs!$A$13:$A$15,0)),0)+IFERROR(INDEX(Inputs!$B$18:$B$24,MATCH(H618,Inputs!$A$18:$A$24,0)),0))</f>
        <v>0.075</v>
      </c>
      <c r="AP618" s="28" t="n">
        <f aca="false">IF(OR(N(AO618)&lt;=0,N(AG618)=0,N(L618)=0),"",MIN(L618,AG618/AO618))</f>
        <v>13.3333333333333</v>
      </c>
      <c r="AQ618" s="29" t="n">
        <f aca="false">IF(OR(AP618="",N(O618)=0),"",AP618/O618-1)</f>
        <v>-0.096045197740113</v>
      </c>
      <c r="AR618" s="29" t="n">
        <f aca="false">IF(OR(AQ618="",N(O618)=0),"",AQ618+AG618/O618)</f>
        <v>-0.0282485875706215</v>
      </c>
      <c r="AS618" s="32" t="n">
        <f aca="false">IF(OR(AR618="",N(AJ618)=0),"",AR618-AJ618)</f>
        <v>0.056497175141243</v>
      </c>
      <c r="AT618" s="28" t="n">
        <v>25</v>
      </c>
      <c r="AU618" s="28" t="n">
        <v>0.9875</v>
      </c>
      <c r="AV618" s="28" t="n">
        <f aca="false">IF(N(AT618)&gt;0,AT618,L618)</f>
        <v>25</v>
      </c>
      <c r="AW618" s="28" t="n">
        <f aca="false">IF(AND(N(M618)&gt;0,N(AV618)&gt;0),M618*AV618,IF(N(AU618)&gt;0,AU618,N618))</f>
        <v>1</v>
      </c>
      <c r="AX618" s="29" t="n">
        <f aca="false">IF(N(AN618)=0,"",AN618+IF(I618="yes",AN618*Inputs!$B$10*Inputs!$B$9,0)+IFERROR(INDEX(Inputs!$B$13:$B$15,MATCH(G618,Inputs!$A$13:$A$15,0)),0)+IFERROR(INDEX(Inputs!$B$18:$B$24,MATCH(H618,Inputs!$A$18:$A$24,0)),0))</f>
        <v>0.075</v>
      </c>
      <c r="AY618" s="28" t="n">
        <f aca="false">IF(OR(N(AX618)&lt;=0,N(AW618)=0,N(AV618)=0),"",MIN(AV618,AW618/AX618))</f>
        <v>13.3333333333333</v>
      </c>
      <c r="AZ618" s="29" t="n">
        <f aca="false">IF(OR(AY618="",N(O618)=0),"",AY618/O618-1)</f>
        <v>-0.096045197740113</v>
      </c>
      <c r="BA618" s="29" t="n">
        <f aca="false">IF(OR(AZ618="",N(O618)=0),"",AZ618+AW618/O618)</f>
        <v>-0.0282485875706215</v>
      </c>
      <c r="BB618" s="32" t="n">
        <f aca="false">IF(OR(BA618="",N(AR618)=0),"",BA618-AR618)</f>
        <v>0</v>
      </c>
      <c r="BC618" s="35" t="n">
        <f aca="false">IF(OR(BA618="",N(U618)=0),"",BA618-U618)</f>
        <v>0.056497175141243</v>
      </c>
      <c r="BD618" s="37"/>
    </row>
    <row r="619" customFormat="false" ht="15" hidden="false" customHeight="false" outlineLevel="0" collapsed="false">
      <c r="A619" s="2" t="s">
        <v>1067</v>
      </c>
      <c r="B619" s="2" t="n">
        <v>237</v>
      </c>
      <c r="C619" s="2" t="s">
        <v>1255</v>
      </c>
      <c r="D619" s="2" t="s">
        <v>1242</v>
      </c>
      <c r="E619" s="2" t="s">
        <v>1243</v>
      </c>
      <c r="F619" s="27" t="n">
        <v>60200</v>
      </c>
      <c r="G619" s="2" t="s">
        <v>51</v>
      </c>
      <c r="H619" s="2" t="s">
        <v>58</v>
      </c>
      <c r="I619" s="2" t="s">
        <v>144</v>
      </c>
      <c r="J619" s="2" t="s">
        <v>145</v>
      </c>
      <c r="K619" s="2" t="n">
        <v>4</v>
      </c>
      <c r="L619" s="28" t="n">
        <v>25</v>
      </c>
      <c r="M619" s="29" t="n">
        <v>0.04</v>
      </c>
      <c r="N619" s="28" t="n">
        <v>1</v>
      </c>
      <c r="O619" s="28" t="n">
        <v>14.86</v>
      </c>
      <c r="P619" s="2" t="s">
        <v>223</v>
      </c>
      <c r="Q619" s="29" t="n">
        <v>0.08</v>
      </c>
      <c r="R619" s="30" t="n">
        <v>0.08</v>
      </c>
      <c r="S619" s="31" t="n">
        <v>12.5</v>
      </c>
      <c r="T619" s="30" t="n">
        <v>-0.158815612382234</v>
      </c>
      <c r="U619" s="30" t="n">
        <v>-0.0915208613728129</v>
      </c>
      <c r="V619" s="29" t="n">
        <v>0</v>
      </c>
      <c r="W619" s="29" t="n">
        <f aca="false">IF(N(Q619)=0,"",Q619+IF(I619="yes",Q619*Inputs!$B$10*Inputs!$B$9,0)+V619)</f>
        <v>0.08</v>
      </c>
      <c r="X619" s="28" t="n">
        <f aca="false">IF(OR(N(W619)&lt;=0,N(N619)=0,N(L619)=0),"",MIN(L619,N619/W619))</f>
        <v>12.5</v>
      </c>
      <c r="Y619" s="29" t="n">
        <f aca="false">IF(OR(X619="",N(O619)=0),"",X619/O619-1)</f>
        <v>-0.158815612382234</v>
      </c>
      <c r="Z619" s="29" t="n">
        <f aca="false">IF(OR(Y619="",N(O619)=0),"",Y619+N619/O619)</f>
        <v>-0.0915208613728129</v>
      </c>
      <c r="AA619" s="32" t="n">
        <f aca="false">IF(OR(Z619="",N(U619)=0),"",Z619-U619)</f>
        <v>0</v>
      </c>
      <c r="AB619" s="29" t="n">
        <f aca="false">IF(N(Q619)=0,"",Q619+IF(I619="yes",Q619*Inputs!$B$10*Inputs!$B$9,0)+IFERROR(INDEX(Inputs!$B$13:$B$15,MATCH(G619,Inputs!$A$13:$A$15,0)),0)+IFERROR(INDEX(Inputs!$B$18:$B$24,MATCH(H619,Inputs!$A$18:$A$24,0)),0))</f>
        <v>0.08</v>
      </c>
      <c r="AC619" s="28" t="n">
        <f aca="false">IF(OR(N(AB619)&lt;=0,N(N619)=0,N(L619)=0),"",MIN(L619,N619/AB619))</f>
        <v>12.5</v>
      </c>
      <c r="AD619" s="29" t="n">
        <f aca="false">IF(OR(AC619="",N(O619)=0),"",AC619/O619-1)</f>
        <v>-0.158815612382234</v>
      </c>
      <c r="AE619" s="29" t="n">
        <f aca="false">IF(OR(AD619="",N(O619)=0),"",AD619+N619/O619)</f>
        <v>-0.0915208613728129</v>
      </c>
      <c r="AF619" s="32" t="n">
        <f aca="false">IF(OR(AE619="",N(Z619)=0),"",AE619-Z619)</f>
        <v>0</v>
      </c>
      <c r="AG619" s="28" t="n">
        <f aca="false">IF(AND(N(M619)&gt;0,N(L619)&gt;0),M619*L619,N619)</f>
        <v>1</v>
      </c>
      <c r="AH619" s="28" t="n">
        <f aca="false">IF(OR(N(AB619)&lt;=0,N(AG619)=0,N(L619)=0),"",MIN(L619,AG619/AB619))</f>
        <v>12.5</v>
      </c>
      <c r="AI619" s="29" t="n">
        <f aca="false">IF(OR(AH619="",N(O619)=0),"",AH619/O619-1)</f>
        <v>-0.158815612382234</v>
      </c>
      <c r="AJ619" s="29" t="n">
        <f aca="false">IF(OR(AI619="",N(O619)=0),"",AI619+AG619/O619)</f>
        <v>-0.0915208613728129</v>
      </c>
      <c r="AK619" s="32" t="n">
        <f aca="false">IF(OR(AJ619="",N(AE619)=0),"",AJ619-AE619)</f>
        <v>0</v>
      </c>
      <c r="AL619" s="33" t="n">
        <f aca="false">IF(N(F619)=0,"",INDEX(Inputs!$B$28:$B$32,IFERROR(MATCH(F619,Inputs!$A$28:$A$32,1),0)+1))</f>
        <v>0.075</v>
      </c>
      <c r="AM619" s="34"/>
      <c r="AN619" s="33" t="n">
        <f aca="false">IF(N(AM619)&gt;0,AM619,AL619)</f>
        <v>0.075</v>
      </c>
      <c r="AO619" s="29" t="n">
        <f aca="false">IF(N(AN619)=0,"",AN619+IF(I619="yes",AN619*Inputs!$B$10*Inputs!$B$9,0)+IFERROR(INDEX(Inputs!$B$13:$B$15,MATCH(G619,Inputs!$A$13:$A$15,0)),0)+IFERROR(INDEX(Inputs!$B$18:$B$24,MATCH(H619,Inputs!$A$18:$A$24,0)),0))</f>
        <v>0.075</v>
      </c>
      <c r="AP619" s="28" t="n">
        <f aca="false">IF(OR(N(AO619)&lt;=0,N(AG619)=0,N(L619)=0),"",MIN(L619,AG619/AO619))</f>
        <v>13.3333333333333</v>
      </c>
      <c r="AQ619" s="29" t="n">
        <f aca="false">IF(OR(AP619="",N(O619)=0),"",AP619/O619-1)</f>
        <v>-0.102736653207716</v>
      </c>
      <c r="AR619" s="29" t="n">
        <f aca="false">IF(OR(AQ619="",N(O619)=0),"",AQ619+AG619/O619)</f>
        <v>-0.0354419021982951</v>
      </c>
      <c r="AS619" s="32" t="n">
        <f aca="false">IF(OR(AR619="",N(AJ619)=0),"",AR619-AJ619)</f>
        <v>0.0560789591745178</v>
      </c>
      <c r="AT619" s="28" t="n">
        <v>25</v>
      </c>
      <c r="AU619" s="28" t="n">
        <v>1</v>
      </c>
      <c r="AV619" s="28" t="n">
        <f aca="false">IF(N(AT619)&gt;0,AT619,L619)</f>
        <v>25</v>
      </c>
      <c r="AW619" s="28" t="n">
        <f aca="false">IF(AND(N(M619)&gt;0,N(AV619)&gt;0),M619*AV619,IF(N(AU619)&gt;0,AU619,N619))</f>
        <v>1</v>
      </c>
      <c r="AX619" s="29" t="n">
        <f aca="false">IF(N(AN619)=0,"",AN619+IF(I619="yes",AN619*Inputs!$B$10*Inputs!$B$9,0)+IFERROR(INDEX(Inputs!$B$13:$B$15,MATCH(G619,Inputs!$A$13:$A$15,0)),0)+IFERROR(INDEX(Inputs!$B$18:$B$24,MATCH(H619,Inputs!$A$18:$A$24,0)),0))</f>
        <v>0.075</v>
      </c>
      <c r="AY619" s="28" t="n">
        <f aca="false">IF(OR(N(AX619)&lt;=0,N(AW619)=0,N(AV619)=0),"",MIN(AV619,AW619/AX619))</f>
        <v>13.3333333333333</v>
      </c>
      <c r="AZ619" s="29" t="n">
        <f aca="false">IF(OR(AY619="",N(O619)=0),"",AY619/O619-1)</f>
        <v>-0.102736653207716</v>
      </c>
      <c r="BA619" s="29" t="n">
        <f aca="false">IF(OR(AZ619="",N(O619)=0),"",AZ619+AW619/O619)</f>
        <v>-0.0354419021982951</v>
      </c>
      <c r="BB619" s="32" t="n">
        <f aca="false">IF(OR(BA619="",N(AR619)=0),"",BA619-AR619)</f>
        <v>0</v>
      </c>
      <c r="BC619" s="35" t="n">
        <f aca="false">IF(OR(BA619="",N(U619)=0),"",BA619-U619)</f>
        <v>0.0560789591745178</v>
      </c>
      <c r="BD619" s="36" t="s">
        <v>224</v>
      </c>
    </row>
    <row r="620" customFormat="false" ht="15" hidden="false" customHeight="false" outlineLevel="0" collapsed="false">
      <c r="A620" s="2" t="s">
        <v>1067</v>
      </c>
      <c r="B620" s="2" t="n">
        <v>238</v>
      </c>
      <c r="C620" s="2" t="s">
        <v>1256</v>
      </c>
      <c r="D620" s="2" t="s">
        <v>1242</v>
      </c>
      <c r="E620" s="2" t="s">
        <v>1243</v>
      </c>
      <c r="F620" s="27" t="n">
        <v>60200</v>
      </c>
      <c r="G620" s="2" t="s">
        <v>51</v>
      </c>
      <c r="H620" s="2" t="s">
        <v>58</v>
      </c>
      <c r="I620" s="2" t="s">
        <v>144</v>
      </c>
      <c r="J620" s="2" t="s">
        <v>145</v>
      </c>
      <c r="K620" s="2" t="n">
        <v>4</v>
      </c>
      <c r="L620" s="28" t="n">
        <v>25</v>
      </c>
      <c r="M620" s="29" t="n">
        <v>0</v>
      </c>
      <c r="N620" s="28" t="n">
        <v>0</v>
      </c>
      <c r="O620" s="28" t="n">
        <v>15.29</v>
      </c>
      <c r="P620" s="2" t="s">
        <v>223</v>
      </c>
      <c r="Q620" s="29" t="n">
        <v>0.08</v>
      </c>
      <c r="R620" s="30" t="n">
        <v>0.08</v>
      </c>
      <c r="S620" s="31" t="n">
        <v>0</v>
      </c>
      <c r="T620" s="30" t="n">
        <v>-1</v>
      </c>
      <c r="U620" s="30" t="n">
        <v>-1</v>
      </c>
      <c r="V620" s="29" t="n">
        <v>0</v>
      </c>
      <c r="W620" s="29" t="n">
        <f aca="false">IF(N(Q620)=0,"",Q620+IF(I620="yes",Q620*Inputs!$B$10*Inputs!$B$9,0)+V620)</f>
        <v>0.08</v>
      </c>
      <c r="X620" s="28" t="str">
        <f aca="false">IF(OR(N(W620)&lt;=0,N(N620)=0,N(L620)=0),"",MIN(L620,N620/W620))</f>
        <v/>
      </c>
      <c r="Y620" s="29" t="str">
        <f aca="false">IF(OR(X620="",N(O620)=0),"",X620/O620-1)</f>
        <v/>
      </c>
      <c r="Z620" s="29" t="str">
        <f aca="false">IF(OR(Y620="",N(O620)=0),"",Y620+N620/O620)</f>
        <v/>
      </c>
      <c r="AA620" s="32" t="str">
        <f aca="false">IF(OR(Z620="",N(U620)=0),"",Z620-U620)</f>
        <v/>
      </c>
      <c r="AB620" s="29" t="n">
        <f aca="false">IF(N(Q620)=0,"",Q620+IF(I620="yes",Q620*Inputs!$B$10*Inputs!$B$9,0)+IFERROR(INDEX(Inputs!$B$13:$B$15,MATCH(G620,Inputs!$A$13:$A$15,0)),0)+IFERROR(INDEX(Inputs!$B$18:$B$24,MATCH(H620,Inputs!$A$18:$A$24,0)),0))</f>
        <v>0.08</v>
      </c>
      <c r="AC620" s="28" t="str">
        <f aca="false">IF(OR(N(AB620)&lt;=0,N(N620)=0,N(L620)=0),"",MIN(L620,N620/AB620))</f>
        <v/>
      </c>
      <c r="AD620" s="29" t="str">
        <f aca="false">IF(OR(AC620="",N(O620)=0),"",AC620/O620-1)</f>
        <v/>
      </c>
      <c r="AE620" s="29" t="str">
        <f aca="false">IF(OR(AD620="",N(O620)=0),"",AD620+N620/O620)</f>
        <v/>
      </c>
      <c r="AF620" s="32" t="str">
        <f aca="false">IF(OR(AE620="",N(Z620)=0),"",AE620-Z620)</f>
        <v/>
      </c>
      <c r="AG620" s="28" t="n">
        <f aca="false">IF(AND(N(M620)&gt;0,N(L620)&gt;0),M620*L620,N620)</f>
        <v>0</v>
      </c>
      <c r="AH620" s="28" t="str">
        <f aca="false">IF(OR(N(AB620)&lt;=0,N(AG620)=0,N(L620)=0),"",MIN(L620,AG620/AB620))</f>
        <v/>
      </c>
      <c r="AI620" s="29" t="str">
        <f aca="false">IF(OR(AH620="",N(O620)=0),"",AH620/O620-1)</f>
        <v/>
      </c>
      <c r="AJ620" s="29" t="str">
        <f aca="false">IF(OR(AI620="",N(O620)=0),"",AI620+AG620/O620)</f>
        <v/>
      </c>
      <c r="AK620" s="32" t="str">
        <f aca="false">IF(OR(AJ620="",N(AE620)=0),"",AJ620-AE620)</f>
        <v/>
      </c>
      <c r="AL620" s="33" t="n">
        <f aca="false">IF(N(F620)=0,"",INDEX(Inputs!$B$28:$B$32,IFERROR(MATCH(F620,Inputs!$A$28:$A$32,1),0)+1))</f>
        <v>0.075</v>
      </c>
      <c r="AM620" s="34"/>
      <c r="AN620" s="33" t="n">
        <f aca="false">IF(N(AM620)&gt;0,AM620,AL620)</f>
        <v>0.075</v>
      </c>
      <c r="AO620" s="29" t="n">
        <f aca="false">IF(N(AN620)=0,"",AN620+IF(I620="yes",AN620*Inputs!$B$10*Inputs!$B$9,0)+IFERROR(INDEX(Inputs!$B$13:$B$15,MATCH(G620,Inputs!$A$13:$A$15,0)),0)+IFERROR(INDEX(Inputs!$B$18:$B$24,MATCH(H620,Inputs!$A$18:$A$24,0)),0))</f>
        <v>0.075</v>
      </c>
      <c r="AP620" s="28" t="str">
        <f aca="false">IF(OR(N(AO620)&lt;=0,N(AG620)=0,N(L620)=0),"",MIN(L620,AG620/AO620))</f>
        <v/>
      </c>
      <c r="AQ620" s="29" t="str">
        <f aca="false">IF(OR(AP620="",N(O620)=0),"",AP620/O620-1)</f>
        <v/>
      </c>
      <c r="AR620" s="29" t="str">
        <f aca="false">IF(OR(AQ620="",N(O620)=0),"",AQ620+AG620/O620)</f>
        <v/>
      </c>
      <c r="AS620" s="32" t="str">
        <f aca="false">IF(OR(AR620="",N(AJ620)=0),"",AR620-AJ620)</f>
        <v/>
      </c>
      <c r="AT620" s="28" t="n">
        <v>25</v>
      </c>
      <c r="AU620" s="28" t="n">
        <v>1.025</v>
      </c>
      <c r="AV620" s="28" t="n">
        <f aca="false">IF(N(AT620)&gt;0,AT620,L620)</f>
        <v>25</v>
      </c>
      <c r="AW620" s="28" t="n">
        <f aca="false">IF(AND(N(M620)&gt;0,N(AV620)&gt;0),M620*AV620,IF(N(AU620)&gt;0,AU620,N620))</f>
        <v>1.025</v>
      </c>
      <c r="AX620" s="29" t="n">
        <f aca="false">IF(N(AN620)=0,"",AN620+IF(I620="yes",AN620*Inputs!$B$10*Inputs!$B$9,0)+IFERROR(INDEX(Inputs!$B$13:$B$15,MATCH(G620,Inputs!$A$13:$A$15,0)),0)+IFERROR(INDEX(Inputs!$B$18:$B$24,MATCH(H620,Inputs!$A$18:$A$24,0)),0))</f>
        <v>0.075</v>
      </c>
      <c r="AY620" s="28" t="n">
        <f aca="false">IF(OR(N(AX620)&lt;=0,N(AW620)=0,N(AV620)=0),"",MIN(AV620,AW620/AX620))</f>
        <v>13.6666666666667</v>
      </c>
      <c r="AZ620" s="29" t="n">
        <f aca="false">IF(OR(AY620="",N(O620)=0),"",AY620/O620-1)</f>
        <v>-0.106169609766732</v>
      </c>
      <c r="BA620" s="29" t="n">
        <f aca="false">IF(OR(AZ620="",N(O620)=0),"",AZ620+AW620/O620)</f>
        <v>-0.039132330499237</v>
      </c>
      <c r="BB620" s="32" t="str">
        <f aca="false">IF(OR(BA620="",N(AR620)=0),"",BA620-AR620)</f>
        <v/>
      </c>
      <c r="BC620" s="35" t="n">
        <f aca="false">IF(OR(BA620="",N(U620)=0),"",BA620-U620)</f>
        <v>0.960867669500763</v>
      </c>
      <c r="BD620" s="36" t="s">
        <v>224</v>
      </c>
    </row>
    <row r="621" customFormat="false" ht="15" hidden="false" customHeight="false" outlineLevel="0" collapsed="false">
      <c r="A621" s="2" t="s">
        <v>1067</v>
      </c>
      <c r="B621" s="2" t="n">
        <v>241</v>
      </c>
      <c r="C621" s="2" t="s">
        <v>1257</v>
      </c>
      <c r="D621" s="2" t="s">
        <v>1258</v>
      </c>
      <c r="E621" s="2" t="s">
        <v>143</v>
      </c>
      <c r="F621" s="27"/>
      <c r="G621" s="2" t="s">
        <v>51</v>
      </c>
      <c r="H621" s="2" t="s">
        <v>58</v>
      </c>
      <c r="I621" s="2" t="s">
        <v>144</v>
      </c>
      <c r="J621" s="2" t="s">
        <v>145</v>
      </c>
      <c r="K621" s="2" t="n">
        <v>4</v>
      </c>
      <c r="L621" s="28" t="n">
        <v>25</v>
      </c>
      <c r="M621" s="29" t="n">
        <v>0.0524</v>
      </c>
      <c r="N621" s="28" t="n">
        <v>1.31</v>
      </c>
      <c r="O621" s="28" t="n">
        <v>10.5</v>
      </c>
      <c r="P621" s="2" t="s">
        <v>223</v>
      </c>
      <c r="Q621" s="29" t="n">
        <v>0</v>
      </c>
      <c r="R621" s="30" t="n">
        <v>0</v>
      </c>
      <c r="S621" s="31"/>
      <c r="T621" s="30"/>
      <c r="U621" s="30"/>
      <c r="V621" s="29" t="n">
        <v>0</v>
      </c>
      <c r="W621" s="29" t="str">
        <f aca="false">IF(N(Q621)=0,"",Q621+IF(I621="yes",Q621*Inputs!$B$10*Inputs!$B$9,0)+V621)</f>
        <v/>
      </c>
      <c r="X621" s="28" t="str">
        <f aca="false">IF(OR(N(W621)&lt;=0,N(N621)=0,N(L621)=0),"",MIN(L621,N621/W621))</f>
        <v/>
      </c>
      <c r="Y621" s="29" t="str">
        <f aca="false">IF(OR(X621="",N(O621)=0),"",X621/O621-1)</f>
        <v/>
      </c>
      <c r="Z621" s="29" t="str">
        <f aca="false">IF(OR(Y621="",N(O621)=0),"",Y621+N621/O621)</f>
        <v/>
      </c>
      <c r="AA621" s="32" t="str">
        <f aca="false">IF(OR(Z621="",N(U621)=0),"",Z621-U621)</f>
        <v/>
      </c>
      <c r="AB621" s="29" t="str">
        <f aca="false">IF(N(Q621)=0,"",Q621+IF(I621="yes",Q621*Inputs!$B$10*Inputs!$B$9,0)+IFERROR(INDEX(Inputs!$B$13:$B$15,MATCH(G621,Inputs!$A$13:$A$15,0)),0)+IFERROR(INDEX(Inputs!$B$18:$B$24,MATCH(H621,Inputs!$A$18:$A$24,0)),0))</f>
        <v/>
      </c>
      <c r="AC621" s="28" t="str">
        <f aca="false">IF(OR(N(AB621)&lt;=0,N(N621)=0,N(L621)=0),"",MIN(L621,N621/AB621))</f>
        <v/>
      </c>
      <c r="AD621" s="29" t="str">
        <f aca="false">IF(OR(AC621="",N(O621)=0),"",AC621/O621-1)</f>
        <v/>
      </c>
      <c r="AE621" s="29" t="str">
        <f aca="false">IF(OR(AD621="",N(O621)=0),"",AD621+N621/O621)</f>
        <v/>
      </c>
      <c r="AF621" s="32" t="str">
        <f aca="false">IF(OR(AE621="",N(Z621)=0),"",AE621-Z621)</f>
        <v/>
      </c>
      <c r="AG621" s="28" t="n">
        <f aca="false">IF(AND(N(M621)&gt;0,N(L621)&gt;0),M621*L621,N621)</f>
        <v>1.31</v>
      </c>
      <c r="AH621" s="28" t="str">
        <f aca="false">IF(OR(N(AB621)&lt;=0,N(AG621)=0,N(L621)=0),"",MIN(L621,AG621/AB621))</f>
        <v/>
      </c>
      <c r="AI621" s="29" t="str">
        <f aca="false">IF(OR(AH621="",N(O621)=0),"",AH621/O621-1)</f>
        <v/>
      </c>
      <c r="AJ621" s="29" t="str">
        <f aca="false">IF(OR(AI621="",N(O621)=0),"",AI621+AG621/O621)</f>
        <v/>
      </c>
      <c r="AK621" s="32" t="str">
        <f aca="false">IF(OR(AJ621="",N(AE621)=0),"",AJ621-AE621)</f>
        <v/>
      </c>
      <c r="AL621" s="33" t="str">
        <f aca="false">IF(N(F621)=0,"",INDEX(Inputs!$B$28:$B$32,IFERROR(MATCH(F621,Inputs!$A$28:$A$32,1),0)+1))</f>
        <v/>
      </c>
      <c r="AM621" s="34"/>
      <c r="AN621" s="33" t="str">
        <f aca="false">IF(N(AM621)&gt;0,AM621,AL621)</f>
        <v/>
      </c>
      <c r="AO621" s="29" t="str">
        <f aca="false">IF(N(AN621)=0,"",AN621+IF(I621="yes",AN621*Inputs!$B$10*Inputs!$B$9,0)+IFERROR(INDEX(Inputs!$B$13:$B$15,MATCH(G621,Inputs!$A$13:$A$15,0)),0)+IFERROR(INDEX(Inputs!$B$18:$B$24,MATCH(H621,Inputs!$A$18:$A$24,0)),0))</f>
        <v/>
      </c>
      <c r="AP621" s="28" t="str">
        <f aca="false">IF(OR(N(AO621)&lt;=0,N(AG621)=0,N(L621)=0),"",MIN(L621,AG621/AO621))</f>
        <v/>
      </c>
      <c r="AQ621" s="29" t="str">
        <f aca="false">IF(OR(AP621="",N(O621)=0),"",AP621/O621-1)</f>
        <v/>
      </c>
      <c r="AR621" s="29" t="str">
        <f aca="false">IF(OR(AQ621="",N(O621)=0),"",AQ621+AG621/O621)</f>
        <v/>
      </c>
      <c r="AS621" s="32" t="str">
        <f aca="false">IF(OR(AR621="",N(AJ621)=0),"",AR621-AJ621)</f>
        <v/>
      </c>
      <c r="AT621" s="28" t="n">
        <v>25</v>
      </c>
      <c r="AU621" s="28" t="n">
        <v>1.31</v>
      </c>
      <c r="AV621" s="28" t="n">
        <f aca="false">IF(N(AT621)&gt;0,AT621,L621)</f>
        <v>25</v>
      </c>
      <c r="AW621" s="28" t="n">
        <f aca="false">IF(AND(N(M621)&gt;0,N(AV621)&gt;0),M621*AV621,IF(N(AU621)&gt;0,AU621,N621))</f>
        <v>1.31</v>
      </c>
      <c r="AX621" s="29" t="str">
        <f aca="false">IF(N(AN621)=0,"",AN621+IF(I621="yes",AN621*Inputs!$B$10*Inputs!$B$9,0)+IFERROR(INDEX(Inputs!$B$13:$B$15,MATCH(G621,Inputs!$A$13:$A$15,0)),0)+IFERROR(INDEX(Inputs!$B$18:$B$24,MATCH(H621,Inputs!$A$18:$A$24,0)),0))</f>
        <v/>
      </c>
      <c r="AY621" s="28" t="str">
        <f aca="false">IF(OR(N(AX621)&lt;=0,N(AW621)=0,N(AV621)=0),"",MIN(AV621,AW621/AX621))</f>
        <v/>
      </c>
      <c r="AZ621" s="29" t="str">
        <f aca="false">IF(OR(AY621="",N(O621)=0),"",AY621/O621-1)</f>
        <v/>
      </c>
      <c r="BA621" s="29" t="str">
        <f aca="false">IF(OR(AZ621="",N(O621)=0),"",AZ621+AW621/O621)</f>
        <v/>
      </c>
      <c r="BB621" s="32" t="str">
        <f aca="false">IF(OR(BA621="",N(AR621)=0),"",BA621-AR621)</f>
        <v/>
      </c>
      <c r="BC621" s="35" t="str">
        <f aca="false">IF(OR(BA621="",N(U621)=0),"",BA621-U621)</f>
        <v/>
      </c>
      <c r="BD621" s="36" t="s">
        <v>311</v>
      </c>
    </row>
    <row r="622" customFormat="false" ht="15" hidden="false" customHeight="false" outlineLevel="0" collapsed="false">
      <c r="A622" s="2" t="s">
        <v>1067</v>
      </c>
      <c r="B622" s="2" t="n">
        <v>242</v>
      </c>
      <c r="C622" s="2" t="s">
        <v>1259</v>
      </c>
      <c r="D622" s="2" t="s">
        <v>1258</v>
      </c>
      <c r="E622" s="2" t="s">
        <v>143</v>
      </c>
      <c r="F622" s="27"/>
      <c r="G622" s="2" t="s">
        <v>51</v>
      </c>
      <c r="H622" s="2" t="s">
        <v>58</v>
      </c>
      <c r="I622" s="2" t="s">
        <v>144</v>
      </c>
      <c r="J622" s="2" t="s">
        <v>145</v>
      </c>
      <c r="K622" s="2" t="n">
        <v>4</v>
      </c>
      <c r="L622" s="28" t="n">
        <v>25</v>
      </c>
      <c r="M622" s="29" t="n">
        <v>0.052</v>
      </c>
      <c r="N622" s="28" t="n">
        <v>1.3</v>
      </c>
      <c r="O622" s="28" t="n">
        <v>10.55</v>
      </c>
      <c r="P622" s="2" t="s">
        <v>223</v>
      </c>
      <c r="Q622" s="29" t="n">
        <v>0</v>
      </c>
      <c r="R622" s="30" t="n">
        <v>0</v>
      </c>
      <c r="S622" s="31"/>
      <c r="T622" s="30"/>
      <c r="U622" s="30"/>
      <c r="V622" s="29" t="n">
        <v>0</v>
      </c>
      <c r="W622" s="29" t="str">
        <f aca="false">IF(N(Q622)=0,"",Q622+IF(I622="yes",Q622*Inputs!$B$10*Inputs!$B$9,0)+V622)</f>
        <v/>
      </c>
      <c r="X622" s="28" t="str">
        <f aca="false">IF(OR(N(W622)&lt;=0,N(N622)=0,N(L622)=0),"",MIN(L622,N622/W622))</f>
        <v/>
      </c>
      <c r="Y622" s="29" t="str">
        <f aca="false">IF(OR(X622="",N(O622)=0),"",X622/O622-1)</f>
        <v/>
      </c>
      <c r="Z622" s="29" t="str">
        <f aca="false">IF(OR(Y622="",N(O622)=0),"",Y622+N622/O622)</f>
        <v/>
      </c>
      <c r="AA622" s="32" t="str">
        <f aca="false">IF(OR(Z622="",N(U622)=0),"",Z622-U622)</f>
        <v/>
      </c>
      <c r="AB622" s="29" t="str">
        <f aca="false">IF(N(Q622)=0,"",Q622+IF(I622="yes",Q622*Inputs!$B$10*Inputs!$B$9,0)+IFERROR(INDEX(Inputs!$B$13:$B$15,MATCH(G622,Inputs!$A$13:$A$15,0)),0)+IFERROR(INDEX(Inputs!$B$18:$B$24,MATCH(H622,Inputs!$A$18:$A$24,0)),0))</f>
        <v/>
      </c>
      <c r="AC622" s="28" t="str">
        <f aca="false">IF(OR(N(AB622)&lt;=0,N(N622)=0,N(L622)=0),"",MIN(L622,N622/AB622))</f>
        <v/>
      </c>
      <c r="AD622" s="29" t="str">
        <f aca="false">IF(OR(AC622="",N(O622)=0),"",AC622/O622-1)</f>
        <v/>
      </c>
      <c r="AE622" s="29" t="str">
        <f aca="false">IF(OR(AD622="",N(O622)=0),"",AD622+N622/O622)</f>
        <v/>
      </c>
      <c r="AF622" s="32" t="str">
        <f aca="false">IF(OR(AE622="",N(Z622)=0),"",AE622-Z622)</f>
        <v/>
      </c>
      <c r="AG622" s="28" t="n">
        <f aca="false">IF(AND(N(M622)&gt;0,N(L622)&gt;0),M622*L622,N622)</f>
        <v>1.3</v>
      </c>
      <c r="AH622" s="28" t="str">
        <f aca="false">IF(OR(N(AB622)&lt;=0,N(AG622)=0,N(L622)=0),"",MIN(L622,AG622/AB622))</f>
        <v/>
      </c>
      <c r="AI622" s="29" t="str">
        <f aca="false">IF(OR(AH622="",N(O622)=0),"",AH622/O622-1)</f>
        <v/>
      </c>
      <c r="AJ622" s="29" t="str">
        <f aca="false">IF(OR(AI622="",N(O622)=0),"",AI622+AG622/O622)</f>
        <v/>
      </c>
      <c r="AK622" s="32" t="str">
        <f aca="false">IF(OR(AJ622="",N(AE622)=0),"",AJ622-AE622)</f>
        <v/>
      </c>
      <c r="AL622" s="33" t="str">
        <f aca="false">IF(N(F622)=0,"",INDEX(Inputs!$B$28:$B$32,IFERROR(MATCH(F622,Inputs!$A$28:$A$32,1),0)+1))</f>
        <v/>
      </c>
      <c r="AM622" s="34"/>
      <c r="AN622" s="33" t="str">
        <f aca="false">IF(N(AM622)&gt;0,AM622,AL622)</f>
        <v/>
      </c>
      <c r="AO622" s="29" t="str">
        <f aca="false">IF(N(AN622)=0,"",AN622+IF(I622="yes",AN622*Inputs!$B$10*Inputs!$B$9,0)+IFERROR(INDEX(Inputs!$B$13:$B$15,MATCH(G622,Inputs!$A$13:$A$15,0)),0)+IFERROR(INDEX(Inputs!$B$18:$B$24,MATCH(H622,Inputs!$A$18:$A$24,0)),0))</f>
        <v/>
      </c>
      <c r="AP622" s="28" t="str">
        <f aca="false">IF(OR(N(AO622)&lt;=0,N(AG622)=0,N(L622)=0),"",MIN(L622,AG622/AO622))</f>
        <v/>
      </c>
      <c r="AQ622" s="29" t="str">
        <f aca="false">IF(OR(AP622="",N(O622)=0),"",AP622/O622-1)</f>
        <v/>
      </c>
      <c r="AR622" s="29" t="str">
        <f aca="false">IF(OR(AQ622="",N(O622)=0),"",AQ622+AG622/O622)</f>
        <v/>
      </c>
      <c r="AS622" s="32" t="str">
        <f aca="false">IF(OR(AR622="",N(AJ622)=0),"",AR622-AJ622)</f>
        <v/>
      </c>
      <c r="AT622" s="28" t="n">
        <v>25</v>
      </c>
      <c r="AU622" s="28" t="n">
        <v>1.3</v>
      </c>
      <c r="AV622" s="28" t="n">
        <f aca="false">IF(N(AT622)&gt;0,AT622,L622)</f>
        <v>25</v>
      </c>
      <c r="AW622" s="28" t="n">
        <f aca="false">IF(AND(N(M622)&gt;0,N(AV622)&gt;0),M622*AV622,IF(N(AU622)&gt;0,AU622,N622))</f>
        <v>1.3</v>
      </c>
      <c r="AX622" s="29" t="str">
        <f aca="false">IF(N(AN622)=0,"",AN622+IF(I622="yes",AN622*Inputs!$B$10*Inputs!$B$9,0)+IFERROR(INDEX(Inputs!$B$13:$B$15,MATCH(G622,Inputs!$A$13:$A$15,0)),0)+IFERROR(INDEX(Inputs!$B$18:$B$24,MATCH(H622,Inputs!$A$18:$A$24,0)),0))</f>
        <v/>
      </c>
      <c r="AY622" s="28" t="str">
        <f aca="false">IF(OR(N(AX622)&lt;=0,N(AW622)=0,N(AV622)=0),"",MIN(AV622,AW622/AX622))</f>
        <v/>
      </c>
      <c r="AZ622" s="29" t="str">
        <f aca="false">IF(OR(AY622="",N(O622)=0),"",AY622/O622-1)</f>
        <v/>
      </c>
      <c r="BA622" s="29" t="str">
        <f aca="false">IF(OR(AZ622="",N(O622)=0),"",AZ622+AW622/O622)</f>
        <v/>
      </c>
      <c r="BB622" s="32" t="str">
        <f aca="false">IF(OR(BA622="",N(AR622)=0),"",BA622-AR622)</f>
        <v/>
      </c>
      <c r="BC622" s="35" t="str">
        <f aca="false">IF(OR(BA622="",N(U622)=0),"",BA622-U622)</f>
        <v/>
      </c>
      <c r="BD622" s="36" t="s">
        <v>311</v>
      </c>
    </row>
    <row r="623" customFormat="false" ht="15" hidden="false" customHeight="false" outlineLevel="0" collapsed="false">
      <c r="A623" s="2" t="s">
        <v>1067</v>
      </c>
      <c r="B623" s="2" t="n">
        <v>243</v>
      </c>
      <c r="C623" s="2" t="s">
        <v>1260</v>
      </c>
      <c r="D623" s="2" t="s">
        <v>1258</v>
      </c>
      <c r="E623" s="2" t="s">
        <v>143</v>
      </c>
      <c r="F623" s="27"/>
      <c r="G623" s="2" t="s">
        <v>51</v>
      </c>
      <c r="H623" s="2" t="s">
        <v>58</v>
      </c>
      <c r="I623" s="2" t="s">
        <v>144</v>
      </c>
      <c r="J623" s="2" t="s">
        <v>145</v>
      </c>
      <c r="K623" s="2" t="n">
        <v>4</v>
      </c>
      <c r="L623" s="28" t="n">
        <v>25</v>
      </c>
      <c r="M623" s="29" t="n">
        <v>0.0488</v>
      </c>
      <c r="N623" s="28" t="n">
        <v>1.22</v>
      </c>
      <c r="O623" s="28" t="n">
        <v>10.05</v>
      </c>
      <c r="P623" s="2" t="s">
        <v>223</v>
      </c>
      <c r="Q623" s="29" t="n">
        <v>0</v>
      </c>
      <c r="R623" s="30" t="n">
        <v>0</v>
      </c>
      <c r="S623" s="31"/>
      <c r="T623" s="30"/>
      <c r="U623" s="30"/>
      <c r="V623" s="29" t="n">
        <v>0</v>
      </c>
      <c r="W623" s="29" t="str">
        <f aca="false">IF(N(Q623)=0,"",Q623+IF(I623="yes",Q623*Inputs!$B$10*Inputs!$B$9,0)+V623)</f>
        <v/>
      </c>
      <c r="X623" s="28" t="str">
        <f aca="false">IF(OR(N(W623)&lt;=0,N(N623)=0,N(L623)=0),"",MIN(L623,N623/W623))</f>
        <v/>
      </c>
      <c r="Y623" s="29" t="str">
        <f aca="false">IF(OR(X623="",N(O623)=0),"",X623/O623-1)</f>
        <v/>
      </c>
      <c r="Z623" s="29" t="str">
        <f aca="false">IF(OR(Y623="",N(O623)=0),"",Y623+N623/O623)</f>
        <v/>
      </c>
      <c r="AA623" s="32" t="str">
        <f aca="false">IF(OR(Z623="",N(U623)=0),"",Z623-U623)</f>
        <v/>
      </c>
      <c r="AB623" s="29" t="str">
        <f aca="false">IF(N(Q623)=0,"",Q623+IF(I623="yes",Q623*Inputs!$B$10*Inputs!$B$9,0)+IFERROR(INDEX(Inputs!$B$13:$B$15,MATCH(G623,Inputs!$A$13:$A$15,0)),0)+IFERROR(INDEX(Inputs!$B$18:$B$24,MATCH(H623,Inputs!$A$18:$A$24,0)),0))</f>
        <v/>
      </c>
      <c r="AC623" s="28" t="str">
        <f aca="false">IF(OR(N(AB623)&lt;=0,N(N623)=0,N(L623)=0),"",MIN(L623,N623/AB623))</f>
        <v/>
      </c>
      <c r="AD623" s="29" t="str">
        <f aca="false">IF(OR(AC623="",N(O623)=0),"",AC623/O623-1)</f>
        <v/>
      </c>
      <c r="AE623" s="29" t="str">
        <f aca="false">IF(OR(AD623="",N(O623)=0),"",AD623+N623/O623)</f>
        <v/>
      </c>
      <c r="AF623" s="32" t="str">
        <f aca="false">IF(OR(AE623="",N(Z623)=0),"",AE623-Z623)</f>
        <v/>
      </c>
      <c r="AG623" s="28" t="n">
        <f aca="false">IF(AND(N(M623)&gt;0,N(L623)&gt;0),M623*L623,N623)</f>
        <v>1.22</v>
      </c>
      <c r="AH623" s="28" t="str">
        <f aca="false">IF(OR(N(AB623)&lt;=0,N(AG623)=0,N(L623)=0),"",MIN(L623,AG623/AB623))</f>
        <v/>
      </c>
      <c r="AI623" s="29" t="str">
        <f aca="false">IF(OR(AH623="",N(O623)=0),"",AH623/O623-1)</f>
        <v/>
      </c>
      <c r="AJ623" s="29" t="str">
        <f aca="false">IF(OR(AI623="",N(O623)=0),"",AI623+AG623/O623)</f>
        <v/>
      </c>
      <c r="AK623" s="32" t="str">
        <f aca="false">IF(OR(AJ623="",N(AE623)=0),"",AJ623-AE623)</f>
        <v/>
      </c>
      <c r="AL623" s="33" t="str">
        <f aca="false">IF(N(F623)=0,"",INDEX(Inputs!$B$28:$B$32,IFERROR(MATCH(F623,Inputs!$A$28:$A$32,1),0)+1))</f>
        <v/>
      </c>
      <c r="AM623" s="34"/>
      <c r="AN623" s="33" t="str">
        <f aca="false">IF(N(AM623)&gt;0,AM623,AL623)</f>
        <v/>
      </c>
      <c r="AO623" s="29" t="str">
        <f aca="false">IF(N(AN623)=0,"",AN623+IF(I623="yes",AN623*Inputs!$B$10*Inputs!$B$9,0)+IFERROR(INDEX(Inputs!$B$13:$B$15,MATCH(G623,Inputs!$A$13:$A$15,0)),0)+IFERROR(INDEX(Inputs!$B$18:$B$24,MATCH(H623,Inputs!$A$18:$A$24,0)),0))</f>
        <v/>
      </c>
      <c r="AP623" s="28" t="str">
        <f aca="false">IF(OR(N(AO623)&lt;=0,N(AG623)=0,N(L623)=0),"",MIN(L623,AG623/AO623))</f>
        <v/>
      </c>
      <c r="AQ623" s="29" t="str">
        <f aca="false">IF(OR(AP623="",N(O623)=0),"",AP623/O623-1)</f>
        <v/>
      </c>
      <c r="AR623" s="29" t="str">
        <f aca="false">IF(OR(AQ623="",N(O623)=0),"",AQ623+AG623/O623)</f>
        <v/>
      </c>
      <c r="AS623" s="32" t="str">
        <f aca="false">IF(OR(AR623="",N(AJ623)=0),"",AR623-AJ623)</f>
        <v/>
      </c>
      <c r="AT623" s="28" t="n">
        <v>25</v>
      </c>
      <c r="AU623" s="28" t="n">
        <v>1.22</v>
      </c>
      <c r="AV623" s="28" t="n">
        <f aca="false">IF(N(AT623)&gt;0,AT623,L623)</f>
        <v>25</v>
      </c>
      <c r="AW623" s="28" t="n">
        <f aca="false">IF(AND(N(M623)&gt;0,N(AV623)&gt;0),M623*AV623,IF(N(AU623)&gt;0,AU623,N623))</f>
        <v>1.22</v>
      </c>
      <c r="AX623" s="29" t="str">
        <f aca="false">IF(N(AN623)=0,"",AN623+IF(I623="yes",AN623*Inputs!$B$10*Inputs!$B$9,0)+IFERROR(INDEX(Inputs!$B$13:$B$15,MATCH(G623,Inputs!$A$13:$A$15,0)),0)+IFERROR(INDEX(Inputs!$B$18:$B$24,MATCH(H623,Inputs!$A$18:$A$24,0)),0))</f>
        <v/>
      </c>
      <c r="AY623" s="28" t="str">
        <f aca="false">IF(OR(N(AX623)&lt;=0,N(AW623)=0,N(AV623)=0),"",MIN(AV623,AW623/AX623))</f>
        <v/>
      </c>
      <c r="AZ623" s="29" t="str">
        <f aca="false">IF(OR(AY623="",N(O623)=0),"",AY623/O623-1)</f>
        <v/>
      </c>
      <c r="BA623" s="29" t="str">
        <f aca="false">IF(OR(AZ623="",N(O623)=0),"",AZ623+AW623/O623)</f>
        <v/>
      </c>
      <c r="BB623" s="32" t="str">
        <f aca="false">IF(OR(BA623="",N(AR623)=0),"",BA623-AR623)</f>
        <v/>
      </c>
      <c r="BC623" s="35" t="str">
        <f aca="false">IF(OR(BA623="",N(U623)=0),"",BA623-U623)</f>
        <v/>
      </c>
      <c r="BD623" s="36" t="s">
        <v>311</v>
      </c>
    </row>
    <row r="624" customFormat="false" ht="15" hidden="false" customHeight="false" outlineLevel="0" collapsed="false">
      <c r="A624" s="2" t="s">
        <v>1067</v>
      </c>
      <c r="B624" s="2" t="n">
        <v>246</v>
      </c>
      <c r="C624" s="2" t="s">
        <v>1261</v>
      </c>
      <c r="D624" s="2" t="s">
        <v>1262</v>
      </c>
      <c r="E624" s="2" t="s">
        <v>1263</v>
      </c>
      <c r="F624" s="27" t="n">
        <v>1100</v>
      </c>
      <c r="G624" s="2" t="s">
        <v>51</v>
      </c>
      <c r="H624" s="2" t="s">
        <v>58</v>
      </c>
      <c r="I624" s="2" t="s">
        <v>151</v>
      </c>
      <c r="J624" s="2" t="s">
        <v>145</v>
      </c>
      <c r="K624" s="2" t="n">
        <v>4</v>
      </c>
      <c r="L624" s="28" t="n">
        <v>25</v>
      </c>
      <c r="M624" s="29" t="n">
        <v>0.0535</v>
      </c>
      <c r="N624" s="28" t="n">
        <v>1.3375</v>
      </c>
      <c r="O624" s="28" t="n">
        <v>16.8</v>
      </c>
      <c r="P624" s="2" t="s">
        <v>146</v>
      </c>
      <c r="Q624" s="29" t="n">
        <v>0.1</v>
      </c>
      <c r="R624" s="30" t="n">
        <v>0.095</v>
      </c>
      <c r="S624" s="31" t="n">
        <v>14.0789473684211</v>
      </c>
      <c r="T624" s="30" t="n">
        <v>-0.161967418546366</v>
      </c>
      <c r="U624" s="30" t="n">
        <v>-0.0823543233082708</v>
      </c>
      <c r="V624" s="29" t="n">
        <v>0</v>
      </c>
      <c r="W624" s="29" t="n">
        <f aca="false">IF(N(Q624)=0,"",Q624+IF(I624="yes",Q624*Inputs!$B$10*Inputs!$B$9,0)+V624)</f>
        <v>0.095</v>
      </c>
      <c r="X624" s="28" t="n">
        <f aca="false">IF(OR(N(W624)&lt;=0,N(N624)=0,N(L624)=0),"",MIN(L624,N624/W624))</f>
        <v>14.0789473684211</v>
      </c>
      <c r="Y624" s="29" t="n">
        <f aca="false">IF(OR(X624="",N(O624)=0),"",X624/O624-1)</f>
        <v>-0.161967418546366</v>
      </c>
      <c r="Z624" s="29" t="n">
        <f aca="false">IF(OR(Y624="",N(O624)=0),"",Y624+N624/O624)</f>
        <v>-0.0823543233082708</v>
      </c>
      <c r="AA624" s="32" t="n">
        <f aca="false">IF(OR(Z624="",N(U624)=0),"",Z624-U624)</f>
        <v>0</v>
      </c>
      <c r="AB624" s="29" t="n">
        <f aca="false">IF(N(Q624)=0,"",Q624+IF(I624="yes",Q624*Inputs!$B$10*Inputs!$B$9,0)+IFERROR(INDEX(Inputs!$B$13:$B$15,MATCH(G624,Inputs!$A$13:$A$15,0)),0)+IFERROR(INDEX(Inputs!$B$18:$B$24,MATCH(H624,Inputs!$A$18:$A$24,0)),0))</f>
        <v>0.095</v>
      </c>
      <c r="AC624" s="28" t="n">
        <f aca="false">IF(OR(N(AB624)&lt;=0,N(N624)=0,N(L624)=0),"",MIN(L624,N624/AB624))</f>
        <v>14.0789473684211</v>
      </c>
      <c r="AD624" s="29" t="n">
        <f aca="false">IF(OR(AC624="",N(O624)=0),"",AC624/O624-1)</f>
        <v>-0.161967418546366</v>
      </c>
      <c r="AE624" s="29" t="n">
        <f aca="false">IF(OR(AD624="",N(O624)=0),"",AD624+N624/O624)</f>
        <v>-0.0823543233082708</v>
      </c>
      <c r="AF624" s="32" t="n">
        <f aca="false">IF(OR(AE624="",N(Z624)=0),"",AE624-Z624)</f>
        <v>0</v>
      </c>
      <c r="AG624" s="28" t="n">
        <f aca="false">IF(AND(N(M624)&gt;0,N(L624)&gt;0),M624*L624,N624)</f>
        <v>1.3375</v>
      </c>
      <c r="AH624" s="28" t="n">
        <f aca="false">IF(OR(N(AB624)&lt;=0,N(AG624)=0,N(L624)=0),"",MIN(L624,AG624/AB624))</f>
        <v>14.0789473684211</v>
      </c>
      <c r="AI624" s="29" t="n">
        <f aca="false">IF(OR(AH624="",N(O624)=0),"",AH624/O624-1)</f>
        <v>-0.161967418546366</v>
      </c>
      <c r="AJ624" s="29" t="n">
        <f aca="false">IF(OR(AI624="",N(O624)=0),"",AI624+AG624/O624)</f>
        <v>-0.0823543233082708</v>
      </c>
      <c r="AK624" s="32" t="n">
        <f aca="false">IF(OR(AJ624="",N(AE624)=0),"",AJ624-AE624)</f>
        <v>0</v>
      </c>
      <c r="AL624" s="33" t="n">
        <f aca="false">IF(N(F624)=0,"",INDEX(Inputs!$B$28:$B$32,IFERROR(MATCH(F624,Inputs!$A$28:$A$32,1),0)+1))</f>
        <v>0.085</v>
      </c>
      <c r="AM624" s="34"/>
      <c r="AN624" s="33" t="n">
        <f aca="false">IF(N(AM624)&gt;0,AM624,AL624)</f>
        <v>0.085</v>
      </c>
      <c r="AO624" s="29" t="n">
        <f aca="false">IF(N(AN624)=0,"",AN624+IF(I624="yes",AN624*Inputs!$B$10*Inputs!$B$9,0)+IFERROR(INDEX(Inputs!$B$13:$B$15,MATCH(G624,Inputs!$A$13:$A$15,0)),0)+IFERROR(INDEX(Inputs!$B$18:$B$24,MATCH(H624,Inputs!$A$18:$A$24,0)),0))</f>
        <v>0.08075</v>
      </c>
      <c r="AP624" s="28" t="n">
        <f aca="false">IF(OR(N(AO624)&lt;=0,N(AG624)=0,N(L624)=0),"",MIN(L624,AG624/AO624))</f>
        <v>16.5634674922601</v>
      </c>
      <c r="AQ624" s="29" t="n">
        <f aca="false">IF(OR(AP624="",N(O624)=0),"",AP624/O624-1)</f>
        <v>-0.0140793159369013</v>
      </c>
      <c r="AR624" s="29" t="n">
        <f aca="false">IF(OR(AQ624="",N(O624)=0),"",AQ624+AG624/O624)</f>
        <v>0.065533779301194</v>
      </c>
      <c r="AS624" s="32" t="n">
        <f aca="false">IF(OR(AR624="",N(AJ624)=0),"",AR624-AJ624)</f>
        <v>0.147888102609465</v>
      </c>
      <c r="AT624" s="28" t="n">
        <v>25</v>
      </c>
      <c r="AU624" s="28" t="n">
        <v>1.3375</v>
      </c>
      <c r="AV624" s="28" t="n">
        <f aca="false">IF(N(AT624)&gt;0,AT624,L624)</f>
        <v>25</v>
      </c>
      <c r="AW624" s="28" t="n">
        <f aca="false">IF(AND(N(M624)&gt;0,N(AV624)&gt;0),M624*AV624,IF(N(AU624)&gt;0,AU624,N624))</f>
        <v>1.3375</v>
      </c>
      <c r="AX624" s="29" t="n">
        <f aca="false">IF(N(AN624)=0,"",AN624+IF(I624="yes",AN624*Inputs!$B$10*Inputs!$B$9,0)+IFERROR(INDEX(Inputs!$B$13:$B$15,MATCH(G624,Inputs!$A$13:$A$15,0)),0)+IFERROR(INDEX(Inputs!$B$18:$B$24,MATCH(H624,Inputs!$A$18:$A$24,0)),0))</f>
        <v>0.08075</v>
      </c>
      <c r="AY624" s="28" t="n">
        <f aca="false">IF(OR(N(AX624)&lt;=0,N(AW624)=0,N(AV624)=0),"",MIN(AV624,AW624/AX624))</f>
        <v>16.5634674922601</v>
      </c>
      <c r="AZ624" s="29" t="n">
        <f aca="false">IF(OR(AY624="",N(O624)=0),"",AY624/O624-1)</f>
        <v>-0.0140793159369013</v>
      </c>
      <c r="BA624" s="29" t="n">
        <f aca="false">IF(OR(AZ624="",N(O624)=0),"",AZ624+AW624/O624)</f>
        <v>0.065533779301194</v>
      </c>
      <c r="BB624" s="32" t="n">
        <f aca="false">IF(OR(BA624="",N(AR624)=0),"",BA624-AR624)</f>
        <v>0</v>
      </c>
      <c r="BC624" s="35" t="n">
        <f aca="false">IF(OR(BA624="",N(U624)=0),"",BA624-U624)</f>
        <v>0.147888102609465</v>
      </c>
      <c r="BD624" s="37"/>
    </row>
    <row r="625" customFormat="false" ht="15" hidden="false" customHeight="false" outlineLevel="0" collapsed="false">
      <c r="A625" s="2" t="s">
        <v>1067</v>
      </c>
      <c r="B625" s="2" t="n">
        <v>250</v>
      </c>
      <c r="C625" s="2" t="s">
        <v>1264</v>
      </c>
      <c r="D625" s="2" t="s">
        <v>1265</v>
      </c>
      <c r="E625" s="2" t="s">
        <v>1266</v>
      </c>
      <c r="F625" s="27" t="n">
        <v>2</v>
      </c>
      <c r="G625" s="2" t="s">
        <v>51</v>
      </c>
      <c r="H625" s="2" t="s">
        <v>58</v>
      </c>
      <c r="I625" s="2" t="s">
        <v>151</v>
      </c>
      <c r="J625" s="2" t="s">
        <v>145</v>
      </c>
      <c r="K625" s="2" t="n">
        <v>4</v>
      </c>
      <c r="L625" s="28" t="n">
        <v>25</v>
      </c>
      <c r="M625" s="29" t="n">
        <v>0.0775</v>
      </c>
      <c r="N625" s="28" t="n">
        <v>1.9375</v>
      </c>
      <c r="O625" s="28" t="n">
        <v>9.2</v>
      </c>
      <c r="P625" s="2" t="s">
        <v>146</v>
      </c>
      <c r="Q625" s="29" t="n">
        <v>0.1</v>
      </c>
      <c r="R625" s="30" t="n">
        <v>0.095</v>
      </c>
      <c r="S625" s="31" t="n">
        <v>20.3947368421053</v>
      </c>
      <c r="T625" s="30" t="n">
        <v>1.21681922196796</v>
      </c>
      <c r="U625" s="30" t="n">
        <v>1.42741704805492</v>
      </c>
      <c r="V625" s="29" t="n">
        <v>0</v>
      </c>
      <c r="W625" s="29" t="n">
        <f aca="false">IF(N(Q625)=0,"",Q625+IF(I625="yes",Q625*Inputs!$B$10*Inputs!$B$9,0)+V625)</f>
        <v>0.095</v>
      </c>
      <c r="X625" s="28" t="n">
        <f aca="false">IF(OR(N(W625)&lt;=0,N(N625)=0,N(L625)=0),"",MIN(L625,N625/W625))</f>
        <v>20.3947368421053</v>
      </c>
      <c r="Y625" s="29" t="n">
        <f aca="false">IF(OR(X625="",N(O625)=0),"",X625/O625-1)</f>
        <v>1.21681922196796</v>
      </c>
      <c r="Z625" s="29" t="n">
        <f aca="false">IF(OR(Y625="",N(O625)=0),"",Y625+N625/O625)</f>
        <v>1.42741704805492</v>
      </c>
      <c r="AA625" s="32" t="n">
        <f aca="false">IF(OR(Z625="",N(U625)=0),"",Z625-U625)</f>
        <v>0</v>
      </c>
      <c r="AB625" s="29" t="n">
        <f aca="false">IF(N(Q625)=0,"",Q625+IF(I625="yes",Q625*Inputs!$B$10*Inputs!$B$9,0)+IFERROR(INDEX(Inputs!$B$13:$B$15,MATCH(G625,Inputs!$A$13:$A$15,0)),0)+IFERROR(INDEX(Inputs!$B$18:$B$24,MATCH(H625,Inputs!$A$18:$A$24,0)),0))</f>
        <v>0.095</v>
      </c>
      <c r="AC625" s="28" t="n">
        <f aca="false">IF(OR(N(AB625)&lt;=0,N(N625)=0,N(L625)=0),"",MIN(L625,N625/AB625))</f>
        <v>20.3947368421053</v>
      </c>
      <c r="AD625" s="29" t="n">
        <f aca="false">IF(OR(AC625="",N(O625)=0),"",AC625/O625-1)</f>
        <v>1.21681922196796</v>
      </c>
      <c r="AE625" s="29" t="n">
        <f aca="false">IF(OR(AD625="",N(O625)=0),"",AD625+N625/O625)</f>
        <v>1.42741704805492</v>
      </c>
      <c r="AF625" s="32" t="n">
        <f aca="false">IF(OR(AE625="",N(Z625)=0),"",AE625-Z625)</f>
        <v>0</v>
      </c>
      <c r="AG625" s="28" t="n">
        <f aca="false">IF(AND(N(M625)&gt;0,N(L625)&gt;0),M625*L625,N625)</f>
        <v>1.9375</v>
      </c>
      <c r="AH625" s="28" t="n">
        <f aca="false">IF(OR(N(AB625)&lt;=0,N(AG625)=0,N(L625)=0),"",MIN(L625,AG625/AB625))</f>
        <v>20.3947368421053</v>
      </c>
      <c r="AI625" s="29" t="n">
        <f aca="false">IF(OR(AH625="",N(O625)=0),"",AH625/O625-1)</f>
        <v>1.21681922196796</v>
      </c>
      <c r="AJ625" s="29" t="n">
        <f aca="false">IF(OR(AI625="",N(O625)=0),"",AI625+AG625/O625)</f>
        <v>1.42741704805492</v>
      </c>
      <c r="AK625" s="32" t="n">
        <f aca="false">IF(OR(AJ625="",N(AE625)=0),"",AJ625-AE625)</f>
        <v>0</v>
      </c>
      <c r="AL625" s="33" t="n">
        <f aca="false">IF(N(F625)=0,"",INDEX(Inputs!$B$28:$B$32,IFERROR(MATCH(F625,Inputs!$A$28:$A$32,1),0)+1))</f>
        <v>0.1</v>
      </c>
      <c r="AM625" s="34"/>
      <c r="AN625" s="33" t="n">
        <f aca="false">IF(N(AM625)&gt;0,AM625,AL625)</f>
        <v>0.1</v>
      </c>
      <c r="AO625" s="29" t="n">
        <f aca="false">IF(N(AN625)=0,"",AN625+IF(I625="yes",AN625*Inputs!$B$10*Inputs!$B$9,0)+IFERROR(INDEX(Inputs!$B$13:$B$15,MATCH(G625,Inputs!$A$13:$A$15,0)),0)+IFERROR(INDEX(Inputs!$B$18:$B$24,MATCH(H625,Inputs!$A$18:$A$24,0)),0))</f>
        <v>0.095</v>
      </c>
      <c r="AP625" s="28" t="n">
        <f aca="false">IF(OR(N(AO625)&lt;=0,N(AG625)=0,N(L625)=0),"",MIN(L625,AG625/AO625))</f>
        <v>20.3947368421053</v>
      </c>
      <c r="AQ625" s="29" t="n">
        <f aca="false">IF(OR(AP625="",N(O625)=0),"",AP625/O625-1)</f>
        <v>1.21681922196796</v>
      </c>
      <c r="AR625" s="29" t="n">
        <f aca="false">IF(OR(AQ625="",N(O625)=0),"",AQ625+AG625/O625)</f>
        <v>1.42741704805492</v>
      </c>
      <c r="AS625" s="32" t="n">
        <f aca="false">IF(OR(AR625="",N(AJ625)=0),"",AR625-AJ625)</f>
        <v>0</v>
      </c>
      <c r="AT625" s="28" t="n">
        <v>25</v>
      </c>
      <c r="AU625" s="28" t="n">
        <v>1.94</v>
      </c>
      <c r="AV625" s="28" t="n">
        <f aca="false">IF(N(AT625)&gt;0,AT625,L625)</f>
        <v>25</v>
      </c>
      <c r="AW625" s="28" t="n">
        <f aca="false">IF(AND(N(M625)&gt;0,N(AV625)&gt;0),M625*AV625,IF(N(AU625)&gt;0,AU625,N625))</f>
        <v>1.9375</v>
      </c>
      <c r="AX625" s="29" t="n">
        <f aca="false">IF(N(AN625)=0,"",AN625+IF(I625="yes",AN625*Inputs!$B$10*Inputs!$B$9,0)+IFERROR(INDEX(Inputs!$B$13:$B$15,MATCH(G625,Inputs!$A$13:$A$15,0)),0)+IFERROR(INDEX(Inputs!$B$18:$B$24,MATCH(H625,Inputs!$A$18:$A$24,0)),0))</f>
        <v>0.095</v>
      </c>
      <c r="AY625" s="28" t="n">
        <f aca="false">IF(OR(N(AX625)&lt;=0,N(AW625)=0,N(AV625)=0),"",MIN(AV625,AW625/AX625))</f>
        <v>20.3947368421053</v>
      </c>
      <c r="AZ625" s="29" t="n">
        <f aca="false">IF(OR(AY625="",N(O625)=0),"",AY625/O625-1)</f>
        <v>1.21681922196796</v>
      </c>
      <c r="BA625" s="29" t="n">
        <f aca="false">IF(OR(AZ625="",N(O625)=0),"",AZ625+AW625/O625)</f>
        <v>1.42741704805492</v>
      </c>
      <c r="BB625" s="32" t="n">
        <f aca="false">IF(OR(BA625="",N(AR625)=0),"",BA625-AR625)</f>
        <v>0</v>
      </c>
      <c r="BC625" s="35" t="n">
        <f aca="false">IF(OR(BA625="",N(U625)=0),"",BA625-U625)</f>
        <v>0</v>
      </c>
      <c r="BD625" s="37"/>
    </row>
    <row r="626" customFormat="false" ht="15" hidden="false" customHeight="false" outlineLevel="0" collapsed="false">
      <c r="A626" s="2" t="s">
        <v>1067</v>
      </c>
      <c r="B626" s="2" t="n">
        <v>256</v>
      </c>
      <c r="C626" s="2" t="s">
        <v>1267</v>
      </c>
      <c r="D626" s="2" t="s">
        <v>1268</v>
      </c>
      <c r="E626" s="2" t="s">
        <v>143</v>
      </c>
      <c r="F626" s="27"/>
      <c r="G626" s="2" t="s">
        <v>51</v>
      </c>
      <c r="H626" s="2" t="s">
        <v>58</v>
      </c>
      <c r="I626" s="2" t="s">
        <v>151</v>
      </c>
      <c r="J626" s="2" t="s">
        <v>145</v>
      </c>
      <c r="K626" s="2" t="n">
        <v>4</v>
      </c>
      <c r="L626" s="28" t="n">
        <v>100</v>
      </c>
      <c r="M626" s="29" t="n">
        <v>0.08</v>
      </c>
      <c r="N626" s="28" t="n">
        <v>8</v>
      </c>
      <c r="O626" s="28" t="n">
        <v>0</v>
      </c>
      <c r="P626" s="2" t="s">
        <v>146</v>
      </c>
      <c r="Q626" s="29" t="n">
        <v>0</v>
      </c>
      <c r="R626" s="30" t="n">
        <v>0</v>
      </c>
      <c r="S626" s="31"/>
      <c r="T626" s="30"/>
      <c r="U626" s="30"/>
      <c r="V626" s="29" t="n">
        <v>0</v>
      </c>
      <c r="W626" s="29" t="str">
        <f aca="false">IF(N(Q626)=0,"",Q626+IF(I626="yes",Q626*Inputs!$B$10*Inputs!$B$9,0)+V626)</f>
        <v/>
      </c>
      <c r="X626" s="28" t="str">
        <f aca="false">IF(OR(N(W626)&lt;=0,N(N626)=0,N(L626)=0),"",MIN(L626,N626/W626))</f>
        <v/>
      </c>
      <c r="Y626" s="29" t="str">
        <f aca="false">IF(OR(X626="",N(O626)=0),"",X626/O626-1)</f>
        <v/>
      </c>
      <c r="Z626" s="29" t="str">
        <f aca="false">IF(OR(Y626="",N(O626)=0),"",Y626+N626/O626)</f>
        <v/>
      </c>
      <c r="AA626" s="32" t="str">
        <f aca="false">IF(OR(Z626="",N(U626)=0),"",Z626-U626)</f>
        <v/>
      </c>
      <c r="AB626" s="29" t="str">
        <f aca="false">IF(N(Q626)=0,"",Q626+IF(I626="yes",Q626*Inputs!$B$10*Inputs!$B$9,0)+IFERROR(INDEX(Inputs!$B$13:$B$15,MATCH(G626,Inputs!$A$13:$A$15,0)),0)+IFERROR(INDEX(Inputs!$B$18:$B$24,MATCH(H626,Inputs!$A$18:$A$24,0)),0))</f>
        <v/>
      </c>
      <c r="AC626" s="28" t="str">
        <f aca="false">IF(OR(N(AB626)&lt;=0,N(N626)=0,N(L626)=0),"",MIN(L626,N626/AB626))</f>
        <v/>
      </c>
      <c r="AD626" s="29" t="str">
        <f aca="false">IF(OR(AC626="",N(O626)=0),"",AC626/O626-1)</f>
        <v/>
      </c>
      <c r="AE626" s="29" t="str">
        <f aca="false">IF(OR(AD626="",N(O626)=0),"",AD626+N626/O626)</f>
        <v/>
      </c>
      <c r="AF626" s="32" t="str">
        <f aca="false">IF(OR(AE626="",N(Z626)=0),"",AE626-Z626)</f>
        <v/>
      </c>
      <c r="AG626" s="28" t="n">
        <f aca="false">IF(AND(N(M626)&gt;0,N(L626)&gt;0),M626*L626,N626)</f>
        <v>8</v>
      </c>
      <c r="AH626" s="28" t="str">
        <f aca="false">IF(OR(N(AB626)&lt;=0,N(AG626)=0,N(L626)=0),"",MIN(L626,AG626/AB626))</f>
        <v/>
      </c>
      <c r="AI626" s="29" t="str">
        <f aca="false">IF(OR(AH626="",N(O626)=0),"",AH626/O626-1)</f>
        <v/>
      </c>
      <c r="AJ626" s="29" t="str">
        <f aca="false">IF(OR(AI626="",N(O626)=0),"",AI626+AG626/O626)</f>
        <v/>
      </c>
      <c r="AK626" s="32" t="str">
        <f aca="false">IF(OR(AJ626="",N(AE626)=0),"",AJ626-AE626)</f>
        <v/>
      </c>
      <c r="AL626" s="33" t="str">
        <f aca="false">IF(N(F626)=0,"",INDEX(Inputs!$B$28:$B$32,IFERROR(MATCH(F626,Inputs!$A$28:$A$32,1),0)+1))</f>
        <v/>
      </c>
      <c r="AM626" s="34"/>
      <c r="AN626" s="33" t="str">
        <f aca="false">IF(N(AM626)&gt;0,AM626,AL626)</f>
        <v/>
      </c>
      <c r="AO626" s="29" t="str">
        <f aca="false">IF(N(AN626)=0,"",AN626+IF(I626="yes",AN626*Inputs!$B$10*Inputs!$B$9,0)+IFERROR(INDEX(Inputs!$B$13:$B$15,MATCH(G626,Inputs!$A$13:$A$15,0)),0)+IFERROR(INDEX(Inputs!$B$18:$B$24,MATCH(H626,Inputs!$A$18:$A$24,0)),0))</f>
        <v/>
      </c>
      <c r="AP626" s="28" t="str">
        <f aca="false">IF(OR(N(AO626)&lt;=0,N(AG626)=0,N(L626)=0),"",MIN(L626,AG626/AO626))</f>
        <v/>
      </c>
      <c r="AQ626" s="29" t="str">
        <f aca="false">IF(OR(AP626="",N(O626)=0),"",AP626/O626-1)</f>
        <v/>
      </c>
      <c r="AR626" s="29" t="str">
        <f aca="false">IF(OR(AQ626="",N(O626)=0),"",AQ626+AG626/O626)</f>
        <v/>
      </c>
      <c r="AS626" s="32" t="str">
        <f aca="false">IF(OR(AR626="",N(AJ626)=0),"",AR626-AJ626)</f>
        <v/>
      </c>
      <c r="AT626" s="28"/>
      <c r="AU626" s="28"/>
      <c r="AV626" s="28" t="n">
        <f aca="false">IF(N(AT626)&gt;0,AT626,L626)</f>
        <v>100</v>
      </c>
      <c r="AW626" s="28" t="n">
        <f aca="false">IF(AND(N(M626)&gt;0,N(AV626)&gt;0),M626*AV626,IF(N(AU626)&gt;0,AU626,N626))</f>
        <v>8</v>
      </c>
      <c r="AX626" s="29" t="str">
        <f aca="false">IF(N(AN626)=0,"",AN626+IF(I626="yes",AN626*Inputs!$B$10*Inputs!$B$9,0)+IFERROR(INDEX(Inputs!$B$13:$B$15,MATCH(G626,Inputs!$A$13:$A$15,0)),0)+IFERROR(INDEX(Inputs!$B$18:$B$24,MATCH(H626,Inputs!$A$18:$A$24,0)),0))</f>
        <v/>
      </c>
      <c r="AY626" s="28" t="str">
        <f aca="false">IF(OR(N(AX626)&lt;=0,N(AW626)=0,N(AV626)=0),"",MIN(AV626,AW626/AX626))</f>
        <v/>
      </c>
      <c r="AZ626" s="29" t="str">
        <f aca="false">IF(OR(AY626="",N(O626)=0),"",AY626/O626-1)</f>
        <v/>
      </c>
      <c r="BA626" s="29" t="str">
        <f aca="false">IF(OR(AZ626="",N(O626)=0),"",AZ626+AW626/O626)</f>
        <v/>
      </c>
      <c r="BB626" s="32" t="str">
        <f aca="false">IF(OR(BA626="",N(AR626)=0),"",BA626-AR626)</f>
        <v/>
      </c>
      <c r="BC626" s="35" t="str">
        <f aca="false">IF(OR(BA626="",N(U626)=0),"",BA626-U626)</f>
        <v/>
      </c>
      <c r="BD626" s="36" t="s">
        <v>147</v>
      </c>
    </row>
    <row r="627" customFormat="false" ht="15" hidden="false" customHeight="false" outlineLevel="0" collapsed="false">
      <c r="A627" s="2" t="s">
        <v>1067</v>
      </c>
      <c r="B627" s="2" t="n">
        <v>257</v>
      </c>
      <c r="C627" s="2" t="s">
        <v>1269</v>
      </c>
      <c r="D627" s="2" t="s">
        <v>1268</v>
      </c>
      <c r="E627" s="2" t="s">
        <v>143</v>
      </c>
      <c r="F627" s="27"/>
      <c r="G627" s="2" t="s">
        <v>52</v>
      </c>
      <c r="H627" s="2" t="s">
        <v>58</v>
      </c>
      <c r="I627" s="2" t="s">
        <v>144</v>
      </c>
      <c r="J627" s="2" t="s">
        <v>145</v>
      </c>
      <c r="K627" s="2" t="n">
        <v>4</v>
      </c>
      <c r="L627" s="28" t="n">
        <v>25</v>
      </c>
      <c r="M627" s="29" t="n">
        <v>0.06375</v>
      </c>
      <c r="N627" s="28" t="n">
        <v>1.59375</v>
      </c>
      <c r="O627" s="28" t="n">
        <v>0</v>
      </c>
      <c r="P627" s="2" t="s">
        <v>146</v>
      </c>
      <c r="Q627" s="29" t="n">
        <v>0</v>
      </c>
      <c r="R627" s="30" t="n">
        <v>-0.005</v>
      </c>
      <c r="S627" s="31" t="n">
        <v>-318.75</v>
      </c>
      <c r="T627" s="30"/>
      <c r="U627" s="30"/>
      <c r="V627" s="29" t="n">
        <v>-0.005</v>
      </c>
      <c r="W627" s="29" t="str">
        <f aca="false">IF(N(Q627)=0,"",Q627+IF(I627="yes",Q627*Inputs!$B$10*Inputs!$B$9,0)+V627)</f>
        <v/>
      </c>
      <c r="X627" s="28" t="str">
        <f aca="false">IF(OR(N(W627)&lt;=0,N(N627)=0,N(L627)=0),"",MIN(L627,N627/W627))</f>
        <v/>
      </c>
      <c r="Y627" s="29" t="str">
        <f aca="false">IF(OR(X627="",N(O627)=0),"",X627/O627-1)</f>
        <v/>
      </c>
      <c r="Z627" s="29" t="str">
        <f aca="false">IF(OR(Y627="",N(O627)=0),"",Y627+N627/O627)</f>
        <v/>
      </c>
      <c r="AA627" s="32" t="str">
        <f aca="false">IF(OR(Z627="",N(U627)=0),"",Z627-U627)</f>
        <v/>
      </c>
      <c r="AB627" s="29" t="str">
        <f aca="false">IF(N(Q627)=0,"",Q627+IF(I627="yes",Q627*Inputs!$B$10*Inputs!$B$9,0)+IFERROR(INDEX(Inputs!$B$13:$B$15,MATCH(G627,Inputs!$A$13:$A$15,0)),0)+IFERROR(INDEX(Inputs!$B$18:$B$24,MATCH(H627,Inputs!$A$18:$A$24,0)),0))</f>
        <v/>
      </c>
      <c r="AC627" s="28" t="str">
        <f aca="false">IF(OR(N(AB627)&lt;=0,N(N627)=0,N(L627)=0),"",MIN(L627,N627/AB627))</f>
        <v/>
      </c>
      <c r="AD627" s="29" t="str">
        <f aca="false">IF(OR(AC627="",N(O627)=0),"",AC627/O627-1)</f>
        <v/>
      </c>
      <c r="AE627" s="29" t="str">
        <f aca="false">IF(OR(AD627="",N(O627)=0),"",AD627+N627/O627)</f>
        <v/>
      </c>
      <c r="AF627" s="32" t="str">
        <f aca="false">IF(OR(AE627="",N(Z627)=0),"",AE627-Z627)</f>
        <v/>
      </c>
      <c r="AG627" s="28" t="n">
        <f aca="false">IF(AND(N(M627)&gt;0,N(L627)&gt;0),M627*L627,N627)</f>
        <v>1.59375</v>
      </c>
      <c r="AH627" s="28" t="str">
        <f aca="false">IF(OR(N(AB627)&lt;=0,N(AG627)=0,N(L627)=0),"",MIN(L627,AG627/AB627))</f>
        <v/>
      </c>
      <c r="AI627" s="29" t="str">
        <f aca="false">IF(OR(AH627="",N(O627)=0),"",AH627/O627-1)</f>
        <v/>
      </c>
      <c r="AJ627" s="29" t="str">
        <f aca="false">IF(OR(AI627="",N(O627)=0),"",AI627+AG627/O627)</f>
        <v/>
      </c>
      <c r="AK627" s="32" t="str">
        <f aca="false">IF(OR(AJ627="",N(AE627)=0),"",AJ627-AE627)</f>
        <v/>
      </c>
      <c r="AL627" s="33" t="str">
        <f aca="false">IF(N(F627)=0,"",INDEX(Inputs!$B$28:$B$32,IFERROR(MATCH(F627,Inputs!$A$28:$A$32,1),0)+1))</f>
        <v/>
      </c>
      <c r="AM627" s="34"/>
      <c r="AN627" s="33" t="str">
        <f aca="false">IF(N(AM627)&gt;0,AM627,AL627)</f>
        <v/>
      </c>
      <c r="AO627" s="29" t="str">
        <f aca="false">IF(N(AN627)=0,"",AN627+IF(I627="yes",AN627*Inputs!$B$10*Inputs!$B$9,0)+IFERROR(INDEX(Inputs!$B$13:$B$15,MATCH(G627,Inputs!$A$13:$A$15,0)),0)+IFERROR(INDEX(Inputs!$B$18:$B$24,MATCH(H627,Inputs!$A$18:$A$24,0)),0))</f>
        <v/>
      </c>
      <c r="AP627" s="28" t="str">
        <f aca="false">IF(OR(N(AO627)&lt;=0,N(AG627)=0,N(L627)=0),"",MIN(L627,AG627/AO627))</f>
        <v/>
      </c>
      <c r="AQ627" s="29" t="str">
        <f aca="false">IF(OR(AP627="",N(O627)=0),"",AP627/O627-1)</f>
        <v/>
      </c>
      <c r="AR627" s="29" t="str">
        <f aca="false">IF(OR(AQ627="",N(O627)=0),"",AQ627+AG627/O627)</f>
        <v/>
      </c>
      <c r="AS627" s="32" t="str">
        <f aca="false">IF(OR(AR627="",N(AJ627)=0),"",AR627-AJ627)</f>
        <v/>
      </c>
      <c r="AT627" s="28"/>
      <c r="AU627" s="28"/>
      <c r="AV627" s="28" t="n">
        <f aca="false">IF(N(AT627)&gt;0,AT627,L627)</f>
        <v>25</v>
      </c>
      <c r="AW627" s="28" t="n">
        <f aca="false">IF(AND(N(M627)&gt;0,N(AV627)&gt;0),M627*AV627,IF(N(AU627)&gt;0,AU627,N627))</f>
        <v>1.59375</v>
      </c>
      <c r="AX627" s="29" t="str">
        <f aca="false">IF(N(AN627)=0,"",AN627+IF(I627="yes",AN627*Inputs!$B$10*Inputs!$B$9,0)+IFERROR(INDEX(Inputs!$B$13:$B$15,MATCH(G627,Inputs!$A$13:$A$15,0)),0)+IFERROR(INDEX(Inputs!$B$18:$B$24,MATCH(H627,Inputs!$A$18:$A$24,0)),0))</f>
        <v/>
      </c>
      <c r="AY627" s="28" t="str">
        <f aca="false">IF(OR(N(AX627)&lt;=0,N(AW627)=0,N(AV627)=0),"",MIN(AV627,AW627/AX627))</f>
        <v/>
      </c>
      <c r="AZ627" s="29" t="str">
        <f aca="false">IF(OR(AY627="",N(O627)=0),"",AY627/O627-1)</f>
        <v/>
      </c>
      <c r="BA627" s="29" t="str">
        <f aca="false">IF(OR(AZ627="",N(O627)=0),"",AZ627+AW627/O627)</f>
        <v/>
      </c>
      <c r="BB627" s="32" t="str">
        <f aca="false">IF(OR(BA627="",N(AR627)=0),"",BA627-AR627)</f>
        <v/>
      </c>
      <c r="BC627" s="35" t="str">
        <f aca="false">IF(OR(BA627="",N(U627)=0),"",BA627-U627)</f>
        <v/>
      </c>
      <c r="BD627" s="36" t="s">
        <v>147</v>
      </c>
    </row>
    <row r="628" customFormat="false" ht="15" hidden="false" customHeight="false" outlineLevel="0" collapsed="false">
      <c r="A628" s="2" t="s">
        <v>1067</v>
      </c>
      <c r="B628" s="2" t="n">
        <v>258</v>
      </c>
      <c r="C628" s="2" t="s">
        <v>1270</v>
      </c>
      <c r="D628" s="2" t="s">
        <v>1268</v>
      </c>
      <c r="E628" s="2" t="s">
        <v>143</v>
      </c>
      <c r="F628" s="27"/>
      <c r="G628" s="2" t="s">
        <v>52</v>
      </c>
      <c r="H628" s="2" t="s">
        <v>58</v>
      </c>
      <c r="I628" s="2" t="s">
        <v>144</v>
      </c>
      <c r="J628" s="2" t="s">
        <v>145</v>
      </c>
      <c r="K628" s="2" t="n">
        <v>4</v>
      </c>
      <c r="L628" s="28" t="n">
        <v>25</v>
      </c>
      <c r="M628" s="29" t="n">
        <v>0.0625</v>
      </c>
      <c r="N628" s="28" t="n">
        <v>1.5625</v>
      </c>
      <c r="O628" s="28" t="n">
        <v>0</v>
      </c>
      <c r="P628" s="2" t="s">
        <v>146</v>
      </c>
      <c r="Q628" s="29" t="n">
        <v>0</v>
      </c>
      <c r="R628" s="30" t="n">
        <v>-0.005</v>
      </c>
      <c r="S628" s="31" t="n">
        <v>-312.5</v>
      </c>
      <c r="T628" s="30"/>
      <c r="U628" s="30"/>
      <c r="V628" s="29" t="n">
        <v>-0.005</v>
      </c>
      <c r="W628" s="29" t="str">
        <f aca="false">IF(N(Q628)=0,"",Q628+IF(I628="yes",Q628*Inputs!$B$10*Inputs!$B$9,0)+V628)</f>
        <v/>
      </c>
      <c r="X628" s="28" t="str">
        <f aca="false">IF(OR(N(W628)&lt;=0,N(N628)=0,N(L628)=0),"",MIN(L628,N628/W628))</f>
        <v/>
      </c>
      <c r="Y628" s="29" t="str">
        <f aca="false">IF(OR(X628="",N(O628)=0),"",X628/O628-1)</f>
        <v/>
      </c>
      <c r="Z628" s="29" t="str">
        <f aca="false">IF(OR(Y628="",N(O628)=0),"",Y628+N628/O628)</f>
        <v/>
      </c>
      <c r="AA628" s="32" t="str">
        <f aca="false">IF(OR(Z628="",N(U628)=0),"",Z628-U628)</f>
        <v/>
      </c>
      <c r="AB628" s="29" t="str">
        <f aca="false">IF(N(Q628)=0,"",Q628+IF(I628="yes",Q628*Inputs!$B$10*Inputs!$B$9,0)+IFERROR(INDEX(Inputs!$B$13:$B$15,MATCH(G628,Inputs!$A$13:$A$15,0)),0)+IFERROR(INDEX(Inputs!$B$18:$B$24,MATCH(H628,Inputs!$A$18:$A$24,0)),0))</f>
        <v/>
      </c>
      <c r="AC628" s="28" t="str">
        <f aca="false">IF(OR(N(AB628)&lt;=0,N(N628)=0,N(L628)=0),"",MIN(L628,N628/AB628))</f>
        <v/>
      </c>
      <c r="AD628" s="29" t="str">
        <f aca="false">IF(OR(AC628="",N(O628)=0),"",AC628/O628-1)</f>
        <v/>
      </c>
      <c r="AE628" s="29" t="str">
        <f aca="false">IF(OR(AD628="",N(O628)=0),"",AD628+N628/O628)</f>
        <v/>
      </c>
      <c r="AF628" s="32" t="str">
        <f aca="false">IF(OR(AE628="",N(Z628)=0),"",AE628-Z628)</f>
        <v/>
      </c>
      <c r="AG628" s="28" t="n">
        <f aca="false">IF(AND(N(M628)&gt;0,N(L628)&gt;0),M628*L628,N628)</f>
        <v>1.5625</v>
      </c>
      <c r="AH628" s="28" t="str">
        <f aca="false">IF(OR(N(AB628)&lt;=0,N(AG628)=0,N(L628)=0),"",MIN(L628,AG628/AB628))</f>
        <v/>
      </c>
      <c r="AI628" s="29" t="str">
        <f aca="false">IF(OR(AH628="",N(O628)=0),"",AH628/O628-1)</f>
        <v/>
      </c>
      <c r="AJ628" s="29" t="str">
        <f aca="false">IF(OR(AI628="",N(O628)=0),"",AI628+AG628/O628)</f>
        <v/>
      </c>
      <c r="AK628" s="32" t="str">
        <f aca="false">IF(OR(AJ628="",N(AE628)=0),"",AJ628-AE628)</f>
        <v/>
      </c>
      <c r="AL628" s="33" t="str">
        <f aca="false">IF(N(F628)=0,"",INDEX(Inputs!$B$28:$B$32,IFERROR(MATCH(F628,Inputs!$A$28:$A$32,1),0)+1))</f>
        <v/>
      </c>
      <c r="AM628" s="34"/>
      <c r="AN628" s="33" t="str">
        <f aca="false">IF(N(AM628)&gt;0,AM628,AL628)</f>
        <v/>
      </c>
      <c r="AO628" s="29" t="str">
        <f aca="false">IF(N(AN628)=0,"",AN628+IF(I628="yes",AN628*Inputs!$B$10*Inputs!$B$9,0)+IFERROR(INDEX(Inputs!$B$13:$B$15,MATCH(G628,Inputs!$A$13:$A$15,0)),0)+IFERROR(INDEX(Inputs!$B$18:$B$24,MATCH(H628,Inputs!$A$18:$A$24,0)),0))</f>
        <v/>
      </c>
      <c r="AP628" s="28" t="str">
        <f aca="false">IF(OR(N(AO628)&lt;=0,N(AG628)=0,N(L628)=0),"",MIN(L628,AG628/AO628))</f>
        <v/>
      </c>
      <c r="AQ628" s="29" t="str">
        <f aca="false">IF(OR(AP628="",N(O628)=0),"",AP628/O628-1)</f>
        <v/>
      </c>
      <c r="AR628" s="29" t="str">
        <f aca="false">IF(OR(AQ628="",N(O628)=0),"",AQ628+AG628/O628)</f>
        <v/>
      </c>
      <c r="AS628" s="32" t="str">
        <f aca="false">IF(OR(AR628="",N(AJ628)=0),"",AR628-AJ628)</f>
        <v/>
      </c>
      <c r="AT628" s="28"/>
      <c r="AU628" s="28"/>
      <c r="AV628" s="28" t="n">
        <f aca="false">IF(N(AT628)&gt;0,AT628,L628)</f>
        <v>25</v>
      </c>
      <c r="AW628" s="28" t="n">
        <f aca="false">IF(AND(N(M628)&gt;0,N(AV628)&gt;0),M628*AV628,IF(N(AU628)&gt;0,AU628,N628))</f>
        <v>1.5625</v>
      </c>
      <c r="AX628" s="29" t="str">
        <f aca="false">IF(N(AN628)=0,"",AN628+IF(I628="yes",AN628*Inputs!$B$10*Inputs!$B$9,0)+IFERROR(INDEX(Inputs!$B$13:$B$15,MATCH(G628,Inputs!$A$13:$A$15,0)),0)+IFERROR(INDEX(Inputs!$B$18:$B$24,MATCH(H628,Inputs!$A$18:$A$24,0)),0))</f>
        <v/>
      </c>
      <c r="AY628" s="28" t="str">
        <f aca="false">IF(OR(N(AX628)&lt;=0,N(AW628)=0,N(AV628)=0),"",MIN(AV628,AW628/AX628))</f>
        <v/>
      </c>
      <c r="AZ628" s="29" t="str">
        <f aca="false">IF(OR(AY628="",N(O628)=0),"",AY628/O628-1)</f>
        <v/>
      </c>
      <c r="BA628" s="29" t="str">
        <f aca="false">IF(OR(AZ628="",N(O628)=0),"",AZ628+AW628/O628)</f>
        <v/>
      </c>
      <c r="BB628" s="32" t="str">
        <f aca="false">IF(OR(BA628="",N(AR628)=0),"",BA628-AR628)</f>
        <v/>
      </c>
      <c r="BC628" s="35" t="str">
        <f aca="false">IF(OR(BA628="",N(U628)=0),"",BA628-U628)</f>
        <v/>
      </c>
      <c r="BD628" s="36" t="s">
        <v>147</v>
      </c>
    </row>
    <row r="629" customFormat="false" ht="15" hidden="false" customHeight="false" outlineLevel="0" collapsed="false">
      <c r="A629" s="2" t="s">
        <v>1067</v>
      </c>
      <c r="B629" s="2" t="n">
        <v>263</v>
      </c>
      <c r="C629" s="2" t="s">
        <v>1271</v>
      </c>
      <c r="D629" s="2" t="s">
        <v>1272</v>
      </c>
      <c r="E629" s="2" t="s">
        <v>1273</v>
      </c>
      <c r="F629" s="27" t="n">
        <v>16000</v>
      </c>
      <c r="G629" s="2" t="s">
        <v>51</v>
      </c>
      <c r="H629" s="2" t="s">
        <v>64</v>
      </c>
      <c r="I629" s="2" t="s">
        <v>151</v>
      </c>
      <c r="J629" s="2" t="s">
        <v>145</v>
      </c>
      <c r="K629" s="2" t="n">
        <v>4</v>
      </c>
      <c r="L629" s="28" t="n">
        <v>100</v>
      </c>
      <c r="M629" s="29" t="n">
        <v>0.05</v>
      </c>
      <c r="N629" s="28" t="n">
        <v>5</v>
      </c>
      <c r="O629" s="28" t="n">
        <v>0</v>
      </c>
      <c r="P629" s="2" t="s">
        <v>146</v>
      </c>
      <c r="Q629" s="29" t="n">
        <v>0.08</v>
      </c>
      <c r="R629" s="30" t="n">
        <v>0.076</v>
      </c>
      <c r="S629" s="31" t="n">
        <v>65.7894736842105</v>
      </c>
      <c r="T629" s="30"/>
      <c r="U629" s="30"/>
      <c r="V629" s="29" t="n">
        <v>0</v>
      </c>
      <c r="W629" s="29" t="n">
        <f aca="false">IF(N(Q629)=0,"",Q629+IF(I629="yes",Q629*Inputs!$B$10*Inputs!$B$9,0)+V629)</f>
        <v>0.076</v>
      </c>
      <c r="X629" s="28" t="n">
        <f aca="false">IF(OR(N(W629)&lt;=0,N(N629)=0,N(L629)=0),"",MIN(L629,N629/W629))</f>
        <v>65.7894736842105</v>
      </c>
      <c r="Y629" s="29" t="str">
        <f aca="false">IF(OR(X629="",N(O629)=0),"",X629/O629-1)</f>
        <v/>
      </c>
      <c r="Z629" s="29" t="str">
        <f aca="false">IF(OR(Y629="",N(O629)=0),"",Y629+N629/O629)</f>
        <v/>
      </c>
      <c r="AA629" s="32" t="str">
        <f aca="false">IF(OR(Z629="",N(U629)=0),"",Z629-U629)</f>
        <v/>
      </c>
      <c r="AB629" s="29" t="n">
        <f aca="false">IF(N(Q629)=0,"",Q629+IF(I629="yes",Q629*Inputs!$B$10*Inputs!$B$9,0)+IFERROR(INDEX(Inputs!$B$13:$B$15,MATCH(G629,Inputs!$A$13:$A$15,0)),0)+IFERROR(INDEX(Inputs!$B$18:$B$24,MATCH(H629,Inputs!$A$18:$A$24,0)),0))</f>
        <v>0.076</v>
      </c>
      <c r="AC629" s="28" t="n">
        <f aca="false">IF(OR(N(AB629)&lt;=0,N(N629)=0,N(L629)=0),"",MIN(L629,N629/AB629))</f>
        <v>65.7894736842105</v>
      </c>
      <c r="AD629" s="29" t="str">
        <f aca="false">IF(OR(AC629="",N(O629)=0),"",AC629/O629-1)</f>
        <v/>
      </c>
      <c r="AE629" s="29" t="str">
        <f aca="false">IF(OR(AD629="",N(O629)=0),"",AD629+N629/O629)</f>
        <v/>
      </c>
      <c r="AF629" s="32" t="str">
        <f aca="false">IF(OR(AE629="",N(Z629)=0),"",AE629-Z629)</f>
        <v/>
      </c>
      <c r="AG629" s="28" t="n">
        <f aca="false">IF(AND(N(M629)&gt;0,N(L629)&gt;0),M629*L629,N629)</f>
        <v>5</v>
      </c>
      <c r="AH629" s="28" t="n">
        <f aca="false">IF(OR(N(AB629)&lt;=0,N(AG629)=0,N(L629)=0),"",MIN(L629,AG629/AB629))</f>
        <v>65.7894736842105</v>
      </c>
      <c r="AI629" s="29" t="str">
        <f aca="false">IF(OR(AH629="",N(O629)=0),"",AH629/O629-1)</f>
        <v/>
      </c>
      <c r="AJ629" s="29" t="str">
        <f aca="false">IF(OR(AI629="",N(O629)=0),"",AI629+AG629/O629)</f>
        <v/>
      </c>
      <c r="AK629" s="32" t="str">
        <f aca="false">IF(OR(AJ629="",N(AE629)=0),"",AJ629-AE629)</f>
        <v/>
      </c>
      <c r="AL629" s="33" t="n">
        <f aca="false">IF(N(F629)=0,"",INDEX(Inputs!$B$28:$B$32,IFERROR(MATCH(F629,Inputs!$A$28:$A$32,1),0)+1))</f>
        <v>0.08</v>
      </c>
      <c r="AM629" s="34"/>
      <c r="AN629" s="33" t="n">
        <f aca="false">IF(N(AM629)&gt;0,AM629,AL629)</f>
        <v>0.08</v>
      </c>
      <c r="AO629" s="29" t="n">
        <f aca="false">IF(N(AN629)=0,"",AN629+IF(I629="yes",AN629*Inputs!$B$10*Inputs!$B$9,0)+IFERROR(INDEX(Inputs!$B$13:$B$15,MATCH(G629,Inputs!$A$13:$A$15,0)),0)+IFERROR(INDEX(Inputs!$B$18:$B$24,MATCH(H629,Inputs!$A$18:$A$24,0)),0))</f>
        <v>0.076</v>
      </c>
      <c r="AP629" s="28" t="n">
        <f aca="false">IF(OR(N(AO629)&lt;=0,N(AG629)=0,N(L629)=0),"",MIN(L629,AG629/AO629))</f>
        <v>65.7894736842105</v>
      </c>
      <c r="AQ629" s="29" t="str">
        <f aca="false">IF(OR(AP629="",N(O629)=0),"",AP629/O629-1)</f>
        <v/>
      </c>
      <c r="AR629" s="29" t="str">
        <f aca="false">IF(OR(AQ629="",N(O629)=0),"",AQ629+AG629/O629)</f>
        <v/>
      </c>
      <c r="AS629" s="32" t="str">
        <f aca="false">IF(OR(AR629="",N(AJ629)=0),"",AR629-AJ629)</f>
        <v/>
      </c>
      <c r="AT629" s="28"/>
      <c r="AU629" s="28"/>
      <c r="AV629" s="28" t="n">
        <f aca="false">IF(N(AT629)&gt;0,AT629,L629)</f>
        <v>100</v>
      </c>
      <c r="AW629" s="28" t="n">
        <f aca="false">IF(AND(N(M629)&gt;0,N(AV629)&gt;0),M629*AV629,IF(N(AU629)&gt;0,AU629,N629))</f>
        <v>5</v>
      </c>
      <c r="AX629" s="29" t="n">
        <f aca="false">IF(N(AN629)=0,"",AN629+IF(I629="yes",AN629*Inputs!$B$10*Inputs!$B$9,0)+IFERROR(INDEX(Inputs!$B$13:$B$15,MATCH(G629,Inputs!$A$13:$A$15,0)),0)+IFERROR(INDEX(Inputs!$B$18:$B$24,MATCH(H629,Inputs!$A$18:$A$24,0)),0))</f>
        <v>0.076</v>
      </c>
      <c r="AY629" s="28" t="n">
        <f aca="false">IF(OR(N(AX629)&lt;=0,N(AW629)=0,N(AV629)=0),"",MIN(AV629,AW629/AX629))</f>
        <v>65.7894736842105</v>
      </c>
      <c r="AZ629" s="29" t="str">
        <f aca="false">IF(OR(AY629="",N(O629)=0),"",AY629/O629-1)</f>
        <v/>
      </c>
      <c r="BA629" s="29" t="str">
        <f aca="false">IF(OR(AZ629="",N(O629)=0),"",AZ629+AW629/O629)</f>
        <v/>
      </c>
      <c r="BB629" s="32" t="str">
        <f aca="false">IF(OR(BA629="",N(AR629)=0),"",BA629-AR629)</f>
        <v/>
      </c>
      <c r="BC629" s="35" t="str">
        <f aca="false">IF(OR(BA629="",N(U629)=0),"",BA629-U629)</f>
        <v/>
      </c>
      <c r="BD629" s="36" t="s">
        <v>198</v>
      </c>
    </row>
    <row r="630" customFormat="false" ht="15" hidden="false" customHeight="false" outlineLevel="0" collapsed="false">
      <c r="A630" s="2" t="s">
        <v>1067</v>
      </c>
      <c r="B630" s="2" t="n">
        <v>267</v>
      </c>
      <c r="C630" s="2" t="s">
        <v>1274</v>
      </c>
      <c r="D630" s="2" t="s">
        <v>1275</v>
      </c>
      <c r="E630" s="2" t="s">
        <v>1276</v>
      </c>
      <c r="F630" s="27" t="n">
        <v>313</v>
      </c>
      <c r="G630" s="2" t="s">
        <v>52</v>
      </c>
      <c r="H630" s="2" t="s">
        <v>58</v>
      </c>
      <c r="I630" s="2" t="s">
        <v>144</v>
      </c>
      <c r="J630" s="2" t="s">
        <v>145</v>
      </c>
      <c r="K630" s="2" t="n">
        <v>4</v>
      </c>
      <c r="L630" s="28" t="n">
        <v>25</v>
      </c>
      <c r="M630" s="29" t="n">
        <v>0.062</v>
      </c>
      <c r="N630" s="28" t="n">
        <v>1.55</v>
      </c>
      <c r="O630" s="28" t="n">
        <v>0</v>
      </c>
      <c r="P630" s="2" t="s">
        <v>146</v>
      </c>
      <c r="Q630" s="29" t="n">
        <v>0.1</v>
      </c>
      <c r="R630" s="30" t="n">
        <v>0.095</v>
      </c>
      <c r="S630" s="31" t="n">
        <v>16.3157894736842</v>
      </c>
      <c r="T630" s="30"/>
      <c r="U630" s="30"/>
      <c r="V630" s="29" t="n">
        <v>-0.005</v>
      </c>
      <c r="W630" s="29" t="n">
        <f aca="false">IF(N(Q630)=0,"",Q630+IF(I630="yes",Q630*Inputs!$B$10*Inputs!$B$9,0)+V630)</f>
        <v>0.095</v>
      </c>
      <c r="X630" s="28" t="n">
        <f aca="false">IF(OR(N(W630)&lt;=0,N(N630)=0,N(L630)=0),"",MIN(L630,N630/W630))</f>
        <v>16.3157894736842</v>
      </c>
      <c r="Y630" s="29" t="str">
        <f aca="false">IF(OR(X630="",N(O630)=0),"",X630/O630-1)</f>
        <v/>
      </c>
      <c r="Z630" s="29" t="str">
        <f aca="false">IF(OR(Y630="",N(O630)=0),"",Y630+N630/O630)</f>
        <v/>
      </c>
      <c r="AA630" s="32" t="str">
        <f aca="false">IF(OR(Z630="",N(U630)=0),"",Z630-U630)</f>
        <v/>
      </c>
      <c r="AB630" s="29" t="n">
        <f aca="false">IF(N(Q630)=0,"",Q630+IF(I630="yes",Q630*Inputs!$B$10*Inputs!$B$9,0)+IFERROR(INDEX(Inputs!$B$13:$B$15,MATCH(G630,Inputs!$A$13:$A$15,0)),0)+IFERROR(INDEX(Inputs!$B$18:$B$24,MATCH(H630,Inputs!$A$18:$A$24,0)),0))</f>
        <v>0.095</v>
      </c>
      <c r="AC630" s="28" t="n">
        <f aca="false">IF(OR(N(AB630)&lt;=0,N(N630)=0,N(L630)=0),"",MIN(L630,N630/AB630))</f>
        <v>16.3157894736842</v>
      </c>
      <c r="AD630" s="29" t="str">
        <f aca="false">IF(OR(AC630="",N(O630)=0),"",AC630/O630-1)</f>
        <v/>
      </c>
      <c r="AE630" s="29" t="str">
        <f aca="false">IF(OR(AD630="",N(O630)=0),"",AD630+N630/O630)</f>
        <v/>
      </c>
      <c r="AF630" s="32" t="str">
        <f aca="false">IF(OR(AE630="",N(Z630)=0),"",AE630-Z630)</f>
        <v/>
      </c>
      <c r="AG630" s="28" t="n">
        <f aca="false">IF(AND(N(M630)&gt;0,N(L630)&gt;0),M630*L630,N630)</f>
        <v>1.55</v>
      </c>
      <c r="AH630" s="28" t="n">
        <f aca="false">IF(OR(N(AB630)&lt;=0,N(AG630)=0,N(L630)=0),"",MIN(L630,AG630/AB630))</f>
        <v>16.3157894736842</v>
      </c>
      <c r="AI630" s="29" t="str">
        <f aca="false">IF(OR(AH630="",N(O630)=0),"",AH630/O630-1)</f>
        <v/>
      </c>
      <c r="AJ630" s="29" t="str">
        <f aca="false">IF(OR(AI630="",N(O630)=0),"",AI630+AG630/O630)</f>
        <v/>
      </c>
      <c r="AK630" s="32" t="str">
        <f aca="false">IF(OR(AJ630="",N(AE630)=0),"",AJ630-AE630)</f>
        <v/>
      </c>
      <c r="AL630" s="33" t="n">
        <f aca="false">IF(N(F630)=0,"",INDEX(Inputs!$B$28:$B$32,IFERROR(MATCH(F630,Inputs!$A$28:$A$32,1),0)+1))</f>
        <v>0.09</v>
      </c>
      <c r="AM630" s="34"/>
      <c r="AN630" s="33" t="n">
        <f aca="false">IF(N(AM630)&gt;0,AM630,AL630)</f>
        <v>0.09</v>
      </c>
      <c r="AO630" s="29" t="n">
        <f aca="false">IF(N(AN630)=0,"",AN630+IF(I630="yes",AN630*Inputs!$B$10*Inputs!$B$9,0)+IFERROR(INDEX(Inputs!$B$13:$B$15,MATCH(G630,Inputs!$A$13:$A$15,0)),0)+IFERROR(INDEX(Inputs!$B$18:$B$24,MATCH(H630,Inputs!$A$18:$A$24,0)),0))</f>
        <v>0.085</v>
      </c>
      <c r="AP630" s="28" t="n">
        <f aca="false">IF(OR(N(AO630)&lt;=0,N(AG630)=0,N(L630)=0),"",MIN(L630,AG630/AO630))</f>
        <v>18.2352941176471</v>
      </c>
      <c r="AQ630" s="29" t="str">
        <f aca="false">IF(OR(AP630="",N(O630)=0),"",AP630/O630-1)</f>
        <v/>
      </c>
      <c r="AR630" s="29" t="str">
        <f aca="false">IF(OR(AQ630="",N(O630)=0),"",AQ630+AG630/O630)</f>
        <v/>
      </c>
      <c r="AS630" s="32" t="str">
        <f aca="false">IF(OR(AR630="",N(AJ630)=0),"",AR630-AJ630)</f>
        <v/>
      </c>
      <c r="AT630" s="28" t="n">
        <v>25</v>
      </c>
      <c r="AU630" s="28" t="n">
        <v>1.55</v>
      </c>
      <c r="AV630" s="28" t="n">
        <f aca="false">IF(N(AT630)&gt;0,AT630,L630)</f>
        <v>25</v>
      </c>
      <c r="AW630" s="28" t="n">
        <f aca="false">IF(AND(N(M630)&gt;0,N(AV630)&gt;0),M630*AV630,IF(N(AU630)&gt;0,AU630,N630))</f>
        <v>1.55</v>
      </c>
      <c r="AX630" s="29" t="n">
        <f aca="false">IF(N(AN630)=0,"",AN630+IF(I630="yes",AN630*Inputs!$B$10*Inputs!$B$9,0)+IFERROR(INDEX(Inputs!$B$13:$B$15,MATCH(G630,Inputs!$A$13:$A$15,0)),0)+IFERROR(INDEX(Inputs!$B$18:$B$24,MATCH(H630,Inputs!$A$18:$A$24,0)),0))</f>
        <v>0.085</v>
      </c>
      <c r="AY630" s="28" t="n">
        <f aca="false">IF(OR(N(AX630)&lt;=0,N(AW630)=0,N(AV630)=0),"",MIN(AV630,AW630/AX630))</f>
        <v>18.2352941176471</v>
      </c>
      <c r="AZ630" s="29" t="str">
        <f aca="false">IF(OR(AY630="",N(O630)=0),"",AY630/O630-1)</f>
        <v/>
      </c>
      <c r="BA630" s="29" t="str">
        <f aca="false">IF(OR(AZ630="",N(O630)=0),"",AZ630+AW630/O630)</f>
        <v/>
      </c>
      <c r="BB630" s="32" t="str">
        <f aca="false">IF(OR(BA630="",N(AR630)=0),"",BA630-AR630)</f>
        <v/>
      </c>
      <c r="BC630" s="35" t="str">
        <f aca="false">IF(OR(BA630="",N(U630)=0),"",BA630-U630)</f>
        <v/>
      </c>
      <c r="BD630" s="36" t="s">
        <v>299</v>
      </c>
    </row>
    <row r="631" customFormat="false" ht="15" hidden="false" customHeight="false" outlineLevel="0" collapsed="false">
      <c r="A631" s="2" t="s">
        <v>1067</v>
      </c>
      <c r="B631" s="2" t="n">
        <v>268</v>
      </c>
      <c r="C631" s="2" t="s">
        <v>1277</v>
      </c>
      <c r="D631" s="2" t="s">
        <v>1275</v>
      </c>
      <c r="E631" s="2" t="s">
        <v>1276</v>
      </c>
      <c r="F631" s="27" t="n">
        <v>313</v>
      </c>
      <c r="G631" s="2" t="s">
        <v>52</v>
      </c>
      <c r="H631" s="2" t="s">
        <v>58</v>
      </c>
      <c r="I631" s="2" t="s">
        <v>144</v>
      </c>
      <c r="J631" s="2" t="s">
        <v>145</v>
      </c>
      <c r="K631" s="2" t="n">
        <v>4</v>
      </c>
      <c r="L631" s="28" t="n">
        <v>25</v>
      </c>
      <c r="M631" s="29" t="n">
        <v>0.0575</v>
      </c>
      <c r="N631" s="28" t="n">
        <v>1.4375</v>
      </c>
      <c r="O631" s="28" t="n">
        <v>0</v>
      </c>
      <c r="P631" s="2" t="s">
        <v>146</v>
      </c>
      <c r="Q631" s="29" t="n">
        <v>0.1</v>
      </c>
      <c r="R631" s="30" t="n">
        <v>0.095</v>
      </c>
      <c r="S631" s="31" t="n">
        <v>15.1315789473684</v>
      </c>
      <c r="T631" s="30"/>
      <c r="U631" s="30"/>
      <c r="V631" s="29" t="n">
        <v>-0.005</v>
      </c>
      <c r="W631" s="29" t="n">
        <f aca="false">IF(N(Q631)=0,"",Q631+IF(I631="yes",Q631*Inputs!$B$10*Inputs!$B$9,0)+V631)</f>
        <v>0.095</v>
      </c>
      <c r="X631" s="28" t="n">
        <f aca="false">IF(OR(N(W631)&lt;=0,N(N631)=0,N(L631)=0),"",MIN(L631,N631/W631))</f>
        <v>15.1315789473684</v>
      </c>
      <c r="Y631" s="29" t="str">
        <f aca="false">IF(OR(X631="",N(O631)=0),"",X631/O631-1)</f>
        <v/>
      </c>
      <c r="Z631" s="29" t="str">
        <f aca="false">IF(OR(Y631="",N(O631)=0),"",Y631+N631/O631)</f>
        <v/>
      </c>
      <c r="AA631" s="32" t="str">
        <f aca="false">IF(OR(Z631="",N(U631)=0),"",Z631-U631)</f>
        <v/>
      </c>
      <c r="AB631" s="29" t="n">
        <f aca="false">IF(N(Q631)=0,"",Q631+IF(I631="yes",Q631*Inputs!$B$10*Inputs!$B$9,0)+IFERROR(INDEX(Inputs!$B$13:$B$15,MATCH(G631,Inputs!$A$13:$A$15,0)),0)+IFERROR(INDEX(Inputs!$B$18:$B$24,MATCH(H631,Inputs!$A$18:$A$24,0)),0))</f>
        <v>0.095</v>
      </c>
      <c r="AC631" s="28" t="n">
        <f aca="false">IF(OR(N(AB631)&lt;=0,N(N631)=0,N(L631)=0),"",MIN(L631,N631/AB631))</f>
        <v>15.1315789473684</v>
      </c>
      <c r="AD631" s="29" t="str">
        <f aca="false">IF(OR(AC631="",N(O631)=0),"",AC631/O631-1)</f>
        <v/>
      </c>
      <c r="AE631" s="29" t="str">
        <f aca="false">IF(OR(AD631="",N(O631)=0),"",AD631+N631/O631)</f>
        <v/>
      </c>
      <c r="AF631" s="32" t="str">
        <f aca="false">IF(OR(AE631="",N(Z631)=0),"",AE631-Z631)</f>
        <v/>
      </c>
      <c r="AG631" s="28" t="n">
        <f aca="false">IF(AND(N(M631)&gt;0,N(L631)&gt;0),M631*L631,N631)</f>
        <v>1.4375</v>
      </c>
      <c r="AH631" s="28" t="n">
        <f aca="false">IF(OR(N(AB631)&lt;=0,N(AG631)=0,N(L631)=0),"",MIN(L631,AG631/AB631))</f>
        <v>15.1315789473684</v>
      </c>
      <c r="AI631" s="29" t="str">
        <f aca="false">IF(OR(AH631="",N(O631)=0),"",AH631/O631-1)</f>
        <v/>
      </c>
      <c r="AJ631" s="29" t="str">
        <f aca="false">IF(OR(AI631="",N(O631)=0),"",AI631+AG631/O631)</f>
        <v/>
      </c>
      <c r="AK631" s="32" t="str">
        <f aca="false">IF(OR(AJ631="",N(AE631)=0),"",AJ631-AE631)</f>
        <v/>
      </c>
      <c r="AL631" s="33" t="n">
        <f aca="false">IF(N(F631)=0,"",INDEX(Inputs!$B$28:$B$32,IFERROR(MATCH(F631,Inputs!$A$28:$A$32,1),0)+1))</f>
        <v>0.09</v>
      </c>
      <c r="AM631" s="34"/>
      <c r="AN631" s="33" t="n">
        <f aca="false">IF(N(AM631)&gt;0,AM631,AL631)</f>
        <v>0.09</v>
      </c>
      <c r="AO631" s="29" t="n">
        <f aca="false">IF(N(AN631)=0,"",AN631+IF(I631="yes",AN631*Inputs!$B$10*Inputs!$B$9,0)+IFERROR(INDEX(Inputs!$B$13:$B$15,MATCH(G631,Inputs!$A$13:$A$15,0)),0)+IFERROR(INDEX(Inputs!$B$18:$B$24,MATCH(H631,Inputs!$A$18:$A$24,0)),0))</f>
        <v>0.085</v>
      </c>
      <c r="AP631" s="28" t="n">
        <f aca="false">IF(OR(N(AO631)&lt;=0,N(AG631)=0,N(L631)=0),"",MIN(L631,AG631/AO631))</f>
        <v>16.9117647058824</v>
      </c>
      <c r="AQ631" s="29" t="str">
        <f aca="false">IF(OR(AP631="",N(O631)=0),"",AP631/O631-1)</f>
        <v/>
      </c>
      <c r="AR631" s="29" t="str">
        <f aca="false">IF(OR(AQ631="",N(O631)=0),"",AQ631+AG631/O631)</f>
        <v/>
      </c>
      <c r="AS631" s="32" t="str">
        <f aca="false">IF(OR(AR631="",N(AJ631)=0),"",AR631-AJ631)</f>
        <v/>
      </c>
      <c r="AT631" s="28" t="n">
        <v>25</v>
      </c>
      <c r="AU631" s="28" t="n">
        <v>1.4375</v>
      </c>
      <c r="AV631" s="28" t="n">
        <f aca="false">IF(N(AT631)&gt;0,AT631,L631)</f>
        <v>25</v>
      </c>
      <c r="AW631" s="28" t="n">
        <f aca="false">IF(AND(N(M631)&gt;0,N(AV631)&gt;0),M631*AV631,IF(N(AU631)&gt;0,AU631,N631))</f>
        <v>1.4375</v>
      </c>
      <c r="AX631" s="29" t="n">
        <f aca="false">IF(N(AN631)=0,"",AN631+IF(I631="yes",AN631*Inputs!$B$10*Inputs!$B$9,0)+IFERROR(INDEX(Inputs!$B$13:$B$15,MATCH(G631,Inputs!$A$13:$A$15,0)),0)+IFERROR(INDEX(Inputs!$B$18:$B$24,MATCH(H631,Inputs!$A$18:$A$24,0)),0))</f>
        <v>0.085</v>
      </c>
      <c r="AY631" s="28" t="n">
        <f aca="false">IF(OR(N(AX631)&lt;=0,N(AW631)=0,N(AV631)=0),"",MIN(AV631,AW631/AX631))</f>
        <v>16.9117647058824</v>
      </c>
      <c r="AZ631" s="29" t="str">
        <f aca="false">IF(OR(AY631="",N(O631)=0),"",AY631/O631-1)</f>
        <v/>
      </c>
      <c r="BA631" s="29" t="str">
        <f aca="false">IF(OR(AZ631="",N(O631)=0),"",AZ631+AW631/O631)</f>
        <v/>
      </c>
      <c r="BB631" s="32" t="str">
        <f aca="false">IF(OR(BA631="",N(AR631)=0),"",BA631-AR631)</f>
        <v/>
      </c>
      <c r="BC631" s="35" t="str">
        <f aca="false">IF(OR(BA631="",N(U631)=0),"",BA631-U631)</f>
        <v/>
      </c>
      <c r="BD631" s="36" t="s">
        <v>299</v>
      </c>
    </row>
    <row r="632" customFormat="false" ht="15" hidden="false" customHeight="false" outlineLevel="0" collapsed="false">
      <c r="A632" s="2" t="s">
        <v>1067</v>
      </c>
      <c r="B632" s="2" t="n">
        <v>269</v>
      </c>
      <c r="C632" s="2" t="s">
        <v>1278</v>
      </c>
      <c r="D632" s="2" t="s">
        <v>1275</v>
      </c>
      <c r="E632" s="2" t="s">
        <v>1276</v>
      </c>
      <c r="F632" s="27" t="n">
        <v>313</v>
      </c>
      <c r="G632" s="2" t="s">
        <v>51</v>
      </c>
      <c r="H632" s="2" t="s">
        <v>63</v>
      </c>
      <c r="I632" s="2" t="s">
        <v>144</v>
      </c>
      <c r="J632" s="2" t="s">
        <v>145</v>
      </c>
      <c r="K632" s="2" t="n">
        <v>4</v>
      </c>
      <c r="L632" s="28" t="n">
        <v>25</v>
      </c>
      <c r="M632" s="29" t="n">
        <v>0.0625</v>
      </c>
      <c r="N632" s="28" t="n">
        <v>1.5625</v>
      </c>
      <c r="O632" s="28" t="n">
        <v>12.5</v>
      </c>
      <c r="P632" s="2" t="s">
        <v>146</v>
      </c>
      <c r="Q632" s="29" t="n">
        <v>0.1</v>
      </c>
      <c r="R632" s="30" t="n">
        <v>0.1</v>
      </c>
      <c r="S632" s="31" t="n">
        <v>15.625</v>
      </c>
      <c r="T632" s="30" t="n">
        <v>0.25</v>
      </c>
      <c r="U632" s="30" t="n">
        <v>0.375</v>
      </c>
      <c r="V632" s="29" t="n">
        <v>0</v>
      </c>
      <c r="W632" s="29" t="n">
        <f aca="false">IF(N(Q632)=0,"",Q632+IF(I632="yes",Q632*Inputs!$B$10*Inputs!$B$9,0)+V632)</f>
        <v>0.1</v>
      </c>
      <c r="X632" s="28" t="n">
        <f aca="false">IF(OR(N(W632)&lt;=0,N(N632)=0,N(L632)=0),"",MIN(L632,N632/W632))</f>
        <v>15.625</v>
      </c>
      <c r="Y632" s="29" t="n">
        <f aca="false">IF(OR(X632="",N(O632)=0),"",X632/O632-1)</f>
        <v>0.25</v>
      </c>
      <c r="Z632" s="29" t="n">
        <f aca="false">IF(OR(Y632="",N(O632)=0),"",Y632+N632/O632)</f>
        <v>0.375</v>
      </c>
      <c r="AA632" s="32" t="n">
        <f aca="false">IF(OR(Z632="",N(U632)=0),"",Z632-U632)</f>
        <v>0</v>
      </c>
      <c r="AB632" s="29" t="n">
        <f aca="false">IF(N(Q632)=0,"",Q632+IF(I632="yes",Q632*Inputs!$B$10*Inputs!$B$9,0)+IFERROR(INDEX(Inputs!$B$13:$B$15,MATCH(G632,Inputs!$A$13:$A$15,0)),0)+IFERROR(INDEX(Inputs!$B$18:$B$24,MATCH(H632,Inputs!$A$18:$A$24,0)),0))</f>
        <v>0.1</v>
      </c>
      <c r="AC632" s="28" t="n">
        <f aca="false">IF(OR(N(AB632)&lt;=0,N(N632)=0,N(L632)=0),"",MIN(L632,N632/AB632))</f>
        <v>15.625</v>
      </c>
      <c r="AD632" s="29" t="n">
        <f aca="false">IF(OR(AC632="",N(O632)=0),"",AC632/O632-1)</f>
        <v>0.25</v>
      </c>
      <c r="AE632" s="29" t="n">
        <f aca="false">IF(OR(AD632="",N(O632)=0),"",AD632+N632/O632)</f>
        <v>0.375</v>
      </c>
      <c r="AF632" s="32" t="n">
        <f aca="false">IF(OR(AE632="",N(Z632)=0),"",AE632-Z632)</f>
        <v>0</v>
      </c>
      <c r="AG632" s="28" t="n">
        <f aca="false">IF(AND(N(M632)&gt;0,N(L632)&gt;0),M632*L632,N632)</f>
        <v>1.5625</v>
      </c>
      <c r="AH632" s="28" t="n">
        <f aca="false">IF(OR(N(AB632)&lt;=0,N(AG632)=0,N(L632)=0),"",MIN(L632,AG632/AB632))</f>
        <v>15.625</v>
      </c>
      <c r="AI632" s="29" t="n">
        <f aca="false">IF(OR(AH632="",N(O632)=0),"",AH632/O632-1)</f>
        <v>0.25</v>
      </c>
      <c r="AJ632" s="29" t="n">
        <f aca="false">IF(OR(AI632="",N(O632)=0),"",AI632+AG632/O632)</f>
        <v>0.375</v>
      </c>
      <c r="AK632" s="32" t="n">
        <f aca="false">IF(OR(AJ632="",N(AE632)=0),"",AJ632-AE632)</f>
        <v>0</v>
      </c>
      <c r="AL632" s="33" t="n">
        <f aca="false">IF(N(F632)=0,"",INDEX(Inputs!$B$28:$B$32,IFERROR(MATCH(F632,Inputs!$A$28:$A$32,1),0)+1))</f>
        <v>0.09</v>
      </c>
      <c r="AM632" s="34"/>
      <c r="AN632" s="33" t="n">
        <f aca="false">IF(N(AM632)&gt;0,AM632,AL632)</f>
        <v>0.09</v>
      </c>
      <c r="AO632" s="29" t="n">
        <f aca="false">IF(N(AN632)=0,"",AN632+IF(I632="yes",AN632*Inputs!$B$10*Inputs!$B$9,0)+IFERROR(INDEX(Inputs!$B$13:$B$15,MATCH(G632,Inputs!$A$13:$A$15,0)),0)+IFERROR(INDEX(Inputs!$B$18:$B$24,MATCH(H632,Inputs!$A$18:$A$24,0)),0))</f>
        <v>0.09</v>
      </c>
      <c r="AP632" s="28" t="n">
        <f aca="false">IF(OR(N(AO632)&lt;=0,N(AG632)=0,N(L632)=0),"",MIN(L632,AG632/AO632))</f>
        <v>17.3611111111111</v>
      </c>
      <c r="AQ632" s="29" t="n">
        <f aca="false">IF(OR(AP632="",N(O632)=0),"",AP632/O632-1)</f>
        <v>0.388888888888889</v>
      </c>
      <c r="AR632" s="29" t="n">
        <f aca="false">IF(OR(AQ632="",N(O632)=0),"",AQ632+AG632/O632)</f>
        <v>0.513888888888889</v>
      </c>
      <c r="AS632" s="32" t="n">
        <f aca="false">IF(OR(AR632="",N(AJ632)=0),"",AR632-AJ632)</f>
        <v>0.138888888888889</v>
      </c>
      <c r="AT632" s="28" t="n">
        <v>25</v>
      </c>
      <c r="AU632" s="28" t="n">
        <v>1.56</v>
      </c>
      <c r="AV632" s="28" t="n">
        <f aca="false">IF(N(AT632)&gt;0,AT632,L632)</f>
        <v>25</v>
      </c>
      <c r="AW632" s="28" t="n">
        <f aca="false">IF(AND(N(M632)&gt;0,N(AV632)&gt;0),M632*AV632,IF(N(AU632)&gt;0,AU632,N632))</f>
        <v>1.5625</v>
      </c>
      <c r="AX632" s="29" t="n">
        <f aca="false">IF(N(AN632)=0,"",AN632+IF(I632="yes",AN632*Inputs!$B$10*Inputs!$B$9,0)+IFERROR(INDEX(Inputs!$B$13:$B$15,MATCH(G632,Inputs!$A$13:$A$15,0)),0)+IFERROR(INDEX(Inputs!$B$18:$B$24,MATCH(H632,Inputs!$A$18:$A$24,0)),0))</f>
        <v>0.09</v>
      </c>
      <c r="AY632" s="28" t="n">
        <f aca="false">IF(OR(N(AX632)&lt;=0,N(AW632)=0,N(AV632)=0),"",MIN(AV632,AW632/AX632))</f>
        <v>17.3611111111111</v>
      </c>
      <c r="AZ632" s="29" t="n">
        <f aca="false">IF(OR(AY632="",N(O632)=0),"",AY632/O632-1)</f>
        <v>0.388888888888889</v>
      </c>
      <c r="BA632" s="29" t="n">
        <f aca="false">IF(OR(AZ632="",N(O632)=0),"",AZ632+AW632/O632)</f>
        <v>0.513888888888889</v>
      </c>
      <c r="BB632" s="32" t="n">
        <f aca="false">IF(OR(BA632="",N(AR632)=0),"",BA632-AR632)</f>
        <v>0</v>
      </c>
      <c r="BC632" s="35" t="n">
        <f aca="false">IF(OR(BA632="",N(U632)=0),"",BA632-U632)</f>
        <v>0.138888888888889</v>
      </c>
      <c r="BD632" s="37"/>
    </row>
    <row r="633" customFormat="false" ht="15" hidden="false" customHeight="false" outlineLevel="0" collapsed="false">
      <c r="A633" s="2" t="s">
        <v>1067</v>
      </c>
      <c r="B633" s="2" t="n">
        <v>270</v>
      </c>
      <c r="C633" s="2" t="s">
        <v>1279</v>
      </c>
      <c r="D633" s="2" t="s">
        <v>1275</v>
      </c>
      <c r="E633" s="2" t="s">
        <v>1276</v>
      </c>
      <c r="F633" s="27" t="n">
        <v>313</v>
      </c>
      <c r="G633" s="2" t="s">
        <v>51</v>
      </c>
      <c r="H633" s="2" t="s">
        <v>58</v>
      </c>
      <c r="I633" s="2" t="s">
        <v>144</v>
      </c>
      <c r="J633" s="2" t="s">
        <v>145</v>
      </c>
      <c r="K633" s="2" t="n">
        <v>4</v>
      </c>
      <c r="L633" s="28" t="n">
        <v>25</v>
      </c>
      <c r="M633" s="29" t="n">
        <v>0.065</v>
      </c>
      <c r="N633" s="28" t="n">
        <v>1.625</v>
      </c>
      <c r="O633" s="28" t="n">
        <v>13.33</v>
      </c>
      <c r="P633" s="2" t="s">
        <v>146</v>
      </c>
      <c r="Q633" s="29" t="n">
        <v>0.1</v>
      </c>
      <c r="R633" s="30" t="n">
        <v>0.1</v>
      </c>
      <c r="S633" s="31" t="n">
        <v>16.25</v>
      </c>
      <c r="T633" s="30" t="n">
        <v>0.219054763690923</v>
      </c>
      <c r="U633" s="30" t="n">
        <v>0.340960240060015</v>
      </c>
      <c r="V633" s="29" t="n">
        <v>0</v>
      </c>
      <c r="W633" s="29" t="n">
        <f aca="false">IF(N(Q633)=0,"",Q633+IF(I633="yes",Q633*Inputs!$B$10*Inputs!$B$9,0)+V633)</f>
        <v>0.1</v>
      </c>
      <c r="X633" s="28" t="n">
        <f aca="false">IF(OR(N(W633)&lt;=0,N(N633)=0,N(L633)=0),"",MIN(L633,N633/W633))</f>
        <v>16.25</v>
      </c>
      <c r="Y633" s="29" t="n">
        <f aca="false">IF(OR(X633="",N(O633)=0),"",X633/O633-1)</f>
        <v>0.219054763690923</v>
      </c>
      <c r="Z633" s="29" t="n">
        <f aca="false">IF(OR(Y633="",N(O633)=0),"",Y633+N633/O633)</f>
        <v>0.340960240060015</v>
      </c>
      <c r="AA633" s="32" t="n">
        <f aca="false">IF(OR(Z633="",N(U633)=0),"",Z633-U633)</f>
        <v>0</v>
      </c>
      <c r="AB633" s="29" t="n">
        <f aca="false">IF(N(Q633)=0,"",Q633+IF(I633="yes",Q633*Inputs!$B$10*Inputs!$B$9,0)+IFERROR(INDEX(Inputs!$B$13:$B$15,MATCH(G633,Inputs!$A$13:$A$15,0)),0)+IFERROR(INDEX(Inputs!$B$18:$B$24,MATCH(H633,Inputs!$A$18:$A$24,0)),0))</f>
        <v>0.1</v>
      </c>
      <c r="AC633" s="28" t="n">
        <f aca="false">IF(OR(N(AB633)&lt;=0,N(N633)=0,N(L633)=0),"",MIN(L633,N633/AB633))</f>
        <v>16.25</v>
      </c>
      <c r="AD633" s="29" t="n">
        <f aca="false">IF(OR(AC633="",N(O633)=0),"",AC633/O633-1)</f>
        <v>0.219054763690923</v>
      </c>
      <c r="AE633" s="29" t="n">
        <f aca="false">IF(OR(AD633="",N(O633)=0),"",AD633+N633/O633)</f>
        <v>0.340960240060015</v>
      </c>
      <c r="AF633" s="32" t="n">
        <f aca="false">IF(OR(AE633="",N(Z633)=0),"",AE633-Z633)</f>
        <v>0</v>
      </c>
      <c r="AG633" s="28" t="n">
        <f aca="false">IF(AND(N(M633)&gt;0,N(L633)&gt;0),M633*L633,N633)</f>
        <v>1.625</v>
      </c>
      <c r="AH633" s="28" t="n">
        <f aca="false">IF(OR(N(AB633)&lt;=0,N(AG633)=0,N(L633)=0),"",MIN(L633,AG633/AB633))</f>
        <v>16.25</v>
      </c>
      <c r="AI633" s="29" t="n">
        <f aca="false">IF(OR(AH633="",N(O633)=0),"",AH633/O633-1)</f>
        <v>0.219054763690923</v>
      </c>
      <c r="AJ633" s="29" t="n">
        <f aca="false">IF(OR(AI633="",N(O633)=0),"",AI633+AG633/O633)</f>
        <v>0.340960240060015</v>
      </c>
      <c r="AK633" s="32" t="n">
        <f aca="false">IF(OR(AJ633="",N(AE633)=0),"",AJ633-AE633)</f>
        <v>0</v>
      </c>
      <c r="AL633" s="33" t="n">
        <f aca="false">IF(N(F633)=0,"",INDEX(Inputs!$B$28:$B$32,IFERROR(MATCH(F633,Inputs!$A$28:$A$32,1),0)+1))</f>
        <v>0.09</v>
      </c>
      <c r="AM633" s="34"/>
      <c r="AN633" s="33" t="n">
        <f aca="false">IF(N(AM633)&gt;0,AM633,AL633)</f>
        <v>0.09</v>
      </c>
      <c r="AO633" s="29" t="n">
        <f aca="false">IF(N(AN633)=0,"",AN633+IF(I633="yes",AN633*Inputs!$B$10*Inputs!$B$9,0)+IFERROR(INDEX(Inputs!$B$13:$B$15,MATCH(G633,Inputs!$A$13:$A$15,0)),0)+IFERROR(INDEX(Inputs!$B$18:$B$24,MATCH(H633,Inputs!$A$18:$A$24,0)),0))</f>
        <v>0.09</v>
      </c>
      <c r="AP633" s="28" t="n">
        <f aca="false">IF(OR(N(AO633)&lt;=0,N(AG633)=0,N(L633)=0),"",MIN(L633,AG633/AO633))</f>
        <v>18.0555555555556</v>
      </c>
      <c r="AQ633" s="29" t="n">
        <f aca="false">IF(OR(AP633="",N(O633)=0),"",AP633/O633-1)</f>
        <v>0.354505292989914</v>
      </c>
      <c r="AR633" s="29" t="n">
        <f aca="false">IF(OR(AQ633="",N(O633)=0),"",AQ633+AG633/O633)</f>
        <v>0.476410769359006</v>
      </c>
      <c r="AS633" s="32" t="n">
        <f aca="false">IF(OR(AR633="",N(AJ633)=0),"",AR633-AJ633)</f>
        <v>0.135450529298991</v>
      </c>
      <c r="AT633" s="28" t="n">
        <v>25</v>
      </c>
      <c r="AU633" s="28" t="n">
        <v>1.625</v>
      </c>
      <c r="AV633" s="28" t="n">
        <f aca="false">IF(N(AT633)&gt;0,AT633,L633)</f>
        <v>25</v>
      </c>
      <c r="AW633" s="28" t="n">
        <f aca="false">IF(AND(N(M633)&gt;0,N(AV633)&gt;0),M633*AV633,IF(N(AU633)&gt;0,AU633,N633))</f>
        <v>1.625</v>
      </c>
      <c r="AX633" s="29" t="n">
        <f aca="false">IF(N(AN633)=0,"",AN633+IF(I633="yes",AN633*Inputs!$B$10*Inputs!$B$9,0)+IFERROR(INDEX(Inputs!$B$13:$B$15,MATCH(G633,Inputs!$A$13:$A$15,0)),0)+IFERROR(INDEX(Inputs!$B$18:$B$24,MATCH(H633,Inputs!$A$18:$A$24,0)),0))</f>
        <v>0.09</v>
      </c>
      <c r="AY633" s="28" t="n">
        <f aca="false">IF(OR(N(AX633)&lt;=0,N(AW633)=0,N(AV633)=0),"",MIN(AV633,AW633/AX633))</f>
        <v>18.0555555555556</v>
      </c>
      <c r="AZ633" s="29" t="n">
        <f aca="false">IF(OR(AY633="",N(O633)=0),"",AY633/O633-1)</f>
        <v>0.354505292989914</v>
      </c>
      <c r="BA633" s="29" t="n">
        <f aca="false">IF(OR(AZ633="",N(O633)=0),"",AZ633+AW633/O633)</f>
        <v>0.476410769359006</v>
      </c>
      <c r="BB633" s="32" t="n">
        <f aca="false">IF(OR(BA633="",N(AR633)=0),"",BA633-AR633)</f>
        <v>0</v>
      </c>
      <c r="BC633" s="35" t="n">
        <f aca="false">IF(OR(BA633="",N(U633)=0),"",BA633-U633)</f>
        <v>0.135450529298991</v>
      </c>
      <c r="BD633" s="37"/>
    </row>
    <row r="634" customFormat="false" ht="15" hidden="false" customHeight="false" outlineLevel="0" collapsed="false">
      <c r="A634" s="2" t="s">
        <v>1067</v>
      </c>
      <c r="B634" s="2" t="n">
        <v>273</v>
      </c>
      <c r="C634" s="2" t="s">
        <v>1280</v>
      </c>
      <c r="D634" s="2" t="s">
        <v>1281</v>
      </c>
      <c r="E634" s="2" t="s">
        <v>1282</v>
      </c>
      <c r="F634" s="27" t="n">
        <v>14000</v>
      </c>
      <c r="G634" s="2" t="s">
        <v>51</v>
      </c>
      <c r="H634" s="2" t="s">
        <v>58</v>
      </c>
      <c r="I634" s="2" t="s">
        <v>144</v>
      </c>
      <c r="J634" s="2" t="s">
        <v>145</v>
      </c>
      <c r="K634" s="2" t="n">
        <v>4</v>
      </c>
      <c r="L634" s="28" t="n">
        <v>25</v>
      </c>
      <c r="M634" s="29" t="n">
        <v>0.0588</v>
      </c>
      <c r="N634" s="28" t="n">
        <v>1.47</v>
      </c>
      <c r="O634" s="28" t="n">
        <v>22.1</v>
      </c>
      <c r="P634" s="2" t="s">
        <v>146</v>
      </c>
      <c r="Q634" s="29" t="n">
        <v>0.08</v>
      </c>
      <c r="R634" s="30" t="n">
        <v>0.08</v>
      </c>
      <c r="S634" s="31" t="n">
        <v>18.375</v>
      </c>
      <c r="T634" s="30" t="n">
        <v>-0.168552036199095</v>
      </c>
      <c r="U634" s="30" t="n">
        <v>-0.102036199095023</v>
      </c>
      <c r="V634" s="29" t="n">
        <v>0</v>
      </c>
      <c r="W634" s="29" t="n">
        <f aca="false">IF(N(Q634)=0,"",Q634+IF(I634="yes",Q634*Inputs!$B$10*Inputs!$B$9,0)+V634)</f>
        <v>0.08</v>
      </c>
      <c r="X634" s="28" t="n">
        <f aca="false">IF(OR(N(W634)&lt;=0,N(N634)=0,N(L634)=0),"",MIN(L634,N634/W634))</f>
        <v>18.375</v>
      </c>
      <c r="Y634" s="29" t="n">
        <f aca="false">IF(OR(X634="",N(O634)=0),"",X634/O634-1)</f>
        <v>-0.168552036199095</v>
      </c>
      <c r="Z634" s="29" t="n">
        <f aca="false">IF(OR(Y634="",N(O634)=0),"",Y634+N634/O634)</f>
        <v>-0.102036199095023</v>
      </c>
      <c r="AA634" s="32" t="n">
        <f aca="false">IF(OR(Z634="",N(U634)=0),"",Z634-U634)</f>
        <v>0</v>
      </c>
      <c r="AB634" s="29" t="n">
        <f aca="false">IF(N(Q634)=0,"",Q634+IF(I634="yes",Q634*Inputs!$B$10*Inputs!$B$9,0)+IFERROR(INDEX(Inputs!$B$13:$B$15,MATCH(G634,Inputs!$A$13:$A$15,0)),0)+IFERROR(INDEX(Inputs!$B$18:$B$24,MATCH(H634,Inputs!$A$18:$A$24,0)),0))</f>
        <v>0.08</v>
      </c>
      <c r="AC634" s="28" t="n">
        <f aca="false">IF(OR(N(AB634)&lt;=0,N(N634)=0,N(L634)=0),"",MIN(L634,N634/AB634))</f>
        <v>18.375</v>
      </c>
      <c r="AD634" s="29" t="n">
        <f aca="false">IF(OR(AC634="",N(O634)=0),"",AC634/O634-1)</f>
        <v>-0.168552036199095</v>
      </c>
      <c r="AE634" s="29" t="n">
        <f aca="false">IF(OR(AD634="",N(O634)=0),"",AD634+N634/O634)</f>
        <v>-0.102036199095023</v>
      </c>
      <c r="AF634" s="32" t="n">
        <f aca="false">IF(OR(AE634="",N(Z634)=0),"",AE634-Z634)</f>
        <v>0</v>
      </c>
      <c r="AG634" s="28" t="n">
        <f aca="false">IF(AND(N(M634)&gt;0,N(L634)&gt;0),M634*L634,N634)</f>
        <v>1.47</v>
      </c>
      <c r="AH634" s="28" t="n">
        <f aca="false">IF(OR(N(AB634)&lt;=0,N(AG634)=0,N(L634)=0),"",MIN(L634,AG634/AB634))</f>
        <v>18.375</v>
      </c>
      <c r="AI634" s="29" t="n">
        <f aca="false">IF(OR(AH634="",N(O634)=0),"",AH634/O634-1)</f>
        <v>-0.168552036199095</v>
      </c>
      <c r="AJ634" s="29" t="n">
        <f aca="false">IF(OR(AI634="",N(O634)=0),"",AI634+AG634/O634)</f>
        <v>-0.102036199095023</v>
      </c>
      <c r="AK634" s="32" t="n">
        <f aca="false">IF(OR(AJ634="",N(AE634)=0),"",AJ634-AE634)</f>
        <v>0</v>
      </c>
      <c r="AL634" s="33" t="n">
        <f aca="false">IF(N(F634)=0,"",INDEX(Inputs!$B$28:$B$32,IFERROR(MATCH(F634,Inputs!$A$28:$A$32,1),0)+1))</f>
        <v>0.08</v>
      </c>
      <c r="AM634" s="34"/>
      <c r="AN634" s="33" t="n">
        <f aca="false">IF(N(AM634)&gt;0,AM634,AL634)</f>
        <v>0.08</v>
      </c>
      <c r="AO634" s="29" t="n">
        <f aca="false">IF(N(AN634)=0,"",AN634+IF(I634="yes",AN634*Inputs!$B$10*Inputs!$B$9,0)+IFERROR(INDEX(Inputs!$B$13:$B$15,MATCH(G634,Inputs!$A$13:$A$15,0)),0)+IFERROR(INDEX(Inputs!$B$18:$B$24,MATCH(H634,Inputs!$A$18:$A$24,0)),0))</f>
        <v>0.08</v>
      </c>
      <c r="AP634" s="28" t="n">
        <f aca="false">IF(OR(N(AO634)&lt;=0,N(AG634)=0,N(L634)=0),"",MIN(L634,AG634/AO634))</f>
        <v>18.375</v>
      </c>
      <c r="AQ634" s="29" t="n">
        <f aca="false">IF(OR(AP634="",N(O634)=0),"",AP634/O634-1)</f>
        <v>-0.168552036199095</v>
      </c>
      <c r="AR634" s="29" t="n">
        <f aca="false">IF(OR(AQ634="",N(O634)=0),"",AQ634+AG634/O634)</f>
        <v>-0.102036199095023</v>
      </c>
      <c r="AS634" s="32" t="n">
        <f aca="false">IF(OR(AR634="",N(AJ634)=0),"",AR634-AJ634)</f>
        <v>0</v>
      </c>
      <c r="AT634" s="28" t="n">
        <v>25</v>
      </c>
      <c r="AU634" s="28" t="n">
        <v>1.47</v>
      </c>
      <c r="AV634" s="28" t="n">
        <f aca="false">IF(N(AT634)&gt;0,AT634,L634)</f>
        <v>25</v>
      </c>
      <c r="AW634" s="28" t="n">
        <f aca="false">IF(AND(N(M634)&gt;0,N(AV634)&gt;0),M634*AV634,IF(N(AU634)&gt;0,AU634,N634))</f>
        <v>1.47</v>
      </c>
      <c r="AX634" s="29" t="n">
        <f aca="false">IF(N(AN634)=0,"",AN634+IF(I634="yes",AN634*Inputs!$B$10*Inputs!$B$9,0)+IFERROR(INDEX(Inputs!$B$13:$B$15,MATCH(G634,Inputs!$A$13:$A$15,0)),0)+IFERROR(INDEX(Inputs!$B$18:$B$24,MATCH(H634,Inputs!$A$18:$A$24,0)),0))</f>
        <v>0.08</v>
      </c>
      <c r="AY634" s="28" t="n">
        <f aca="false">IF(OR(N(AX634)&lt;=0,N(AW634)=0,N(AV634)=0),"",MIN(AV634,AW634/AX634))</f>
        <v>18.375</v>
      </c>
      <c r="AZ634" s="29" t="n">
        <f aca="false">IF(OR(AY634="",N(O634)=0),"",AY634/O634-1)</f>
        <v>-0.168552036199095</v>
      </c>
      <c r="BA634" s="29" t="n">
        <f aca="false">IF(OR(AZ634="",N(O634)=0),"",AZ634+AW634/O634)</f>
        <v>-0.102036199095023</v>
      </c>
      <c r="BB634" s="32" t="n">
        <f aca="false">IF(OR(BA634="",N(AR634)=0),"",BA634-AR634)</f>
        <v>0</v>
      </c>
      <c r="BC634" s="35" t="n">
        <f aca="false">IF(OR(BA634="",N(U634)=0),"",BA634-U634)</f>
        <v>0</v>
      </c>
      <c r="BD634" s="37"/>
    </row>
    <row r="635" customFormat="false" ht="15" hidden="false" customHeight="false" outlineLevel="0" collapsed="false">
      <c r="A635" s="2" t="s">
        <v>1067</v>
      </c>
      <c r="B635" s="2" t="n">
        <v>274</v>
      </c>
      <c r="C635" s="2" t="s">
        <v>1283</v>
      </c>
      <c r="D635" s="2" t="s">
        <v>1281</v>
      </c>
      <c r="E635" s="2" t="s">
        <v>1282</v>
      </c>
      <c r="F635" s="27" t="n">
        <v>14000</v>
      </c>
      <c r="G635" s="2" t="s">
        <v>51</v>
      </c>
      <c r="H635" s="2" t="s">
        <v>58</v>
      </c>
      <c r="I635" s="2" t="s">
        <v>144</v>
      </c>
      <c r="J635" s="2" t="s">
        <v>145</v>
      </c>
      <c r="K635" s="2" t="n">
        <v>4</v>
      </c>
      <c r="L635" s="28" t="n">
        <v>25</v>
      </c>
      <c r="M635" s="29" t="n">
        <v>0.0625</v>
      </c>
      <c r="N635" s="28" t="n">
        <v>1.5625</v>
      </c>
      <c r="O635" s="28" t="n">
        <v>23.01</v>
      </c>
      <c r="P635" s="2" t="s">
        <v>146</v>
      </c>
      <c r="Q635" s="29" t="n">
        <v>0.08</v>
      </c>
      <c r="R635" s="30" t="n">
        <v>0.08</v>
      </c>
      <c r="S635" s="31" t="n">
        <v>19.53125</v>
      </c>
      <c r="T635" s="30" t="n">
        <v>-0.151184267709692</v>
      </c>
      <c r="U635" s="30" t="n">
        <v>-0.0832790091264668</v>
      </c>
      <c r="V635" s="29" t="n">
        <v>0</v>
      </c>
      <c r="W635" s="29" t="n">
        <f aca="false">IF(N(Q635)=0,"",Q635+IF(I635="yes",Q635*Inputs!$B$10*Inputs!$B$9,0)+V635)</f>
        <v>0.08</v>
      </c>
      <c r="X635" s="28" t="n">
        <f aca="false">IF(OR(N(W635)&lt;=0,N(N635)=0,N(L635)=0),"",MIN(L635,N635/W635))</f>
        <v>19.53125</v>
      </c>
      <c r="Y635" s="29" t="n">
        <f aca="false">IF(OR(X635="",N(O635)=0),"",X635/O635-1)</f>
        <v>-0.151184267709692</v>
      </c>
      <c r="Z635" s="29" t="n">
        <f aca="false">IF(OR(Y635="",N(O635)=0),"",Y635+N635/O635)</f>
        <v>-0.0832790091264668</v>
      </c>
      <c r="AA635" s="32" t="n">
        <f aca="false">IF(OR(Z635="",N(U635)=0),"",Z635-U635)</f>
        <v>0</v>
      </c>
      <c r="AB635" s="29" t="n">
        <f aca="false">IF(N(Q635)=0,"",Q635+IF(I635="yes",Q635*Inputs!$B$10*Inputs!$B$9,0)+IFERROR(INDEX(Inputs!$B$13:$B$15,MATCH(G635,Inputs!$A$13:$A$15,0)),0)+IFERROR(INDEX(Inputs!$B$18:$B$24,MATCH(H635,Inputs!$A$18:$A$24,0)),0))</f>
        <v>0.08</v>
      </c>
      <c r="AC635" s="28" t="n">
        <f aca="false">IF(OR(N(AB635)&lt;=0,N(N635)=0,N(L635)=0),"",MIN(L635,N635/AB635))</f>
        <v>19.53125</v>
      </c>
      <c r="AD635" s="29" t="n">
        <f aca="false">IF(OR(AC635="",N(O635)=0),"",AC635/O635-1)</f>
        <v>-0.151184267709692</v>
      </c>
      <c r="AE635" s="29" t="n">
        <f aca="false">IF(OR(AD635="",N(O635)=0),"",AD635+N635/O635)</f>
        <v>-0.0832790091264668</v>
      </c>
      <c r="AF635" s="32" t="n">
        <f aca="false">IF(OR(AE635="",N(Z635)=0),"",AE635-Z635)</f>
        <v>0</v>
      </c>
      <c r="AG635" s="28" t="n">
        <f aca="false">IF(AND(N(M635)&gt;0,N(L635)&gt;0),M635*L635,N635)</f>
        <v>1.5625</v>
      </c>
      <c r="AH635" s="28" t="n">
        <f aca="false">IF(OR(N(AB635)&lt;=0,N(AG635)=0,N(L635)=0),"",MIN(L635,AG635/AB635))</f>
        <v>19.53125</v>
      </c>
      <c r="AI635" s="29" t="n">
        <f aca="false">IF(OR(AH635="",N(O635)=0),"",AH635/O635-1)</f>
        <v>-0.151184267709692</v>
      </c>
      <c r="AJ635" s="29" t="n">
        <f aca="false">IF(OR(AI635="",N(O635)=0),"",AI635+AG635/O635)</f>
        <v>-0.0832790091264668</v>
      </c>
      <c r="AK635" s="32" t="n">
        <f aca="false">IF(OR(AJ635="",N(AE635)=0),"",AJ635-AE635)</f>
        <v>0</v>
      </c>
      <c r="AL635" s="33" t="n">
        <f aca="false">IF(N(F635)=0,"",INDEX(Inputs!$B$28:$B$32,IFERROR(MATCH(F635,Inputs!$A$28:$A$32,1),0)+1))</f>
        <v>0.08</v>
      </c>
      <c r="AM635" s="34"/>
      <c r="AN635" s="33" t="n">
        <f aca="false">IF(N(AM635)&gt;0,AM635,AL635)</f>
        <v>0.08</v>
      </c>
      <c r="AO635" s="29" t="n">
        <f aca="false">IF(N(AN635)=0,"",AN635+IF(I635="yes",AN635*Inputs!$B$10*Inputs!$B$9,0)+IFERROR(INDEX(Inputs!$B$13:$B$15,MATCH(G635,Inputs!$A$13:$A$15,0)),0)+IFERROR(INDEX(Inputs!$B$18:$B$24,MATCH(H635,Inputs!$A$18:$A$24,0)),0))</f>
        <v>0.08</v>
      </c>
      <c r="AP635" s="28" t="n">
        <f aca="false">IF(OR(N(AO635)&lt;=0,N(AG635)=0,N(L635)=0),"",MIN(L635,AG635/AO635))</f>
        <v>19.53125</v>
      </c>
      <c r="AQ635" s="29" t="n">
        <f aca="false">IF(OR(AP635="",N(O635)=0),"",AP635/O635-1)</f>
        <v>-0.151184267709692</v>
      </c>
      <c r="AR635" s="29" t="n">
        <f aca="false">IF(OR(AQ635="",N(O635)=0),"",AQ635+AG635/O635)</f>
        <v>-0.0832790091264668</v>
      </c>
      <c r="AS635" s="32" t="n">
        <f aca="false">IF(OR(AR635="",N(AJ635)=0),"",AR635-AJ635)</f>
        <v>0</v>
      </c>
      <c r="AT635" s="28" t="n">
        <v>25</v>
      </c>
      <c r="AU635" s="28" t="n">
        <v>1.56</v>
      </c>
      <c r="AV635" s="28" t="n">
        <f aca="false">IF(N(AT635)&gt;0,AT635,L635)</f>
        <v>25</v>
      </c>
      <c r="AW635" s="28" t="n">
        <f aca="false">IF(AND(N(M635)&gt;0,N(AV635)&gt;0),M635*AV635,IF(N(AU635)&gt;0,AU635,N635))</f>
        <v>1.5625</v>
      </c>
      <c r="AX635" s="29" t="n">
        <f aca="false">IF(N(AN635)=0,"",AN635+IF(I635="yes",AN635*Inputs!$B$10*Inputs!$B$9,0)+IFERROR(INDEX(Inputs!$B$13:$B$15,MATCH(G635,Inputs!$A$13:$A$15,0)),0)+IFERROR(INDEX(Inputs!$B$18:$B$24,MATCH(H635,Inputs!$A$18:$A$24,0)),0))</f>
        <v>0.08</v>
      </c>
      <c r="AY635" s="28" t="n">
        <f aca="false">IF(OR(N(AX635)&lt;=0,N(AW635)=0,N(AV635)=0),"",MIN(AV635,AW635/AX635))</f>
        <v>19.53125</v>
      </c>
      <c r="AZ635" s="29" t="n">
        <f aca="false">IF(OR(AY635="",N(O635)=0),"",AY635/O635-1)</f>
        <v>-0.151184267709692</v>
      </c>
      <c r="BA635" s="29" t="n">
        <f aca="false">IF(OR(AZ635="",N(O635)=0),"",AZ635+AW635/O635)</f>
        <v>-0.0832790091264668</v>
      </c>
      <c r="BB635" s="32" t="n">
        <f aca="false">IF(OR(BA635="",N(AR635)=0),"",BA635-AR635)</f>
        <v>0</v>
      </c>
      <c r="BC635" s="35" t="n">
        <f aca="false">IF(OR(BA635="",N(U635)=0),"",BA635-U635)</f>
        <v>0</v>
      </c>
      <c r="BD635" s="37"/>
    </row>
    <row r="636" customFormat="false" ht="15" hidden="false" customHeight="false" outlineLevel="0" collapsed="false">
      <c r="A636" s="2" t="s">
        <v>1067</v>
      </c>
      <c r="B636" s="2" t="n">
        <v>277</v>
      </c>
      <c r="C636" s="2" t="s">
        <v>1284</v>
      </c>
      <c r="D636" s="2" t="s">
        <v>1285</v>
      </c>
      <c r="E636" s="2" t="s">
        <v>1286</v>
      </c>
      <c r="F636" s="27" t="n">
        <v>8300</v>
      </c>
      <c r="G636" s="2" t="s">
        <v>51</v>
      </c>
      <c r="H636" s="2" t="s">
        <v>58</v>
      </c>
      <c r="I636" s="2" t="s">
        <v>151</v>
      </c>
      <c r="J636" s="2" t="s">
        <v>145</v>
      </c>
      <c r="K636" s="2" t="n">
        <v>4</v>
      </c>
      <c r="L636" s="28" t="n">
        <v>25</v>
      </c>
      <c r="M636" s="29" t="n">
        <v>0.05875</v>
      </c>
      <c r="N636" s="28" t="n">
        <v>1.46875</v>
      </c>
      <c r="O636" s="28" t="n">
        <v>22.76</v>
      </c>
      <c r="P636" s="2" t="s">
        <v>146</v>
      </c>
      <c r="Q636" s="29" t="n">
        <v>0.08</v>
      </c>
      <c r="R636" s="30" t="n">
        <v>0.076</v>
      </c>
      <c r="S636" s="31" t="n">
        <v>19.3256578947368</v>
      </c>
      <c r="T636" s="30" t="n">
        <v>-0.150893765609102</v>
      </c>
      <c r="U636" s="30" t="n">
        <v>-0.0863616917953936</v>
      </c>
      <c r="V636" s="29" t="n">
        <v>0</v>
      </c>
      <c r="W636" s="29" t="n">
        <f aca="false">IF(N(Q636)=0,"",Q636+IF(I636="yes",Q636*Inputs!$B$10*Inputs!$B$9,0)+V636)</f>
        <v>0.076</v>
      </c>
      <c r="X636" s="28" t="n">
        <f aca="false">IF(OR(N(W636)&lt;=0,N(N636)=0,N(L636)=0),"",MIN(L636,N636/W636))</f>
        <v>19.3256578947368</v>
      </c>
      <c r="Y636" s="29" t="n">
        <f aca="false">IF(OR(X636="",N(O636)=0),"",X636/O636-1)</f>
        <v>-0.150893765609102</v>
      </c>
      <c r="Z636" s="29" t="n">
        <f aca="false">IF(OR(Y636="",N(O636)=0),"",Y636+N636/O636)</f>
        <v>-0.0863616917953936</v>
      </c>
      <c r="AA636" s="32" t="n">
        <f aca="false">IF(OR(Z636="",N(U636)=0),"",Z636-U636)</f>
        <v>0</v>
      </c>
      <c r="AB636" s="29" t="n">
        <f aca="false">IF(N(Q636)=0,"",Q636+IF(I636="yes",Q636*Inputs!$B$10*Inputs!$B$9,0)+IFERROR(INDEX(Inputs!$B$13:$B$15,MATCH(G636,Inputs!$A$13:$A$15,0)),0)+IFERROR(INDEX(Inputs!$B$18:$B$24,MATCH(H636,Inputs!$A$18:$A$24,0)),0))</f>
        <v>0.076</v>
      </c>
      <c r="AC636" s="28" t="n">
        <f aca="false">IF(OR(N(AB636)&lt;=0,N(N636)=0,N(L636)=0),"",MIN(L636,N636/AB636))</f>
        <v>19.3256578947368</v>
      </c>
      <c r="AD636" s="29" t="n">
        <f aca="false">IF(OR(AC636="",N(O636)=0),"",AC636/O636-1)</f>
        <v>-0.150893765609102</v>
      </c>
      <c r="AE636" s="29" t="n">
        <f aca="false">IF(OR(AD636="",N(O636)=0),"",AD636+N636/O636)</f>
        <v>-0.0863616917953936</v>
      </c>
      <c r="AF636" s="32" t="n">
        <f aca="false">IF(OR(AE636="",N(Z636)=0),"",AE636-Z636)</f>
        <v>0</v>
      </c>
      <c r="AG636" s="28" t="n">
        <f aca="false">IF(AND(N(M636)&gt;0,N(L636)&gt;0),M636*L636,N636)</f>
        <v>1.46875</v>
      </c>
      <c r="AH636" s="28" t="n">
        <f aca="false">IF(OR(N(AB636)&lt;=0,N(AG636)=0,N(L636)=0),"",MIN(L636,AG636/AB636))</f>
        <v>19.3256578947368</v>
      </c>
      <c r="AI636" s="29" t="n">
        <f aca="false">IF(OR(AH636="",N(O636)=0),"",AH636/O636-1)</f>
        <v>-0.150893765609102</v>
      </c>
      <c r="AJ636" s="29" t="n">
        <f aca="false">IF(OR(AI636="",N(O636)=0),"",AI636+AG636/O636)</f>
        <v>-0.0863616917953936</v>
      </c>
      <c r="AK636" s="32" t="n">
        <f aca="false">IF(OR(AJ636="",N(AE636)=0),"",AJ636-AE636)</f>
        <v>0</v>
      </c>
      <c r="AL636" s="33" t="n">
        <f aca="false">IF(N(F636)=0,"",INDEX(Inputs!$B$28:$B$32,IFERROR(MATCH(F636,Inputs!$A$28:$A$32,1),0)+1))</f>
        <v>0.08</v>
      </c>
      <c r="AM636" s="34"/>
      <c r="AN636" s="33" t="n">
        <f aca="false">IF(N(AM636)&gt;0,AM636,AL636)</f>
        <v>0.08</v>
      </c>
      <c r="AO636" s="29" t="n">
        <f aca="false">IF(N(AN636)=0,"",AN636+IF(I636="yes",AN636*Inputs!$B$10*Inputs!$B$9,0)+IFERROR(INDEX(Inputs!$B$13:$B$15,MATCH(G636,Inputs!$A$13:$A$15,0)),0)+IFERROR(INDEX(Inputs!$B$18:$B$24,MATCH(H636,Inputs!$A$18:$A$24,0)),0))</f>
        <v>0.076</v>
      </c>
      <c r="AP636" s="28" t="n">
        <f aca="false">IF(OR(N(AO636)&lt;=0,N(AG636)=0,N(L636)=0),"",MIN(L636,AG636/AO636))</f>
        <v>19.3256578947368</v>
      </c>
      <c r="AQ636" s="29" t="n">
        <f aca="false">IF(OR(AP636="",N(O636)=0),"",AP636/O636-1)</f>
        <v>-0.150893765609102</v>
      </c>
      <c r="AR636" s="29" t="n">
        <f aca="false">IF(OR(AQ636="",N(O636)=0),"",AQ636+AG636/O636)</f>
        <v>-0.0863616917953936</v>
      </c>
      <c r="AS636" s="32" t="n">
        <f aca="false">IF(OR(AR636="",N(AJ636)=0),"",AR636-AJ636)</f>
        <v>0</v>
      </c>
      <c r="AT636" s="28" t="n">
        <v>25</v>
      </c>
      <c r="AU636" s="28" t="n">
        <v>1.47</v>
      </c>
      <c r="AV636" s="28" t="n">
        <f aca="false">IF(N(AT636)&gt;0,AT636,L636)</f>
        <v>25</v>
      </c>
      <c r="AW636" s="28" t="n">
        <f aca="false">IF(AND(N(M636)&gt;0,N(AV636)&gt;0),M636*AV636,IF(N(AU636)&gt;0,AU636,N636))</f>
        <v>1.46875</v>
      </c>
      <c r="AX636" s="29" t="n">
        <f aca="false">IF(N(AN636)=0,"",AN636+IF(I636="yes",AN636*Inputs!$B$10*Inputs!$B$9,0)+IFERROR(INDEX(Inputs!$B$13:$B$15,MATCH(G636,Inputs!$A$13:$A$15,0)),0)+IFERROR(INDEX(Inputs!$B$18:$B$24,MATCH(H636,Inputs!$A$18:$A$24,0)),0))</f>
        <v>0.076</v>
      </c>
      <c r="AY636" s="28" t="n">
        <f aca="false">IF(OR(N(AX636)&lt;=0,N(AW636)=0,N(AV636)=0),"",MIN(AV636,AW636/AX636))</f>
        <v>19.3256578947368</v>
      </c>
      <c r="AZ636" s="29" t="n">
        <f aca="false">IF(OR(AY636="",N(O636)=0),"",AY636/O636-1)</f>
        <v>-0.150893765609102</v>
      </c>
      <c r="BA636" s="29" t="n">
        <f aca="false">IF(OR(AZ636="",N(O636)=0),"",AZ636+AW636/O636)</f>
        <v>-0.0863616917953936</v>
      </c>
      <c r="BB636" s="32" t="n">
        <f aca="false">IF(OR(BA636="",N(AR636)=0),"",BA636-AR636)</f>
        <v>0</v>
      </c>
      <c r="BC636" s="35" t="n">
        <f aca="false">IF(OR(BA636="",N(U636)=0),"",BA636-U636)</f>
        <v>0</v>
      </c>
      <c r="BD636" s="37"/>
    </row>
    <row r="637" customFormat="false" ht="15" hidden="false" customHeight="false" outlineLevel="0" collapsed="false">
      <c r="A637" s="2" t="s">
        <v>1067</v>
      </c>
      <c r="B637" s="2" t="n">
        <v>278</v>
      </c>
      <c r="C637" s="2" t="s">
        <v>1287</v>
      </c>
      <c r="D637" s="2" t="s">
        <v>1285</v>
      </c>
      <c r="E637" s="2" t="s">
        <v>1286</v>
      </c>
      <c r="F637" s="27" t="n">
        <v>8300</v>
      </c>
      <c r="G637" s="2" t="s">
        <v>51</v>
      </c>
      <c r="H637" s="2" t="s">
        <v>58</v>
      </c>
      <c r="I637" s="2" t="s">
        <v>151</v>
      </c>
      <c r="J637" s="2" t="s">
        <v>145</v>
      </c>
      <c r="K637" s="2" t="n">
        <v>4</v>
      </c>
      <c r="L637" s="28" t="n">
        <v>25</v>
      </c>
      <c r="M637" s="29" t="n">
        <v>0.0564</v>
      </c>
      <c r="N637" s="28" t="n">
        <v>1.41</v>
      </c>
      <c r="O637" s="28" t="n">
        <v>21.26</v>
      </c>
      <c r="P637" s="2" t="s">
        <v>146</v>
      </c>
      <c r="Q637" s="29" t="n">
        <v>0.08</v>
      </c>
      <c r="R637" s="30" t="n">
        <v>0.076</v>
      </c>
      <c r="S637" s="31" t="n">
        <v>18.5526315789474</v>
      </c>
      <c r="T637" s="30" t="n">
        <v>-0.12734564539288</v>
      </c>
      <c r="U637" s="30" t="n">
        <v>-0.0610239144427392</v>
      </c>
      <c r="V637" s="29" t="n">
        <v>0</v>
      </c>
      <c r="W637" s="29" t="n">
        <f aca="false">IF(N(Q637)=0,"",Q637+IF(I637="yes",Q637*Inputs!$B$10*Inputs!$B$9,0)+V637)</f>
        <v>0.076</v>
      </c>
      <c r="X637" s="28" t="n">
        <f aca="false">IF(OR(N(W637)&lt;=0,N(N637)=0,N(L637)=0),"",MIN(L637,N637/W637))</f>
        <v>18.5526315789474</v>
      </c>
      <c r="Y637" s="29" t="n">
        <f aca="false">IF(OR(X637="",N(O637)=0),"",X637/O637-1)</f>
        <v>-0.12734564539288</v>
      </c>
      <c r="Z637" s="29" t="n">
        <f aca="false">IF(OR(Y637="",N(O637)=0),"",Y637+N637/O637)</f>
        <v>-0.0610239144427392</v>
      </c>
      <c r="AA637" s="32" t="n">
        <f aca="false">IF(OR(Z637="",N(U637)=0),"",Z637-U637)</f>
        <v>0</v>
      </c>
      <c r="AB637" s="29" t="n">
        <f aca="false">IF(N(Q637)=0,"",Q637+IF(I637="yes",Q637*Inputs!$B$10*Inputs!$B$9,0)+IFERROR(INDEX(Inputs!$B$13:$B$15,MATCH(G637,Inputs!$A$13:$A$15,0)),0)+IFERROR(INDEX(Inputs!$B$18:$B$24,MATCH(H637,Inputs!$A$18:$A$24,0)),0))</f>
        <v>0.076</v>
      </c>
      <c r="AC637" s="28" t="n">
        <f aca="false">IF(OR(N(AB637)&lt;=0,N(N637)=0,N(L637)=0),"",MIN(L637,N637/AB637))</f>
        <v>18.5526315789474</v>
      </c>
      <c r="AD637" s="29" t="n">
        <f aca="false">IF(OR(AC637="",N(O637)=0),"",AC637/O637-1)</f>
        <v>-0.12734564539288</v>
      </c>
      <c r="AE637" s="29" t="n">
        <f aca="false">IF(OR(AD637="",N(O637)=0),"",AD637+N637/O637)</f>
        <v>-0.0610239144427392</v>
      </c>
      <c r="AF637" s="32" t="n">
        <f aca="false">IF(OR(AE637="",N(Z637)=0),"",AE637-Z637)</f>
        <v>0</v>
      </c>
      <c r="AG637" s="28" t="n">
        <f aca="false">IF(AND(N(M637)&gt;0,N(L637)&gt;0),M637*L637,N637)</f>
        <v>1.41</v>
      </c>
      <c r="AH637" s="28" t="n">
        <f aca="false">IF(OR(N(AB637)&lt;=0,N(AG637)=0,N(L637)=0),"",MIN(L637,AG637/AB637))</f>
        <v>18.5526315789474</v>
      </c>
      <c r="AI637" s="29" t="n">
        <f aca="false">IF(OR(AH637="",N(O637)=0),"",AH637/O637-1)</f>
        <v>-0.12734564539288</v>
      </c>
      <c r="AJ637" s="29" t="n">
        <f aca="false">IF(OR(AI637="",N(O637)=0),"",AI637+AG637/O637)</f>
        <v>-0.0610239144427392</v>
      </c>
      <c r="AK637" s="32" t="n">
        <f aca="false">IF(OR(AJ637="",N(AE637)=0),"",AJ637-AE637)</f>
        <v>0</v>
      </c>
      <c r="AL637" s="33" t="n">
        <f aca="false">IF(N(F637)=0,"",INDEX(Inputs!$B$28:$B$32,IFERROR(MATCH(F637,Inputs!$A$28:$A$32,1),0)+1))</f>
        <v>0.08</v>
      </c>
      <c r="AM637" s="34"/>
      <c r="AN637" s="33" t="n">
        <f aca="false">IF(N(AM637)&gt;0,AM637,AL637)</f>
        <v>0.08</v>
      </c>
      <c r="AO637" s="29" t="n">
        <f aca="false">IF(N(AN637)=0,"",AN637+IF(I637="yes",AN637*Inputs!$B$10*Inputs!$B$9,0)+IFERROR(INDEX(Inputs!$B$13:$B$15,MATCH(G637,Inputs!$A$13:$A$15,0)),0)+IFERROR(INDEX(Inputs!$B$18:$B$24,MATCH(H637,Inputs!$A$18:$A$24,0)),0))</f>
        <v>0.076</v>
      </c>
      <c r="AP637" s="28" t="n">
        <f aca="false">IF(OR(N(AO637)&lt;=0,N(AG637)=0,N(L637)=0),"",MIN(L637,AG637/AO637))</f>
        <v>18.5526315789474</v>
      </c>
      <c r="AQ637" s="29" t="n">
        <f aca="false">IF(OR(AP637="",N(O637)=0),"",AP637/O637-1)</f>
        <v>-0.12734564539288</v>
      </c>
      <c r="AR637" s="29" t="n">
        <f aca="false">IF(OR(AQ637="",N(O637)=0),"",AQ637+AG637/O637)</f>
        <v>-0.0610239144427392</v>
      </c>
      <c r="AS637" s="32" t="n">
        <f aca="false">IF(OR(AR637="",N(AJ637)=0),"",AR637-AJ637)</f>
        <v>0</v>
      </c>
      <c r="AT637" s="28" t="n">
        <v>25</v>
      </c>
      <c r="AU637" s="28" t="n">
        <v>1.41</v>
      </c>
      <c r="AV637" s="28" t="n">
        <f aca="false">IF(N(AT637)&gt;0,AT637,L637)</f>
        <v>25</v>
      </c>
      <c r="AW637" s="28" t="n">
        <f aca="false">IF(AND(N(M637)&gt;0,N(AV637)&gt;0),M637*AV637,IF(N(AU637)&gt;0,AU637,N637))</f>
        <v>1.41</v>
      </c>
      <c r="AX637" s="29" t="n">
        <f aca="false">IF(N(AN637)=0,"",AN637+IF(I637="yes",AN637*Inputs!$B$10*Inputs!$B$9,0)+IFERROR(INDEX(Inputs!$B$13:$B$15,MATCH(G637,Inputs!$A$13:$A$15,0)),0)+IFERROR(INDEX(Inputs!$B$18:$B$24,MATCH(H637,Inputs!$A$18:$A$24,0)),0))</f>
        <v>0.076</v>
      </c>
      <c r="AY637" s="28" t="n">
        <f aca="false">IF(OR(N(AX637)&lt;=0,N(AW637)=0,N(AV637)=0),"",MIN(AV637,AW637/AX637))</f>
        <v>18.5526315789474</v>
      </c>
      <c r="AZ637" s="29" t="n">
        <f aca="false">IF(OR(AY637="",N(O637)=0),"",AY637/O637-1)</f>
        <v>-0.12734564539288</v>
      </c>
      <c r="BA637" s="29" t="n">
        <f aca="false">IF(OR(AZ637="",N(O637)=0),"",AZ637+AW637/O637)</f>
        <v>-0.0610239144427392</v>
      </c>
      <c r="BB637" s="32" t="n">
        <f aca="false">IF(OR(BA637="",N(AR637)=0),"",BA637-AR637)</f>
        <v>0</v>
      </c>
      <c r="BC637" s="35" t="n">
        <f aca="false">IF(OR(BA637="",N(U637)=0),"",BA637-U637)</f>
        <v>0</v>
      </c>
      <c r="BD637" s="37"/>
    </row>
    <row r="638" customFormat="false" ht="15" hidden="false" customHeight="false" outlineLevel="0" collapsed="false">
      <c r="A638" s="2" t="s">
        <v>1067</v>
      </c>
      <c r="B638" s="2" t="n">
        <v>281</v>
      </c>
      <c r="C638" s="2" t="s">
        <v>1288</v>
      </c>
      <c r="D638" s="2" t="s">
        <v>1289</v>
      </c>
      <c r="E638" s="2" t="s">
        <v>1290</v>
      </c>
      <c r="F638" s="27" t="n">
        <v>25700</v>
      </c>
      <c r="G638" s="2" t="s">
        <v>51</v>
      </c>
      <c r="H638" s="2" t="s">
        <v>59</v>
      </c>
      <c r="I638" s="2" t="s">
        <v>151</v>
      </c>
      <c r="J638" s="2" t="s">
        <v>145</v>
      </c>
      <c r="K638" s="2" t="n">
        <v>4</v>
      </c>
      <c r="L638" s="28" t="n">
        <v>25</v>
      </c>
      <c r="M638" s="29" t="n">
        <v>0.06375</v>
      </c>
      <c r="N638" s="28" t="n">
        <v>1.59375</v>
      </c>
      <c r="O638" s="28" t="n">
        <v>0</v>
      </c>
      <c r="P638" s="2" t="s">
        <v>146</v>
      </c>
      <c r="Q638" s="29" t="n">
        <v>0.08</v>
      </c>
      <c r="R638" s="30" t="n">
        <v>0.076</v>
      </c>
      <c r="S638" s="31" t="n">
        <v>20.9703947368421</v>
      </c>
      <c r="T638" s="30"/>
      <c r="U638" s="30"/>
      <c r="V638" s="29" t="n">
        <v>0</v>
      </c>
      <c r="W638" s="29" t="n">
        <f aca="false">IF(N(Q638)=0,"",Q638+IF(I638="yes",Q638*Inputs!$B$10*Inputs!$B$9,0)+V638)</f>
        <v>0.076</v>
      </c>
      <c r="X638" s="28" t="n">
        <f aca="false">IF(OR(N(W638)&lt;=0,N(N638)=0,N(L638)=0),"",MIN(L638,N638/W638))</f>
        <v>20.9703947368421</v>
      </c>
      <c r="Y638" s="29" t="str">
        <f aca="false">IF(OR(X638="",N(O638)=0),"",X638/O638-1)</f>
        <v/>
      </c>
      <c r="Z638" s="29" t="str">
        <f aca="false">IF(OR(Y638="",N(O638)=0),"",Y638+N638/O638)</f>
        <v/>
      </c>
      <c r="AA638" s="32" t="str">
        <f aca="false">IF(OR(Z638="",N(U638)=0),"",Z638-U638)</f>
        <v/>
      </c>
      <c r="AB638" s="29" t="n">
        <f aca="false">IF(N(Q638)=0,"",Q638+IF(I638="yes",Q638*Inputs!$B$10*Inputs!$B$9,0)+IFERROR(INDEX(Inputs!$B$13:$B$15,MATCH(G638,Inputs!$A$13:$A$15,0)),0)+IFERROR(INDEX(Inputs!$B$18:$B$24,MATCH(H638,Inputs!$A$18:$A$24,0)),0))</f>
        <v>0.076</v>
      </c>
      <c r="AC638" s="28" t="n">
        <f aca="false">IF(OR(N(AB638)&lt;=0,N(N638)=0,N(L638)=0),"",MIN(L638,N638/AB638))</f>
        <v>20.9703947368421</v>
      </c>
      <c r="AD638" s="29" t="str">
        <f aca="false">IF(OR(AC638="",N(O638)=0),"",AC638/O638-1)</f>
        <v/>
      </c>
      <c r="AE638" s="29" t="str">
        <f aca="false">IF(OR(AD638="",N(O638)=0),"",AD638+N638/O638)</f>
        <v/>
      </c>
      <c r="AF638" s="32" t="str">
        <f aca="false">IF(OR(AE638="",N(Z638)=0),"",AE638-Z638)</f>
        <v/>
      </c>
      <c r="AG638" s="28" t="n">
        <f aca="false">IF(AND(N(M638)&gt;0,N(L638)&gt;0),M638*L638,N638)</f>
        <v>1.59375</v>
      </c>
      <c r="AH638" s="28" t="n">
        <f aca="false">IF(OR(N(AB638)&lt;=0,N(AG638)=0,N(L638)=0),"",MIN(L638,AG638/AB638))</f>
        <v>20.9703947368421</v>
      </c>
      <c r="AI638" s="29" t="str">
        <f aca="false">IF(OR(AH638="",N(O638)=0),"",AH638/O638-1)</f>
        <v/>
      </c>
      <c r="AJ638" s="29" t="str">
        <f aca="false">IF(OR(AI638="",N(O638)=0),"",AI638+AG638/O638)</f>
        <v/>
      </c>
      <c r="AK638" s="32" t="str">
        <f aca="false">IF(OR(AJ638="",N(AE638)=0),"",AJ638-AE638)</f>
        <v/>
      </c>
      <c r="AL638" s="33" t="n">
        <f aca="false">IF(N(F638)=0,"",INDEX(Inputs!$B$28:$B$32,IFERROR(MATCH(F638,Inputs!$A$28:$A$32,1),0)+1))</f>
        <v>0.075</v>
      </c>
      <c r="AM638" s="34"/>
      <c r="AN638" s="33" t="n">
        <f aca="false">IF(N(AM638)&gt;0,AM638,AL638)</f>
        <v>0.075</v>
      </c>
      <c r="AO638" s="29" t="n">
        <f aca="false">IF(N(AN638)=0,"",AN638+IF(I638="yes",AN638*Inputs!$B$10*Inputs!$B$9,0)+IFERROR(INDEX(Inputs!$B$13:$B$15,MATCH(G638,Inputs!$A$13:$A$15,0)),0)+IFERROR(INDEX(Inputs!$B$18:$B$24,MATCH(H638,Inputs!$A$18:$A$24,0)),0))</f>
        <v>0.07125</v>
      </c>
      <c r="AP638" s="28" t="n">
        <f aca="false">IF(OR(N(AO638)&lt;=0,N(AG638)=0,N(L638)=0),"",MIN(L638,AG638/AO638))</f>
        <v>22.3684210526316</v>
      </c>
      <c r="AQ638" s="29" t="str">
        <f aca="false">IF(OR(AP638="",N(O638)=0),"",AP638/O638-1)</f>
        <v/>
      </c>
      <c r="AR638" s="29" t="str">
        <f aca="false">IF(OR(AQ638="",N(O638)=0),"",AQ638+AG638/O638)</f>
        <v/>
      </c>
      <c r="AS638" s="32" t="str">
        <f aca="false">IF(OR(AR638="",N(AJ638)=0),"",AR638-AJ638)</f>
        <v/>
      </c>
      <c r="AT638" s="28"/>
      <c r="AU638" s="28"/>
      <c r="AV638" s="28" t="n">
        <f aca="false">IF(N(AT638)&gt;0,AT638,L638)</f>
        <v>25</v>
      </c>
      <c r="AW638" s="28" t="n">
        <f aca="false">IF(AND(N(M638)&gt;0,N(AV638)&gt;0),M638*AV638,IF(N(AU638)&gt;0,AU638,N638))</f>
        <v>1.59375</v>
      </c>
      <c r="AX638" s="29" t="n">
        <f aca="false">IF(N(AN638)=0,"",AN638+IF(I638="yes",AN638*Inputs!$B$10*Inputs!$B$9,0)+IFERROR(INDEX(Inputs!$B$13:$B$15,MATCH(G638,Inputs!$A$13:$A$15,0)),0)+IFERROR(INDEX(Inputs!$B$18:$B$24,MATCH(H638,Inputs!$A$18:$A$24,0)),0))</f>
        <v>0.07125</v>
      </c>
      <c r="AY638" s="28" t="n">
        <f aca="false">IF(OR(N(AX638)&lt;=0,N(AW638)=0,N(AV638)=0),"",MIN(AV638,AW638/AX638))</f>
        <v>22.3684210526316</v>
      </c>
      <c r="AZ638" s="29" t="str">
        <f aca="false">IF(OR(AY638="",N(O638)=0),"",AY638/O638-1)</f>
        <v/>
      </c>
      <c r="BA638" s="29" t="str">
        <f aca="false">IF(OR(AZ638="",N(O638)=0),"",AZ638+AW638/O638)</f>
        <v/>
      </c>
      <c r="BB638" s="32" t="str">
        <f aca="false">IF(OR(BA638="",N(AR638)=0),"",BA638-AR638)</f>
        <v/>
      </c>
      <c r="BC638" s="35" t="str">
        <f aca="false">IF(OR(BA638="",N(U638)=0),"",BA638-U638)</f>
        <v/>
      </c>
      <c r="BD638" s="36" t="s">
        <v>198</v>
      </c>
    </row>
    <row r="639" customFormat="false" ht="15" hidden="false" customHeight="false" outlineLevel="0" collapsed="false">
      <c r="A639" s="2" t="s">
        <v>1067</v>
      </c>
      <c r="B639" s="2" t="n">
        <v>282</v>
      </c>
      <c r="C639" s="2" t="s">
        <v>1291</v>
      </c>
      <c r="D639" s="2" t="s">
        <v>1289</v>
      </c>
      <c r="E639" s="2" t="s">
        <v>1290</v>
      </c>
      <c r="F639" s="27" t="n">
        <v>25700</v>
      </c>
      <c r="G639" s="2" t="s">
        <v>51</v>
      </c>
      <c r="H639" s="2" t="s">
        <v>59</v>
      </c>
      <c r="I639" s="2" t="s">
        <v>151</v>
      </c>
      <c r="J639" s="2" t="s">
        <v>145</v>
      </c>
      <c r="K639" s="2" t="n">
        <v>4</v>
      </c>
      <c r="L639" s="28" t="n">
        <v>25</v>
      </c>
      <c r="M639" s="29" t="n">
        <v>0.057</v>
      </c>
      <c r="N639" s="28" t="n">
        <v>1.425</v>
      </c>
      <c r="O639" s="28" t="n">
        <v>24.25</v>
      </c>
      <c r="P639" s="2" t="s">
        <v>146</v>
      </c>
      <c r="Q639" s="29" t="n">
        <v>0.08</v>
      </c>
      <c r="R639" s="30" t="n">
        <v>0.076</v>
      </c>
      <c r="S639" s="31" t="n">
        <v>18.75</v>
      </c>
      <c r="T639" s="30" t="n">
        <v>-0.22680412371134</v>
      </c>
      <c r="U639" s="30" t="n">
        <v>-0.168041237113402</v>
      </c>
      <c r="V639" s="29" t="n">
        <v>0</v>
      </c>
      <c r="W639" s="29" t="n">
        <f aca="false">IF(N(Q639)=0,"",Q639+IF(I639="yes",Q639*Inputs!$B$10*Inputs!$B$9,0)+V639)</f>
        <v>0.076</v>
      </c>
      <c r="X639" s="28" t="n">
        <f aca="false">IF(OR(N(W639)&lt;=0,N(N639)=0,N(L639)=0),"",MIN(L639,N639/W639))</f>
        <v>18.75</v>
      </c>
      <c r="Y639" s="29" t="n">
        <f aca="false">IF(OR(X639="",N(O639)=0),"",X639/O639-1)</f>
        <v>-0.22680412371134</v>
      </c>
      <c r="Z639" s="29" t="n">
        <f aca="false">IF(OR(Y639="",N(O639)=0),"",Y639+N639/O639)</f>
        <v>-0.168041237113402</v>
      </c>
      <c r="AA639" s="32" t="n">
        <f aca="false">IF(OR(Z639="",N(U639)=0),"",Z639-U639)</f>
        <v>0</v>
      </c>
      <c r="AB639" s="29" t="n">
        <f aca="false">IF(N(Q639)=0,"",Q639+IF(I639="yes",Q639*Inputs!$B$10*Inputs!$B$9,0)+IFERROR(INDEX(Inputs!$B$13:$B$15,MATCH(G639,Inputs!$A$13:$A$15,0)),0)+IFERROR(INDEX(Inputs!$B$18:$B$24,MATCH(H639,Inputs!$A$18:$A$24,0)),0))</f>
        <v>0.076</v>
      </c>
      <c r="AC639" s="28" t="n">
        <f aca="false">IF(OR(N(AB639)&lt;=0,N(N639)=0,N(L639)=0),"",MIN(L639,N639/AB639))</f>
        <v>18.75</v>
      </c>
      <c r="AD639" s="29" t="n">
        <f aca="false">IF(OR(AC639="",N(O639)=0),"",AC639/O639-1)</f>
        <v>-0.22680412371134</v>
      </c>
      <c r="AE639" s="29" t="n">
        <f aca="false">IF(OR(AD639="",N(O639)=0),"",AD639+N639/O639)</f>
        <v>-0.168041237113402</v>
      </c>
      <c r="AF639" s="32" t="n">
        <f aca="false">IF(OR(AE639="",N(Z639)=0),"",AE639-Z639)</f>
        <v>0</v>
      </c>
      <c r="AG639" s="28" t="n">
        <f aca="false">IF(AND(N(M639)&gt;0,N(L639)&gt;0),M639*L639,N639)</f>
        <v>1.425</v>
      </c>
      <c r="AH639" s="28" t="n">
        <f aca="false">IF(OR(N(AB639)&lt;=0,N(AG639)=0,N(L639)=0),"",MIN(L639,AG639/AB639))</f>
        <v>18.75</v>
      </c>
      <c r="AI639" s="29" t="n">
        <f aca="false">IF(OR(AH639="",N(O639)=0),"",AH639/O639-1)</f>
        <v>-0.22680412371134</v>
      </c>
      <c r="AJ639" s="29" t="n">
        <f aca="false">IF(OR(AI639="",N(O639)=0),"",AI639+AG639/O639)</f>
        <v>-0.168041237113402</v>
      </c>
      <c r="AK639" s="32" t="n">
        <f aca="false">IF(OR(AJ639="",N(AE639)=0),"",AJ639-AE639)</f>
        <v>0</v>
      </c>
      <c r="AL639" s="33" t="n">
        <f aca="false">IF(N(F639)=0,"",INDEX(Inputs!$B$28:$B$32,IFERROR(MATCH(F639,Inputs!$A$28:$A$32,1),0)+1))</f>
        <v>0.075</v>
      </c>
      <c r="AM639" s="34"/>
      <c r="AN639" s="33" t="n">
        <f aca="false">IF(N(AM639)&gt;0,AM639,AL639)</f>
        <v>0.075</v>
      </c>
      <c r="AO639" s="29" t="n">
        <f aca="false">IF(N(AN639)=0,"",AN639+IF(I639="yes",AN639*Inputs!$B$10*Inputs!$B$9,0)+IFERROR(INDEX(Inputs!$B$13:$B$15,MATCH(G639,Inputs!$A$13:$A$15,0)),0)+IFERROR(INDEX(Inputs!$B$18:$B$24,MATCH(H639,Inputs!$A$18:$A$24,0)),0))</f>
        <v>0.07125</v>
      </c>
      <c r="AP639" s="28" t="n">
        <f aca="false">IF(OR(N(AO639)&lt;=0,N(AG639)=0,N(L639)=0),"",MIN(L639,AG639/AO639))</f>
        <v>20</v>
      </c>
      <c r="AQ639" s="29" t="n">
        <f aca="false">IF(OR(AP639="",N(O639)=0),"",AP639/O639-1)</f>
        <v>-0.175257731958763</v>
      </c>
      <c r="AR639" s="29" t="n">
        <f aca="false">IF(OR(AQ639="",N(O639)=0),"",AQ639+AG639/O639)</f>
        <v>-0.116494845360825</v>
      </c>
      <c r="AS639" s="32" t="n">
        <f aca="false">IF(OR(AR639="",N(AJ639)=0),"",AR639-AJ639)</f>
        <v>0.0515463917525775</v>
      </c>
      <c r="AT639" s="28" t="n">
        <v>25</v>
      </c>
      <c r="AU639" s="28" t="n">
        <v>1.43</v>
      </c>
      <c r="AV639" s="28" t="n">
        <f aca="false">IF(N(AT639)&gt;0,AT639,L639)</f>
        <v>25</v>
      </c>
      <c r="AW639" s="28" t="n">
        <f aca="false">IF(AND(N(M639)&gt;0,N(AV639)&gt;0),M639*AV639,IF(N(AU639)&gt;0,AU639,N639))</f>
        <v>1.425</v>
      </c>
      <c r="AX639" s="29" t="n">
        <f aca="false">IF(N(AN639)=0,"",AN639+IF(I639="yes",AN639*Inputs!$B$10*Inputs!$B$9,0)+IFERROR(INDEX(Inputs!$B$13:$B$15,MATCH(G639,Inputs!$A$13:$A$15,0)),0)+IFERROR(INDEX(Inputs!$B$18:$B$24,MATCH(H639,Inputs!$A$18:$A$24,0)),0))</f>
        <v>0.07125</v>
      </c>
      <c r="AY639" s="28" t="n">
        <f aca="false">IF(OR(N(AX639)&lt;=0,N(AW639)=0,N(AV639)=0),"",MIN(AV639,AW639/AX639))</f>
        <v>20</v>
      </c>
      <c r="AZ639" s="29" t="n">
        <f aca="false">IF(OR(AY639="",N(O639)=0),"",AY639/O639-1)</f>
        <v>-0.175257731958763</v>
      </c>
      <c r="BA639" s="29" t="n">
        <f aca="false">IF(OR(AZ639="",N(O639)=0),"",AZ639+AW639/O639)</f>
        <v>-0.116494845360825</v>
      </c>
      <c r="BB639" s="32" t="n">
        <f aca="false">IF(OR(BA639="",N(AR639)=0),"",BA639-AR639)</f>
        <v>0</v>
      </c>
      <c r="BC639" s="35" t="n">
        <f aca="false">IF(OR(BA639="",N(U639)=0),"",BA639-U639)</f>
        <v>0.0515463917525774</v>
      </c>
      <c r="BD639" s="37"/>
    </row>
    <row r="640" customFormat="false" ht="15" hidden="false" customHeight="false" outlineLevel="0" collapsed="false">
      <c r="A640" s="2" t="s">
        <v>1067</v>
      </c>
      <c r="B640" s="2" t="n">
        <v>283</v>
      </c>
      <c r="C640" s="2" t="s">
        <v>1292</v>
      </c>
      <c r="D640" s="2" t="s">
        <v>1289</v>
      </c>
      <c r="E640" s="2" t="s">
        <v>1290</v>
      </c>
      <c r="F640" s="27" t="n">
        <v>25700</v>
      </c>
      <c r="G640" s="2" t="s">
        <v>51</v>
      </c>
      <c r="H640" s="2" t="s">
        <v>58</v>
      </c>
      <c r="I640" s="2" t="s">
        <v>151</v>
      </c>
      <c r="J640" s="2" t="s">
        <v>145</v>
      </c>
      <c r="K640" s="2" t="n">
        <v>4</v>
      </c>
      <c r="L640" s="28" t="n">
        <v>25</v>
      </c>
      <c r="M640" s="29" t="n">
        <v>0.0445</v>
      </c>
      <c r="N640" s="28" t="n">
        <v>1.1125</v>
      </c>
      <c r="O640" s="28" t="n">
        <v>16.14</v>
      </c>
      <c r="P640" s="2" t="s">
        <v>146</v>
      </c>
      <c r="Q640" s="29" t="n">
        <v>0.08</v>
      </c>
      <c r="R640" s="30" t="n">
        <v>0.076</v>
      </c>
      <c r="S640" s="31" t="n">
        <v>14.6381578947368</v>
      </c>
      <c r="T640" s="30" t="n">
        <v>-0.0930509358899107</v>
      </c>
      <c r="U640" s="30" t="n">
        <v>-0.0241228070175439</v>
      </c>
      <c r="V640" s="29" t="n">
        <v>0</v>
      </c>
      <c r="W640" s="29" t="n">
        <f aca="false">IF(N(Q640)=0,"",Q640+IF(I640="yes",Q640*Inputs!$B$10*Inputs!$B$9,0)+V640)</f>
        <v>0.076</v>
      </c>
      <c r="X640" s="28" t="n">
        <f aca="false">IF(OR(N(W640)&lt;=0,N(N640)=0,N(L640)=0),"",MIN(L640,N640/W640))</f>
        <v>14.6381578947368</v>
      </c>
      <c r="Y640" s="29" t="n">
        <f aca="false">IF(OR(X640="",N(O640)=0),"",X640/O640-1)</f>
        <v>-0.0930509358899107</v>
      </c>
      <c r="Z640" s="29" t="n">
        <f aca="false">IF(OR(Y640="",N(O640)=0),"",Y640+N640/O640)</f>
        <v>-0.0241228070175439</v>
      </c>
      <c r="AA640" s="32" t="n">
        <f aca="false">IF(OR(Z640="",N(U640)=0),"",Z640-U640)</f>
        <v>0</v>
      </c>
      <c r="AB640" s="29" t="n">
        <f aca="false">IF(N(Q640)=0,"",Q640+IF(I640="yes",Q640*Inputs!$B$10*Inputs!$B$9,0)+IFERROR(INDEX(Inputs!$B$13:$B$15,MATCH(G640,Inputs!$A$13:$A$15,0)),0)+IFERROR(INDEX(Inputs!$B$18:$B$24,MATCH(H640,Inputs!$A$18:$A$24,0)),0))</f>
        <v>0.076</v>
      </c>
      <c r="AC640" s="28" t="n">
        <f aca="false">IF(OR(N(AB640)&lt;=0,N(N640)=0,N(L640)=0),"",MIN(L640,N640/AB640))</f>
        <v>14.6381578947368</v>
      </c>
      <c r="AD640" s="29" t="n">
        <f aca="false">IF(OR(AC640="",N(O640)=0),"",AC640/O640-1)</f>
        <v>-0.0930509358899107</v>
      </c>
      <c r="AE640" s="29" t="n">
        <f aca="false">IF(OR(AD640="",N(O640)=0),"",AD640+N640/O640)</f>
        <v>-0.0241228070175439</v>
      </c>
      <c r="AF640" s="32" t="n">
        <f aca="false">IF(OR(AE640="",N(Z640)=0),"",AE640-Z640)</f>
        <v>0</v>
      </c>
      <c r="AG640" s="28" t="n">
        <f aca="false">IF(AND(N(M640)&gt;0,N(L640)&gt;0),M640*L640,N640)</f>
        <v>1.1125</v>
      </c>
      <c r="AH640" s="28" t="n">
        <f aca="false">IF(OR(N(AB640)&lt;=0,N(AG640)=0,N(L640)=0),"",MIN(L640,AG640/AB640))</f>
        <v>14.6381578947368</v>
      </c>
      <c r="AI640" s="29" t="n">
        <f aca="false">IF(OR(AH640="",N(O640)=0),"",AH640/O640-1)</f>
        <v>-0.0930509358899107</v>
      </c>
      <c r="AJ640" s="29" t="n">
        <f aca="false">IF(OR(AI640="",N(O640)=0),"",AI640+AG640/O640)</f>
        <v>-0.0241228070175439</v>
      </c>
      <c r="AK640" s="32" t="n">
        <f aca="false">IF(OR(AJ640="",N(AE640)=0),"",AJ640-AE640)</f>
        <v>0</v>
      </c>
      <c r="AL640" s="33" t="n">
        <f aca="false">IF(N(F640)=0,"",INDEX(Inputs!$B$28:$B$32,IFERROR(MATCH(F640,Inputs!$A$28:$A$32,1),0)+1))</f>
        <v>0.075</v>
      </c>
      <c r="AM640" s="34"/>
      <c r="AN640" s="33" t="n">
        <f aca="false">IF(N(AM640)&gt;0,AM640,AL640)</f>
        <v>0.075</v>
      </c>
      <c r="AO640" s="29" t="n">
        <f aca="false">IF(N(AN640)=0,"",AN640+IF(I640="yes",AN640*Inputs!$B$10*Inputs!$B$9,0)+IFERROR(INDEX(Inputs!$B$13:$B$15,MATCH(G640,Inputs!$A$13:$A$15,0)),0)+IFERROR(INDEX(Inputs!$B$18:$B$24,MATCH(H640,Inputs!$A$18:$A$24,0)),0))</f>
        <v>0.07125</v>
      </c>
      <c r="AP640" s="28" t="n">
        <f aca="false">IF(OR(N(AO640)&lt;=0,N(AG640)=0,N(L640)=0),"",MIN(L640,AG640/AO640))</f>
        <v>15.6140350877193</v>
      </c>
      <c r="AQ640" s="29" t="n">
        <f aca="false">IF(OR(AP640="",N(O640)=0),"",AP640/O640-1)</f>
        <v>-0.0325876649492379</v>
      </c>
      <c r="AR640" s="29" t="n">
        <f aca="false">IF(OR(AQ640="",N(O640)=0),"",AQ640+AG640/O640)</f>
        <v>0.0363404639231289</v>
      </c>
      <c r="AS640" s="32" t="n">
        <f aca="false">IF(OR(AR640="",N(AJ640)=0),"",AR640-AJ640)</f>
        <v>0.0604632709406727</v>
      </c>
      <c r="AT640" s="28" t="n">
        <v>25</v>
      </c>
      <c r="AU640" s="28" t="n">
        <v>1.1125</v>
      </c>
      <c r="AV640" s="28" t="n">
        <f aca="false">IF(N(AT640)&gt;0,AT640,L640)</f>
        <v>25</v>
      </c>
      <c r="AW640" s="28" t="n">
        <f aca="false">IF(AND(N(M640)&gt;0,N(AV640)&gt;0),M640*AV640,IF(N(AU640)&gt;0,AU640,N640))</f>
        <v>1.1125</v>
      </c>
      <c r="AX640" s="29" t="n">
        <f aca="false">IF(N(AN640)=0,"",AN640+IF(I640="yes",AN640*Inputs!$B$10*Inputs!$B$9,0)+IFERROR(INDEX(Inputs!$B$13:$B$15,MATCH(G640,Inputs!$A$13:$A$15,0)),0)+IFERROR(INDEX(Inputs!$B$18:$B$24,MATCH(H640,Inputs!$A$18:$A$24,0)),0))</f>
        <v>0.07125</v>
      </c>
      <c r="AY640" s="28" t="n">
        <f aca="false">IF(OR(N(AX640)&lt;=0,N(AW640)=0,N(AV640)=0),"",MIN(AV640,AW640/AX640))</f>
        <v>15.6140350877193</v>
      </c>
      <c r="AZ640" s="29" t="n">
        <f aca="false">IF(OR(AY640="",N(O640)=0),"",AY640/O640-1)</f>
        <v>-0.0325876649492379</v>
      </c>
      <c r="BA640" s="29" t="n">
        <f aca="false">IF(OR(AZ640="",N(O640)=0),"",AZ640+AW640/O640)</f>
        <v>0.0363404639231289</v>
      </c>
      <c r="BB640" s="32" t="n">
        <f aca="false">IF(OR(BA640="",N(AR640)=0),"",BA640-AR640)</f>
        <v>0</v>
      </c>
      <c r="BC640" s="35" t="n">
        <f aca="false">IF(OR(BA640="",N(U640)=0),"",BA640-U640)</f>
        <v>0.0604632709406727</v>
      </c>
      <c r="BD640" s="37"/>
    </row>
    <row r="641" customFormat="false" ht="15" hidden="false" customHeight="false" outlineLevel="0" collapsed="false">
      <c r="A641" s="2" t="s">
        <v>1067</v>
      </c>
      <c r="B641" s="2" t="n">
        <v>286</v>
      </c>
      <c r="C641" s="2" t="s">
        <v>1293</v>
      </c>
      <c r="D641" s="2" t="s">
        <v>1294</v>
      </c>
      <c r="E641" s="2" t="s">
        <v>1295</v>
      </c>
      <c r="F641" s="27" t="n">
        <v>15800</v>
      </c>
      <c r="G641" s="2" t="s">
        <v>52</v>
      </c>
      <c r="H641" s="2" t="s">
        <v>58</v>
      </c>
      <c r="I641" s="2" t="s">
        <v>144</v>
      </c>
      <c r="J641" s="2" t="s">
        <v>145</v>
      </c>
      <c r="K641" s="2" t="n">
        <v>4</v>
      </c>
      <c r="L641" s="28" t="n">
        <v>25</v>
      </c>
      <c r="M641" s="29" t="n">
        <v>0.0575</v>
      </c>
      <c r="N641" s="28" t="n">
        <v>1.4375</v>
      </c>
      <c r="O641" s="28"/>
      <c r="P641" s="2" t="s">
        <v>146</v>
      </c>
      <c r="Q641" s="29" t="n">
        <v>0.08</v>
      </c>
      <c r="R641" s="30" t="n">
        <v>0.075</v>
      </c>
      <c r="S641" s="31" t="n">
        <v>19.1666666666667</v>
      </c>
      <c r="T641" s="30"/>
      <c r="U641" s="30"/>
      <c r="V641" s="29" t="n">
        <v>-0.005</v>
      </c>
      <c r="W641" s="29" t="n">
        <f aca="false">IF(N(Q641)=0,"",Q641+IF(I641="yes",Q641*Inputs!$B$10*Inputs!$B$9,0)+V641)</f>
        <v>0.075</v>
      </c>
      <c r="X641" s="28" t="n">
        <f aca="false">IF(OR(N(W641)&lt;=0,N(N641)=0,N(L641)=0),"",MIN(L641,N641/W641))</f>
        <v>19.1666666666667</v>
      </c>
      <c r="Y641" s="29" t="str">
        <f aca="false">IF(OR(X641="",N(O641)=0),"",X641/O641-1)</f>
        <v/>
      </c>
      <c r="Z641" s="29" t="str">
        <f aca="false">IF(OR(Y641="",N(O641)=0),"",Y641+N641/O641)</f>
        <v/>
      </c>
      <c r="AA641" s="32" t="str">
        <f aca="false">IF(OR(Z641="",N(U641)=0),"",Z641-U641)</f>
        <v/>
      </c>
      <c r="AB641" s="29" t="n">
        <f aca="false">IF(N(Q641)=0,"",Q641+IF(I641="yes",Q641*Inputs!$B$10*Inputs!$B$9,0)+IFERROR(INDEX(Inputs!$B$13:$B$15,MATCH(G641,Inputs!$A$13:$A$15,0)),0)+IFERROR(INDEX(Inputs!$B$18:$B$24,MATCH(H641,Inputs!$A$18:$A$24,0)),0))</f>
        <v>0.075</v>
      </c>
      <c r="AC641" s="28" t="n">
        <f aca="false">IF(OR(N(AB641)&lt;=0,N(N641)=0,N(L641)=0),"",MIN(L641,N641/AB641))</f>
        <v>19.1666666666667</v>
      </c>
      <c r="AD641" s="29" t="str">
        <f aca="false">IF(OR(AC641="",N(O641)=0),"",AC641/O641-1)</f>
        <v/>
      </c>
      <c r="AE641" s="29" t="str">
        <f aca="false">IF(OR(AD641="",N(O641)=0),"",AD641+N641/O641)</f>
        <v/>
      </c>
      <c r="AF641" s="32" t="str">
        <f aca="false">IF(OR(AE641="",N(Z641)=0),"",AE641-Z641)</f>
        <v/>
      </c>
      <c r="AG641" s="28" t="n">
        <f aca="false">IF(AND(N(M641)&gt;0,N(L641)&gt;0),M641*L641,N641)</f>
        <v>1.4375</v>
      </c>
      <c r="AH641" s="28" t="n">
        <f aca="false">IF(OR(N(AB641)&lt;=0,N(AG641)=0,N(L641)=0),"",MIN(L641,AG641/AB641))</f>
        <v>19.1666666666667</v>
      </c>
      <c r="AI641" s="29" t="str">
        <f aca="false">IF(OR(AH641="",N(O641)=0),"",AH641/O641-1)</f>
        <v/>
      </c>
      <c r="AJ641" s="29" t="str">
        <f aca="false">IF(OR(AI641="",N(O641)=0),"",AI641+AG641/O641)</f>
        <v/>
      </c>
      <c r="AK641" s="32" t="str">
        <f aca="false">IF(OR(AJ641="",N(AE641)=0),"",AJ641-AE641)</f>
        <v/>
      </c>
      <c r="AL641" s="33" t="n">
        <f aca="false">IF(N(F641)=0,"",INDEX(Inputs!$B$28:$B$32,IFERROR(MATCH(F641,Inputs!$A$28:$A$32,1),0)+1))</f>
        <v>0.08</v>
      </c>
      <c r="AM641" s="34"/>
      <c r="AN641" s="33" t="n">
        <f aca="false">IF(N(AM641)&gt;0,AM641,AL641)</f>
        <v>0.08</v>
      </c>
      <c r="AO641" s="29" t="n">
        <f aca="false">IF(N(AN641)=0,"",AN641+IF(I641="yes",AN641*Inputs!$B$10*Inputs!$B$9,0)+IFERROR(INDEX(Inputs!$B$13:$B$15,MATCH(G641,Inputs!$A$13:$A$15,0)),0)+IFERROR(INDEX(Inputs!$B$18:$B$24,MATCH(H641,Inputs!$A$18:$A$24,0)),0))</f>
        <v>0.075</v>
      </c>
      <c r="AP641" s="28" t="n">
        <f aca="false">IF(OR(N(AO641)&lt;=0,N(AG641)=0,N(L641)=0),"",MIN(L641,AG641/AO641))</f>
        <v>19.1666666666667</v>
      </c>
      <c r="AQ641" s="29" t="str">
        <f aca="false">IF(OR(AP641="",N(O641)=0),"",AP641/O641-1)</f>
        <v/>
      </c>
      <c r="AR641" s="29" t="str">
        <f aca="false">IF(OR(AQ641="",N(O641)=0),"",AQ641+AG641/O641)</f>
        <v/>
      </c>
      <c r="AS641" s="32" t="str">
        <f aca="false">IF(OR(AR641="",N(AJ641)=0),"",AR641-AJ641)</f>
        <v/>
      </c>
      <c r="AT641" s="28" t="n">
        <v>25</v>
      </c>
      <c r="AU641" s="28" t="n">
        <v>1.44</v>
      </c>
      <c r="AV641" s="28" t="n">
        <f aca="false">IF(N(AT641)&gt;0,AT641,L641)</f>
        <v>25</v>
      </c>
      <c r="AW641" s="28" t="n">
        <f aca="false">IF(AND(N(M641)&gt;0,N(AV641)&gt;0),M641*AV641,IF(N(AU641)&gt;0,AU641,N641))</f>
        <v>1.4375</v>
      </c>
      <c r="AX641" s="29" t="n">
        <f aca="false">IF(N(AN641)=0,"",AN641+IF(I641="yes",AN641*Inputs!$B$10*Inputs!$B$9,0)+IFERROR(INDEX(Inputs!$B$13:$B$15,MATCH(G641,Inputs!$A$13:$A$15,0)),0)+IFERROR(INDEX(Inputs!$B$18:$B$24,MATCH(H641,Inputs!$A$18:$A$24,0)),0))</f>
        <v>0.075</v>
      </c>
      <c r="AY641" s="28" t="n">
        <f aca="false">IF(OR(N(AX641)&lt;=0,N(AW641)=0,N(AV641)=0),"",MIN(AV641,AW641/AX641))</f>
        <v>19.1666666666667</v>
      </c>
      <c r="AZ641" s="29" t="str">
        <f aca="false">IF(OR(AY641="",N(O641)=0),"",AY641/O641-1)</f>
        <v/>
      </c>
      <c r="BA641" s="29" t="str">
        <f aca="false">IF(OR(AZ641="",N(O641)=0),"",AZ641+AW641/O641)</f>
        <v/>
      </c>
      <c r="BB641" s="32" t="str">
        <f aca="false">IF(OR(BA641="",N(AR641)=0),"",BA641-AR641)</f>
        <v/>
      </c>
      <c r="BC641" s="35" t="str">
        <f aca="false">IF(OR(BA641="",N(U641)=0),"",BA641-U641)</f>
        <v/>
      </c>
      <c r="BD641" s="36" t="s">
        <v>299</v>
      </c>
    </row>
    <row r="642" customFormat="false" ht="15" hidden="false" customHeight="false" outlineLevel="0" collapsed="false">
      <c r="A642" s="2" t="s">
        <v>1067</v>
      </c>
      <c r="B642" s="2" t="n">
        <v>290</v>
      </c>
      <c r="C642" s="2" t="s">
        <v>1296</v>
      </c>
      <c r="D642" s="2" t="s">
        <v>1297</v>
      </c>
      <c r="E642" s="2" t="s">
        <v>143</v>
      </c>
      <c r="F642" s="27"/>
      <c r="G642" s="2" t="s">
        <v>51</v>
      </c>
      <c r="H642" s="2" t="s">
        <v>58</v>
      </c>
      <c r="I642" s="2" t="s">
        <v>151</v>
      </c>
      <c r="J642" s="2" t="s">
        <v>145</v>
      </c>
      <c r="K642" s="2" t="n">
        <v>4</v>
      </c>
      <c r="L642" s="28" t="n">
        <v>25</v>
      </c>
      <c r="M642" s="29" t="n">
        <v>0.10875</v>
      </c>
      <c r="N642" s="28" t="n">
        <v>2.71875</v>
      </c>
      <c r="O642" s="28" t="n">
        <v>0</v>
      </c>
      <c r="P642" s="2" t="s">
        <v>146</v>
      </c>
      <c r="Q642" s="29" t="n">
        <v>0</v>
      </c>
      <c r="R642" s="30" t="n">
        <v>0</v>
      </c>
      <c r="S642" s="31"/>
      <c r="T642" s="30"/>
      <c r="U642" s="30"/>
      <c r="V642" s="29" t="n">
        <v>0</v>
      </c>
      <c r="W642" s="29" t="str">
        <f aca="false">IF(N(Q642)=0,"",Q642+IF(I642="yes",Q642*Inputs!$B$10*Inputs!$B$9,0)+V642)</f>
        <v/>
      </c>
      <c r="X642" s="28" t="str">
        <f aca="false">IF(OR(N(W642)&lt;=0,N(N642)=0,N(L642)=0),"",MIN(L642,N642/W642))</f>
        <v/>
      </c>
      <c r="Y642" s="29" t="str">
        <f aca="false">IF(OR(X642="",N(O642)=0),"",X642/O642-1)</f>
        <v/>
      </c>
      <c r="Z642" s="29" t="str">
        <f aca="false">IF(OR(Y642="",N(O642)=0),"",Y642+N642/O642)</f>
        <v/>
      </c>
      <c r="AA642" s="32" t="str">
        <f aca="false">IF(OR(Z642="",N(U642)=0),"",Z642-U642)</f>
        <v/>
      </c>
      <c r="AB642" s="29" t="str">
        <f aca="false">IF(N(Q642)=0,"",Q642+IF(I642="yes",Q642*Inputs!$B$10*Inputs!$B$9,0)+IFERROR(INDEX(Inputs!$B$13:$B$15,MATCH(G642,Inputs!$A$13:$A$15,0)),0)+IFERROR(INDEX(Inputs!$B$18:$B$24,MATCH(H642,Inputs!$A$18:$A$24,0)),0))</f>
        <v/>
      </c>
      <c r="AC642" s="28" t="str">
        <f aca="false">IF(OR(N(AB642)&lt;=0,N(N642)=0,N(L642)=0),"",MIN(L642,N642/AB642))</f>
        <v/>
      </c>
      <c r="AD642" s="29" t="str">
        <f aca="false">IF(OR(AC642="",N(O642)=0),"",AC642/O642-1)</f>
        <v/>
      </c>
      <c r="AE642" s="29" t="str">
        <f aca="false">IF(OR(AD642="",N(O642)=0),"",AD642+N642/O642)</f>
        <v/>
      </c>
      <c r="AF642" s="32" t="str">
        <f aca="false">IF(OR(AE642="",N(Z642)=0),"",AE642-Z642)</f>
        <v/>
      </c>
      <c r="AG642" s="28" t="n">
        <f aca="false">IF(AND(N(M642)&gt;0,N(L642)&gt;0),M642*L642,N642)</f>
        <v>2.71875</v>
      </c>
      <c r="AH642" s="28" t="str">
        <f aca="false">IF(OR(N(AB642)&lt;=0,N(AG642)=0,N(L642)=0),"",MIN(L642,AG642/AB642))</f>
        <v/>
      </c>
      <c r="AI642" s="29" t="str">
        <f aca="false">IF(OR(AH642="",N(O642)=0),"",AH642/O642-1)</f>
        <v/>
      </c>
      <c r="AJ642" s="29" t="str">
        <f aca="false">IF(OR(AI642="",N(O642)=0),"",AI642+AG642/O642)</f>
        <v/>
      </c>
      <c r="AK642" s="32" t="str">
        <f aca="false">IF(OR(AJ642="",N(AE642)=0),"",AJ642-AE642)</f>
        <v/>
      </c>
      <c r="AL642" s="33" t="str">
        <f aca="false">IF(N(F642)=0,"",INDEX(Inputs!$B$28:$B$32,IFERROR(MATCH(F642,Inputs!$A$28:$A$32,1),0)+1))</f>
        <v/>
      </c>
      <c r="AM642" s="34"/>
      <c r="AN642" s="33" t="str">
        <f aca="false">IF(N(AM642)&gt;0,AM642,AL642)</f>
        <v/>
      </c>
      <c r="AO642" s="29" t="str">
        <f aca="false">IF(N(AN642)=0,"",AN642+IF(I642="yes",AN642*Inputs!$B$10*Inputs!$B$9,0)+IFERROR(INDEX(Inputs!$B$13:$B$15,MATCH(G642,Inputs!$A$13:$A$15,0)),0)+IFERROR(INDEX(Inputs!$B$18:$B$24,MATCH(H642,Inputs!$A$18:$A$24,0)),0))</f>
        <v/>
      </c>
      <c r="AP642" s="28" t="str">
        <f aca="false">IF(OR(N(AO642)&lt;=0,N(AG642)=0,N(L642)=0),"",MIN(L642,AG642/AO642))</f>
        <v/>
      </c>
      <c r="AQ642" s="29" t="str">
        <f aca="false">IF(OR(AP642="",N(O642)=0),"",AP642/O642-1)</f>
        <v/>
      </c>
      <c r="AR642" s="29" t="str">
        <f aca="false">IF(OR(AQ642="",N(O642)=0),"",AQ642+AG642/O642)</f>
        <v/>
      </c>
      <c r="AS642" s="32" t="str">
        <f aca="false">IF(OR(AR642="",N(AJ642)=0),"",AR642-AJ642)</f>
        <v/>
      </c>
      <c r="AT642" s="28"/>
      <c r="AU642" s="28"/>
      <c r="AV642" s="28" t="n">
        <f aca="false">IF(N(AT642)&gt;0,AT642,L642)</f>
        <v>25</v>
      </c>
      <c r="AW642" s="28" t="n">
        <f aca="false">IF(AND(N(M642)&gt;0,N(AV642)&gt;0),M642*AV642,IF(N(AU642)&gt;0,AU642,N642))</f>
        <v>2.71875</v>
      </c>
      <c r="AX642" s="29" t="str">
        <f aca="false">IF(N(AN642)=0,"",AN642+IF(I642="yes",AN642*Inputs!$B$10*Inputs!$B$9,0)+IFERROR(INDEX(Inputs!$B$13:$B$15,MATCH(G642,Inputs!$A$13:$A$15,0)),0)+IFERROR(INDEX(Inputs!$B$18:$B$24,MATCH(H642,Inputs!$A$18:$A$24,0)),0))</f>
        <v/>
      </c>
      <c r="AY642" s="28" t="str">
        <f aca="false">IF(OR(N(AX642)&lt;=0,N(AW642)=0,N(AV642)=0),"",MIN(AV642,AW642/AX642))</f>
        <v/>
      </c>
      <c r="AZ642" s="29" t="str">
        <f aca="false">IF(OR(AY642="",N(O642)=0),"",AY642/O642-1)</f>
        <v/>
      </c>
      <c r="BA642" s="29" t="str">
        <f aca="false">IF(OR(AZ642="",N(O642)=0),"",AZ642+AW642/O642)</f>
        <v/>
      </c>
      <c r="BB642" s="32" t="str">
        <f aca="false">IF(OR(BA642="",N(AR642)=0),"",BA642-AR642)</f>
        <v/>
      </c>
      <c r="BC642" s="35" t="str">
        <f aca="false">IF(OR(BA642="",N(U642)=0),"",BA642-U642)</f>
        <v/>
      </c>
      <c r="BD642" s="36" t="s">
        <v>147</v>
      </c>
    </row>
    <row r="643" customFormat="false" ht="15" hidden="false" customHeight="false" outlineLevel="0" collapsed="false">
      <c r="A643" s="2" t="s">
        <v>1067</v>
      </c>
      <c r="B643" s="2" t="n">
        <v>294</v>
      </c>
      <c r="C643" s="2" t="s">
        <v>1298</v>
      </c>
      <c r="D643" s="2" t="s">
        <v>1299</v>
      </c>
      <c r="E643" s="2" t="s">
        <v>1300</v>
      </c>
      <c r="F643" s="27" t="n">
        <v>278</v>
      </c>
      <c r="G643" s="2" t="s">
        <v>52</v>
      </c>
      <c r="H643" s="2" t="s">
        <v>58</v>
      </c>
      <c r="I643" s="2" t="s">
        <v>144</v>
      </c>
      <c r="J643" s="2" t="s">
        <v>145</v>
      </c>
      <c r="K643" s="2" t="n">
        <v>4</v>
      </c>
      <c r="L643" s="28" t="n">
        <v>25</v>
      </c>
      <c r="M643" s="29" t="n">
        <v>0.05</v>
      </c>
      <c r="N643" s="28" t="n">
        <v>1.25</v>
      </c>
      <c r="O643" s="28" t="n">
        <v>24.59</v>
      </c>
      <c r="P643" s="2" t="s">
        <v>223</v>
      </c>
      <c r="Q643" s="29" t="n">
        <v>0.1</v>
      </c>
      <c r="R643" s="30" t="n">
        <v>0.1</v>
      </c>
      <c r="S643" s="31" t="n">
        <v>12.5</v>
      </c>
      <c r="T643" s="30" t="n">
        <v>-0.491663277755185</v>
      </c>
      <c r="U643" s="30" t="n">
        <v>-0.440829605530704</v>
      </c>
      <c r="V643" s="29" t="n">
        <v>-0.005</v>
      </c>
      <c r="W643" s="29" t="n">
        <f aca="false">IF(N(Q643)=0,"",Q643+IF(I643="yes",Q643*Inputs!$B$10*Inputs!$B$9,0)+V643)</f>
        <v>0.095</v>
      </c>
      <c r="X643" s="28" t="n">
        <f aca="false">IF(OR(N(W643)&lt;=0,N(N643)=0,N(L643)=0),"",MIN(L643,N643/W643))</f>
        <v>13.1578947368421</v>
      </c>
      <c r="Y643" s="29" t="n">
        <f aca="false">IF(OR(X643="",N(O643)=0),"",X643/O643-1)</f>
        <v>-0.464908713426511</v>
      </c>
      <c r="Z643" s="29" t="n">
        <f aca="false">IF(OR(Y643="",N(O643)=0),"",Y643+N643/O643)</f>
        <v>-0.414075041202029</v>
      </c>
      <c r="AA643" s="32" t="n">
        <f aca="false">IF(OR(Z643="",N(U643)=0),"",Z643-U643)</f>
        <v>0.0267545643286743</v>
      </c>
      <c r="AB643" s="29" t="n">
        <f aca="false">IF(N(Q643)=0,"",Q643+IF(I643="yes",Q643*Inputs!$B$10*Inputs!$B$9,0)+IFERROR(INDEX(Inputs!$B$13:$B$15,MATCH(G643,Inputs!$A$13:$A$15,0)),0)+IFERROR(INDEX(Inputs!$B$18:$B$24,MATCH(H643,Inputs!$A$18:$A$24,0)),0))</f>
        <v>0.095</v>
      </c>
      <c r="AC643" s="28" t="n">
        <f aca="false">IF(OR(N(AB643)&lt;=0,N(N643)=0,N(L643)=0),"",MIN(L643,N643/AB643))</f>
        <v>13.1578947368421</v>
      </c>
      <c r="AD643" s="29" t="n">
        <f aca="false">IF(OR(AC643="",N(O643)=0),"",AC643/O643-1)</f>
        <v>-0.464908713426511</v>
      </c>
      <c r="AE643" s="29" t="n">
        <f aca="false">IF(OR(AD643="",N(O643)=0),"",AD643+N643/O643)</f>
        <v>-0.414075041202029</v>
      </c>
      <c r="AF643" s="32" t="n">
        <f aca="false">IF(OR(AE643="",N(Z643)=0),"",AE643-Z643)</f>
        <v>0</v>
      </c>
      <c r="AG643" s="28" t="n">
        <f aca="false">IF(AND(N(M643)&gt;0,N(L643)&gt;0),M643*L643,N643)</f>
        <v>1.25</v>
      </c>
      <c r="AH643" s="28" t="n">
        <f aca="false">IF(OR(N(AB643)&lt;=0,N(AG643)=0,N(L643)=0),"",MIN(L643,AG643/AB643))</f>
        <v>13.1578947368421</v>
      </c>
      <c r="AI643" s="29" t="n">
        <f aca="false">IF(OR(AH643="",N(O643)=0),"",AH643/O643-1)</f>
        <v>-0.464908713426511</v>
      </c>
      <c r="AJ643" s="29" t="n">
        <f aca="false">IF(OR(AI643="",N(O643)=0),"",AI643+AG643/O643)</f>
        <v>-0.414075041202029</v>
      </c>
      <c r="AK643" s="32" t="n">
        <f aca="false">IF(OR(AJ643="",N(AE643)=0),"",AJ643-AE643)</f>
        <v>0</v>
      </c>
      <c r="AL643" s="33" t="n">
        <f aca="false">IF(N(F643)=0,"",INDEX(Inputs!$B$28:$B$32,IFERROR(MATCH(F643,Inputs!$A$28:$A$32,1),0)+1))</f>
        <v>0.09</v>
      </c>
      <c r="AM643" s="34"/>
      <c r="AN643" s="33" t="n">
        <f aca="false">IF(N(AM643)&gt;0,AM643,AL643)</f>
        <v>0.09</v>
      </c>
      <c r="AO643" s="29" t="n">
        <f aca="false">IF(N(AN643)=0,"",AN643+IF(I643="yes",AN643*Inputs!$B$10*Inputs!$B$9,0)+IFERROR(INDEX(Inputs!$B$13:$B$15,MATCH(G643,Inputs!$A$13:$A$15,0)),0)+IFERROR(INDEX(Inputs!$B$18:$B$24,MATCH(H643,Inputs!$A$18:$A$24,0)),0))</f>
        <v>0.085</v>
      </c>
      <c r="AP643" s="28" t="n">
        <f aca="false">IF(OR(N(AO643)&lt;=0,N(AG643)=0,N(L643)=0),"",MIN(L643,AG643/AO643))</f>
        <v>14.7058823529412</v>
      </c>
      <c r="AQ643" s="29" t="n">
        <f aca="false">IF(OR(AP643="",N(O643)=0),"",AP643/O643-1)</f>
        <v>-0.401956797359041</v>
      </c>
      <c r="AR643" s="29" t="n">
        <f aca="false">IF(OR(AQ643="",N(O643)=0),"",AQ643+AG643/O643)</f>
        <v>-0.35112312513456</v>
      </c>
      <c r="AS643" s="32" t="n">
        <f aca="false">IF(OR(AR643="",N(AJ643)=0),"",AR643-AJ643)</f>
        <v>0.0629519160674694</v>
      </c>
      <c r="AT643" s="28" t="n">
        <v>25</v>
      </c>
      <c r="AU643" s="28" t="n">
        <v>1.25</v>
      </c>
      <c r="AV643" s="28" t="n">
        <f aca="false">IF(N(AT643)&gt;0,AT643,L643)</f>
        <v>25</v>
      </c>
      <c r="AW643" s="28" t="n">
        <f aca="false">IF(AND(N(M643)&gt;0,N(AV643)&gt;0),M643*AV643,IF(N(AU643)&gt;0,AU643,N643))</f>
        <v>1.25</v>
      </c>
      <c r="AX643" s="29" t="n">
        <f aca="false">IF(N(AN643)=0,"",AN643+IF(I643="yes",AN643*Inputs!$B$10*Inputs!$B$9,0)+IFERROR(INDEX(Inputs!$B$13:$B$15,MATCH(G643,Inputs!$A$13:$A$15,0)),0)+IFERROR(INDEX(Inputs!$B$18:$B$24,MATCH(H643,Inputs!$A$18:$A$24,0)),0))</f>
        <v>0.085</v>
      </c>
      <c r="AY643" s="28" t="n">
        <f aca="false">IF(OR(N(AX643)&lt;=0,N(AW643)=0,N(AV643)=0),"",MIN(AV643,AW643/AX643))</f>
        <v>14.7058823529412</v>
      </c>
      <c r="AZ643" s="29" t="n">
        <f aca="false">IF(OR(AY643="",N(O643)=0),"",AY643/O643-1)</f>
        <v>-0.401956797359041</v>
      </c>
      <c r="BA643" s="29" t="n">
        <f aca="false">IF(OR(AZ643="",N(O643)=0),"",AZ643+AW643/O643)</f>
        <v>-0.35112312513456</v>
      </c>
      <c r="BB643" s="32" t="n">
        <f aca="false">IF(OR(BA643="",N(AR643)=0),"",BA643-AR643)</f>
        <v>0</v>
      </c>
      <c r="BC643" s="35" t="n">
        <f aca="false">IF(OR(BA643="",N(U643)=0),"",BA643-U643)</f>
        <v>0.0897064803961438</v>
      </c>
      <c r="BD643" s="36" t="s">
        <v>224</v>
      </c>
    </row>
    <row r="644" customFormat="false" ht="15" hidden="false" customHeight="false" outlineLevel="0" collapsed="false">
      <c r="A644" s="2" t="s">
        <v>1067</v>
      </c>
      <c r="B644" s="2" t="n">
        <v>295</v>
      </c>
      <c r="C644" s="2" t="s">
        <v>1301</v>
      </c>
      <c r="D644" s="2" t="s">
        <v>1299</v>
      </c>
      <c r="E644" s="2" t="s">
        <v>1300</v>
      </c>
      <c r="F644" s="27" t="n">
        <v>278</v>
      </c>
      <c r="G644" s="2" t="s">
        <v>52</v>
      </c>
      <c r="H644" s="2" t="s">
        <v>58</v>
      </c>
      <c r="I644" s="2" t="s">
        <v>144</v>
      </c>
      <c r="J644" s="2" t="s">
        <v>145</v>
      </c>
      <c r="K644" s="2" t="n">
        <v>4</v>
      </c>
      <c r="L644" s="28" t="n">
        <v>25</v>
      </c>
      <c r="M644" s="29" t="n">
        <v>0.055</v>
      </c>
      <c r="N644" s="28" t="n">
        <v>1.375</v>
      </c>
      <c r="O644" s="28" t="n">
        <v>0</v>
      </c>
      <c r="P644" s="2" t="s">
        <v>146</v>
      </c>
      <c r="Q644" s="29" t="n">
        <v>0.1</v>
      </c>
      <c r="R644" s="30" t="n">
        <v>0.095</v>
      </c>
      <c r="S644" s="31" t="n">
        <v>14.4736842105263</v>
      </c>
      <c r="T644" s="30"/>
      <c r="U644" s="30"/>
      <c r="V644" s="29" t="n">
        <v>-0.005</v>
      </c>
      <c r="W644" s="29" t="n">
        <f aca="false">IF(N(Q644)=0,"",Q644+IF(I644="yes",Q644*Inputs!$B$10*Inputs!$B$9,0)+V644)</f>
        <v>0.095</v>
      </c>
      <c r="X644" s="28" t="n">
        <f aca="false">IF(OR(N(W644)&lt;=0,N(N644)=0,N(L644)=0),"",MIN(L644,N644/W644))</f>
        <v>14.4736842105263</v>
      </c>
      <c r="Y644" s="29" t="str">
        <f aca="false">IF(OR(X644="",N(O644)=0),"",X644/O644-1)</f>
        <v/>
      </c>
      <c r="Z644" s="29" t="str">
        <f aca="false">IF(OR(Y644="",N(O644)=0),"",Y644+N644/O644)</f>
        <v/>
      </c>
      <c r="AA644" s="32" t="str">
        <f aca="false">IF(OR(Z644="",N(U644)=0),"",Z644-U644)</f>
        <v/>
      </c>
      <c r="AB644" s="29" t="n">
        <f aca="false">IF(N(Q644)=0,"",Q644+IF(I644="yes",Q644*Inputs!$B$10*Inputs!$B$9,0)+IFERROR(INDEX(Inputs!$B$13:$B$15,MATCH(G644,Inputs!$A$13:$A$15,0)),0)+IFERROR(INDEX(Inputs!$B$18:$B$24,MATCH(H644,Inputs!$A$18:$A$24,0)),0))</f>
        <v>0.095</v>
      </c>
      <c r="AC644" s="28" t="n">
        <f aca="false">IF(OR(N(AB644)&lt;=0,N(N644)=0,N(L644)=0),"",MIN(L644,N644/AB644))</f>
        <v>14.4736842105263</v>
      </c>
      <c r="AD644" s="29" t="str">
        <f aca="false">IF(OR(AC644="",N(O644)=0),"",AC644/O644-1)</f>
        <v/>
      </c>
      <c r="AE644" s="29" t="str">
        <f aca="false">IF(OR(AD644="",N(O644)=0),"",AD644+N644/O644)</f>
        <v/>
      </c>
      <c r="AF644" s="32" t="str">
        <f aca="false">IF(OR(AE644="",N(Z644)=0),"",AE644-Z644)</f>
        <v/>
      </c>
      <c r="AG644" s="28" t="n">
        <f aca="false">IF(AND(N(M644)&gt;0,N(L644)&gt;0),M644*L644,N644)</f>
        <v>1.375</v>
      </c>
      <c r="AH644" s="28" t="n">
        <f aca="false">IF(OR(N(AB644)&lt;=0,N(AG644)=0,N(L644)=0),"",MIN(L644,AG644/AB644))</f>
        <v>14.4736842105263</v>
      </c>
      <c r="AI644" s="29" t="str">
        <f aca="false">IF(OR(AH644="",N(O644)=0),"",AH644/O644-1)</f>
        <v/>
      </c>
      <c r="AJ644" s="29" t="str">
        <f aca="false">IF(OR(AI644="",N(O644)=0),"",AI644+AG644/O644)</f>
        <v/>
      </c>
      <c r="AK644" s="32" t="str">
        <f aca="false">IF(OR(AJ644="",N(AE644)=0),"",AJ644-AE644)</f>
        <v/>
      </c>
      <c r="AL644" s="33" t="n">
        <f aca="false">IF(N(F644)=0,"",INDEX(Inputs!$B$28:$B$32,IFERROR(MATCH(F644,Inputs!$A$28:$A$32,1),0)+1))</f>
        <v>0.09</v>
      </c>
      <c r="AM644" s="34"/>
      <c r="AN644" s="33" t="n">
        <f aca="false">IF(N(AM644)&gt;0,AM644,AL644)</f>
        <v>0.09</v>
      </c>
      <c r="AO644" s="29" t="n">
        <f aca="false">IF(N(AN644)=0,"",AN644+IF(I644="yes",AN644*Inputs!$B$10*Inputs!$B$9,0)+IFERROR(INDEX(Inputs!$B$13:$B$15,MATCH(G644,Inputs!$A$13:$A$15,0)),0)+IFERROR(INDEX(Inputs!$B$18:$B$24,MATCH(H644,Inputs!$A$18:$A$24,0)),0))</f>
        <v>0.085</v>
      </c>
      <c r="AP644" s="28" t="n">
        <f aca="false">IF(OR(N(AO644)&lt;=0,N(AG644)=0,N(L644)=0),"",MIN(L644,AG644/AO644))</f>
        <v>16.1764705882353</v>
      </c>
      <c r="AQ644" s="29" t="str">
        <f aca="false">IF(OR(AP644="",N(O644)=0),"",AP644/O644-1)</f>
        <v/>
      </c>
      <c r="AR644" s="29" t="str">
        <f aca="false">IF(OR(AQ644="",N(O644)=0),"",AQ644+AG644/O644)</f>
        <v/>
      </c>
      <c r="AS644" s="32" t="str">
        <f aca="false">IF(OR(AR644="",N(AJ644)=0),"",AR644-AJ644)</f>
        <v/>
      </c>
      <c r="AT644" s="28"/>
      <c r="AU644" s="28"/>
      <c r="AV644" s="28" t="n">
        <f aca="false">IF(N(AT644)&gt;0,AT644,L644)</f>
        <v>25</v>
      </c>
      <c r="AW644" s="28" t="n">
        <f aca="false">IF(AND(N(M644)&gt;0,N(AV644)&gt;0),M644*AV644,IF(N(AU644)&gt;0,AU644,N644))</f>
        <v>1.375</v>
      </c>
      <c r="AX644" s="29" t="n">
        <f aca="false">IF(N(AN644)=0,"",AN644+IF(I644="yes",AN644*Inputs!$B$10*Inputs!$B$9,0)+IFERROR(INDEX(Inputs!$B$13:$B$15,MATCH(G644,Inputs!$A$13:$A$15,0)),0)+IFERROR(INDEX(Inputs!$B$18:$B$24,MATCH(H644,Inputs!$A$18:$A$24,0)),0))</f>
        <v>0.085</v>
      </c>
      <c r="AY644" s="28" t="n">
        <f aca="false">IF(OR(N(AX644)&lt;=0,N(AW644)=0,N(AV644)=0),"",MIN(AV644,AW644/AX644))</f>
        <v>16.1764705882353</v>
      </c>
      <c r="AZ644" s="29" t="str">
        <f aca="false">IF(OR(AY644="",N(O644)=0),"",AY644/O644-1)</f>
        <v/>
      </c>
      <c r="BA644" s="29" t="str">
        <f aca="false">IF(OR(AZ644="",N(O644)=0),"",AZ644+AW644/O644)</f>
        <v/>
      </c>
      <c r="BB644" s="32" t="str">
        <f aca="false">IF(OR(BA644="",N(AR644)=0),"",BA644-AR644)</f>
        <v/>
      </c>
      <c r="BC644" s="35" t="str">
        <f aca="false">IF(OR(BA644="",N(U644)=0),"",BA644-U644)</f>
        <v/>
      </c>
      <c r="BD644" s="36" t="s">
        <v>198</v>
      </c>
    </row>
    <row r="645" customFormat="false" ht="15" hidden="false" customHeight="false" outlineLevel="0" collapsed="false">
      <c r="A645" s="2" t="s">
        <v>1067</v>
      </c>
      <c r="B645" s="2" t="n">
        <v>296</v>
      </c>
      <c r="C645" s="2" t="s">
        <v>1302</v>
      </c>
      <c r="D645" s="2" t="s">
        <v>1299</v>
      </c>
      <c r="E645" s="2" t="s">
        <v>1300</v>
      </c>
      <c r="F645" s="27" t="n">
        <v>278</v>
      </c>
      <c r="G645" s="2" t="s">
        <v>51</v>
      </c>
      <c r="H645" s="2" t="s">
        <v>58</v>
      </c>
      <c r="I645" s="2" t="s">
        <v>151</v>
      </c>
      <c r="J645" s="2" t="s">
        <v>145</v>
      </c>
      <c r="K645" s="2" t="n">
        <v>4</v>
      </c>
      <c r="L645" s="28" t="n">
        <v>25</v>
      </c>
      <c r="M645" s="29" t="n">
        <v>0.07375</v>
      </c>
      <c r="N645" s="28" t="n">
        <v>1.84375</v>
      </c>
      <c r="O645" s="28" t="n">
        <v>13.34</v>
      </c>
      <c r="P645" s="2" t="s">
        <v>146</v>
      </c>
      <c r="Q645" s="29" t="n">
        <v>0.1</v>
      </c>
      <c r="R645" s="30" t="n">
        <v>0.095</v>
      </c>
      <c r="S645" s="31" t="n">
        <v>19.4078947368421</v>
      </c>
      <c r="T645" s="30" t="n">
        <v>0.454864672926695</v>
      </c>
      <c r="U645" s="30" t="n">
        <v>0.593076816854731</v>
      </c>
      <c r="V645" s="29" t="n">
        <v>0</v>
      </c>
      <c r="W645" s="29" t="n">
        <f aca="false">IF(N(Q645)=0,"",Q645+IF(I645="yes",Q645*Inputs!$B$10*Inputs!$B$9,0)+V645)</f>
        <v>0.095</v>
      </c>
      <c r="X645" s="28" t="n">
        <f aca="false">IF(OR(N(W645)&lt;=0,N(N645)=0,N(L645)=0),"",MIN(L645,N645/W645))</f>
        <v>19.4078947368421</v>
      </c>
      <c r="Y645" s="29" t="n">
        <f aca="false">IF(OR(X645="",N(O645)=0),"",X645/O645-1)</f>
        <v>0.454864672926695</v>
      </c>
      <c r="Z645" s="29" t="n">
        <f aca="false">IF(OR(Y645="",N(O645)=0),"",Y645+N645/O645)</f>
        <v>0.593076816854731</v>
      </c>
      <c r="AA645" s="32" t="n">
        <f aca="false">IF(OR(Z645="",N(U645)=0),"",Z645-U645)</f>
        <v>0</v>
      </c>
      <c r="AB645" s="29" t="n">
        <f aca="false">IF(N(Q645)=0,"",Q645+IF(I645="yes",Q645*Inputs!$B$10*Inputs!$B$9,0)+IFERROR(INDEX(Inputs!$B$13:$B$15,MATCH(G645,Inputs!$A$13:$A$15,0)),0)+IFERROR(INDEX(Inputs!$B$18:$B$24,MATCH(H645,Inputs!$A$18:$A$24,0)),0))</f>
        <v>0.095</v>
      </c>
      <c r="AC645" s="28" t="n">
        <f aca="false">IF(OR(N(AB645)&lt;=0,N(N645)=0,N(L645)=0),"",MIN(L645,N645/AB645))</f>
        <v>19.4078947368421</v>
      </c>
      <c r="AD645" s="29" t="n">
        <f aca="false">IF(OR(AC645="",N(O645)=0),"",AC645/O645-1)</f>
        <v>0.454864672926695</v>
      </c>
      <c r="AE645" s="29" t="n">
        <f aca="false">IF(OR(AD645="",N(O645)=0),"",AD645+N645/O645)</f>
        <v>0.593076816854731</v>
      </c>
      <c r="AF645" s="32" t="n">
        <f aca="false">IF(OR(AE645="",N(Z645)=0),"",AE645-Z645)</f>
        <v>0</v>
      </c>
      <c r="AG645" s="28" t="n">
        <f aca="false">IF(AND(N(M645)&gt;0,N(L645)&gt;0),M645*L645,N645)</f>
        <v>1.84375</v>
      </c>
      <c r="AH645" s="28" t="n">
        <f aca="false">IF(OR(N(AB645)&lt;=0,N(AG645)=0,N(L645)=0),"",MIN(L645,AG645/AB645))</f>
        <v>19.4078947368421</v>
      </c>
      <c r="AI645" s="29" t="n">
        <f aca="false">IF(OR(AH645="",N(O645)=0),"",AH645/O645-1)</f>
        <v>0.454864672926695</v>
      </c>
      <c r="AJ645" s="29" t="n">
        <f aca="false">IF(OR(AI645="",N(O645)=0),"",AI645+AG645/O645)</f>
        <v>0.593076816854731</v>
      </c>
      <c r="AK645" s="32" t="n">
        <f aca="false">IF(OR(AJ645="",N(AE645)=0),"",AJ645-AE645)</f>
        <v>0</v>
      </c>
      <c r="AL645" s="33" t="n">
        <f aca="false">IF(N(F645)=0,"",INDEX(Inputs!$B$28:$B$32,IFERROR(MATCH(F645,Inputs!$A$28:$A$32,1),0)+1))</f>
        <v>0.09</v>
      </c>
      <c r="AM645" s="34"/>
      <c r="AN645" s="33" t="n">
        <f aca="false">IF(N(AM645)&gt;0,AM645,AL645)</f>
        <v>0.09</v>
      </c>
      <c r="AO645" s="29" t="n">
        <f aca="false">IF(N(AN645)=0,"",AN645+IF(I645="yes",AN645*Inputs!$B$10*Inputs!$B$9,0)+IFERROR(INDEX(Inputs!$B$13:$B$15,MATCH(G645,Inputs!$A$13:$A$15,0)),0)+IFERROR(INDEX(Inputs!$B$18:$B$24,MATCH(H645,Inputs!$A$18:$A$24,0)),0))</f>
        <v>0.0855</v>
      </c>
      <c r="AP645" s="28" t="n">
        <f aca="false">IF(OR(N(AO645)&lt;=0,N(AG645)=0,N(L645)=0),"",MIN(L645,AG645/AO645))</f>
        <v>21.5643274853801</v>
      </c>
      <c r="AQ645" s="29" t="n">
        <f aca="false">IF(OR(AP645="",N(O645)=0),"",AP645/O645-1)</f>
        <v>0.616516303251883</v>
      </c>
      <c r="AR645" s="29" t="n">
        <f aca="false">IF(OR(AQ645="",N(O645)=0),"",AQ645+AG645/O645)</f>
        <v>0.754728447179919</v>
      </c>
      <c r="AS645" s="32" t="n">
        <f aca="false">IF(OR(AR645="",N(AJ645)=0),"",AR645-AJ645)</f>
        <v>0.161651630325188</v>
      </c>
      <c r="AT645" s="28" t="n">
        <v>25</v>
      </c>
      <c r="AU645" s="28" t="n">
        <v>1.84375</v>
      </c>
      <c r="AV645" s="28" t="n">
        <f aca="false">IF(N(AT645)&gt;0,AT645,L645)</f>
        <v>25</v>
      </c>
      <c r="AW645" s="28" t="n">
        <f aca="false">IF(AND(N(M645)&gt;0,N(AV645)&gt;0),M645*AV645,IF(N(AU645)&gt;0,AU645,N645))</f>
        <v>1.84375</v>
      </c>
      <c r="AX645" s="29" t="n">
        <f aca="false">IF(N(AN645)=0,"",AN645+IF(I645="yes",AN645*Inputs!$B$10*Inputs!$B$9,0)+IFERROR(INDEX(Inputs!$B$13:$B$15,MATCH(G645,Inputs!$A$13:$A$15,0)),0)+IFERROR(INDEX(Inputs!$B$18:$B$24,MATCH(H645,Inputs!$A$18:$A$24,0)),0))</f>
        <v>0.0855</v>
      </c>
      <c r="AY645" s="28" t="n">
        <f aca="false">IF(OR(N(AX645)&lt;=0,N(AW645)=0,N(AV645)=0),"",MIN(AV645,AW645/AX645))</f>
        <v>21.5643274853801</v>
      </c>
      <c r="AZ645" s="29" t="n">
        <f aca="false">IF(OR(AY645="",N(O645)=0),"",AY645/O645-1)</f>
        <v>0.616516303251883</v>
      </c>
      <c r="BA645" s="29" t="n">
        <f aca="false">IF(OR(AZ645="",N(O645)=0),"",AZ645+AW645/O645)</f>
        <v>0.754728447179919</v>
      </c>
      <c r="BB645" s="32" t="n">
        <f aca="false">IF(OR(BA645="",N(AR645)=0),"",BA645-AR645)</f>
        <v>0</v>
      </c>
      <c r="BC645" s="35" t="n">
        <f aca="false">IF(OR(BA645="",N(U645)=0),"",BA645-U645)</f>
        <v>0.161651630325188</v>
      </c>
      <c r="BD645" s="37"/>
    </row>
    <row r="646" customFormat="false" ht="15" hidden="false" customHeight="false" outlineLevel="0" collapsed="false">
      <c r="A646" s="2" t="s">
        <v>1067</v>
      </c>
      <c r="B646" s="2" t="n">
        <v>297</v>
      </c>
      <c r="C646" s="2" t="s">
        <v>1303</v>
      </c>
      <c r="D646" s="2" t="s">
        <v>1299</v>
      </c>
      <c r="E646" s="2" t="s">
        <v>1300</v>
      </c>
      <c r="F646" s="27" t="n">
        <v>278</v>
      </c>
      <c r="G646" s="2" t="s">
        <v>52</v>
      </c>
      <c r="H646" s="2" t="s">
        <v>58</v>
      </c>
      <c r="I646" s="2" t="s">
        <v>144</v>
      </c>
      <c r="J646" s="2" t="s">
        <v>145</v>
      </c>
      <c r="K646" s="2" t="n">
        <v>4</v>
      </c>
      <c r="L646" s="28" t="n">
        <v>25</v>
      </c>
      <c r="M646" s="29" t="n">
        <v>0.06375</v>
      </c>
      <c r="N646" s="28" t="n">
        <v>1.59375</v>
      </c>
      <c r="O646" s="28" t="n">
        <v>0</v>
      </c>
      <c r="P646" s="2" t="s">
        <v>146</v>
      </c>
      <c r="Q646" s="29" t="n">
        <v>0.1</v>
      </c>
      <c r="R646" s="30" t="n">
        <v>0.095</v>
      </c>
      <c r="S646" s="31" t="n">
        <v>16.7763157894737</v>
      </c>
      <c r="T646" s="30"/>
      <c r="U646" s="30"/>
      <c r="V646" s="29" t="n">
        <v>-0.005</v>
      </c>
      <c r="W646" s="29" t="n">
        <f aca="false">IF(N(Q646)=0,"",Q646+IF(I646="yes",Q646*Inputs!$B$10*Inputs!$B$9,0)+V646)</f>
        <v>0.095</v>
      </c>
      <c r="X646" s="28" t="n">
        <f aca="false">IF(OR(N(W646)&lt;=0,N(N646)=0,N(L646)=0),"",MIN(L646,N646/W646))</f>
        <v>16.7763157894737</v>
      </c>
      <c r="Y646" s="29" t="str">
        <f aca="false">IF(OR(X646="",N(O646)=0),"",X646/O646-1)</f>
        <v/>
      </c>
      <c r="Z646" s="29" t="str">
        <f aca="false">IF(OR(Y646="",N(O646)=0),"",Y646+N646/O646)</f>
        <v/>
      </c>
      <c r="AA646" s="32" t="str">
        <f aca="false">IF(OR(Z646="",N(U646)=0),"",Z646-U646)</f>
        <v/>
      </c>
      <c r="AB646" s="29" t="n">
        <f aca="false">IF(N(Q646)=0,"",Q646+IF(I646="yes",Q646*Inputs!$B$10*Inputs!$B$9,0)+IFERROR(INDEX(Inputs!$B$13:$B$15,MATCH(G646,Inputs!$A$13:$A$15,0)),0)+IFERROR(INDEX(Inputs!$B$18:$B$24,MATCH(H646,Inputs!$A$18:$A$24,0)),0))</f>
        <v>0.095</v>
      </c>
      <c r="AC646" s="28" t="n">
        <f aca="false">IF(OR(N(AB646)&lt;=0,N(N646)=0,N(L646)=0),"",MIN(L646,N646/AB646))</f>
        <v>16.7763157894737</v>
      </c>
      <c r="AD646" s="29" t="str">
        <f aca="false">IF(OR(AC646="",N(O646)=0),"",AC646/O646-1)</f>
        <v/>
      </c>
      <c r="AE646" s="29" t="str">
        <f aca="false">IF(OR(AD646="",N(O646)=0),"",AD646+N646/O646)</f>
        <v/>
      </c>
      <c r="AF646" s="32" t="str">
        <f aca="false">IF(OR(AE646="",N(Z646)=0),"",AE646-Z646)</f>
        <v/>
      </c>
      <c r="AG646" s="28" t="n">
        <f aca="false">IF(AND(N(M646)&gt;0,N(L646)&gt;0),M646*L646,N646)</f>
        <v>1.59375</v>
      </c>
      <c r="AH646" s="28" t="n">
        <f aca="false">IF(OR(N(AB646)&lt;=0,N(AG646)=0,N(L646)=0),"",MIN(L646,AG646/AB646))</f>
        <v>16.7763157894737</v>
      </c>
      <c r="AI646" s="29" t="str">
        <f aca="false">IF(OR(AH646="",N(O646)=0),"",AH646/O646-1)</f>
        <v/>
      </c>
      <c r="AJ646" s="29" t="str">
        <f aca="false">IF(OR(AI646="",N(O646)=0),"",AI646+AG646/O646)</f>
        <v/>
      </c>
      <c r="AK646" s="32" t="str">
        <f aca="false">IF(OR(AJ646="",N(AE646)=0),"",AJ646-AE646)</f>
        <v/>
      </c>
      <c r="AL646" s="33" t="n">
        <f aca="false">IF(N(F646)=0,"",INDEX(Inputs!$B$28:$B$32,IFERROR(MATCH(F646,Inputs!$A$28:$A$32,1),0)+1))</f>
        <v>0.09</v>
      </c>
      <c r="AM646" s="34"/>
      <c r="AN646" s="33" t="n">
        <f aca="false">IF(N(AM646)&gt;0,AM646,AL646)</f>
        <v>0.09</v>
      </c>
      <c r="AO646" s="29" t="n">
        <f aca="false">IF(N(AN646)=0,"",AN646+IF(I646="yes",AN646*Inputs!$B$10*Inputs!$B$9,0)+IFERROR(INDEX(Inputs!$B$13:$B$15,MATCH(G646,Inputs!$A$13:$A$15,0)),0)+IFERROR(INDEX(Inputs!$B$18:$B$24,MATCH(H646,Inputs!$A$18:$A$24,0)),0))</f>
        <v>0.085</v>
      </c>
      <c r="AP646" s="28" t="n">
        <f aca="false">IF(OR(N(AO646)&lt;=0,N(AG646)=0,N(L646)=0),"",MIN(L646,AG646/AO646))</f>
        <v>18.75</v>
      </c>
      <c r="AQ646" s="29" t="str">
        <f aca="false">IF(OR(AP646="",N(O646)=0),"",AP646/O646-1)</f>
        <v/>
      </c>
      <c r="AR646" s="29" t="str">
        <f aca="false">IF(OR(AQ646="",N(O646)=0),"",AQ646+AG646/O646)</f>
        <v/>
      </c>
      <c r="AS646" s="32" t="str">
        <f aca="false">IF(OR(AR646="",N(AJ646)=0),"",AR646-AJ646)</f>
        <v/>
      </c>
      <c r="AT646" s="28"/>
      <c r="AU646" s="28"/>
      <c r="AV646" s="28" t="n">
        <f aca="false">IF(N(AT646)&gt;0,AT646,L646)</f>
        <v>25</v>
      </c>
      <c r="AW646" s="28" t="n">
        <f aca="false">IF(AND(N(M646)&gt;0,N(AV646)&gt;0),M646*AV646,IF(N(AU646)&gt;0,AU646,N646))</f>
        <v>1.59375</v>
      </c>
      <c r="AX646" s="29" t="n">
        <f aca="false">IF(N(AN646)=0,"",AN646+IF(I646="yes",AN646*Inputs!$B$10*Inputs!$B$9,0)+IFERROR(INDEX(Inputs!$B$13:$B$15,MATCH(G646,Inputs!$A$13:$A$15,0)),0)+IFERROR(INDEX(Inputs!$B$18:$B$24,MATCH(H646,Inputs!$A$18:$A$24,0)),0))</f>
        <v>0.085</v>
      </c>
      <c r="AY646" s="28" t="n">
        <f aca="false">IF(OR(N(AX646)&lt;=0,N(AW646)=0,N(AV646)=0),"",MIN(AV646,AW646/AX646))</f>
        <v>18.75</v>
      </c>
      <c r="AZ646" s="29" t="str">
        <f aca="false">IF(OR(AY646="",N(O646)=0),"",AY646/O646-1)</f>
        <v/>
      </c>
      <c r="BA646" s="29" t="str">
        <f aca="false">IF(OR(AZ646="",N(O646)=0),"",AZ646+AW646/O646)</f>
        <v/>
      </c>
      <c r="BB646" s="32" t="str">
        <f aca="false">IF(OR(BA646="",N(AR646)=0),"",BA646-AR646)</f>
        <v/>
      </c>
      <c r="BC646" s="35" t="str">
        <f aca="false">IF(OR(BA646="",N(U646)=0),"",BA646-U646)</f>
        <v/>
      </c>
      <c r="BD646" s="36" t="s">
        <v>198</v>
      </c>
    </row>
    <row r="647" customFormat="false" ht="15" hidden="false" customHeight="false" outlineLevel="0" collapsed="false">
      <c r="A647" s="2" t="s">
        <v>1067</v>
      </c>
      <c r="B647" s="2" t="n">
        <v>298</v>
      </c>
      <c r="C647" s="2" t="s">
        <v>1304</v>
      </c>
      <c r="D647" s="2" t="s">
        <v>1299</v>
      </c>
      <c r="E647" s="2" t="s">
        <v>1300</v>
      </c>
      <c r="F647" s="27" t="n">
        <v>278</v>
      </c>
      <c r="G647" s="2" t="s">
        <v>52</v>
      </c>
      <c r="H647" s="2" t="s">
        <v>58</v>
      </c>
      <c r="I647" s="2" t="s">
        <v>144</v>
      </c>
      <c r="J647" s="2" t="s">
        <v>145</v>
      </c>
      <c r="K647" s="2" t="n">
        <v>4</v>
      </c>
      <c r="L647" s="28" t="n">
        <v>25</v>
      </c>
      <c r="M647" s="29" t="n">
        <v>0.0652</v>
      </c>
      <c r="N647" s="28" t="n">
        <v>1.63</v>
      </c>
      <c r="O647" s="28" t="n">
        <v>25.03</v>
      </c>
      <c r="P647" s="2" t="s">
        <v>146</v>
      </c>
      <c r="Q647" s="29" t="n">
        <v>0.1</v>
      </c>
      <c r="R647" s="30" t="n">
        <v>0.095</v>
      </c>
      <c r="S647" s="31" t="n">
        <v>17.1578947368421</v>
      </c>
      <c r="T647" s="30" t="n">
        <v>-0.31450680236348</v>
      </c>
      <c r="U647" s="30" t="n">
        <v>-0.24938494858801</v>
      </c>
      <c r="V647" s="29" t="n">
        <v>-0.005</v>
      </c>
      <c r="W647" s="29" t="n">
        <f aca="false">IF(N(Q647)=0,"",Q647+IF(I647="yes",Q647*Inputs!$B$10*Inputs!$B$9,0)+V647)</f>
        <v>0.095</v>
      </c>
      <c r="X647" s="28" t="n">
        <f aca="false">IF(OR(N(W647)&lt;=0,N(N647)=0,N(L647)=0),"",MIN(L647,N647/W647))</f>
        <v>17.1578947368421</v>
      </c>
      <c r="Y647" s="29" t="n">
        <f aca="false">IF(OR(X647="",N(O647)=0),"",X647/O647-1)</f>
        <v>-0.31450680236348</v>
      </c>
      <c r="Z647" s="29" t="n">
        <f aca="false">IF(OR(Y647="",N(O647)=0),"",Y647+N647/O647)</f>
        <v>-0.24938494858801</v>
      </c>
      <c r="AA647" s="32" t="n">
        <f aca="false">IF(OR(Z647="",N(U647)=0),"",Z647-U647)</f>
        <v>0</v>
      </c>
      <c r="AB647" s="29" t="n">
        <f aca="false">IF(N(Q647)=0,"",Q647+IF(I647="yes",Q647*Inputs!$B$10*Inputs!$B$9,0)+IFERROR(INDEX(Inputs!$B$13:$B$15,MATCH(G647,Inputs!$A$13:$A$15,0)),0)+IFERROR(INDEX(Inputs!$B$18:$B$24,MATCH(H647,Inputs!$A$18:$A$24,0)),0))</f>
        <v>0.095</v>
      </c>
      <c r="AC647" s="28" t="n">
        <f aca="false">IF(OR(N(AB647)&lt;=0,N(N647)=0,N(L647)=0),"",MIN(L647,N647/AB647))</f>
        <v>17.1578947368421</v>
      </c>
      <c r="AD647" s="29" t="n">
        <f aca="false">IF(OR(AC647="",N(O647)=0),"",AC647/O647-1)</f>
        <v>-0.31450680236348</v>
      </c>
      <c r="AE647" s="29" t="n">
        <f aca="false">IF(OR(AD647="",N(O647)=0),"",AD647+N647/O647)</f>
        <v>-0.24938494858801</v>
      </c>
      <c r="AF647" s="32" t="n">
        <f aca="false">IF(OR(AE647="",N(Z647)=0),"",AE647-Z647)</f>
        <v>0</v>
      </c>
      <c r="AG647" s="28" t="n">
        <f aca="false">IF(AND(N(M647)&gt;0,N(L647)&gt;0),M647*L647,N647)</f>
        <v>1.63</v>
      </c>
      <c r="AH647" s="28" t="n">
        <f aca="false">IF(OR(N(AB647)&lt;=0,N(AG647)=0,N(L647)=0),"",MIN(L647,AG647/AB647))</f>
        <v>17.1578947368421</v>
      </c>
      <c r="AI647" s="29" t="n">
        <f aca="false">IF(OR(AH647="",N(O647)=0),"",AH647/O647-1)</f>
        <v>-0.31450680236348</v>
      </c>
      <c r="AJ647" s="29" t="n">
        <f aca="false">IF(OR(AI647="",N(O647)=0),"",AI647+AG647/O647)</f>
        <v>-0.24938494858801</v>
      </c>
      <c r="AK647" s="32" t="n">
        <f aca="false">IF(OR(AJ647="",N(AE647)=0),"",AJ647-AE647)</f>
        <v>0</v>
      </c>
      <c r="AL647" s="33" t="n">
        <f aca="false">IF(N(F647)=0,"",INDEX(Inputs!$B$28:$B$32,IFERROR(MATCH(F647,Inputs!$A$28:$A$32,1),0)+1))</f>
        <v>0.09</v>
      </c>
      <c r="AM647" s="34"/>
      <c r="AN647" s="33" t="n">
        <f aca="false">IF(N(AM647)&gt;0,AM647,AL647)</f>
        <v>0.09</v>
      </c>
      <c r="AO647" s="29" t="n">
        <f aca="false">IF(N(AN647)=0,"",AN647+IF(I647="yes",AN647*Inputs!$B$10*Inputs!$B$9,0)+IFERROR(INDEX(Inputs!$B$13:$B$15,MATCH(G647,Inputs!$A$13:$A$15,0)),0)+IFERROR(INDEX(Inputs!$B$18:$B$24,MATCH(H647,Inputs!$A$18:$A$24,0)),0))</f>
        <v>0.085</v>
      </c>
      <c r="AP647" s="28" t="n">
        <f aca="false">IF(OR(N(AO647)&lt;=0,N(AG647)=0,N(L647)=0),"",MIN(L647,AG647/AO647))</f>
        <v>19.1764705882353</v>
      </c>
      <c r="AQ647" s="29" t="n">
        <f aca="false">IF(OR(AP647="",N(O647)=0),"",AP647/O647-1)</f>
        <v>-0.233860543818007</v>
      </c>
      <c r="AR647" s="29" t="n">
        <f aca="false">IF(OR(AQ647="",N(O647)=0),"",AQ647+AG647/O647)</f>
        <v>-0.168738690042537</v>
      </c>
      <c r="AS647" s="32" t="n">
        <f aca="false">IF(OR(AR647="",N(AJ647)=0),"",AR647-AJ647)</f>
        <v>0.080646258545473</v>
      </c>
      <c r="AT647" s="28" t="n">
        <v>25</v>
      </c>
      <c r="AU647" s="28" t="n">
        <v>1.63</v>
      </c>
      <c r="AV647" s="28" t="n">
        <f aca="false">IF(N(AT647)&gt;0,AT647,L647)</f>
        <v>25</v>
      </c>
      <c r="AW647" s="28" t="n">
        <f aca="false">IF(AND(N(M647)&gt;0,N(AV647)&gt;0),M647*AV647,IF(N(AU647)&gt;0,AU647,N647))</f>
        <v>1.63</v>
      </c>
      <c r="AX647" s="29" t="n">
        <f aca="false">IF(N(AN647)=0,"",AN647+IF(I647="yes",AN647*Inputs!$B$10*Inputs!$B$9,0)+IFERROR(INDEX(Inputs!$B$13:$B$15,MATCH(G647,Inputs!$A$13:$A$15,0)),0)+IFERROR(INDEX(Inputs!$B$18:$B$24,MATCH(H647,Inputs!$A$18:$A$24,0)),0))</f>
        <v>0.085</v>
      </c>
      <c r="AY647" s="28" t="n">
        <f aca="false">IF(OR(N(AX647)&lt;=0,N(AW647)=0,N(AV647)=0),"",MIN(AV647,AW647/AX647))</f>
        <v>19.1764705882353</v>
      </c>
      <c r="AZ647" s="29" t="n">
        <f aca="false">IF(OR(AY647="",N(O647)=0),"",AY647/O647-1)</f>
        <v>-0.233860543818007</v>
      </c>
      <c r="BA647" s="29" t="n">
        <f aca="false">IF(OR(AZ647="",N(O647)=0),"",AZ647+AW647/O647)</f>
        <v>-0.168738690042537</v>
      </c>
      <c r="BB647" s="32" t="n">
        <f aca="false">IF(OR(BA647="",N(AR647)=0),"",BA647-AR647)</f>
        <v>0</v>
      </c>
      <c r="BC647" s="35" t="n">
        <f aca="false">IF(OR(BA647="",N(U647)=0),"",BA647-U647)</f>
        <v>0.080646258545473</v>
      </c>
      <c r="BD647" s="37"/>
    </row>
    <row r="648" customFormat="false" ht="15" hidden="false" customHeight="false" outlineLevel="0" collapsed="false">
      <c r="A648" s="2" t="s">
        <v>1067</v>
      </c>
      <c r="B648" s="2" t="n">
        <v>299</v>
      </c>
      <c r="C648" s="2" t="s">
        <v>1305</v>
      </c>
      <c r="D648" s="2" t="s">
        <v>1299</v>
      </c>
      <c r="E648" s="2" t="s">
        <v>1300</v>
      </c>
      <c r="F648" s="27" t="n">
        <v>278</v>
      </c>
      <c r="G648" s="2" t="s">
        <v>52</v>
      </c>
      <c r="H648" s="2" t="s">
        <v>58</v>
      </c>
      <c r="I648" s="2" t="s">
        <v>144</v>
      </c>
      <c r="J648" s="2" t="s">
        <v>145</v>
      </c>
      <c r="K648" s="2" t="n">
        <v>4</v>
      </c>
      <c r="L648" s="28" t="n">
        <v>25</v>
      </c>
      <c r="M648" s="29" t="n">
        <v>0.0675</v>
      </c>
      <c r="N648" s="28" t="n">
        <v>1.6875</v>
      </c>
      <c r="O648" s="28" t="n">
        <v>0</v>
      </c>
      <c r="P648" s="2" t="s">
        <v>146</v>
      </c>
      <c r="Q648" s="29" t="n">
        <v>0.1</v>
      </c>
      <c r="R648" s="30" t="n">
        <v>0.095</v>
      </c>
      <c r="S648" s="31" t="n">
        <v>17.7631578947368</v>
      </c>
      <c r="T648" s="30"/>
      <c r="U648" s="30"/>
      <c r="V648" s="29" t="n">
        <v>-0.005</v>
      </c>
      <c r="W648" s="29" t="n">
        <f aca="false">IF(N(Q648)=0,"",Q648+IF(I648="yes",Q648*Inputs!$B$10*Inputs!$B$9,0)+V648)</f>
        <v>0.095</v>
      </c>
      <c r="X648" s="28" t="n">
        <f aca="false">IF(OR(N(W648)&lt;=0,N(N648)=0,N(L648)=0),"",MIN(L648,N648/W648))</f>
        <v>17.7631578947368</v>
      </c>
      <c r="Y648" s="29" t="str">
        <f aca="false">IF(OR(X648="",N(O648)=0),"",X648/O648-1)</f>
        <v/>
      </c>
      <c r="Z648" s="29" t="str">
        <f aca="false">IF(OR(Y648="",N(O648)=0),"",Y648+N648/O648)</f>
        <v/>
      </c>
      <c r="AA648" s="32" t="str">
        <f aca="false">IF(OR(Z648="",N(U648)=0),"",Z648-U648)</f>
        <v/>
      </c>
      <c r="AB648" s="29" t="n">
        <f aca="false">IF(N(Q648)=0,"",Q648+IF(I648="yes",Q648*Inputs!$B$10*Inputs!$B$9,0)+IFERROR(INDEX(Inputs!$B$13:$B$15,MATCH(G648,Inputs!$A$13:$A$15,0)),0)+IFERROR(INDEX(Inputs!$B$18:$B$24,MATCH(H648,Inputs!$A$18:$A$24,0)),0))</f>
        <v>0.095</v>
      </c>
      <c r="AC648" s="28" t="n">
        <f aca="false">IF(OR(N(AB648)&lt;=0,N(N648)=0,N(L648)=0),"",MIN(L648,N648/AB648))</f>
        <v>17.7631578947368</v>
      </c>
      <c r="AD648" s="29" t="str">
        <f aca="false">IF(OR(AC648="",N(O648)=0),"",AC648/O648-1)</f>
        <v/>
      </c>
      <c r="AE648" s="29" t="str">
        <f aca="false">IF(OR(AD648="",N(O648)=0),"",AD648+N648/O648)</f>
        <v/>
      </c>
      <c r="AF648" s="32" t="str">
        <f aca="false">IF(OR(AE648="",N(Z648)=0),"",AE648-Z648)</f>
        <v/>
      </c>
      <c r="AG648" s="28" t="n">
        <f aca="false">IF(AND(N(M648)&gt;0,N(L648)&gt;0),M648*L648,N648)</f>
        <v>1.6875</v>
      </c>
      <c r="AH648" s="28" t="n">
        <f aca="false">IF(OR(N(AB648)&lt;=0,N(AG648)=0,N(L648)=0),"",MIN(L648,AG648/AB648))</f>
        <v>17.7631578947368</v>
      </c>
      <c r="AI648" s="29" t="str">
        <f aca="false">IF(OR(AH648="",N(O648)=0),"",AH648/O648-1)</f>
        <v/>
      </c>
      <c r="AJ648" s="29" t="str">
        <f aca="false">IF(OR(AI648="",N(O648)=0),"",AI648+AG648/O648)</f>
        <v/>
      </c>
      <c r="AK648" s="32" t="str">
        <f aca="false">IF(OR(AJ648="",N(AE648)=0),"",AJ648-AE648)</f>
        <v/>
      </c>
      <c r="AL648" s="33" t="n">
        <f aca="false">IF(N(F648)=0,"",INDEX(Inputs!$B$28:$B$32,IFERROR(MATCH(F648,Inputs!$A$28:$A$32,1),0)+1))</f>
        <v>0.09</v>
      </c>
      <c r="AM648" s="34"/>
      <c r="AN648" s="33" t="n">
        <f aca="false">IF(N(AM648)&gt;0,AM648,AL648)</f>
        <v>0.09</v>
      </c>
      <c r="AO648" s="29" t="n">
        <f aca="false">IF(N(AN648)=0,"",AN648+IF(I648="yes",AN648*Inputs!$B$10*Inputs!$B$9,0)+IFERROR(INDEX(Inputs!$B$13:$B$15,MATCH(G648,Inputs!$A$13:$A$15,0)),0)+IFERROR(INDEX(Inputs!$B$18:$B$24,MATCH(H648,Inputs!$A$18:$A$24,0)),0))</f>
        <v>0.085</v>
      </c>
      <c r="AP648" s="28" t="n">
        <f aca="false">IF(OR(N(AO648)&lt;=0,N(AG648)=0,N(L648)=0),"",MIN(L648,AG648/AO648))</f>
        <v>19.8529411764706</v>
      </c>
      <c r="AQ648" s="29" t="str">
        <f aca="false">IF(OR(AP648="",N(O648)=0),"",AP648/O648-1)</f>
        <v/>
      </c>
      <c r="AR648" s="29" t="str">
        <f aca="false">IF(OR(AQ648="",N(O648)=0),"",AQ648+AG648/O648)</f>
        <v/>
      </c>
      <c r="AS648" s="32" t="str">
        <f aca="false">IF(OR(AR648="",N(AJ648)=0),"",AR648-AJ648)</f>
        <v/>
      </c>
      <c r="AT648" s="28"/>
      <c r="AU648" s="28"/>
      <c r="AV648" s="28" t="n">
        <f aca="false">IF(N(AT648)&gt;0,AT648,L648)</f>
        <v>25</v>
      </c>
      <c r="AW648" s="28" t="n">
        <f aca="false">IF(AND(N(M648)&gt;0,N(AV648)&gt;0),M648*AV648,IF(N(AU648)&gt;0,AU648,N648))</f>
        <v>1.6875</v>
      </c>
      <c r="AX648" s="29" t="n">
        <f aca="false">IF(N(AN648)=0,"",AN648+IF(I648="yes",AN648*Inputs!$B$10*Inputs!$B$9,0)+IFERROR(INDEX(Inputs!$B$13:$B$15,MATCH(G648,Inputs!$A$13:$A$15,0)),0)+IFERROR(INDEX(Inputs!$B$18:$B$24,MATCH(H648,Inputs!$A$18:$A$24,0)),0))</f>
        <v>0.085</v>
      </c>
      <c r="AY648" s="28" t="n">
        <f aca="false">IF(OR(N(AX648)&lt;=0,N(AW648)=0,N(AV648)=0),"",MIN(AV648,AW648/AX648))</f>
        <v>19.8529411764706</v>
      </c>
      <c r="AZ648" s="29" t="str">
        <f aca="false">IF(OR(AY648="",N(O648)=0),"",AY648/O648-1)</f>
        <v/>
      </c>
      <c r="BA648" s="29" t="str">
        <f aca="false">IF(OR(AZ648="",N(O648)=0),"",AZ648+AW648/O648)</f>
        <v/>
      </c>
      <c r="BB648" s="32" t="str">
        <f aca="false">IF(OR(BA648="",N(AR648)=0),"",BA648-AR648)</f>
        <v/>
      </c>
      <c r="BC648" s="35" t="str">
        <f aca="false">IF(OR(BA648="",N(U648)=0),"",BA648-U648)</f>
        <v/>
      </c>
      <c r="BD648" s="36" t="s">
        <v>198</v>
      </c>
    </row>
    <row r="649" customFormat="false" ht="15" hidden="false" customHeight="false" outlineLevel="0" collapsed="false">
      <c r="A649" s="2" t="s">
        <v>1067</v>
      </c>
      <c r="B649" s="2" t="n">
        <v>300</v>
      </c>
      <c r="C649" s="2" t="s">
        <v>1306</v>
      </c>
      <c r="D649" s="2" t="s">
        <v>1299</v>
      </c>
      <c r="E649" s="2" t="s">
        <v>1300</v>
      </c>
      <c r="F649" s="27" t="n">
        <v>278</v>
      </c>
      <c r="G649" s="2" t="s">
        <v>52</v>
      </c>
      <c r="H649" s="2" t="s">
        <v>58</v>
      </c>
      <c r="I649" s="2" t="s">
        <v>144</v>
      </c>
      <c r="J649" s="2" t="s">
        <v>145</v>
      </c>
      <c r="K649" s="2" t="n">
        <v>4</v>
      </c>
      <c r="L649" s="28" t="n">
        <v>25</v>
      </c>
      <c r="M649" s="29" t="n">
        <v>0.0688</v>
      </c>
      <c r="N649" s="28" t="n">
        <v>1.72</v>
      </c>
      <c r="O649" s="28" t="n">
        <v>12.88</v>
      </c>
      <c r="P649" s="2" t="s">
        <v>146</v>
      </c>
      <c r="Q649" s="29" t="n">
        <v>0.1</v>
      </c>
      <c r="R649" s="30" t="n">
        <v>0.095</v>
      </c>
      <c r="S649" s="31" t="n">
        <v>18.1052631578947</v>
      </c>
      <c r="T649" s="30" t="n">
        <v>0.40568813337692</v>
      </c>
      <c r="U649" s="30" t="n">
        <v>0.539228506047728</v>
      </c>
      <c r="V649" s="29" t="n">
        <v>-0.005</v>
      </c>
      <c r="W649" s="29" t="n">
        <f aca="false">IF(N(Q649)=0,"",Q649+IF(I649="yes",Q649*Inputs!$B$10*Inputs!$B$9,0)+V649)</f>
        <v>0.095</v>
      </c>
      <c r="X649" s="28" t="n">
        <f aca="false">IF(OR(N(W649)&lt;=0,N(N649)=0,N(L649)=0),"",MIN(L649,N649/W649))</f>
        <v>18.1052631578947</v>
      </c>
      <c r="Y649" s="29" t="n">
        <f aca="false">IF(OR(X649="",N(O649)=0),"",X649/O649-1)</f>
        <v>0.40568813337692</v>
      </c>
      <c r="Z649" s="29" t="n">
        <f aca="false">IF(OR(Y649="",N(O649)=0),"",Y649+N649/O649)</f>
        <v>0.539228506047728</v>
      </c>
      <c r="AA649" s="32" t="n">
        <f aca="false">IF(OR(Z649="",N(U649)=0),"",Z649-U649)</f>
        <v>0</v>
      </c>
      <c r="AB649" s="29" t="n">
        <f aca="false">IF(N(Q649)=0,"",Q649+IF(I649="yes",Q649*Inputs!$B$10*Inputs!$B$9,0)+IFERROR(INDEX(Inputs!$B$13:$B$15,MATCH(G649,Inputs!$A$13:$A$15,0)),0)+IFERROR(INDEX(Inputs!$B$18:$B$24,MATCH(H649,Inputs!$A$18:$A$24,0)),0))</f>
        <v>0.095</v>
      </c>
      <c r="AC649" s="28" t="n">
        <f aca="false">IF(OR(N(AB649)&lt;=0,N(N649)=0,N(L649)=0),"",MIN(L649,N649/AB649))</f>
        <v>18.1052631578947</v>
      </c>
      <c r="AD649" s="29" t="n">
        <f aca="false">IF(OR(AC649="",N(O649)=0),"",AC649/O649-1)</f>
        <v>0.40568813337692</v>
      </c>
      <c r="AE649" s="29" t="n">
        <f aca="false">IF(OR(AD649="",N(O649)=0),"",AD649+N649/O649)</f>
        <v>0.539228506047728</v>
      </c>
      <c r="AF649" s="32" t="n">
        <f aca="false">IF(OR(AE649="",N(Z649)=0),"",AE649-Z649)</f>
        <v>0</v>
      </c>
      <c r="AG649" s="28" t="n">
        <f aca="false">IF(AND(N(M649)&gt;0,N(L649)&gt;0),M649*L649,N649)</f>
        <v>1.72</v>
      </c>
      <c r="AH649" s="28" t="n">
        <f aca="false">IF(OR(N(AB649)&lt;=0,N(AG649)=0,N(L649)=0),"",MIN(L649,AG649/AB649))</f>
        <v>18.1052631578947</v>
      </c>
      <c r="AI649" s="29" t="n">
        <f aca="false">IF(OR(AH649="",N(O649)=0),"",AH649/O649-1)</f>
        <v>0.40568813337692</v>
      </c>
      <c r="AJ649" s="29" t="n">
        <f aca="false">IF(OR(AI649="",N(O649)=0),"",AI649+AG649/O649)</f>
        <v>0.539228506047728</v>
      </c>
      <c r="AK649" s="32" t="n">
        <f aca="false">IF(OR(AJ649="",N(AE649)=0),"",AJ649-AE649)</f>
        <v>0</v>
      </c>
      <c r="AL649" s="33" t="n">
        <f aca="false">IF(N(F649)=0,"",INDEX(Inputs!$B$28:$B$32,IFERROR(MATCH(F649,Inputs!$A$28:$A$32,1),0)+1))</f>
        <v>0.09</v>
      </c>
      <c r="AM649" s="34"/>
      <c r="AN649" s="33" t="n">
        <f aca="false">IF(N(AM649)&gt;0,AM649,AL649)</f>
        <v>0.09</v>
      </c>
      <c r="AO649" s="29" t="n">
        <f aca="false">IF(N(AN649)=0,"",AN649+IF(I649="yes",AN649*Inputs!$B$10*Inputs!$B$9,0)+IFERROR(INDEX(Inputs!$B$13:$B$15,MATCH(G649,Inputs!$A$13:$A$15,0)),0)+IFERROR(INDEX(Inputs!$B$18:$B$24,MATCH(H649,Inputs!$A$18:$A$24,0)),0))</f>
        <v>0.085</v>
      </c>
      <c r="AP649" s="28" t="n">
        <f aca="false">IF(OR(N(AO649)&lt;=0,N(AG649)=0,N(L649)=0),"",MIN(L649,AG649/AO649))</f>
        <v>20.2352941176471</v>
      </c>
      <c r="AQ649" s="29" t="n">
        <f aca="false">IF(OR(AP649="",N(O649)=0),"",AP649/O649-1)</f>
        <v>0.571063207891853</v>
      </c>
      <c r="AR649" s="29" t="n">
        <f aca="false">IF(OR(AQ649="",N(O649)=0),"",AQ649+AG649/O649)</f>
        <v>0.70460358056266</v>
      </c>
      <c r="AS649" s="32" t="n">
        <f aca="false">IF(OR(AR649="",N(AJ649)=0),"",AR649-AJ649)</f>
        <v>0.165375074514932</v>
      </c>
      <c r="AT649" s="28" t="n">
        <v>25</v>
      </c>
      <c r="AU649" s="28" t="n">
        <v>1.72</v>
      </c>
      <c r="AV649" s="28" t="n">
        <f aca="false">IF(N(AT649)&gt;0,AT649,L649)</f>
        <v>25</v>
      </c>
      <c r="AW649" s="28" t="n">
        <f aca="false">IF(AND(N(M649)&gt;0,N(AV649)&gt;0),M649*AV649,IF(N(AU649)&gt;0,AU649,N649))</f>
        <v>1.72</v>
      </c>
      <c r="AX649" s="29" t="n">
        <f aca="false">IF(N(AN649)=0,"",AN649+IF(I649="yes",AN649*Inputs!$B$10*Inputs!$B$9,0)+IFERROR(INDEX(Inputs!$B$13:$B$15,MATCH(G649,Inputs!$A$13:$A$15,0)),0)+IFERROR(INDEX(Inputs!$B$18:$B$24,MATCH(H649,Inputs!$A$18:$A$24,0)),0))</f>
        <v>0.085</v>
      </c>
      <c r="AY649" s="28" t="n">
        <f aca="false">IF(OR(N(AX649)&lt;=0,N(AW649)=0,N(AV649)=0),"",MIN(AV649,AW649/AX649))</f>
        <v>20.2352941176471</v>
      </c>
      <c r="AZ649" s="29" t="n">
        <f aca="false">IF(OR(AY649="",N(O649)=0),"",AY649/O649-1)</f>
        <v>0.571063207891853</v>
      </c>
      <c r="BA649" s="29" t="n">
        <f aca="false">IF(OR(AZ649="",N(O649)=0),"",AZ649+AW649/O649)</f>
        <v>0.70460358056266</v>
      </c>
      <c r="BB649" s="32" t="n">
        <f aca="false">IF(OR(BA649="",N(AR649)=0),"",BA649-AR649)</f>
        <v>0</v>
      </c>
      <c r="BC649" s="35" t="n">
        <f aca="false">IF(OR(BA649="",N(U649)=0),"",BA649-U649)</f>
        <v>0.165375074514932</v>
      </c>
      <c r="BD649" s="37"/>
    </row>
    <row r="650" customFormat="false" ht="15" hidden="false" customHeight="false" outlineLevel="0" collapsed="false">
      <c r="A650" s="2" t="s">
        <v>1067</v>
      </c>
      <c r="B650" s="2" t="n">
        <v>301</v>
      </c>
      <c r="C650" s="2" t="s">
        <v>1307</v>
      </c>
      <c r="D650" s="2" t="s">
        <v>1299</v>
      </c>
      <c r="E650" s="2" t="s">
        <v>1300</v>
      </c>
      <c r="F650" s="27" t="n">
        <v>278</v>
      </c>
      <c r="G650" s="2" t="s">
        <v>52</v>
      </c>
      <c r="H650" s="2" t="s">
        <v>58</v>
      </c>
      <c r="I650" s="2" t="s">
        <v>144</v>
      </c>
      <c r="J650" s="2" t="s">
        <v>168</v>
      </c>
      <c r="K650" s="2" t="n">
        <v>12</v>
      </c>
      <c r="L650" s="28" t="n">
        <v>25</v>
      </c>
      <c r="M650" s="29" t="n">
        <v>0.06</v>
      </c>
      <c r="N650" s="28" t="n">
        <v>1.5</v>
      </c>
      <c r="O650" s="28" t="n">
        <v>21.54</v>
      </c>
      <c r="P650" s="2" t="s">
        <v>146</v>
      </c>
      <c r="Q650" s="29" t="n">
        <v>0.1</v>
      </c>
      <c r="R650" s="30" t="n">
        <v>0.095</v>
      </c>
      <c r="S650" s="31" t="n">
        <v>15.7894736842105</v>
      </c>
      <c r="T650" s="30" t="n">
        <v>-0.266969652543615</v>
      </c>
      <c r="U650" s="30" t="n">
        <v>-0.197331769535259</v>
      </c>
      <c r="V650" s="29" t="n">
        <v>-0.005</v>
      </c>
      <c r="W650" s="29" t="n">
        <f aca="false">IF(N(Q650)=0,"",Q650+IF(I650="yes",Q650*Inputs!$B$10*Inputs!$B$9,0)+V650)</f>
        <v>0.095</v>
      </c>
      <c r="X650" s="28" t="n">
        <f aca="false">IF(OR(N(W650)&lt;=0,N(N650)=0,N(L650)=0),"",MIN(L650,N650/W650))</f>
        <v>15.7894736842105</v>
      </c>
      <c r="Y650" s="29" t="n">
        <f aca="false">IF(OR(X650="",N(O650)=0),"",X650/O650-1)</f>
        <v>-0.266969652543615</v>
      </c>
      <c r="Z650" s="29" t="n">
        <f aca="false">IF(OR(Y650="",N(O650)=0),"",Y650+N650/O650)</f>
        <v>-0.197331769535259</v>
      </c>
      <c r="AA650" s="32" t="n">
        <f aca="false">IF(OR(Z650="",N(U650)=0),"",Z650-U650)</f>
        <v>0</v>
      </c>
      <c r="AB650" s="29" t="n">
        <f aca="false">IF(N(Q650)=0,"",Q650+IF(I650="yes",Q650*Inputs!$B$10*Inputs!$B$9,0)+IFERROR(INDEX(Inputs!$B$13:$B$15,MATCH(G650,Inputs!$A$13:$A$15,0)),0)+IFERROR(INDEX(Inputs!$B$18:$B$24,MATCH(H650,Inputs!$A$18:$A$24,0)),0))</f>
        <v>0.095</v>
      </c>
      <c r="AC650" s="28" t="n">
        <f aca="false">IF(OR(N(AB650)&lt;=0,N(N650)=0,N(L650)=0),"",MIN(L650,N650/AB650))</f>
        <v>15.7894736842105</v>
      </c>
      <c r="AD650" s="29" t="n">
        <f aca="false">IF(OR(AC650="",N(O650)=0),"",AC650/O650-1)</f>
        <v>-0.266969652543615</v>
      </c>
      <c r="AE650" s="29" t="n">
        <f aca="false">IF(OR(AD650="",N(O650)=0),"",AD650+N650/O650)</f>
        <v>-0.197331769535259</v>
      </c>
      <c r="AF650" s="32" t="n">
        <f aca="false">IF(OR(AE650="",N(Z650)=0),"",AE650-Z650)</f>
        <v>0</v>
      </c>
      <c r="AG650" s="28" t="n">
        <f aca="false">IF(AND(N(M650)&gt;0,N(L650)&gt;0),M650*L650,N650)</f>
        <v>1.5</v>
      </c>
      <c r="AH650" s="28" t="n">
        <f aca="false">IF(OR(N(AB650)&lt;=0,N(AG650)=0,N(L650)=0),"",MIN(L650,AG650/AB650))</f>
        <v>15.7894736842105</v>
      </c>
      <c r="AI650" s="29" t="n">
        <f aca="false">IF(OR(AH650="",N(O650)=0),"",AH650/O650-1)</f>
        <v>-0.266969652543615</v>
      </c>
      <c r="AJ650" s="29" t="n">
        <f aca="false">IF(OR(AI650="",N(O650)=0),"",AI650+AG650/O650)</f>
        <v>-0.197331769535259</v>
      </c>
      <c r="AK650" s="32" t="n">
        <f aca="false">IF(OR(AJ650="",N(AE650)=0),"",AJ650-AE650)</f>
        <v>0</v>
      </c>
      <c r="AL650" s="33" t="n">
        <f aca="false">IF(N(F650)=0,"",INDEX(Inputs!$B$28:$B$32,IFERROR(MATCH(F650,Inputs!$A$28:$A$32,1),0)+1))</f>
        <v>0.09</v>
      </c>
      <c r="AM650" s="34"/>
      <c r="AN650" s="33" t="n">
        <f aca="false">IF(N(AM650)&gt;0,AM650,AL650)</f>
        <v>0.09</v>
      </c>
      <c r="AO650" s="29" t="n">
        <f aca="false">IF(N(AN650)=0,"",AN650+IF(I650="yes",AN650*Inputs!$B$10*Inputs!$B$9,0)+IFERROR(INDEX(Inputs!$B$13:$B$15,MATCH(G650,Inputs!$A$13:$A$15,0)),0)+IFERROR(INDEX(Inputs!$B$18:$B$24,MATCH(H650,Inputs!$A$18:$A$24,0)),0))</f>
        <v>0.085</v>
      </c>
      <c r="AP650" s="28" t="n">
        <f aca="false">IF(OR(N(AO650)&lt;=0,N(AG650)=0,N(L650)=0),"",MIN(L650,AG650/AO650))</f>
        <v>17.6470588235294</v>
      </c>
      <c r="AQ650" s="29" t="n">
        <f aca="false">IF(OR(AP650="",N(O650)=0),"",AP650/O650-1)</f>
        <v>-0.180730788136982</v>
      </c>
      <c r="AR650" s="29" t="n">
        <f aca="false">IF(OR(AQ650="",N(O650)=0),"",AQ650+AG650/O650)</f>
        <v>-0.111092905128625</v>
      </c>
      <c r="AS650" s="32" t="n">
        <f aca="false">IF(OR(AR650="",N(AJ650)=0),"",AR650-AJ650)</f>
        <v>0.0862388644066335</v>
      </c>
      <c r="AT650" s="28" t="n">
        <v>25</v>
      </c>
      <c r="AU650" s="28" t="n">
        <v>1.5</v>
      </c>
      <c r="AV650" s="28" t="n">
        <f aca="false">IF(N(AT650)&gt;0,AT650,L650)</f>
        <v>25</v>
      </c>
      <c r="AW650" s="28" t="n">
        <f aca="false">IF(AND(N(M650)&gt;0,N(AV650)&gt;0),M650*AV650,IF(N(AU650)&gt;0,AU650,N650))</f>
        <v>1.5</v>
      </c>
      <c r="AX650" s="29" t="n">
        <f aca="false">IF(N(AN650)=0,"",AN650+IF(I650="yes",AN650*Inputs!$B$10*Inputs!$B$9,0)+IFERROR(INDEX(Inputs!$B$13:$B$15,MATCH(G650,Inputs!$A$13:$A$15,0)),0)+IFERROR(INDEX(Inputs!$B$18:$B$24,MATCH(H650,Inputs!$A$18:$A$24,0)),0))</f>
        <v>0.085</v>
      </c>
      <c r="AY650" s="28" t="n">
        <f aca="false">IF(OR(N(AX650)&lt;=0,N(AW650)=0,N(AV650)=0),"",MIN(AV650,AW650/AX650))</f>
        <v>17.6470588235294</v>
      </c>
      <c r="AZ650" s="29" t="n">
        <f aca="false">IF(OR(AY650="",N(O650)=0),"",AY650/O650-1)</f>
        <v>-0.180730788136982</v>
      </c>
      <c r="BA650" s="29" t="n">
        <f aca="false">IF(OR(AZ650="",N(O650)=0),"",AZ650+AW650/O650)</f>
        <v>-0.111092905128625</v>
      </c>
      <c r="BB650" s="32" t="n">
        <f aca="false">IF(OR(BA650="",N(AR650)=0),"",BA650-AR650)</f>
        <v>0</v>
      </c>
      <c r="BC650" s="35" t="n">
        <f aca="false">IF(OR(BA650="",N(U650)=0),"",BA650-U650)</f>
        <v>0.0862388644066335</v>
      </c>
      <c r="BD650" s="37"/>
    </row>
    <row r="651" customFormat="false" ht="15" hidden="false" customHeight="false" outlineLevel="0" collapsed="false">
      <c r="A651" s="2" t="s">
        <v>1067</v>
      </c>
      <c r="B651" s="2" t="n">
        <v>302</v>
      </c>
      <c r="C651" s="2" t="s">
        <v>1308</v>
      </c>
      <c r="D651" s="2" t="s">
        <v>1299</v>
      </c>
      <c r="E651" s="2" t="s">
        <v>1300</v>
      </c>
      <c r="F651" s="27" t="n">
        <v>278</v>
      </c>
      <c r="G651" s="2" t="s">
        <v>52</v>
      </c>
      <c r="H651" s="2" t="s">
        <v>58</v>
      </c>
      <c r="I651" s="2" t="s">
        <v>144</v>
      </c>
      <c r="J651" s="2" t="s">
        <v>145</v>
      </c>
      <c r="K651" s="2" t="n">
        <v>4</v>
      </c>
      <c r="L651" s="28" t="n">
        <v>25</v>
      </c>
      <c r="M651" s="29" t="n">
        <v>0.0525</v>
      </c>
      <c r="N651" s="28" t="n">
        <v>1.3125</v>
      </c>
      <c r="O651" s="28" t="n">
        <v>19.91</v>
      </c>
      <c r="P651" s="2" t="s">
        <v>146</v>
      </c>
      <c r="Q651" s="29" t="n">
        <v>0.1</v>
      </c>
      <c r="R651" s="30" t="n">
        <v>0.095</v>
      </c>
      <c r="S651" s="31" t="n">
        <v>13.8157894736842</v>
      </c>
      <c r="T651" s="30" t="n">
        <v>-0.30608792196463</v>
      </c>
      <c r="U651" s="30" t="n">
        <v>-0.24016627455127</v>
      </c>
      <c r="V651" s="29" t="n">
        <v>-0.005</v>
      </c>
      <c r="W651" s="29" t="n">
        <f aca="false">IF(N(Q651)=0,"",Q651+IF(I651="yes",Q651*Inputs!$B$10*Inputs!$B$9,0)+V651)</f>
        <v>0.095</v>
      </c>
      <c r="X651" s="28" t="n">
        <f aca="false">IF(OR(N(W651)&lt;=0,N(N651)=0,N(L651)=0),"",MIN(L651,N651/W651))</f>
        <v>13.8157894736842</v>
      </c>
      <c r="Y651" s="29" t="n">
        <f aca="false">IF(OR(X651="",N(O651)=0),"",X651/O651-1)</f>
        <v>-0.30608792196463</v>
      </c>
      <c r="Z651" s="29" t="n">
        <f aca="false">IF(OR(Y651="",N(O651)=0),"",Y651+N651/O651)</f>
        <v>-0.24016627455127</v>
      </c>
      <c r="AA651" s="32" t="n">
        <f aca="false">IF(OR(Z651="",N(U651)=0),"",Z651-U651)</f>
        <v>0</v>
      </c>
      <c r="AB651" s="29" t="n">
        <f aca="false">IF(N(Q651)=0,"",Q651+IF(I651="yes",Q651*Inputs!$B$10*Inputs!$B$9,0)+IFERROR(INDEX(Inputs!$B$13:$B$15,MATCH(G651,Inputs!$A$13:$A$15,0)),0)+IFERROR(INDEX(Inputs!$B$18:$B$24,MATCH(H651,Inputs!$A$18:$A$24,0)),0))</f>
        <v>0.095</v>
      </c>
      <c r="AC651" s="28" t="n">
        <f aca="false">IF(OR(N(AB651)&lt;=0,N(N651)=0,N(L651)=0),"",MIN(L651,N651/AB651))</f>
        <v>13.8157894736842</v>
      </c>
      <c r="AD651" s="29" t="n">
        <f aca="false">IF(OR(AC651="",N(O651)=0),"",AC651/O651-1)</f>
        <v>-0.30608792196463</v>
      </c>
      <c r="AE651" s="29" t="n">
        <f aca="false">IF(OR(AD651="",N(O651)=0),"",AD651+N651/O651)</f>
        <v>-0.24016627455127</v>
      </c>
      <c r="AF651" s="32" t="n">
        <f aca="false">IF(OR(AE651="",N(Z651)=0),"",AE651-Z651)</f>
        <v>0</v>
      </c>
      <c r="AG651" s="28" t="n">
        <f aca="false">IF(AND(N(M651)&gt;0,N(L651)&gt;0),M651*L651,N651)</f>
        <v>1.3125</v>
      </c>
      <c r="AH651" s="28" t="n">
        <f aca="false">IF(OR(N(AB651)&lt;=0,N(AG651)=0,N(L651)=0),"",MIN(L651,AG651/AB651))</f>
        <v>13.8157894736842</v>
      </c>
      <c r="AI651" s="29" t="n">
        <f aca="false">IF(OR(AH651="",N(O651)=0),"",AH651/O651-1)</f>
        <v>-0.30608792196463</v>
      </c>
      <c r="AJ651" s="29" t="n">
        <f aca="false">IF(OR(AI651="",N(O651)=0),"",AI651+AG651/O651)</f>
        <v>-0.24016627455127</v>
      </c>
      <c r="AK651" s="32" t="n">
        <f aca="false">IF(OR(AJ651="",N(AE651)=0),"",AJ651-AE651)</f>
        <v>0</v>
      </c>
      <c r="AL651" s="33" t="n">
        <f aca="false">IF(N(F651)=0,"",INDEX(Inputs!$B$28:$B$32,IFERROR(MATCH(F651,Inputs!$A$28:$A$32,1),0)+1))</f>
        <v>0.09</v>
      </c>
      <c r="AM651" s="34"/>
      <c r="AN651" s="33" t="n">
        <f aca="false">IF(N(AM651)&gt;0,AM651,AL651)</f>
        <v>0.09</v>
      </c>
      <c r="AO651" s="29" t="n">
        <f aca="false">IF(N(AN651)=0,"",AN651+IF(I651="yes",AN651*Inputs!$B$10*Inputs!$B$9,0)+IFERROR(INDEX(Inputs!$B$13:$B$15,MATCH(G651,Inputs!$A$13:$A$15,0)),0)+IFERROR(INDEX(Inputs!$B$18:$B$24,MATCH(H651,Inputs!$A$18:$A$24,0)),0))</f>
        <v>0.085</v>
      </c>
      <c r="AP651" s="28" t="n">
        <f aca="false">IF(OR(N(AO651)&lt;=0,N(AG651)=0,N(L651)=0),"",MIN(L651,AG651/AO651))</f>
        <v>15.4411764705882</v>
      </c>
      <c r="AQ651" s="29" t="n">
        <f aca="false">IF(OR(AP651="",N(O651)=0),"",AP651/O651-1)</f>
        <v>-0.224451206901646</v>
      </c>
      <c r="AR651" s="29" t="n">
        <f aca="false">IF(OR(AQ651="",N(O651)=0),"",AQ651+AG651/O651)</f>
        <v>-0.158529559488285</v>
      </c>
      <c r="AS651" s="32" t="n">
        <f aca="false">IF(OR(AR651="",N(AJ651)=0),"",AR651-AJ651)</f>
        <v>0.0816367150629848</v>
      </c>
      <c r="AT651" s="28" t="n">
        <v>25</v>
      </c>
      <c r="AU651" s="28" t="n">
        <v>1.3125</v>
      </c>
      <c r="AV651" s="28" t="n">
        <f aca="false">IF(N(AT651)&gt;0,AT651,L651)</f>
        <v>25</v>
      </c>
      <c r="AW651" s="28" t="n">
        <f aca="false">IF(AND(N(M651)&gt;0,N(AV651)&gt;0),M651*AV651,IF(N(AU651)&gt;0,AU651,N651))</f>
        <v>1.3125</v>
      </c>
      <c r="AX651" s="29" t="n">
        <f aca="false">IF(N(AN651)=0,"",AN651+IF(I651="yes",AN651*Inputs!$B$10*Inputs!$B$9,0)+IFERROR(INDEX(Inputs!$B$13:$B$15,MATCH(G651,Inputs!$A$13:$A$15,0)),0)+IFERROR(INDEX(Inputs!$B$18:$B$24,MATCH(H651,Inputs!$A$18:$A$24,0)),0))</f>
        <v>0.085</v>
      </c>
      <c r="AY651" s="28" t="n">
        <f aca="false">IF(OR(N(AX651)&lt;=0,N(AW651)=0,N(AV651)=0),"",MIN(AV651,AW651/AX651))</f>
        <v>15.4411764705882</v>
      </c>
      <c r="AZ651" s="29" t="n">
        <f aca="false">IF(OR(AY651="",N(O651)=0),"",AY651/O651-1)</f>
        <v>-0.224451206901646</v>
      </c>
      <c r="BA651" s="29" t="n">
        <f aca="false">IF(OR(AZ651="",N(O651)=0),"",AZ651+AW651/O651)</f>
        <v>-0.158529559488285</v>
      </c>
      <c r="BB651" s="32" t="n">
        <f aca="false">IF(OR(BA651="",N(AR651)=0),"",BA651-AR651)</f>
        <v>0</v>
      </c>
      <c r="BC651" s="35" t="n">
        <f aca="false">IF(OR(BA651="",N(U651)=0),"",BA651-U651)</f>
        <v>0.0816367150629848</v>
      </c>
      <c r="BD651" s="37"/>
    </row>
    <row r="652" customFormat="false" ht="15" hidden="false" customHeight="false" outlineLevel="0" collapsed="false">
      <c r="A652" s="2" t="s">
        <v>1067</v>
      </c>
      <c r="B652" s="2" t="n">
        <v>305</v>
      </c>
      <c r="C652" s="2" t="s">
        <v>1309</v>
      </c>
      <c r="D652" s="2" t="s">
        <v>1310</v>
      </c>
      <c r="E652" s="2" t="s">
        <v>1311</v>
      </c>
      <c r="F652" s="27" t="n">
        <v>235</v>
      </c>
      <c r="G652" s="2" t="s">
        <v>51</v>
      </c>
      <c r="H652" s="2" t="s">
        <v>58</v>
      </c>
      <c r="I652" s="2" t="s">
        <v>151</v>
      </c>
      <c r="J652" s="2" t="s">
        <v>145</v>
      </c>
      <c r="K652" s="2" t="n">
        <v>4</v>
      </c>
      <c r="L652" s="28" t="n">
        <v>25</v>
      </c>
      <c r="M652" s="29" t="n">
        <v>0.06</v>
      </c>
      <c r="N652" s="28" t="n">
        <v>1.5</v>
      </c>
      <c r="O652" s="28" t="n">
        <v>21.46</v>
      </c>
      <c r="P652" s="2" t="s">
        <v>223</v>
      </c>
      <c r="Q652" s="29" t="n">
        <v>0.09</v>
      </c>
      <c r="R652" s="30" t="n">
        <v>0.09</v>
      </c>
      <c r="S652" s="31" t="n">
        <v>16.6666666666667</v>
      </c>
      <c r="T652" s="30" t="n">
        <v>-0.22336129232681</v>
      </c>
      <c r="U652" s="30" t="n">
        <v>-0.153463808636223</v>
      </c>
      <c r="V652" s="29" t="n">
        <v>0</v>
      </c>
      <c r="W652" s="29" t="n">
        <f aca="false">IF(N(Q652)=0,"",Q652+IF(I652="yes",Q652*Inputs!$B$10*Inputs!$B$9,0)+V652)</f>
        <v>0.0855</v>
      </c>
      <c r="X652" s="28" t="n">
        <f aca="false">IF(OR(N(W652)&lt;=0,N(N652)=0,N(L652)=0),"",MIN(L652,N652/W652))</f>
        <v>17.5438596491228</v>
      </c>
      <c r="Y652" s="29" t="n">
        <f aca="false">IF(OR(X652="",N(O652)=0),"",X652/O652-1)</f>
        <v>-0.182485570870326</v>
      </c>
      <c r="Z652" s="29" t="n">
        <f aca="false">IF(OR(Y652="",N(O652)=0),"",Y652+N652/O652)</f>
        <v>-0.112588087179739</v>
      </c>
      <c r="AA652" s="32" t="n">
        <f aca="false">IF(OR(Z652="",N(U652)=0),"",Z652-U652)</f>
        <v>0.0408757214564837</v>
      </c>
      <c r="AB652" s="29" t="n">
        <f aca="false">IF(N(Q652)=0,"",Q652+IF(I652="yes",Q652*Inputs!$B$10*Inputs!$B$9,0)+IFERROR(INDEX(Inputs!$B$13:$B$15,MATCH(G652,Inputs!$A$13:$A$15,0)),0)+IFERROR(INDEX(Inputs!$B$18:$B$24,MATCH(H652,Inputs!$A$18:$A$24,0)),0))</f>
        <v>0.0855</v>
      </c>
      <c r="AC652" s="28" t="n">
        <f aca="false">IF(OR(N(AB652)&lt;=0,N(N652)=0,N(L652)=0),"",MIN(L652,N652/AB652))</f>
        <v>17.5438596491228</v>
      </c>
      <c r="AD652" s="29" t="n">
        <f aca="false">IF(OR(AC652="",N(O652)=0),"",AC652/O652-1)</f>
        <v>-0.182485570870326</v>
      </c>
      <c r="AE652" s="29" t="n">
        <f aca="false">IF(OR(AD652="",N(O652)=0),"",AD652+N652/O652)</f>
        <v>-0.112588087179739</v>
      </c>
      <c r="AF652" s="32" t="n">
        <f aca="false">IF(OR(AE652="",N(Z652)=0),"",AE652-Z652)</f>
        <v>0</v>
      </c>
      <c r="AG652" s="28" t="n">
        <f aca="false">IF(AND(N(M652)&gt;0,N(L652)&gt;0),M652*L652,N652)</f>
        <v>1.5</v>
      </c>
      <c r="AH652" s="28" t="n">
        <f aca="false">IF(OR(N(AB652)&lt;=0,N(AG652)=0,N(L652)=0),"",MIN(L652,AG652/AB652))</f>
        <v>17.5438596491228</v>
      </c>
      <c r="AI652" s="29" t="n">
        <f aca="false">IF(OR(AH652="",N(O652)=0),"",AH652/O652-1)</f>
        <v>-0.182485570870326</v>
      </c>
      <c r="AJ652" s="29" t="n">
        <f aca="false">IF(OR(AI652="",N(O652)=0),"",AI652+AG652/O652)</f>
        <v>-0.112588087179739</v>
      </c>
      <c r="AK652" s="32" t="n">
        <f aca="false">IF(OR(AJ652="",N(AE652)=0),"",AJ652-AE652)</f>
        <v>0</v>
      </c>
      <c r="AL652" s="33" t="n">
        <f aca="false">IF(N(F652)=0,"",INDEX(Inputs!$B$28:$B$32,IFERROR(MATCH(F652,Inputs!$A$28:$A$32,1),0)+1))</f>
        <v>0.1</v>
      </c>
      <c r="AM652" s="34"/>
      <c r="AN652" s="33" t="n">
        <f aca="false">IF(N(AM652)&gt;0,AM652,AL652)</f>
        <v>0.1</v>
      </c>
      <c r="AO652" s="29" t="n">
        <f aca="false">IF(N(AN652)=0,"",AN652+IF(I652="yes",AN652*Inputs!$B$10*Inputs!$B$9,0)+IFERROR(INDEX(Inputs!$B$13:$B$15,MATCH(G652,Inputs!$A$13:$A$15,0)),0)+IFERROR(INDEX(Inputs!$B$18:$B$24,MATCH(H652,Inputs!$A$18:$A$24,0)),0))</f>
        <v>0.095</v>
      </c>
      <c r="AP652" s="28" t="n">
        <f aca="false">IF(OR(N(AO652)&lt;=0,N(AG652)=0,N(L652)=0),"",MIN(L652,AG652/AO652))</f>
        <v>15.7894736842105</v>
      </c>
      <c r="AQ652" s="29" t="n">
        <f aca="false">IF(OR(AP652="",N(O652)=0),"",AP652/O652-1)</f>
        <v>-0.264237013783293</v>
      </c>
      <c r="AR652" s="29" t="n">
        <f aca="false">IF(OR(AQ652="",N(O652)=0),"",AQ652+AG652/O652)</f>
        <v>-0.194339530092706</v>
      </c>
      <c r="AS652" s="32" t="n">
        <f aca="false">IF(OR(AR652="",N(AJ652)=0),"",AR652-AJ652)</f>
        <v>-0.0817514429129673</v>
      </c>
      <c r="AT652" s="28" t="n">
        <v>25</v>
      </c>
      <c r="AU652" s="28" t="n">
        <v>1.5</v>
      </c>
      <c r="AV652" s="28" t="n">
        <f aca="false">IF(N(AT652)&gt;0,AT652,L652)</f>
        <v>25</v>
      </c>
      <c r="AW652" s="28" t="n">
        <f aca="false">IF(AND(N(M652)&gt;0,N(AV652)&gt;0),M652*AV652,IF(N(AU652)&gt;0,AU652,N652))</f>
        <v>1.5</v>
      </c>
      <c r="AX652" s="29" t="n">
        <f aca="false">IF(N(AN652)=0,"",AN652+IF(I652="yes",AN652*Inputs!$B$10*Inputs!$B$9,0)+IFERROR(INDEX(Inputs!$B$13:$B$15,MATCH(G652,Inputs!$A$13:$A$15,0)),0)+IFERROR(INDEX(Inputs!$B$18:$B$24,MATCH(H652,Inputs!$A$18:$A$24,0)),0))</f>
        <v>0.095</v>
      </c>
      <c r="AY652" s="28" t="n">
        <f aca="false">IF(OR(N(AX652)&lt;=0,N(AW652)=0,N(AV652)=0),"",MIN(AV652,AW652/AX652))</f>
        <v>15.7894736842105</v>
      </c>
      <c r="AZ652" s="29" t="n">
        <f aca="false">IF(OR(AY652="",N(O652)=0),"",AY652/O652-1)</f>
        <v>-0.264237013783293</v>
      </c>
      <c r="BA652" s="29" t="n">
        <f aca="false">IF(OR(AZ652="",N(O652)=0),"",AZ652+AW652/O652)</f>
        <v>-0.194339530092706</v>
      </c>
      <c r="BB652" s="32" t="n">
        <f aca="false">IF(OR(BA652="",N(AR652)=0),"",BA652-AR652)</f>
        <v>0</v>
      </c>
      <c r="BC652" s="35" t="n">
        <f aca="false">IF(OR(BA652="",N(U652)=0),"",BA652-U652)</f>
        <v>-0.0408757214564836</v>
      </c>
      <c r="BD652" s="36" t="s">
        <v>224</v>
      </c>
    </row>
    <row r="653" customFormat="false" ht="15" hidden="false" customHeight="false" outlineLevel="0" collapsed="false">
      <c r="A653" s="2" t="s">
        <v>1067</v>
      </c>
      <c r="B653" s="2" t="n">
        <v>309</v>
      </c>
      <c r="C653" s="2" t="s">
        <v>1312</v>
      </c>
      <c r="D653" s="2" t="s">
        <v>1313</v>
      </c>
      <c r="E653" s="2" t="s">
        <v>1314</v>
      </c>
      <c r="F653" s="27" t="n">
        <v>33200</v>
      </c>
      <c r="G653" s="2" t="s">
        <v>51</v>
      </c>
      <c r="H653" s="2" t="s">
        <v>59</v>
      </c>
      <c r="I653" s="2" t="s">
        <v>151</v>
      </c>
      <c r="J653" s="2" t="s">
        <v>145</v>
      </c>
      <c r="K653" s="2" t="n">
        <v>4</v>
      </c>
      <c r="L653" s="28" t="n">
        <v>25</v>
      </c>
      <c r="M653" s="29" t="n">
        <v>0.06375</v>
      </c>
      <c r="N653" s="28" t="n">
        <v>1.59375</v>
      </c>
      <c r="O653" s="28" t="n">
        <v>0</v>
      </c>
      <c r="P653" s="2" t="s">
        <v>146</v>
      </c>
      <c r="Q653" s="29" t="n">
        <v>0.08</v>
      </c>
      <c r="R653" s="30" t="n">
        <v>0.076</v>
      </c>
      <c r="S653" s="31" t="n">
        <v>20.9703947368421</v>
      </c>
      <c r="T653" s="30"/>
      <c r="U653" s="30"/>
      <c r="V653" s="29" t="n">
        <v>0</v>
      </c>
      <c r="W653" s="29" t="n">
        <f aca="false">IF(N(Q653)=0,"",Q653+IF(I653="yes",Q653*Inputs!$B$10*Inputs!$B$9,0)+V653)</f>
        <v>0.076</v>
      </c>
      <c r="X653" s="28" t="n">
        <f aca="false">IF(OR(N(W653)&lt;=0,N(N653)=0,N(L653)=0),"",MIN(L653,N653/W653))</f>
        <v>20.9703947368421</v>
      </c>
      <c r="Y653" s="29" t="str">
        <f aca="false">IF(OR(X653="",N(O653)=0),"",X653/O653-1)</f>
        <v/>
      </c>
      <c r="Z653" s="29" t="str">
        <f aca="false">IF(OR(Y653="",N(O653)=0),"",Y653+N653/O653)</f>
        <v/>
      </c>
      <c r="AA653" s="32" t="str">
        <f aca="false">IF(OR(Z653="",N(U653)=0),"",Z653-U653)</f>
        <v/>
      </c>
      <c r="AB653" s="29" t="n">
        <f aca="false">IF(N(Q653)=0,"",Q653+IF(I653="yes",Q653*Inputs!$B$10*Inputs!$B$9,0)+IFERROR(INDEX(Inputs!$B$13:$B$15,MATCH(G653,Inputs!$A$13:$A$15,0)),0)+IFERROR(INDEX(Inputs!$B$18:$B$24,MATCH(H653,Inputs!$A$18:$A$24,0)),0))</f>
        <v>0.076</v>
      </c>
      <c r="AC653" s="28" t="n">
        <f aca="false">IF(OR(N(AB653)&lt;=0,N(N653)=0,N(L653)=0),"",MIN(L653,N653/AB653))</f>
        <v>20.9703947368421</v>
      </c>
      <c r="AD653" s="29" t="str">
        <f aca="false">IF(OR(AC653="",N(O653)=0),"",AC653/O653-1)</f>
        <v/>
      </c>
      <c r="AE653" s="29" t="str">
        <f aca="false">IF(OR(AD653="",N(O653)=0),"",AD653+N653/O653)</f>
        <v/>
      </c>
      <c r="AF653" s="32" t="str">
        <f aca="false">IF(OR(AE653="",N(Z653)=0),"",AE653-Z653)</f>
        <v/>
      </c>
      <c r="AG653" s="28" t="n">
        <f aca="false">IF(AND(N(M653)&gt;0,N(L653)&gt;0),M653*L653,N653)</f>
        <v>1.59375</v>
      </c>
      <c r="AH653" s="28" t="n">
        <f aca="false">IF(OR(N(AB653)&lt;=0,N(AG653)=0,N(L653)=0),"",MIN(L653,AG653/AB653))</f>
        <v>20.9703947368421</v>
      </c>
      <c r="AI653" s="29" t="str">
        <f aca="false">IF(OR(AH653="",N(O653)=0),"",AH653/O653-1)</f>
        <v/>
      </c>
      <c r="AJ653" s="29" t="str">
        <f aca="false">IF(OR(AI653="",N(O653)=0),"",AI653+AG653/O653)</f>
        <v/>
      </c>
      <c r="AK653" s="32" t="str">
        <f aca="false">IF(OR(AJ653="",N(AE653)=0),"",AJ653-AE653)</f>
        <v/>
      </c>
      <c r="AL653" s="33" t="n">
        <f aca="false">IF(N(F653)=0,"",INDEX(Inputs!$B$28:$B$32,IFERROR(MATCH(F653,Inputs!$A$28:$A$32,1),0)+1))</f>
        <v>0.075</v>
      </c>
      <c r="AM653" s="34"/>
      <c r="AN653" s="33" t="n">
        <f aca="false">IF(N(AM653)&gt;0,AM653,AL653)</f>
        <v>0.075</v>
      </c>
      <c r="AO653" s="29" t="n">
        <f aca="false">IF(N(AN653)=0,"",AN653+IF(I653="yes",AN653*Inputs!$B$10*Inputs!$B$9,0)+IFERROR(INDEX(Inputs!$B$13:$B$15,MATCH(G653,Inputs!$A$13:$A$15,0)),0)+IFERROR(INDEX(Inputs!$B$18:$B$24,MATCH(H653,Inputs!$A$18:$A$24,0)),0))</f>
        <v>0.07125</v>
      </c>
      <c r="AP653" s="28" t="n">
        <f aca="false">IF(OR(N(AO653)&lt;=0,N(AG653)=0,N(L653)=0),"",MIN(L653,AG653/AO653))</f>
        <v>22.3684210526316</v>
      </c>
      <c r="AQ653" s="29" t="str">
        <f aca="false">IF(OR(AP653="",N(O653)=0),"",AP653/O653-1)</f>
        <v/>
      </c>
      <c r="AR653" s="29" t="str">
        <f aca="false">IF(OR(AQ653="",N(O653)=0),"",AQ653+AG653/O653)</f>
        <v/>
      </c>
      <c r="AS653" s="32" t="str">
        <f aca="false">IF(OR(AR653="",N(AJ653)=0),"",AR653-AJ653)</f>
        <v/>
      </c>
      <c r="AT653" s="28" t="n">
        <v>25</v>
      </c>
      <c r="AU653" s="28" t="n">
        <v>1.59</v>
      </c>
      <c r="AV653" s="28" t="n">
        <f aca="false">IF(N(AT653)&gt;0,AT653,L653)</f>
        <v>25</v>
      </c>
      <c r="AW653" s="28" t="n">
        <f aca="false">IF(AND(N(M653)&gt;0,N(AV653)&gt;0),M653*AV653,IF(N(AU653)&gt;0,AU653,N653))</f>
        <v>1.59375</v>
      </c>
      <c r="AX653" s="29" t="n">
        <f aca="false">IF(N(AN653)=0,"",AN653+IF(I653="yes",AN653*Inputs!$B$10*Inputs!$B$9,0)+IFERROR(INDEX(Inputs!$B$13:$B$15,MATCH(G653,Inputs!$A$13:$A$15,0)),0)+IFERROR(INDEX(Inputs!$B$18:$B$24,MATCH(H653,Inputs!$A$18:$A$24,0)),0))</f>
        <v>0.07125</v>
      </c>
      <c r="AY653" s="28" t="n">
        <f aca="false">IF(OR(N(AX653)&lt;=0,N(AW653)=0,N(AV653)=0),"",MIN(AV653,AW653/AX653))</f>
        <v>22.3684210526316</v>
      </c>
      <c r="AZ653" s="29" t="str">
        <f aca="false">IF(OR(AY653="",N(O653)=0),"",AY653/O653-1)</f>
        <v/>
      </c>
      <c r="BA653" s="29" t="str">
        <f aca="false">IF(OR(AZ653="",N(O653)=0),"",AZ653+AW653/O653)</f>
        <v/>
      </c>
      <c r="BB653" s="32" t="str">
        <f aca="false">IF(OR(BA653="",N(AR653)=0),"",BA653-AR653)</f>
        <v/>
      </c>
      <c r="BC653" s="35" t="str">
        <f aca="false">IF(OR(BA653="",N(U653)=0),"",BA653-U653)</f>
        <v/>
      </c>
      <c r="BD653" s="36" t="s">
        <v>299</v>
      </c>
    </row>
    <row r="654" customFormat="false" ht="15" hidden="false" customHeight="false" outlineLevel="0" collapsed="false">
      <c r="A654" s="2" t="s">
        <v>1067</v>
      </c>
      <c r="B654" s="2" t="n">
        <v>313</v>
      </c>
      <c r="C654" s="2" t="s">
        <v>1315</v>
      </c>
      <c r="D654" s="2" t="s">
        <v>1316</v>
      </c>
      <c r="E654" s="2" t="s">
        <v>1317</v>
      </c>
      <c r="F654" s="27" t="n">
        <v>1700</v>
      </c>
      <c r="G654" s="2" t="s">
        <v>51</v>
      </c>
      <c r="H654" s="2" t="s">
        <v>63</v>
      </c>
      <c r="I654" s="2" t="s">
        <v>144</v>
      </c>
      <c r="J654" s="2" t="s">
        <v>145</v>
      </c>
      <c r="K654" s="2" t="n">
        <v>4</v>
      </c>
      <c r="L654" s="28" t="n">
        <v>25</v>
      </c>
      <c r="M654" s="29" t="n">
        <v>0.078</v>
      </c>
      <c r="N654" s="28" t="n">
        <v>1.95</v>
      </c>
      <c r="O654" s="28" t="n">
        <v>25.23</v>
      </c>
      <c r="P654" s="2" t="s">
        <v>146</v>
      </c>
      <c r="Q654" s="29" t="n">
        <v>0.09</v>
      </c>
      <c r="R654" s="30" t="n">
        <v>0.09</v>
      </c>
      <c r="S654" s="31" t="n">
        <v>21.6666666666667</v>
      </c>
      <c r="T654" s="30" t="n">
        <v>-0.141233980710794</v>
      </c>
      <c r="U654" s="30" t="n">
        <v>-0.0639450389747657</v>
      </c>
      <c r="V654" s="29" t="n">
        <v>0</v>
      </c>
      <c r="W654" s="29" t="n">
        <f aca="false">IF(N(Q654)=0,"",Q654+IF(I654="yes",Q654*Inputs!$B$10*Inputs!$B$9,0)+V654)</f>
        <v>0.09</v>
      </c>
      <c r="X654" s="28" t="n">
        <f aca="false">IF(OR(N(W654)&lt;=0,N(N654)=0,N(L654)=0),"",MIN(L654,N654/W654))</f>
        <v>21.6666666666667</v>
      </c>
      <c r="Y654" s="29" t="n">
        <f aca="false">IF(OR(X654="",N(O654)=0),"",X654/O654-1)</f>
        <v>-0.141233980710794</v>
      </c>
      <c r="Z654" s="29" t="n">
        <f aca="false">IF(OR(Y654="",N(O654)=0),"",Y654+N654/O654)</f>
        <v>-0.0639450389747657</v>
      </c>
      <c r="AA654" s="32" t="n">
        <f aca="false">IF(OR(Z654="",N(U654)=0),"",Z654-U654)</f>
        <v>0</v>
      </c>
      <c r="AB654" s="29" t="n">
        <f aca="false">IF(N(Q654)=0,"",Q654+IF(I654="yes",Q654*Inputs!$B$10*Inputs!$B$9,0)+IFERROR(INDEX(Inputs!$B$13:$B$15,MATCH(G654,Inputs!$A$13:$A$15,0)),0)+IFERROR(INDEX(Inputs!$B$18:$B$24,MATCH(H654,Inputs!$A$18:$A$24,0)),0))</f>
        <v>0.09</v>
      </c>
      <c r="AC654" s="28" t="n">
        <f aca="false">IF(OR(N(AB654)&lt;=0,N(N654)=0,N(L654)=0),"",MIN(L654,N654/AB654))</f>
        <v>21.6666666666667</v>
      </c>
      <c r="AD654" s="29" t="n">
        <f aca="false">IF(OR(AC654="",N(O654)=0),"",AC654/O654-1)</f>
        <v>-0.141233980710794</v>
      </c>
      <c r="AE654" s="29" t="n">
        <f aca="false">IF(OR(AD654="",N(O654)=0),"",AD654+N654/O654)</f>
        <v>-0.0639450389747657</v>
      </c>
      <c r="AF654" s="32" t="n">
        <f aca="false">IF(OR(AE654="",N(Z654)=0),"",AE654-Z654)</f>
        <v>0</v>
      </c>
      <c r="AG654" s="28" t="n">
        <f aca="false">IF(AND(N(M654)&gt;0,N(L654)&gt;0),M654*L654,N654)</f>
        <v>1.95</v>
      </c>
      <c r="AH654" s="28" t="n">
        <f aca="false">IF(OR(N(AB654)&lt;=0,N(AG654)=0,N(L654)=0),"",MIN(L654,AG654/AB654))</f>
        <v>21.6666666666667</v>
      </c>
      <c r="AI654" s="29" t="n">
        <f aca="false">IF(OR(AH654="",N(O654)=0),"",AH654/O654-1)</f>
        <v>-0.141233980710794</v>
      </c>
      <c r="AJ654" s="29" t="n">
        <f aca="false">IF(OR(AI654="",N(O654)=0),"",AI654+AG654/O654)</f>
        <v>-0.0639450389747657</v>
      </c>
      <c r="AK654" s="32" t="n">
        <f aca="false">IF(OR(AJ654="",N(AE654)=0),"",AJ654-AE654)</f>
        <v>0</v>
      </c>
      <c r="AL654" s="33" t="n">
        <f aca="false">IF(N(F654)=0,"",INDEX(Inputs!$B$28:$B$32,IFERROR(MATCH(F654,Inputs!$A$28:$A$32,1),0)+1))</f>
        <v>0.085</v>
      </c>
      <c r="AM654" s="34"/>
      <c r="AN654" s="33" t="n">
        <f aca="false">IF(N(AM654)&gt;0,AM654,AL654)</f>
        <v>0.085</v>
      </c>
      <c r="AO654" s="29" t="n">
        <f aca="false">IF(N(AN654)=0,"",AN654+IF(I654="yes",AN654*Inputs!$B$10*Inputs!$B$9,0)+IFERROR(INDEX(Inputs!$B$13:$B$15,MATCH(G654,Inputs!$A$13:$A$15,0)),0)+IFERROR(INDEX(Inputs!$B$18:$B$24,MATCH(H654,Inputs!$A$18:$A$24,0)),0))</f>
        <v>0.085</v>
      </c>
      <c r="AP654" s="28" t="n">
        <f aca="false">IF(OR(N(AO654)&lt;=0,N(AG654)=0,N(L654)=0),"",MIN(L654,AG654/AO654))</f>
        <v>22.9411764705882</v>
      </c>
      <c r="AQ654" s="29" t="n">
        <f aca="false">IF(OR(AP654="",N(O654)=0),"",AP654/O654-1)</f>
        <v>-0.0907183325173114</v>
      </c>
      <c r="AR654" s="29" t="n">
        <f aca="false">IF(OR(AQ654="",N(O654)=0),"",AQ654+AG654/O654)</f>
        <v>-0.0134293907812829</v>
      </c>
      <c r="AS654" s="32" t="n">
        <f aca="false">IF(OR(AR654="",N(AJ654)=0),"",AR654-AJ654)</f>
        <v>0.0505156481934828</v>
      </c>
      <c r="AT654" s="28" t="n">
        <v>25</v>
      </c>
      <c r="AU654" s="28" t="n">
        <v>1.95</v>
      </c>
      <c r="AV654" s="28" t="n">
        <f aca="false">IF(N(AT654)&gt;0,AT654,L654)</f>
        <v>25</v>
      </c>
      <c r="AW654" s="28" t="n">
        <f aca="false">IF(AND(N(M654)&gt;0,N(AV654)&gt;0),M654*AV654,IF(N(AU654)&gt;0,AU654,N654))</f>
        <v>1.95</v>
      </c>
      <c r="AX654" s="29" t="n">
        <f aca="false">IF(N(AN654)=0,"",AN654+IF(I654="yes",AN654*Inputs!$B$10*Inputs!$B$9,0)+IFERROR(INDEX(Inputs!$B$13:$B$15,MATCH(G654,Inputs!$A$13:$A$15,0)),0)+IFERROR(INDEX(Inputs!$B$18:$B$24,MATCH(H654,Inputs!$A$18:$A$24,0)),0))</f>
        <v>0.085</v>
      </c>
      <c r="AY654" s="28" t="n">
        <f aca="false">IF(OR(N(AX654)&lt;=0,N(AW654)=0,N(AV654)=0),"",MIN(AV654,AW654/AX654))</f>
        <v>22.9411764705882</v>
      </c>
      <c r="AZ654" s="29" t="n">
        <f aca="false">IF(OR(AY654="",N(O654)=0),"",AY654/O654-1)</f>
        <v>-0.0907183325173114</v>
      </c>
      <c r="BA654" s="29" t="n">
        <f aca="false">IF(OR(AZ654="",N(O654)=0),"",AZ654+AW654/O654)</f>
        <v>-0.0134293907812829</v>
      </c>
      <c r="BB654" s="32" t="n">
        <f aca="false">IF(OR(BA654="",N(AR654)=0),"",BA654-AR654)</f>
        <v>0</v>
      </c>
      <c r="BC654" s="35" t="n">
        <f aca="false">IF(OR(BA654="",N(U654)=0),"",BA654-U654)</f>
        <v>0.0505156481934828</v>
      </c>
      <c r="BD654" s="37"/>
    </row>
    <row r="655" customFormat="false" ht="15" hidden="false" customHeight="false" outlineLevel="0" collapsed="false">
      <c r="A655" s="2" t="s">
        <v>1067</v>
      </c>
      <c r="B655" s="2" t="n">
        <v>317</v>
      </c>
      <c r="C655" s="2" t="s">
        <v>1318</v>
      </c>
      <c r="D655" s="2" t="s">
        <v>1318</v>
      </c>
      <c r="E655" s="2" t="s">
        <v>143</v>
      </c>
      <c r="F655" s="27"/>
      <c r="G655" s="2" t="s">
        <v>51</v>
      </c>
      <c r="H655" s="2" t="s">
        <v>58</v>
      </c>
      <c r="I655" s="2" t="s">
        <v>151</v>
      </c>
      <c r="J655" s="2" t="s">
        <v>145</v>
      </c>
      <c r="K655" s="2" t="n">
        <v>4</v>
      </c>
      <c r="L655" s="28" t="n">
        <v>25</v>
      </c>
      <c r="M655" s="29" t="n">
        <v>0.05875</v>
      </c>
      <c r="N655" s="28" t="n">
        <v>1.46875</v>
      </c>
      <c r="O655" s="28" t="n">
        <v>0</v>
      </c>
      <c r="P655" s="2" t="s">
        <v>146</v>
      </c>
      <c r="Q655" s="29" t="n">
        <v>0</v>
      </c>
      <c r="R655" s="30" t="n">
        <v>0</v>
      </c>
      <c r="S655" s="31"/>
      <c r="T655" s="30"/>
      <c r="U655" s="30"/>
      <c r="V655" s="29" t="n">
        <v>0</v>
      </c>
      <c r="W655" s="29" t="str">
        <f aca="false">IF(N(Q655)=0,"",Q655+IF(I655="yes",Q655*Inputs!$B$10*Inputs!$B$9,0)+V655)</f>
        <v/>
      </c>
      <c r="X655" s="28" t="str">
        <f aca="false">IF(OR(N(W655)&lt;=0,N(N655)=0,N(L655)=0),"",MIN(L655,N655/W655))</f>
        <v/>
      </c>
      <c r="Y655" s="29" t="str">
        <f aca="false">IF(OR(X655="",N(O655)=0),"",X655/O655-1)</f>
        <v/>
      </c>
      <c r="Z655" s="29" t="str">
        <f aca="false">IF(OR(Y655="",N(O655)=0),"",Y655+N655/O655)</f>
        <v/>
      </c>
      <c r="AA655" s="32" t="str">
        <f aca="false">IF(OR(Z655="",N(U655)=0),"",Z655-U655)</f>
        <v/>
      </c>
      <c r="AB655" s="29" t="str">
        <f aca="false">IF(N(Q655)=0,"",Q655+IF(I655="yes",Q655*Inputs!$B$10*Inputs!$B$9,0)+IFERROR(INDEX(Inputs!$B$13:$B$15,MATCH(G655,Inputs!$A$13:$A$15,0)),0)+IFERROR(INDEX(Inputs!$B$18:$B$24,MATCH(H655,Inputs!$A$18:$A$24,0)),0))</f>
        <v/>
      </c>
      <c r="AC655" s="28" t="str">
        <f aca="false">IF(OR(N(AB655)&lt;=0,N(N655)=0,N(L655)=0),"",MIN(L655,N655/AB655))</f>
        <v/>
      </c>
      <c r="AD655" s="29" t="str">
        <f aca="false">IF(OR(AC655="",N(O655)=0),"",AC655/O655-1)</f>
        <v/>
      </c>
      <c r="AE655" s="29" t="str">
        <f aca="false">IF(OR(AD655="",N(O655)=0),"",AD655+N655/O655)</f>
        <v/>
      </c>
      <c r="AF655" s="32" t="str">
        <f aca="false">IF(OR(AE655="",N(Z655)=0),"",AE655-Z655)</f>
        <v/>
      </c>
      <c r="AG655" s="28" t="n">
        <f aca="false">IF(AND(N(M655)&gt;0,N(L655)&gt;0),M655*L655,N655)</f>
        <v>1.46875</v>
      </c>
      <c r="AH655" s="28" t="str">
        <f aca="false">IF(OR(N(AB655)&lt;=0,N(AG655)=0,N(L655)=0),"",MIN(L655,AG655/AB655))</f>
        <v/>
      </c>
      <c r="AI655" s="29" t="str">
        <f aca="false">IF(OR(AH655="",N(O655)=0),"",AH655/O655-1)</f>
        <v/>
      </c>
      <c r="AJ655" s="29" t="str">
        <f aca="false">IF(OR(AI655="",N(O655)=0),"",AI655+AG655/O655)</f>
        <v/>
      </c>
      <c r="AK655" s="32" t="str">
        <f aca="false">IF(OR(AJ655="",N(AE655)=0),"",AJ655-AE655)</f>
        <v/>
      </c>
      <c r="AL655" s="33" t="str">
        <f aca="false">IF(N(F655)=0,"",INDEX(Inputs!$B$28:$B$32,IFERROR(MATCH(F655,Inputs!$A$28:$A$32,1),0)+1))</f>
        <v/>
      </c>
      <c r="AM655" s="34"/>
      <c r="AN655" s="33" t="str">
        <f aca="false">IF(N(AM655)&gt;0,AM655,AL655)</f>
        <v/>
      </c>
      <c r="AO655" s="29" t="str">
        <f aca="false">IF(N(AN655)=0,"",AN655+IF(I655="yes",AN655*Inputs!$B$10*Inputs!$B$9,0)+IFERROR(INDEX(Inputs!$B$13:$B$15,MATCH(G655,Inputs!$A$13:$A$15,0)),0)+IFERROR(INDEX(Inputs!$B$18:$B$24,MATCH(H655,Inputs!$A$18:$A$24,0)),0))</f>
        <v/>
      </c>
      <c r="AP655" s="28" t="str">
        <f aca="false">IF(OR(N(AO655)&lt;=0,N(AG655)=0,N(L655)=0),"",MIN(L655,AG655/AO655))</f>
        <v/>
      </c>
      <c r="AQ655" s="29" t="str">
        <f aca="false">IF(OR(AP655="",N(O655)=0),"",AP655/O655-1)</f>
        <v/>
      </c>
      <c r="AR655" s="29" t="str">
        <f aca="false">IF(OR(AQ655="",N(O655)=0),"",AQ655+AG655/O655)</f>
        <v/>
      </c>
      <c r="AS655" s="32" t="str">
        <f aca="false">IF(OR(AR655="",N(AJ655)=0),"",AR655-AJ655)</f>
        <v/>
      </c>
      <c r="AT655" s="28"/>
      <c r="AU655" s="28"/>
      <c r="AV655" s="28" t="n">
        <f aca="false">IF(N(AT655)&gt;0,AT655,L655)</f>
        <v>25</v>
      </c>
      <c r="AW655" s="28" t="n">
        <f aca="false">IF(AND(N(M655)&gt;0,N(AV655)&gt;0),M655*AV655,IF(N(AU655)&gt;0,AU655,N655))</f>
        <v>1.46875</v>
      </c>
      <c r="AX655" s="29" t="str">
        <f aca="false">IF(N(AN655)=0,"",AN655+IF(I655="yes",AN655*Inputs!$B$10*Inputs!$B$9,0)+IFERROR(INDEX(Inputs!$B$13:$B$15,MATCH(G655,Inputs!$A$13:$A$15,0)),0)+IFERROR(INDEX(Inputs!$B$18:$B$24,MATCH(H655,Inputs!$A$18:$A$24,0)),0))</f>
        <v/>
      </c>
      <c r="AY655" s="28" t="str">
        <f aca="false">IF(OR(N(AX655)&lt;=0,N(AW655)=0,N(AV655)=0),"",MIN(AV655,AW655/AX655))</f>
        <v/>
      </c>
      <c r="AZ655" s="29" t="str">
        <f aca="false">IF(OR(AY655="",N(O655)=0),"",AY655/O655-1)</f>
        <v/>
      </c>
      <c r="BA655" s="29" t="str">
        <f aca="false">IF(OR(AZ655="",N(O655)=0),"",AZ655+AW655/O655)</f>
        <v/>
      </c>
      <c r="BB655" s="32" t="str">
        <f aca="false">IF(OR(BA655="",N(AR655)=0),"",BA655-AR655)</f>
        <v/>
      </c>
      <c r="BC655" s="35" t="str">
        <f aca="false">IF(OR(BA655="",N(U655)=0),"",BA655-U655)</f>
        <v/>
      </c>
      <c r="BD655" s="36" t="s">
        <v>147</v>
      </c>
    </row>
    <row r="656" customFormat="false" ht="15" hidden="false" customHeight="false" outlineLevel="0" collapsed="false">
      <c r="A656" s="2" t="s">
        <v>1067</v>
      </c>
      <c r="B656" s="2" t="n">
        <v>321</v>
      </c>
      <c r="C656" s="2" t="s">
        <v>1319</v>
      </c>
      <c r="D656" s="2" t="s">
        <v>1320</v>
      </c>
      <c r="E656" s="2" t="s">
        <v>1321</v>
      </c>
      <c r="F656" s="27" t="n">
        <v>13400</v>
      </c>
      <c r="G656" s="2" t="s">
        <v>51</v>
      </c>
      <c r="H656" s="2" t="s">
        <v>58</v>
      </c>
      <c r="I656" s="2" t="s">
        <v>151</v>
      </c>
      <c r="J656" s="2" t="s">
        <v>145</v>
      </c>
      <c r="K656" s="2" t="n">
        <v>4</v>
      </c>
      <c r="L656" s="28" t="n">
        <v>25</v>
      </c>
      <c r="M656" s="29" t="n">
        <v>0.0575</v>
      </c>
      <c r="N656" s="28" t="n">
        <v>1.4375</v>
      </c>
      <c r="O656" s="28" t="n">
        <v>20.63</v>
      </c>
      <c r="P656" s="2" t="s">
        <v>146</v>
      </c>
      <c r="Q656" s="29" t="n">
        <v>0.08</v>
      </c>
      <c r="R656" s="30" t="n">
        <v>0.076</v>
      </c>
      <c r="S656" s="31" t="n">
        <v>18.9144736842105</v>
      </c>
      <c r="T656" s="30" t="n">
        <v>-0.0831568742505803</v>
      </c>
      <c r="U656" s="30" t="n">
        <v>-0.0134767966936244</v>
      </c>
      <c r="V656" s="29" t="n">
        <v>0</v>
      </c>
      <c r="W656" s="29" t="n">
        <f aca="false">IF(N(Q656)=0,"",Q656+IF(I656="yes",Q656*Inputs!$B$10*Inputs!$B$9,0)+V656)</f>
        <v>0.076</v>
      </c>
      <c r="X656" s="28" t="n">
        <f aca="false">IF(OR(N(W656)&lt;=0,N(N656)=0,N(L656)=0),"",MIN(L656,N656/W656))</f>
        <v>18.9144736842105</v>
      </c>
      <c r="Y656" s="29" t="n">
        <f aca="false">IF(OR(X656="",N(O656)=0),"",X656/O656-1)</f>
        <v>-0.0831568742505803</v>
      </c>
      <c r="Z656" s="29" t="n">
        <f aca="false">IF(OR(Y656="",N(O656)=0),"",Y656+N656/O656)</f>
        <v>-0.0134767966936244</v>
      </c>
      <c r="AA656" s="32" t="n">
        <f aca="false">IF(OR(Z656="",N(U656)=0),"",Z656-U656)</f>
        <v>0</v>
      </c>
      <c r="AB656" s="29" t="n">
        <f aca="false">IF(N(Q656)=0,"",Q656+IF(I656="yes",Q656*Inputs!$B$10*Inputs!$B$9,0)+IFERROR(INDEX(Inputs!$B$13:$B$15,MATCH(G656,Inputs!$A$13:$A$15,0)),0)+IFERROR(INDEX(Inputs!$B$18:$B$24,MATCH(H656,Inputs!$A$18:$A$24,0)),0))</f>
        <v>0.076</v>
      </c>
      <c r="AC656" s="28" t="n">
        <f aca="false">IF(OR(N(AB656)&lt;=0,N(N656)=0,N(L656)=0),"",MIN(L656,N656/AB656))</f>
        <v>18.9144736842105</v>
      </c>
      <c r="AD656" s="29" t="n">
        <f aca="false">IF(OR(AC656="",N(O656)=0),"",AC656/O656-1)</f>
        <v>-0.0831568742505803</v>
      </c>
      <c r="AE656" s="29" t="n">
        <f aca="false">IF(OR(AD656="",N(O656)=0),"",AD656+N656/O656)</f>
        <v>-0.0134767966936244</v>
      </c>
      <c r="AF656" s="32" t="n">
        <f aca="false">IF(OR(AE656="",N(Z656)=0),"",AE656-Z656)</f>
        <v>0</v>
      </c>
      <c r="AG656" s="28" t="n">
        <f aca="false">IF(AND(N(M656)&gt;0,N(L656)&gt;0),M656*L656,N656)</f>
        <v>1.4375</v>
      </c>
      <c r="AH656" s="28" t="n">
        <f aca="false">IF(OR(N(AB656)&lt;=0,N(AG656)=0,N(L656)=0),"",MIN(L656,AG656/AB656))</f>
        <v>18.9144736842105</v>
      </c>
      <c r="AI656" s="29" t="n">
        <f aca="false">IF(OR(AH656="",N(O656)=0),"",AH656/O656-1)</f>
        <v>-0.0831568742505803</v>
      </c>
      <c r="AJ656" s="29" t="n">
        <f aca="false">IF(OR(AI656="",N(O656)=0),"",AI656+AG656/O656)</f>
        <v>-0.0134767966936244</v>
      </c>
      <c r="AK656" s="32" t="n">
        <f aca="false">IF(OR(AJ656="",N(AE656)=0),"",AJ656-AE656)</f>
        <v>0</v>
      </c>
      <c r="AL656" s="33" t="n">
        <f aca="false">IF(N(F656)=0,"",INDEX(Inputs!$B$28:$B$32,IFERROR(MATCH(F656,Inputs!$A$28:$A$32,1),0)+1))</f>
        <v>0.08</v>
      </c>
      <c r="AM656" s="34"/>
      <c r="AN656" s="33" t="n">
        <f aca="false">IF(N(AM656)&gt;0,AM656,AL656)</f>
        <v>0.08</v>
      </c>
      <c r="AO656" s="29" t="n">
        <f aca="false">IF(N(AN656)=0,"",AN656+IF(I656="yes",AN656*Inputs!$B$10*Inputs!$B$9,0)+IFERROR(INDEX(Inputs!$B$13:$B$15,MATCH(G656,Inputs!$A$13:$A$15,0)),0)+IFERROR(INDEX(Inputs!$B$18:$B$24,MATCH(H656,Inputs!$A$18:$A$24,0)),0))</f>
        <v>0.076</v>
      </c>
      <c r="AP656" s="28" t="n">
        <f aca="false">IF(OR(N(AO656)&lt;=0,N(AG656)=0,N(L656)=0),"",MIN(L656,AG656/AO656))</f>
        <v>18.9144736842105</v>
      </c>
      <c r="AQ656" s="29" t="n">
        <f aca="false">IF(OR(AP656="",N(O656)=0),"",AP656/O656-1)</f>
        <v>-0.0831568742505803</v>
      </c>
      <c r="AR656" s="29" t="n">
        <f aca="false">IF(OR(AQ656="",N(O656)=0),"",AQ656+AG656/O656)</f>
        <v>-0.0134767966936244</v>
      </c>
      <c r="AS656" s="32" t="n">
        <f aca="false">IF(OR(AR656="",N(AJ656)=0),"",AR656-AJ656)</f>
        <v>0</v>
      </c>
      <c r="AT656" s="28" t="n">
        <v>25</v>
      </c>
      <c r="AU656" s="28" t="n">
        <v>1.44</v>
      </c>
      <c r="AV656" s="28" t="n">
        <f aca="false">IF(N(AT656)&gt;0,AT656,L656)</f>
        <v>25</v>
      </c>
      <c r="AW656" s="28" t="n">
        <f aca="false">IF(AND(N(M656)&gt;0,N(AV656)&gt;0),M656*AV656,IF(N(AU656)&gt;0,AU656,N656))</f>
        <v>1.4375</v>
      </c>
      <c r="AX656" s="29" t="n">
        <f aca="false">IF(N(AN656)=0,"",AN656+IF(I656="yes",AN656*Inputs!$B$10*Inputs!$B$9,0)+IFERROR(INDEX(Inputs!$B$13:$B$15,MATCH(G656,Inputs!$A$13:$A$15,0)),0)+IFERROR(INDEX(Inputs!$B$18:$B$24,MATCH(H656,Inputs!$A$18:$A$24,0)),0))</f>
        <v>0.076</v>
      </c>
      <c r="AY656" s="28" t="n">
        <f aca="false">IF(OR(N(AX656)&lt;=0,N(AW656)=0,N(AV656)=0),"",MIN(AV656,AW656/AX656))</f>
        <v>18.9144736842105</v>
      </c>
      <c r="AZ656" s="29" t="n">
        <f aca="false">IF(OR(AY656="",N(O656)=0),"",AY656/O656-1)</f>
        <v>-0.0831568742505803</v>
      </c>
      <c r="BA656" s="29" t="n">
        <f aca="false">IF(OR(AZ656="",N(O656)=0),"",AZ656+AW656/O656)</f>
        <v>-0.0134767966936244</v>
      </c>
      <c r="BB656" s="32" t="n">
        <f aca="false">IF(OR(BA656="",N(AR656)=0),"",BA656-AR656)</f>
        <v>0</v>
      </c>
      <c r="BC656" s="35" t="n">
        <f aca="false">IF(OR(BA656="",N(U656)=0),"",BA656-U656)</f>
        <v>0</v>
      </c>
      <c r="BD656" s="37"/>
    </row>
    <row r="657" customFormat="false" ht="15" hidden="false" customHeight="false" outlineLevel="0" collapsed="false">
      <c r="A657" s="2" t="s">
        <v>1067</v>
      </c>
      <c r="B657" s="2" t="n">
        <v>322</v>
      </c>
      <c r="C657" s="2" t="s">
        <v>1322</v>
      </c>
      <c r="D657" s="2" t="s">
        <v>1320</v>
      </c>
      <c r="E657" s="2" t="s">
        <v>1321</v>
      </c>
      <c r="F657" s="27" t="n">
        <v>13400</v>
      </c>
      <c r="G657" s="2" t="s">
        <v>51</v>
      </c>
      <c r="H657" s="2" t="s">
        <v>58</v>
      </c>
      <c r="I657" s="2" t="s">
        <v>151</v>
      </c>
      <c r="J657" s="2" t="s">
        <v>145</v>
      </c>
      <c r="K657" s="2" t="n">
        <v>4</v>
      </c>
      <c r="L657" s="28" t="n">
        <v>25</v>
      </c>
      <c r="M657" s="29" t="n">
        <v>0.042</v>
      </c>
      <c r="N657" s="28" t="n">
        <v>1.05</v>
      </c>
      <c r="O657" s="28" t="n">
        <v>14.86</v>
      </c>
      <c r="P657" s="2" t="s">
        <v>146</v>
      </c>
      <c r="Q657" s="29" t="n">
        <v>0.08</v>
      </c>
      <c r="R657" s="30" t="n">
        <v>0.076</v>
      </c>
      <c r="S657" s="31" t="n">
        <v>13.8157894736842</v>
      </c>
      <c r="T657" s="30" t="n">
        <v>-0.0702698873698378</v>
      </c>
      <c r="U657" s="30" t="n">
        <v>0.000389601190054587</v>
      </c>
      <c r="V657" s="29" t="n">
        <v>0</v>
      </c>
      <c r="W657" s="29" t="n">
        <f aca="false">IF(N(Q657)=0,"",Q657+IF(I657="yes",Q657*Inputs!$B$10*Inputs!$B$9,0)+V657)</f>
        <v>0.076</v>
      </c>
      <c r="X657" s="28" t="n">
        <f aca="false">IF(OR(N(W657)&lt;=0,N(N657)=0,N(L657)=0),"",MIN(L657,N657/W657))</f>
        <v>13.8157894736842</v>
      </c>
      <c r="Y657" s="29" t="n">
        <f aca="false">IF(OR(X657="",N(O657)=0),"",X657/O657-1)</f>
        <v>-0.0702698873698378</v>
      </c>
      <c r="Z657" s="29" t="n">
        <f aca="false">IF(OR(Y657="",N(O657)=0),"",Y657+N657/O657)</f>
        <v>0.000389601190054587</v>
      </c>
      <c r="AA657" s="32" t="n">
        <f aca="false">IF(OR(Z657="",N(U657)=0),"",Z657-U657)</f>
        <v>0</v>
      </c>
      <c r="AB657" s="29" t="n">
        <f aca="false">IF(N(Q657)=0,"",Q657+IF(I657="yes",Q657*Inputs!$B$10*Inputs!$B$9,0)+IFERROR(INDEX(Inputs!$B$13:$B$15,MATCH(G657,Inputs!$A$13:$A$15,0)),0)+IFERROR(INDEX(Inputs!$B$18:$B$24,MATCH(H657,Inputs!$A$18:$A$24,0)),0))</f>
        <v>0.076</v>
      </c>
      <c r="AC657" s="28" t="n">
        <f aca="false">IF(OR(N(AB657)&lt;=0,N(N657)=0,N(L657)=0),"",MIN(L657,N657/AB657))</f>
        <v>13.8157894736842</v>
      </c>
      <c r="AD657" s="29" t="n">
        <f aca="false">IF(OR(AC657="",N(O657)=0),"",AC657/O657-1)</f>
        <v>-0.0702698873698378</v>
      </c>
      <c r="AE657" s="29" t="n">
        <f aca="false">IF(OR(AD657="",N(O657)=0),"",AD657+N657/O657)</f>
        <v>0.000389601190054587</v>
      </c>
      <c r="AF657" s="32" t="n">
        <f aca="false">IF(OR(AE657="",N(Z657)=0),"",AE657-Z657)</f>
        <v>0</v>
      </c>
      <c r="AG657" s="28" t="n">
        <f aca="false">IF(AND(N(M657)&gt;0,N(L657)&gt;0),M657*L657,N657)</f>
        <v>1.05</v>
      </c>
      <c r="AH657" s="28" t="n">
        <f aca="false">IF(OR(N(AB657)&lt;=0,N(AG657)=0,N(L657)=0),"",MIN(L657,AG657/AB657))</f>
        <v>13.8157894736842</v>
      </c>
      <c r="AI657" s="29" t="n">
        <f aca="false">IF(OR(AH657="",N(O657)=0),"",AH657/O657-1)</f>
        <v>-0.0702698873698378</v>
      </c>
      <c r="AJ657" s="29" t="n">
        <f aca="false">IF(OR(AI657="",N(O657)=0),"",AI657+AG657/O657)</f>
        <v>0.000389601190054587</v>
      </c>
      <c r="AK657" s="32" t="n">
        <f aca="false">IF(OR(AJ657="",N(AE657)=0),"",AJ657-AE657)</f>
        <v>0</v>
      </c>
      <c r="AL657" s="33" t="n">
        <f aca="false">IF(N(F657)=0,"",INDEX(Inputs!$B$28:$B$32,IFERROR(MATCH(F657,Inputs!$A$28:$A$32,1),0)+1))</f>
        <v>0.08</v>
      </c>
      <c r="AM657" s="34"/>
      <c r="AN657" s="33" t="n">
        <f aca="false">IF(N(AM657)&gt;0,AM657,AL657)</f>
        <v>0.08</v>
      </c>
      <c r="AO657" s="29" t="n">
        <f aca="false">IF(N(AN657)=0,"",AN657+IF(I657="yes",AN657*Inputs!$B$10*Inputs!$B$9,0)+IFERROR(INDEX(Inputs!$B$13:$B$15,MATCH(G657,Inputs!$A$13:$A$15,0)),0)+IFERROR(INDEX(Inputs!$B$18:$B$24,MATCH(H657,Inputs!$A$18:$A$24,0)),0))</f>
        <v>0.076</v>
      </c>
      <c r="AP657" s="28" t="n">
        <f aca="false">IF(OR(N(AO657)&lt;=0,N(AG657)=0,N(L657)=0),"",MIN(L657,AG657/AO657))</f>
        <v>13.8157894736842</v>
      </c>
      <c r="AQ657" s="29" t="n">
        <f aca="false">IF(OR(AP657="",N(O657)=0),"",AP657/O657-1)</f>
        <v>-0.0702698873698378</v>
      </c>
      <c r="AR657" s="29" t="n">
        <f aca="false">IF(OR(AQ657="",N(O657)=0),"",AQ657+AG657/O657)</f>
        <v>0.000389601190054587</v>
      </c>
      <c r="AS657" s="32" t="n">
        <f aca="false">IF(OR(AR657="",N(AJ657)=0),"",AR657-AJ657)</f>
        <v>0</v>
      </c>
      <c r="AT657" s="28" t="n">
        <v>25</v>
      </c>
      <c r="AU657" s="28" t="n">
        <v>1.05</v>
      </c>
      <c r="AV657" s="28" t="n">
        <f aca="false">IF(N(AT657)&gt;0,AT657,L657)</f>
        <v>25</v>
      </c>
      <c r="AW657" s="28" t="n">
        <f aca="false">IF(AND(N(M657)&gt;0,N(AV657)&gt;0),M657*AV657,IF(N(AU657)&gt;0,AU657,N657))</f>
        <v>1.05</v>
      </c>
      <c r="AX657" s="29" t="n">
        <f aca="false">IF(N(AN657)=0,"",AN657+IF(I657="yes",AN657*Inputs!$B$10*Inputs!$B$9,0)+IFERROR(INDEX(Inputs!$B$13:$B$15,MATCH(G657,Inputs!$A$13:$A$15,0)),0)+IFERROR(INDEX(Inputs!$B$18:$B$24,MATCH(H657,Inputs!$A$18:$A$24,0)),0))</f>
        <v>0.076</v>
      </c>
      <c r="AY657" s="28" t="n">
        <f aca="false">IF(OR(N(AX657)&lt;=0,N(AW657)=0,N(AV657)=0),"",MIN(AV657,AW657/AX657))</f>
        <v>13.8157894736842</v>
      </c>
      <c r="AZ657" s="29" t="n">
        <f aca="false">IF(OR(AY657="",N(O657)=0),"",AY657/O657-1)</f>
        <v>-0.0702698873698378</v>
      </c>
      <c r="BA657" s="29" t="n">
        <f aca="false">IF(OR(AZ657="",N(O657)=0),"",AZ657+AW657/O657)</f>
        <v>0.000389601190054587</v>
      </c>
      <c r="BB657" s="32" t="n">
        <f aca="false">IF(OR(BA657="",N(AR657)=0),"",BA657-AR657)</f>
        <v>0</v>
      </c>
      <c r="BC657" s="35" t="n">
        <f aca="false">IF(OR(BA657="",N(U657)=0),"",BA657-U657)</f>
        <v>0</v>
      </c>
      <c r="BD657" s="37"/>
    </row>
    <row r="658" customFormat="false" ht="15" hidden="false" customHeight="false" outlineLevel="0" collapsed="false">
      <c r="A658" s="2" t="s">
        <v>1067</v>
      </c>
      <c r="B658" s="2" t="n">
        <v>325</v>
      </c>
      <c r="C658" s="2" t="s">
        <v>1323</v>
      </c>
      <c r="D658" s="2" t="s">
        <v>1324</v>
      </c>
      <c r="E658" s="2" t="s">
        <v>1325</v>
      </c>
      <c r="F658" s="27" t="n">
        <v>102</v>
      </c>
      <c r="G658" s="2" t="s">
        <v>51</v>
      </c>
      <c r="H658" s="2" t="s">
        <v>58</v>
      </c>
      <c r="I658" s="2" t="s">
        <v>144</v>
      </c>
      <c r="J658" s="2" t="s">
        <v>145</v>
      </c>
      <c r="K658" s="2" t="n">
        <v>4</v>
      </c>
      <c r="L658" s="28" t="n">
        <v>50</v>
      </c>
      <c r="M658" s="29" t="n">
        <v>0.0725</v>
      </c>
      <c r="N658" s="28" t="n">
        <v>3.625</v>
      </c>
      <c r="O658" s="28" t="n">
        <v>0</v>
      </c>
      <c r="P658" s="2" t="s">
        <v>146</v>
      </c>
      <c r="Q658" s="29" t="n">
        <v>0.07</v>
      </c>
      <c r="R658" s="30" t="n">
        <v>0.07</v>
      </c>
      <c r="S658" s="31" t="n">
        <v>50</v>
      </c>
      <c r="T658" s="30"/>
      <c r="U658" s="30"/>
      <c r="V658" s="29" t="n">
        <v>0</v>
      </c>
      <c r="W658" s="29" t="n">
        <f aca="false">IF(N(Q658)=0,"",Q658+IF(I658="yes",Q658*Inputs!$B$10*Inputs!$B$9,0)+V658)</f>
        <v>0.07</v>
      </c>
      <c r="X658" s="28" t="n">
        <f aca="false">IF(OR(N(W658)&lt;=0,N(N658)=0,N(L658)=0),"",MIN(L658,N658/W658))</f>
        <v>50</v>
      </c>
      <c r="Y658" s="29" t="str">
        <f aca="false">IF(OR(X658="",N(O658)=0),"",X658/O658-1)</f>
        <v/>
      </c>
      <c r="Z658" s="29" t="str">
        <f aca="false">IF(OR(Y658="",N(O658)=0),"",Y658+N658/O658)</f>
        <v/>
      </c>
      <c r="AA658" s="32" t="str">
        <f aca="false">IF(OR(Z658="",N(U658)=0),"",Z658-U658)</f>
        <v/>
      </c>
      <c r="AB658" s="29" t="n">
        <f aca="false">IF(N(Q658)=0,"",Q658+IF(I658="yes",Q658*Inputs!$B$10*Inputs!$B$9,0)+IFERROR(INDEX(Inputs!$B$13:$B$15,MATCH(G658,Inputs!$A$13:$A$15,0)),0)+IFERROR(INDEX(Inputs!$B$18:$B$24,MATCH(H658,Inputs!$A$18:$A$24,0)),0))</f>
        <v>0.07</v>
      </c>
      <c r="AC658" s="28" t="n">
        <f aca="false">IF(OR(N(AB658)&lt;=0,N(N658)=0,N(L658)=0),"",MIN(L658,N658/AB658))</f>
        <v>50</v>
      </c>
      <c r="AD658" s="29" t="str">
        <f aca="false">IF(OR(AC658="",N(O658)=0),"",AC658/O658-1)</f>
        <v/>
      </c>
      <c r="AE658" s="29" t="str">
        <f aca="false">IF(OR(AD658="",N(O658)=0),"",AD658+N658/O658)</f>
        <v/>
      </c>
      <c r="AF658" s="32" t="str">
        <f aca="false">IF(OR(AE658="",N(Z658)=0),"",AE658-Z658)</f>
        <v/>
      </c>
      <c r="AG658" s="28" t="n">
        <f aca="false">IF(AND(N(M658)&gt;0,N(L658)&gt;0),M658*L658,N658)</f>
        <v>3.625</v>
      </c>
      <c r="AH658" s="28" t="n">
        <f aca="false">IF(OR(N(AB658)&lt;=0,N(AG658)=0,N(L658)=0),"",MIN(L658,AG658/AB658))</f>
        <v>50</v>
      </c>
      <c r="AI658" s="29" t="str">
        <f aca="false">IF(OR(AH658="",N(O658)=0),"",AH658/O658-1)</f>
        <v/>
      </c>
      <c r="AJ658" s="29" t="str">
        <f aca="false">IF(OR(AI658="",N(O658)=0),"",AI658+AG658/O658)</f>
        <v/>
      </c>
      <c r="AK658" s="32" t="str">
        <f aca="false">IF(OR(AJ658="",N(AE658)=0),"",AJ658-AE658)</f>
        <v/>
      </c>
      <c r="AL658" s="33" t="n">
        <f aca="false">IF(N(F658)=0,"",INDEX(Inputs!$B$28:$B$32,IFERROR(MATCH(F658,Inputs!$A$28:$A$32,1),0)+1))</f>
        <v>0.1</v>
      </c>
      <c r="AM658" s="34"/>
      <c r="AN658" s="33" t="n">
        <f aca="false">IF(N(AM658)&gt;0,AM658,AL658)</f>
        <v>0.1</v>
      </c>
      <c r="AO658" s="29" t="n">
        <f aca="false">IF(N(AN658)=0,"",AN658+IF(I658="yes",AN658*Inputs!$B$10*Inputs!$B$9,0)+IFERROR(INDEX(Inputs!$B$13:$B$15,MATCH(G658,Inputs!$A$13:$A$15,0)),0)+IFERROR(INDEX(Inputs!$B$18:$B$24,MATCH(H658,Inputs!$A$18:$A$24,0)),0))</f>
        <v>0.1</v>
      </c>
      <c r="AP658" s="28" t="n">
        <f aca="false">IF(OR(N(AO658)&lt;=0,N(AG658)=0,N(L658)=0),"",MIN(L658,AG658/AO658))</f>
        <v>36.25</v>
      </c>
      <c r="AQ658" s="29" t="str">
        <f aca="false">IF(OR(AP658="",N(O658)=0),"",AP658/O658-1)</f>
        <v/>
      </c>
      <c r="AR658" s="29" t="str">
        <f aca="false">IF(OR(AQ658="",N(O658)=0),"",AQ658+AG658/O658)</f>
        <v/>
      </c>
      <c r="AS658" s="32" t="str">
        <f aca="false">IF(OR(AR658="",N(AJ658)=0),"",AR658-AJ658)</f>
        <v/>
      </c>
      <c r="AT658" s="28"/>
      <c r="AU658" s="28"/>
      <c r="AV658" s="28" t="n">
        <f aca="false">IF(N(AT658)&gt;0,AT658,L658)</f>
        <v>50</v>
      </c>
      <c r="AW658" s="28" t="n">
        <f aca="false">IF(AND(N(M658)&gt;0,N(AV658)&gt;0),M658*AV658,IF(N(AU658)&gt;0,AU658,N658))</f>
        <v>3.625</v>
      </c>
      <c r="AX658" s="29" t="n">
        <f aca="false">IF(N(AN658)=0,"",AN658+IF(I658="yes",AN658*Inputs!$B$10*Inputs!$B$9,0)+IFERROR(INDEX(Inputs!$B$13:$B$15,MATCH(G658,Inputs!$A$13:$A$15,0)),0)+IFERROR(INDEX(Inputs!$B$18:$B$24,MATCH(H658,Inputs!$A$18:$A$24,0)),0))</f>
        <v>0.1</v>
      </c>
      <c r="AY658" s="28" t="n">
        <f aca="false">IF(OR(N(AX658)&lt;=0,N(AW658)=0,N(AV658)=0),"",MIN(AV658,AW658/AX658))</f>
        <v>36.25</v>
      </c>
      <c r="AZ658" s="29" t="str">
        <f aca="false">IF(OR(AY658="",N(O658)=0),"",AY658/O658-1)</f>
        <v/>
      </c>
      <c r="BA658" s="29" t="str">
        <f aca="false">IF(OR(AZ658="",N(O658)=0),"",AZ658+AW658/O658)</f>
        <v/>
      </c>
      <c r="BB658" s="32" t="str">
        <f aca="false">IF(OR(BA658="",N(AR658)=0),"",BA658-AR658)</f>
        <v/>
      </c>
      <c r="BC658" s="35" t="str">
        <f aca="false">IF(OR(BA658="",N(U658)=0),"",BA658-U658)</f>
        <v/>
      </c>
      <c r="BD658" s="36" t="s">
        <v>198</v>
      </c>
    </row>
    <row r="659" customFormat="false" ht="15" hidden="false" customHeight="false" outlineLevel="0" collapsed="false">
      <c r="A659" s="2" t="s">
        <v>1067</v>
      </c>
      <c r="B659" s="2" t="n">
        <v>329</v>
      </c>
      <c r="C659" s="2" t="s">
        <v>1326</v>
      </c>
      <c r="D659" s="2" t="s">
        <v>1327</v>
      </c>
      <c r="E659" s="2" t="s">
        <v>1328</v>
      </c>
      <c r="F659" s="27" t="n">
        <v>276</v>
      </c>
      <c r="G659" s="2" t="s">
        <v>52</v>
      </c>
      <c r="H659" s="2" t="s">
        <v>58</v>
      </c>
      <c r="I659" s="2" t="s">
        <v>144</v>
      </c>
      <c r="J659" s="2" t="s">
        <v>145</v>
      </c>
      <c r="K659" s="2" t="n">
        <v>4</v>
      </c>
      <c r="L659" s="28" t="n">
        <v>25</v>
      </c>
      <c r="M659" s="29" t="n">
        <v>0.075</v>
      </c>
      <c r="N659" s="28" t="n">
        <v>1.875</v>
      </c>
      <c r="O659" s="28" t="n">
        <v>25.14</v>
      </c>
      <c r="P659" s="2" t="s">
        <v>223</v>
      </c>
      <c r="Q659" s="29" t="n">
        <v>0.1</v>
      </c>
      <c r="R659" s="30" t="n">
        <v>0.1</v>
      </c>
      <c r="S659" s="31" t="n">
        <v>18.75</v>
      </c>
      <c r="T659" s="30" t="n">
        <v>-0.25417661097852</v>
      </c>
      <c r="U659" s="30" t="n">
        <v>-0.179594272076372</v>
      </c>
      <c r="V659" s="29" t="n">
        <v>-0.005</v>
      </c>
      <c r="W659" s="29" t="n">
        <f aca="false">IF(N(Q659)=0,"",Q659+IF(I659="yes",Q659*Inputs!$B$10*Inputs!$B$9,0)+V659)</f>
        <v>0.095</v>
      </c>
      <c r="X659" s="28" t="n">
        <f aca="false">IF(OR(N(W659)&lt;=0,N(N659)=0,N(L659)=0),"",MIN(L659,N659/W659))</f>
        <v>19.7368421052632</v>
      </c>
      <c r="Y659" s="29" t="n">
        <f aca="false">IF(OR(X659="",N(O659)=0),"",X659/O659-1)</f>
        <v>-0.214922748398442</v>
      </c>
      <c r="Z659" s="29" t="n">
        <f aca="false">IF(OR(Y659="",N(O659)=0),"",Y659+N659/O659)</f>
        <v>-0.140340409496294</v>
      </c>
      <c r="AA659" s="32" t="n">
        <f aca="false">IF(OR(Z659="",N(U659)=0),"",Z659-U659)</f>
        <v>0.0392538625800779</v>
      </c>
      <c r="AB659" s="29" t="n">
        <f aca="false">IF(N(Q659)=0,"",Q659+IF(I659="yes",Q659*Inputs!$B$10*Inputs!$B$9,0)+IFERROR(INDEX(Inputs!$B$13:$B$15,MATCH(G659,Inputs!$A$13:$A$15,0)),0)+IFERROR(INDEX(Inputs!$B$18:$B$24,MATCH(H659,Inputs!$A$18:$A$24,0)),0))</f>
        <v>0.095</v>
      </c>
      <c r="AC659" s="28" t="n">
        <f aca="false">IF(OR(N(AB659)&lt;=0,N(N659)=0,N(L659)=0),"",MIN(L659,N659/AB659))</f>
        <v>19.7368421052632</v>
      </c>
      <c r="AD659" s="29" t="n">
        <f aca="false">IF(OR(AC659="",N(O659)=0),"",AC659/O659-1)</f>
        <v>-0.214922748398442</v>
      </c>
      <c r="AE659" s="29" t="n">
        <f aca="false">IF(OR(AD659="",N(O659)=0),"",AD659+N659/O659)</f>
        <v>-0.140340409496294</v>
      </c>
      <c r="AF659" s="32" t="n">
        <f aca="false">IF(OR(AE659="",N(Z659)=0),"",AE659-Z659)</f>
        <v>0</v>
      </c>
      <c r="AG659" s="28" t="n">
        <f aca="false">IF(AND(N(M659)&gt;0,N(L659)&gt;0),M659*L659,N659)</f>
        <v>1.875</v>
      </c>
      <c r="AH659" s="28" t="n">
        <f aca="false">IF(OR(N(AB659)&lt;=0,N(AG659)=0,N(L659)=0),"",MIN(L659,AG659/AB659))</f>
        <v>19.7368421052632</v>
      </c>
      <c r="AI659" s="29" t="n">
        <f aca="false">IF(OR(AH659="",N(O659)=0),"",AH659/O659-1)</f>
        <v>-0.214922748398442</v>
      </c>
      <c r="AJ659" s="29" t="n">
        <f aca="false">IF(OR(AI659="",N(O659)=0),"",AI659+AG659/O659)</f>
        <v>-0.140340409496294</v>
      </c>
      <c r="AK659" s="32" t="n">
        <f aca="false">IF(OR(AJ659="",N(AE659)=0),"",AJ659-AE659)</f>
        <v>0</v>
      </c>
      <c r="AL659" s="33" t="n">
        <f aca="false">IF(N(F659)=0,"",INDEX(Inputs!$B$28:$B$32,IFERROR(MATCH(F659,Inputs!$A$28:$A$32,1),0)+1))</f>
        <v>0.09</v>
      </c>
      <c r="AM659" s="34"/>
      <c r="AN659" s="33" t="n">
        <f aca="false">IF(N(AM659)&gt;0,AM659,AL659)</f>
        <v>0.09</v>
      </c>
      <c r="AO659" s="29" t="n">
        <f aca="false">IF(N(AN659)=0,"",AN659+IF(I659="yes",AN659*Inputs!$B$10*Inputs!$B$9,0)+IFERROR(INDEX(Inputs!$B$13:$B$15,MATCH(G659,Inputs!$A$13:$A$15,0)),0)+IFERROR(INDEX(Inputs!$B$18:$B$24,MATCH(H659,Inputs!$A$18:$A$24,0)),0))</f>
        <v>0.085</v>
      </c>
      <c r="AP659" s="28" t="n">
        <f aca="false">IF(OR(N(AO659)&lt;=0,N(AG659)=0,N(L659)=0),"",MIN(L659,AG659/AO659))</f>
        <v>22.0588235294118</v>
      </c>
      <c r="AQ659" s="29" t="n">
        <f aca="false">IF(OR(AP659="",N(O659)=0),"",AP659/O659-1)</f>
        <v>-0.122560718798259</v>
      </c>
      <c r="AR659" s="29" t="n">
        <f aca="false">IF(OR(AQ659="",N(O659)=0),"",AQ659+AG659/O659)</f>
        <v>-0.0479783798961111</v>
      </c>
      <c r="AS659" s="32" t="n">
        <f aca="false">IF(OR(AR659="",N(AJ659)=0),"",AR659-AJ659)</f>
        <v>0.0923620296001834</v>
      </c>
      <c r="AT659" s="28" t="n">
        <v>25</v>
      </c>
      <c r="AU659" s="28" t="n">
        <v>1.875</v>
      </c>
      <c r="AV659" s="28" t="n">
        <f aca="false">IF(N(AT659)&gt;0,AT659,L659)</f>
        <v>25</v>
      </c>
      <c r="AW659" s="28" t="n">
        <f aca="false">IF(AND(N(M659)&gt;0,N(AV659)&gt;0),M659*AV659,IF(N(AU659)&gt;0,AU659,N659))</f>
        <v>1.875</v>
      </c>
      <c r="AX659" s="29" t="n">
        <f aca="false">IF(N(AN659)=0,"",AN659+IF(I659="yes",AN659*Inputs!$B$10*Inputs!$B$9,0)+IFERROR(INDEX(Inputs!$B$13:$B$15,MATCH(G659,Inputs!$A$13:$A$15,0)),0)+IFERROR(INDEX(Inputs!$B$18:$B$24,MATCH(H659,Inputs!$A$18:$A$24,0)),0))</f>
        <v>0.085</v>
      </c>
      <c r="AY659" s="28" t="n">
        <f aca="false">IF(OR(N(AX659)&lt;=0,N(AW659)=0,N(AV659)=0),"",MIN(AV659,AW659/AX659))</f>
        <v>22.0588235294118</v>
      </c>
      <c r="AZ659" s="29" t="n">
        <f aca="false">IF(OR(AY659="",N(O659)=0),"",AY659/O659-1)</f>
        <v>-0.122560718798259</v>
      </c>
      <c r="BA659" s="29" t="n">
        <f aca="false">IF(OR(AZ659="",N(O659)=0),"",AZ659+AW659/O659)</f>
        <v>-0.0479783798961111</v>
      </c>
      <c r="BB659" s="32" t="n">
        <f aca="false">IF(OR(BA659="",N(AR659)=0),"",BA659-AR659)</f>
        <v>0</v>
      </c>
      <c r="BC659" s="35" t="n">
        <f aca="false">IF(OR(BA659="",N(U659)=0),"",BA659-U659)</f>
        <v>0.131615892180261</v>
      </c>
      <c r="BD659" s="36" t="s">
        <v>224</v>
      </c>
    </row>
    <row r="660" customFormat="false" ht="15" hidden="false" customHeight="false" outlineLevel="0" collapsed="false">
      <c r="A660" s="2" t="s">
        <v>1067</v>
      </c>
      <c r="B660" s="2" t="n">
        <v>330</v>
      </c>
      <c r="C660" s="2" t="s">
        <v>1329</v>
      </c>
      <c r="D660" s="2" t="s">
        <v>1327</v>
      </c>
      <c r="E660" s="2" t="s">
        <v>1328</v>
      </c>
      <c r="F660" s="27" t="n">
        <v>276</v>
      </c>
      <c r="G660" s="2" t="s">
        <v>52</v>
      </c>
      <c r="H660" s="2" t="s">
        <v>58</v>
      </c>
      <c r="I660" s="2" t="s">
        <v>144</v>
      </c>
      <c r="J660" s="2" t="s">
        <v>145</v>
      </c>
      <c r="K660" s="2" t="n">
        <v>4</v>
      </c>
      <c r="L660" s="28" t="n">
        <v>25</v>
      </c>
      <c r="M660" s="29" t="n">
        <v>0.08</v>
      </c>
      <c r="N660" s="28" t="n">
        <v>2</v>
      </c>
      <c r="O660" s="28" t="n">
        <v>0</v>
      </c>
      <c r="P660" s="2" t="s">
        <v>223</v>
      </c>
      <c r="Q660" s="29" t="n">
        <v>0.1</v>
      </c>
      <c r="R660" s="30" t="n">
        <v>0.1</v>
      </c>
      <c r="S660" s="31" t="n">
        <v>20</v>
      </c>
      <c r="T660" s="30"/>
      <c r="U660" s="30"/>
      <c r="V660" s="29" t="n">
        <v>-0.005</v>
      </c>
      <c r="W660" s="29" t="n">
        <f aca="false">IF(N(Q660)=0,"",Q660+IF(I660="yes",Q660*Inputs!$B$10*Inputs!$B$9,0)+V660)</f>
        <v>0.095</v>
      </c>
      <c r="X660" s="28" t="n">
        <f aca="false">IF(OR(N(W660)&lt;=0,N(N660)=0,N(L660)=0),"",MIN(L660,N660/W660))</f>
        <v>21.0526315789474</v>
      </c>
      <c r="Y660" s="29" t="str">
        <f aca="false">IF(OR(X660="",N(O660)=0),"",X660/O660-1)</f>
        <v/>
      </c>
      <c r="Z660" s="29" t="str">
        <f aca="false">IF(OR(Y660="",N(O660)=0),"",Y660+N660/O660)</f>
        <v/>
      </c>
      <c r="AA660" s="32" t="str">
        <f aca="false">IF(OR(Z660="",N(U660)=0),"",Z660-U660)</f>
        <v/>
      </c>
      <c r="AB660" s="29" t="n">
        <f aca="false">IF(N(Q660)=0,"",Q660+IF(I660="yes",Q660*Inputs!$B$10*Inputs!$B$9,0)+IFERROR(INDEX(Inputs!$B$13:$B$15,MATCH(G660,Inputs!$A$13:$A$15,0)),0)+IFERROR(INDEX(Inputs!$B$18:$B$24,MATCH(H660,Inputs!$A$18:$A$24,0)),0))</f>
        <v>0.095</v>
      </c>
      <c r="AC660" s="28" t="n">
        <f aca="false">IF(OR(N(AB660)&lt;=0,N(N660)=0,N(L660)=0),"",MIN(L660,N660/AB660))</f>
        <v>21.0526315789474</v>
      </c>
      <c r="AD660" s="29" t="str">
        <f aca="false">IF(OR(AC660="",N(O660)=0),"",AC660/O660-1)</f>
        <v/>
      </c>
      <c r="AE660" s="29" t="str">
        <f aca="false">IF(OR(AD660="",N(O660)=0),"",AD660+N660/O660)</f>
        <v/>
      </c>
      <c r="AF660" s="32" t="str">
        <f aca="false">IF(OR(AE660="",N(Z660)=0),"",AE660-Z660)</f>
        <v/>
      </c>
      <c r="AG660" s="28" t="n">
        <f aca="false">IF(AND(N(M660)&gt;0,N(L660)&gt;0),M660*L660,N660)</f>
        <v>2</v>
      </c>
      <c r="AH660" s="28" t="n">
        <f aca="false">IF(OR(N(AB660)&lt;=0,N(AG660)=0,N(L660)=0),"",MIN(L660,AG660/AB660))</f>
        <v>21.0526315789474</v>
      </c>
      <c r="AI660" s="29" t="str">
        <f aca="false">IF(OR(AH660="",N(O660)=0),"",AH660/O660-1)</f>
        <v/>
      </c>
      <c r="AJ660" s="29" t="str">
        <f aca="false">IF(OR(AI660="",N(O660)=0),"",AI660+AG660/O660)</f>
        <v/>
      </c>
      <c r="AK660" s="32" t="str">
        <f aca="false">IF(OR(AJ660="",N(AE660)=0),"",AJ660-AE660)</f>
        <v/>
      </c>
      <c r="AL660" s="33" t="n">
        <f aca="false">IF(N(F660)=0,"",INDEX(Inputs!$B$28:$B$32,IFERROR(MATCH(F660,Inputs!$A$28:$A$32,1),0)+1))</f>
        <v>0.09</v>
      </c>
      <c r="AM660" s="34"/>
      <c r="AN660" s="33" t="n">
        <f aca="false">IF(N(AM660)&gt;0,AM660,AL660)</f>
        <v>0.09</v>
      </c>
      <c r="AO660" s="29" t="n">
        <f aca="false">IF(N(AN660)=0,"",AN660+IF(I660="yes",AN660*Inputs!$B$10*Inputs!$B$9,0)+IFERROR(INDEX(Inputs!$B$13:$B$15,MATCH(G660,Inputs!$A$13:$A$15,0)),0)+IFERROR(INDEX(Inputs!$B$18:$B$24,MATCH(H660,Inputs!$A$18:$A$24,0)),0))</f>
        <v>0.085</v>
      </c>
      <c r="AP660" s="28" t="n">
        <f aca="false">IF(OR(N(AO660)&lt;=0,N(AG660)=0,N(L660)=0),"",MIN(L660,AG660/AO660))</f>
        <v>23.5294117647059</v>
      </c>
      <c r="AQ660" s="29" t="str">
        <f aca="false">IF(OR(AP660="",N(O660)=0),"",AP660/O660-1)</f>
        <v/>
      </c>
      <c r="AR660" s="29" t="str">
        <f aca="false">IF(OR(AQ660="",N(O660)=0),"",AQ660+AG660/O660)</f>
        <v/>
      </c>
      <c r="AS660" s="32" t="str">
        <f aca="false">IF(OR(AR660="",N(AJ660)=0),"",AR660-AJ660)</f>
        <v/>
      </c>
      <c r="AT660" s="28" t="n">
        <v>25</v>
      </c>
      <c r="AU660" s="28" t="n">
        <v>2</v>
      </c>
      <c r="AV660" s="28" t="n">
        <f aca="false">IF(N(AT660)&gt;0,AT660,L660)</f>
        <v>25</v>
      </c>
      <c r="AW660" s="28" t="n">
        <f aca="false">IF(AND(N(M660)&gt;0,N(AV660)&gt;0),M660*AV660,IF(N(AU660)&gt;0,AU660,N660))</f>
        <v>2</v>
      </c>
      <c r="AX660" s="29" t="n">
        <f aca="false">IF(N(AN660)=0,"",AN660+IF(I660="yes",AN660*Inputs!$B$10*Inputs!$B$9,0)+IFERROR(INDEX(Inputs!$B$13:$B$15,MATCH(G660,Inputs!$A$13:$A$15,0)),0)+IFERROR(INDEX(Inputs!$B$18:$B$24,MATCH(H660,Inputs!$A$18:$A$24,0)),0))</f>
        <v>0.085</v>
      </c>
      <c r="AY660" s="28" t="n">
        <f aca="false">IF(OR(N(AX660)&lt;=0,N(AW660)=0,N(AV660)=0),"",MIN(AV660,AW660/AX660))</f>
        <v>23.5294117647059</v>
      </c>
      <c r="AZ660" s="29" t="str">
        <f aca="false">IF(OR(AY660="",N(O660)=0),"",AY660/O660-1)</f>
        <v/>
      </c>
      <c r="BA660" s="29" t="str">
        <f aca="false">IF(OR(AZ660="",N(O660)=0),"",AZ660+AW660/O660)</f>
        <v/>
      </c>
      <c r="BB660" s="32" t="str">
        <f aca="false">IF(OR(BA660="",N(AR660)=0),"",BA660-AR660)</f>
        <v/>
      </c>
      <c r="BC660" s="35" t="str">
        <f aca="false">IF(OR(BA660="",N(U660)=0),"",BA660-U660)</f>
        <v/>
      </c>
      <c r="BD660" s="36" t="s">
        <v>284</v>
      </c>
    </row>
    <row r="661" customFormat="false" ht="15" hidden="false" customHeight="false" outlineLevel="0" collapsed="false">
      <c r="A661" s="2" t="s">
        <v>1067</v>
      </c>
      <c r="B661" s="2" t="n">
        <v>333</v>
      </c>
      <c r="C661" s="2" t="s">
        <v>1330</v>
      </c>
      <c r="D661" s="2" t="s">
        <v>1331</v>
      </c>
      <c r="E661" s="2" t="s">
        <v>1332</v>
      </c>
      <c r="F661" s="27" t="n">
        <v>596</v>
      </c>
      <c r="G661" s="2" t="s">
        <v>51</v>
      </c>
      <c r="H661" s="2" t="s">
        <v>61</v>
      </c>
      <c r="I661" s="2" t="s">
        <v>144</v>
      </c>
      <c r="J661" s="2" t="s">
        <v>145</v>
      </c>
      <c r="K661" s="2" t="n">
        <v>4</v>
      </c>
      <c r="L661" s="28" t="n">
        <v>25</v>
      </c>
      <c r="M661" s="29" t="n">
        <v>0.1</v>
      </c>
      <c r="N661" s="28" t="n">
        <v>2.5</v>
      </c>
      <c r="O661" s="28" t="n">
        <v>24.89</v>
      </c>
      <c r="P661" s="2" t="s">
        <v>223</v>
      </c>
      <c r="Q661" s="29" t="n">
        <v>0.1</v>
      </c>
      <c r="R661" s="30" t="n">
        <v>0.1</v>
      </c>
      <c r="S661" s="31" t="n">
        <v>25</v>
      </c>
      <c r="T661" s="30" t="n">
        <v>0.00441944556046603</v>
      </c>
      <c r="U661" s="30" t="n">
        <v>0.104861390116513</v>
      </c>
      <c r="V661" s="29" t="n">
        <v>0</v>
      </c>
      <c r="W661" s="29" t="n">
        <f aca="false">IF(N(Q661)=0,"",Q661+IF(I661="yes",Q661*Inputs!$B$10*Inputs!$B$9,0)+V661)</f>
        <v>0.1</v>
      </c>
      <c r="X661" s="28" t="n">
        <f aca="false">IF(OR(N(W661)&lt;=0,N(N661)=0,N(L661)=0),"",MIN(L661,N661/W661))</f>
        <v>25</v>
      </c>
      <c r="Y661" s="29" t="n">
        <f aca="false">IF(OR(X661="",N(O661)=0),"",X661/O661-1)</f>
        <v>0.00441944556046603</v>
      </c>
      <c r="Z661" s="29" t="n">
        <f aca="false">IF(OR(Y661="",N(O661)=0),"",Y661+N661/O661)</f>
        <v>0.104861390116513</v>
      </c>
      <c r="AA661" s="32" t="n">
        <f aca="false">IF(OR(Z661="",N(U661)=0),"",Z661-U661)</f>
        <v>0</v>
      </c>
      <c r="AB661" s="29" t="n">
        <f aca="false">IF(N(Q661)=0,"",Q661+IF(I661="yes",Q661*Inputs!$B$10*Inputs!$B$9,0)+IFERROR(INDEX(Inputs!$B$13:$B$15,MATCH(G661,Inputs!$A$13:$A$15,0)),0)+IFERROR(INDEX(Inputs!$B$18:$B$24,MATCH(H661,Inputs!$A$18:$A$24,0)),0))</f>
        <v>0.1</v>
      </c>
      <c r="AC661" s="28" t="n">
        <f aca="false">IF(OR(N(AB661)&lt;=0,N(N661)=0,N(L661)=0),"",MIN(L661,N661/AB661))</f>
        <v>25</v>
      </c>
      <c r="AD661" s="29" t="n">
        <f aca="false">IF(OR(AC661="",N(O661)=0),"",AC661/O661-1)</f>
        <v>0.00441944556046603</v>
      </c>
      <c r="AE661" s="29" t="n">
        <f aca="false">IF(OR(AD661="",N(O661)=0),"",AD661+N661/O661)</f>
        <v>0.104861390116513</v>
      </c>
      <c r="AF661" s="32" t="n">
        <f aca="false">IF(OR(AE661="",N(Z661)=0),"",AE661-Z661)</f>
        <v>0</v>
      </c>
      <c r="AG661" s="28" t="n">
        <f aca="false">IF(AND(N(M661)&gt;0,N(L661)&gt;0),M661*L661,N661)</f>
        <v>2.5</v>
      </c>
      <c r="AH661" s="28" t="n">
        <f aca="false">IF(OR(N(AB661)&lt;=0,N(AG661)=0,N(L661)=0),"",MIN(L661,AG661/AB661))</f>
        <v>25</v>
      </c>
      <c r="AI661" s="29" t="n">
        <f aca="false">IF(OR(AH661="",N(O661)=0),"",AH661/O661-1)</f>
        <v>0.00441944556046603</v>
      </c>
      <c r="AJ661" s="29" t="n">
        <f aca="false">IF(OR(AI661="",N(O661)=0),"",AI661+AG661/O661)</f>
        <v>0.104861390116513</v>
      </c>
      <c r="AK661" s="32" t="n">
        <f aca="false">IF(OR(AJ661="",N(AE661)=0),"",AJ661-AE661)</f>
        <v>0</v>
      </c>
      <c r="AL661" s="33" t="n">
        <f aca="false">IF(N(F661)=0,"",INDEX(Inputs!$B$28:$B$32,IFERROR(MATCH(F661,Inputs!$A$28:$A$32,1),0)+1))</f>
        <v>0.09</v>
      </c>
      <c r="AM661" s="34"/>
      <c r="AN661" s="33" t="n">
        <f aca="false">IF(N(AM661)&gt;0,AM661,AL661)</f>
        <v>0.09</v>
      </c>
      <c r="AO661" s="29" t="n">
        <f aca="false">IF(N(AN661)=0,"",AN661+IF(I661="yes",AN661*Inputs!$B$10*Inputs!$B$9,0)+IFERROR(INDEX(Inputs!$B$13:$B$15,MATCH(G661,Inputs!$A$13:$A$15,0)),0)+IFERROR(INDEX(Inputs!$B$18:$B$24,MATCH(H661,Inputs!$A$18:$A$24,0)),0))</f>
        <v>0.09</v>
      </c>
      <c r="AP661" s="28" t="n">
        <f aca="false">IF(OR(N(AO661)&lt;=0,N(AG661)=0,N(L661)=0),"",MIN(L661,AG661/AO661))</f>
        <v>25</v>
      </c>
      <c r="AQ661" s="29" t="n">
        <f aca="false">IF(OR(AP661="",N(O661)=0),"",AP661/O661-1)</f>
        <v>0.00441944556046603</v>
      </c>
      <c r="AR661" s="29" t="n">
        <f aca="false">IF(OR(AQ661="",N(O661)=0),"",AQ661+AG661/O661)</f>
        <v>0.104861390116513</v>
      </c>
      <c r="AS661" s="32" t="n">
        <f aca="false">IF(OR(AR661="",N(AJ661)=0),"",AR661-AJ661)</f>
        <v>0</v>
      </c>
      <c r="AT661" s="28" t="n">
        <v>25</v>
      </c>
      <c r="AU661" s="28" t="n">
        <v>2.5</v>
      </c>
      <c r="AV661" s="28" t="n">
        <f aca="false">IF(N(AT661)&gt;0,AT661,L661)</f>
        <v>25</v>
      </c>
      <c r="AW661" s="28" t="n">
        <f aca="false">IF(AND(N(M661)&gt;0,N(AV661)&gt;0),M661*AV661,IF(N(AU661)&gt;0,AU661,N661))</f>
        <v>2.5</v>
      </c>
      <c r="AX661" s="29" t="n">
        <f aca="false">IF(N(AN661)=0,"",AN661+IF(I661="yes",AN661*Inputs!$B$10*Inputs!$B$9,0)+IFERROR(INDEX(Inputs!$B$13:$B$15,MATCH(G661,Inputs!$A$13:$A$15,0)),0)+IFERROR(INDEX(Inputs!$B$18:$B$24,MATCH(H661,Inputs!$A$18:$A$24,0)),0))</f>
        <v>0.09</v>
      </c>
      <c r="AY661" s="28" t="n">
        <f aca="false">IF(OR(N(AX661)&lt;=0,N(AW661)=0,N(AV661)=0),"",MIN(AV661,AW661/AX661))</f>
        <v>25</v>
      </c>
      <c r="AZ661" s="29" t="n">
        <f aca="false">IF(OR(AY661="",N(O661)=0),"",AY661/O661-1)</f>
        <v>0.00441944556046603</v>
      </c>
      <c r="BA661" s="29" t="n">
        <f aca="false">IF(OR(AZ661="",N(O661)=0),"",AZ661+AW661/O661)</f>
        <v>0.104861390116513</v>
      </c>
      <c r="BB661" s="32" t="n">
        <f aca="false">IF(OR(BA661="",N(AR661)=0),"",BA661-AR661)</f>
        <v>0</v>
      </c>
      <c r="BC661" s="35" t="n">
        <f aca="false">IF(OR(BA661="",N(U661)=0),"",BA661-U661)</f>
        <v>0</v>
      </c>
      <c r="BD661" s="36" t="s">
        <v>224</v>
      </c>
    </row>
    <row r="662" customFormat="false" ht="15" hidden="false" customHeight="false" outlineLevel="0" collapsed="false">
      <c r="A662" s="2" t="s">
        <v>1067</v>
      </c>
      <c r="B662" s="2" t="n">
        <v>337</v>
      </c>
      <c r="C662" s="2" t="s">
        <v>1333</v>
      </c>
      <c r="D662" s="2" t="s">
        <v>1294</v>
      </c>
      <c r="E662" s="2" t="s">
        <v>1295</v>
      </c>
      <c r="F662" s="27" t="n">
        <v>15800</v>
      </c>
      <c r="G662" s="2" t="s">
        <v>52</v>
      </c>
      <c r="H662" s="2" t="s">
        <v>58</v>
      </c>
      <c r="I662" s="2" t="s">
        <v>144</v>
      </c>
      <c r="J662" s="2" t="s">
        <v>145</v>
      </c>
      <c r="K662" s="2" t="n">
        <v>4</v>
      </c>
      <c r="L662" s="28" t="n">
        <v>25</v>
      </c>
      <c r="M662" s="29" t="n">
        <v>0.07125</v>
      </c>
      <c r="N662" s="28" t="n">
        <v>1.78125</v>
      </c>
      <c r="O662" s="28" t="n">
        <v>25.53</v>
      </c>
      <c r="P662" s="2" t="s">
        <v>223</v>
      </c>
      <c r="Q662" s="29" t="n">
        <v>0.08</v>
      </c>
      <c r="R662" s="30" t="n">
        <v>0.08</v>
      </c>
      <c r="S662" s="31" t="n">
        <v>22.265625</v>
      </c>
      <c r="T662" s="30" t="n">
        <v>-0.127864277320799</v>
      </c>
      <c r="U662" s="30" t="n">
        <v>-0.0580934195064631</v>
      </c>
      <c r="V662" s="29" t="n">
        <v>-0.005</v>
      </c>
      <c r="W662" s="29" t="n">
        <f aca="false">IF(N(Q662)=0,"",Q662+IF(I662="yes",Q662*Inputs!$B$10*Inputs!$B$9,0)+V662)</f>
        <v>0.075</v>
      </c>
      <c r="X662" s="28" t="n">
        <f aca="false">IF(OR(N(W662)&lt;=0,N(N662)=0,N(L662)=0),"",MIN(L662,N662/W662))</f>
        <v>23.75</v>
      </c>
      <c r="Y662" s="29" t="n">
        <f aca="false">IF(OR(X662="",N(O662)=0),"",X662/O662-1)</f>
        <v>-0.0697218958088524</v>
      </c>
      <c r="Z662" s="29" t="n">
        <f aca="false">IF(OR(Y662="",N(O662)=0),"",Y662+N662/O662)</f>
        <v>4.89620054837242E-005</v>
      </c>
      <c r="AA662" s="32" t="n">
        <f aca="false">IF(OR(Z662="",N(U662)=0),"",Z662-U662)</f>
        <v>0.0581423815119469</v>
      </c>
      <c r="AB662" s="29" t="n">
        <f aca="false">IF(N(Q662)=0,"",Q662+IF(I662="yes",Q662*Inputs!$B$10*Inputs!$B$9,0)+IFERROR(INDEX(Inputs!$B$13:$B$15,MATCH(G662,Inputs!$A$13:$A$15,0)),0)+IFERROR(INDEX(Inputs!$B$18:$B$24,MATCH(H662,Inputs!$A$18:$A$24,0)),0))</f>
        <v>0.075</v>
      </c>
      <c r="AC662" s="28" t="n">
        <f aca="false">IF(OR(N(AB662)&lt;=0,N(N662)=0,N(L662)=0),"",MIN(L662,N662/AB662))</f>
        <v>23.75</v>
      </c>
      <c r="AD662" s="29" t="n">
        <f aca="false">IF(OR(AC662="",N(O662)=0),"",AC662/O662-1)</f>
        <v>-0.0697218958088524</v>
      </c>
      <c r="AE662" s="29" t="n">
        <f aca="false">IF(OR(AD662="",N(O662)=0),"",AD662+N662/O662)</f>
        <v>4.89620054837242E-005</v>
      </c>
      <c r="AF662" s="32" t="n">
        <f aca="false">IF(OR(AE662="",N(Z662)=0),"",AE662-Z662)</f>
        <v>0</v>
      </c>
      <c r="AG662" s="28" t="n">
        <f aca="false">IF(AND(N(M662)&gt;0,N(L662)&gt;0),M662*L662,N662)</f>
        <v>1.78125</v>
      </c>
      <c r="AH662" s="28" t="n">
        <f aca="false">IF(OR(N(AB662)&lt;=0,N(AG662)=0,N(L662)=0),"",MIN(L662,AG662/AB662))</f>
        <v>23.75</v>
      </c>
      <c r="AI662" s="29" t="n">
        <f aca="false">IF(OR(AH662="",N(O662)=0),"",AH662/O662-1)</f>
        <v>-0.0697218958088525</v>
      </c>
      <c r="AJ662" s="29" t="n">
        <f aca="false">IF(OR(AI662="",N(O662)=0),"",AI662+AG662/O662)</f>
        <v>4.89620054835993E-005</v>
      </c>
      <c r="AK662" s="32" t="n">
        <f aca="false">IF(OR(AJ662="",N(AE662)=0),"",AJ662-AE662)</f>
        <v>-1.2490009027033E-016</v>
      </c>
      <c r="AL662" s="33" t="n">
        <f aca="false">IF(N(F662)=0,"",INDEX(Inputs!$B$28:$B$32,IFERROR(MATCH(F662,Inputs!$A$28:$A$32,1),0)+1))</f>
        <v>0.08</v>
      </c>
      <c r="AM662" s="34"/>
      <c r="AN662" s="33" t="n">
        <f aca="false">IF(N(AM662)&gt;0,AM662,AL662)</f>
        <v>0.08</v>
      </c>
      <c r="AO662" s="29" t="n">
        <f aca="false">IF(N(AN662)=0,"",AN662+IF(I662="yes",AN662*Inputs!$B$10*Inputs!$B$9,0)+IFERROR(INDEX(Inputs!$B$13:$B$15,MATCH(G662,Inputs!$A$13:$A$15,0)),0)+IFERROR(INDEX(Inputs!$B$18:$B$24,MATCH(H662,Inputs!$A$18:$A$24,0)),0))</f>
        <v>0.075</v>
      </c>
      <c r="AP662" s="28" t="n">
        <f aca="false">IF(OR(N(AO662)&lt;=0,N(AG662)=0,N(L662)=0),"",MIN(L662,AG662/AO662))</f>
        <v>23.75</v>
      </c>
      <c r="AQ662" s="29" t="n">
        <f aca="false">IF(OR(AP662="",N(O662)=0),"",AP662/O662-1)</f>
        <v>-0.0697218958088525</v>
      </c>
      <c r="AR662" s="29" t="n">
        <f aca="false">IF(OR(AQ662="",N(O662)=0),"",AQ662+AG662/O662)</f>
        <v>4.89620054835993E-005</v>
      </c>
      <c r="AS662" s="32" t="n">
        <f aca="false">IF(OR(AR662="",N(AJ662)=0),"",AR662-AJ662)</f>
        <v>0</v>
      </c>
      <c r="AT662" s="28" t="n">
        <v>25</v>
      </c>
      <c r="AU662" s="28" t="n">
        <v>1.78125</v>
      </c>
      <c r="AV662" s="28" t="n">
        <f aca="false">IF(N(AT662)&gt;0,AT662,L662)</f>
        <v>25</v>
      </c>
      <c r="AW662" s="28" t="n">
        <f aca="false">IF(AND(N(M662)&gt;0,N(AV662)&gt;0),M662*AV662,IF(N(AU662)&gt;0,AU662,N662))</f>
        <v>1.78125</v>
      </c>
      <c r="AX662" s="29" t="n">
        <f aca="false">IF(N(AN662)=0,"",AN662+IF(I662="yes",AN662*Inputs!$B$10*Inputs!$B$9,0)+IFERROR(INDEX(Inputs!$B$13:$B$15,MATCH(G662,Inputs!$A$13:$A$15,0)),0)+IFERROR(INDEX(Inputs!$B$18:$B$24,MATCH(H662,Inputs!$A$18:$A$24,0)),0))</f>
        <v>0.075</v>
      </c>
      <c r="AY662" s="28" t="n">
        <f aca="false">IF(OR(N(AX662)&lt;=0,N(AW662)=0,N(AV662)=0),"",MIN(AV662,AW662/AX662))</f>
        <v>23.75</v>
      </c>
      <c r="AZ662" s="29" t="n">
        <f aca="false">IF(OR(AY662="",N(O662)=0),"",AY662/O662-1)</f>
        <v>-0.0697218958088525</v>
      </c>
      <c r="BA662" s="29" t="n">
        <f aca="false">IF(OR(AZ662="",N(O662)=0),"",AZ662+AW662/O662)</f>
        <v>4.89620054835993E-005</v>
      </c>
      <c r="BB662" s="32" t="n">
        <f aca="false">IF(OR(BA662="",N(AR662)=0),"",BA662-AR662)</f>
        <v>0</v>
      </c>
      <c r="BC662" s="35" t="n">
        <f aca="false">IF(OR(BA662="",N(U662)=0),"",BA662-U662)</f>
        <v>0.0581423815119467</v>
      </c>
      <c r="BD662" s="36" t="s">
        <v>224</v>
      </c>
    </row>
    <row r="663" customFormat="false" ht="15" hidden="false" customHeight="false" outlineLevel="0" collapsed="false">
      <c r="A663" s="2" t="s">
        <v>1067</v>
      </c>
      <c r="B663" s="2" t="n">
        <v>343</v>
      </c>
      <c r="C663" s="2" t="s">
        <v>1334</v>
      </c>
      <c r="D663" s="2" t="s">
        <v>1335</v>
      </c>
      <c r="E663" s="2" t="s">
        <v>1336</v>
      </c>
      <c r="F663" s="27" t="n">
        <v>37</v>
      </c>
      <c r="G663" s="2" t="s">
        <v>51</v>
      </c>
      <c r="H663" s="2" t="s">
        <v>58</v>
      </c>
      <c r="I663" s="2" t="s">
        <v>144</v>
      </c>
      <c r="J663" s="2" t="s">
        <v>145</v>
      </c>
      <c r="K663" s="2" t="n">
        <v>4</v>
      </c>
      <c r="L663" s="28" t="n">
        <v>25</v>
      </c>
      <c r="M663" s="29" t="n">
        <v>0.0775</v>
      </c>
      <c r="N663" s="28" t="n">
        <v>1.9375</v>
      </c>
      <c r="O663" s="28" t="n">
        <v>20.55</v>
      </c>
      <c r="P663" s="2" t="s">
        <v>146</v>
      </c>
      <c r="Q663" s="29" t="n">
        <v>0.1</v>
      </c>
      <c r="R663" s="30" t="n">
        <v>0.1</v>
      </c>
      <c r="S663" s="31" t="n">
        <v>19.375</v>
      </c>
      <c r="T663" s="30" t="n">
        <v>-0.0571776155717761</v>
      </c>
      <c r="U663" s="30" t="n">
        <v>0.0371046228710462</v>
      </c>
      <c r="V663" s="29" t="n">
        <v>0</v>
      </c>
      <c r="W663" s="29" t="n">
        <f aca="false">IF(N(Q663)=0,"",Q663+IF(I663="yes",Q663*Inputs!$B$10*Inputs!$B$9,0)+V663)</f>
        <v>0.1</v>
      </c>
      <c r="X663" s="28" t="n">
        <f aca="false">IF(OR(N(W663)&lt;=0,N(N663)=0,N(L663)=0),"",MIN(L663,N663/W663))</f>
        <v>19.375</v>
      </c>
      <c r="Y663" s="29" t="n">
        <f aca="false">IF(OR(X663="",N(O663)=0),"",X663/O663-1)</f>
        <v>-0.0571776155717761</v>
      </c>
      <c r="Z663" s="29" t="n">
        <f aca="false">IF(OR(Y663="",N(O663)=0),"",Y663+N663/O663)</f>
        <v>0.0371046228710462</v>
      </c>
      <c r="AA663" s="32" t="n">
        <f aca="false">IF(OR(Z663="",N(U663)=0),"",Z663-U663)</f>
        <v>0</v>
      </c>
      <c r="AB663" s="29" t="n">
        <f aca="false">IF(N(Q663)=0,"",Q663+IF(I663="yes",Q663*Inputs!$B$10*Inputs!$B$9,0)+IFERROR(INDEX(Inputs!$B$13:$B$15,MATCH(G663,Inputs!$A$13:$A$15,0)),0)+IFERROR(INDEX(Inputs!$B$18:$B$24,MATCH(H663,Inputs!$A$18:$A$24,0)),0))</f>
        <v>0.1</v>
      </c>
      <c r="AC663" s="28" t="n">
        <f aca="false">IF(OR(N(AB663)&lt;=0,N(N663)=0,N(L663)=0),"",MIN(L663,N663/AB663))</f>
        <v>19.375</v>
      </c>
      <c r="AD663" s="29" t="n">
        <f aca="false">IF(OR(AC663="",N(O663)=0),"",AC663/O663-1)</f>
        <v>-0.0571776155717761</v>
      </c>
      <c r="AE663" s="29" t="n">
        <f aca="false">IF(OR(AD663="",N(O663)=0),"",AD663+N663/O663)</f>
        <v>0.0371046228710462</v>
      </c>
      <c r="AF663" s="32" t="n">
        <f aca="false">IF(OR(AE663="",N(Z663)=0),"",AE663-Z663)</f>
        <v>0</v>
      </c>
      <c r="AG663" s="28" t="n">
        <f aca="false">IF(AND(N(M663)&gt;0,N(L663)&gt;0),M663*L663,N663)</f>
        <v>1.9375</v>
      </c>
      <c r="AH663" s="28" t="n">
        <f aca="false">IF(OR(N(AB663)&lt;=0,N(AG663)=0,N(L663)=0),"",MIN(L663,AG663/AB663))</f>
        <v>19.375</v>
      </c>
      <c r="AI663" s="29" t="n">
        <f aca="false">IF(OR(AH663="",N(O663)=0),"",AH663/O663-1)</f>
        <v>-0.0571776155717761</v>
      </c>
      <c r="AJ663" s="29" t="n">
        <f aca="false">IF(OR(AI663="",N(O663)=0),"",AI663+AG663/O663)</f>
        <v>0.0371046228710462</v>
      </c>
      <c r="AK663" s="32" t="n">
        <f aca="false">IF(OR(AJ663="",N(AE663)=0),"",AJ663-AE663)</f>
        <v>0</v>
      </c>
      <c r="AL663" s="33" t="n">
        <f aca="false">IF(N(F663)=0,"",INDEX(Inputs!$B$28:$B$32,IFERROR(MATCH(F663,Inputs!$A$28:$A$32,1),0)+1))</f>
        <v>0.1</v>
      </c>
      <c r="AM663" s="34"/>
      <c r="AN663" s="33" t="n">
        <f aca="false">IF(N(AM663)&gt;0,AM663,AL663)</f>
        <v>0.1</v>
      </c>
      <c r="AO663" s="29" t="n">
        <f aca="false">IF(N(AN663)=0,"",AN663+IF(I663="yes",AN663*Inputs!$B$10*Inputs!$B$9,0)+IFERROR(INDEX(Inputs!$B$13:$B$15,MATCH(G663,Inputs!$A$13:$A$15,0)),0)+IFERROR(INDEX(Inputs!$B$18:$B$24,MATCH(H663,Inputs!$A$18:$A$24,0)),0))</f>
        <v>0.1</v>
      </c>
      <c r="AP663" s="28" t="n">
        <f aca="false">IF(OR(N(AO663)&lt;=0,N(AG663)=0,N(L663)=0),"",MIN(L663,AG663/AO663))</f>
        <v>19.375</v>
      </c>
      <c r="AQ663" s="29" t="n">
        <f aca="false">IF(OR(AP663="",N(O663)=0),"",AP663/O663-1)</f>
        <v>-0.0571776155717761</v>
      </c>
      <c r="AR663" s="29" t="n">
        <f aca="false">IF(OR(AQ663="",N(O663)=0),"",AQ663+AG663/O663)</f>
        <v>0.0371046228710462</v>
      </c>
      <c r="AS663" s="32" t="n">
        <f aca="false">IF(OR(AR663="",N(AJ663)=0),"",AR663-AJ663)</f>
        <v>0</v>
      </c>
      <c r="AT663" s="28" t="n">
        <v>25</v>
      </c>
      <c r="AU663" s="28" t="n">
        <v>1.9375</v>
      </c>
      <c r="AV663" s="28" t="n">
        <f aca="false">IF(N(AT663)&gt;0,AT663,L663)</f>
        <v>25</v>
      </c>
      <c r="AW663" s="28" t="n">
        <f aca="false">IF(AND(N(M663)&gt;0,N(AV663)&gt;0),M663*AV663,IF(N(AU663)&gt;0,AU663,N663))</f>
        <v>1.9375</v>
      </c>
      <c r="AX663" s="29" t="n">
        <f aca="false">IF(N(AN663)=0,"",AN663+IF(I663="yes",AN663*Inputs!$B$10*Inputs!$B$9,0)+IFERROR(INDEX(Inputs!$B$13:$B$15,MATCH(G663,Inputs!$A$13:$A$15,0)),0)+IFERROR(INDEX(Inputs!$B$18:$B$24,MATCH(H663,Inputs!$A$18:$A$24,0)),0))</f>
        <v>0.1</v>
      </c>
      <c r="AY663" s="28" t="n">
        <f aca="false">IF(OR(N(AX663)&lt;=0,N(AW663)=0,N(AV663)=0),"",MIN(AV663,AW663/AX663))</f>
        <v>19.375</v>
      </c>
      <c r="AZ663" s="29" t="n">
        <f aca="false">IF(OR(AY663="",N(O663)=0),"",AY663/O663-1)</f>
        <v>-0.0571776155717761</v>
      </c>
      <c r="BA663" s="29" t="n">
        <f aca="false">IF(OR(AZ663="",N(O663)=0),"",AZ663+AW663/O663)</f>
        <v>0.0371046228710462</v>
      </c>
      <c r="BB663" s="32" t="n">
        <f aca="false">IF(OR(BA663="",N(AR663)=0),"",BA663-AR663)</f>
        <v>0</v>
      </c>
      <c r="BC663" s="35" t="n">
        <f aca="false">IF(OR(BA663="",N(U663)=0),"",BA663-U663)</f>
        <v>0</v>
      </c>
      <c r="BD663" s="37"/>
    </row>
    <row r="664" customFormat="false" ht="15" hidden="false" customHeight="false" outlineLevel="0" collapsed="false">
      <c r="A664" s="2" t="s">
        <v>1067</v>
      </c>
      <c r="B664" s="2" t="n">
        <v>344</v>
      </c>
      <c r="C664" s="2" t="s">
        <v>1337</v>
      </c>
      <c r="D664" s="2" t="s">
        <v>1335</v>
      </c>
      <c r="E664" s="2" t="s">
        <v>1336</v>
      </c>
      <c r="F664" s="27" t="n">
        <v>37</v>
      </c>
      <c r="G664" s="2" t="s">
        <v>52</v>
      </c>
      <c r="H664" s="2" t="s">
        <v>58</v>
      </c>
      <c r="I664" s="2" t="s">
        <v>144</v>
      </c>
      <c r="J664" s="2" t="s">
        <v>145</v>
      </c>
      <c r="K664" s="2" t="n">
        <v>4</v>
      </c>
      <c r="L664" s="28" t="n">
        <v>25</v>
      </c>
      <c r="M664" s="29" t="n">
        <v>0.06875</v>
      </c>
      <c r="N664" s="28" t="n">
        <v>1.71875</v>
      </c>
      <c r="O664" s="28" t="n">
        <v>0</v>
      </c>
      <c r="P664" s="2" t="s">
        <v>146</v>
      </c>
      <c r="Q664" s="29" t="n">
        <v>0.1</v>
      </c>
      <c r="R664" s="30" t="n">
        <v>0.095</v>
      </c>
      <c r="S664" s="31" t="n">
        <v>18.0921052631579</v>
      </c>
      <c r="T664" s="30"/>
      <c r="U664" s="30"/>
      <c r="V664" s="29" t="n">
        <v>-0.005</v>
      </c>
      <c r="W664" s="29" t="n">
        <f aca="false">IF(N(Q664)=0,"",Q664+IF(I664="yes",Q664*Inputs!$B$10*Inputs!$B$9,0)+V664)</f>
        <v>0.095</v>
      </c>
      <c r="X664" s="28" t="n">
        <f aca="false">IF(OR(N(W664)&lt;=0,N(N664)=0,N(L664)=0),"",MIN(L664,N664/W664))</f>
        <v>18.0921052631579</v>
      </c>
      <c r="Y664" s="29" t="str">
        <f aca="false">IF(OR(X664="",N(O664)=0),"",X664/O664-1)</f>
        <v/>
      </c>
      <c r="Z664" s="29" t="str">
        <f aca="false">IF(OR(Y664="",N(O664)=0),"",Y664+N664/O664)</f>
        <v/>
      </c>
      <c r="AA664" s="32" t="str">
        <f aca="false">IF(OR(Z664="",N(U664)=0),"",Z664-U664)</f>
        <v/>
      </c>
      <c r="AB664" s="29" t="n">
        <f aca="false">IF(N(Q664)=0,"",Q664+IF(I664="yes",Q664*Inputs!$B$10*Inputs!$B$9,0)+IFERROR(INDEX(Inputs!$B$13:$B$15,MATCH(G664,Inputs!$A$13:$A$15,0)),0)+IFERROR(INDEX(Inputs!$B$18:$B$24,MATCH(H664,Inputs!$A$18:$A$24,0)),0))</f>
        <v>0.095</v>
      </c>
      <c r="AC664" s="28" t="n">
        <f aca="false">IF(OR(N(AB664)&lt;=0,N(N664)=0,N(L664)=0),"",MIN(L664,N664/AB664))</f>
        <v>18.0921052631579</v>
      </c>
      <c r="AD664" s="29" t="str">
        <f aca="false">IF(OR(AC664="",N(O664)=0),"",AC664/O664-1)</f>
        <v/>
      </c>
      <c r="AE664" s="29" t="str">
        <f aca="false">IF(OR(AD664="",N(O664)=0),"",AD664+N664/O664)</f>
        <v/>
      </c>
      <c r="AF664" s="32" t="str">
        <f aca="false">IF(OR(AE664="",N(Z664)=0),"",AE664-Z664)</f>
        <v/>
      </c>
      <c r="AG664" s="28" t="n">
        <f aca="false">IF(AND(N(M664)&gt;0,N(L664)&gt;0),M664*L664,N664)</f>
        <v>1.71875</v>
      </c>
      <c r="AH664" s="28" t="n">
        <f aca="false">IF(OR(N(AB664)&lt;=0,N(AG664)=0,N(L664)=0),"",MIN(L664,AG664/AB664))</f>
        <v>18.0921052631579</v>
      </c>
      <c r="AI664" s="29" t="str">
        <f aca="false">IF(OR(AH664="",N(O664)=0),"",AH664/O664-1)</f>
        <v/>
      </c>
      <c r="AJ664" s="29" t="str">
        <f aca="false">IF(OR(AI664="",N(O664)=0),"",AI664+AG664/O664)</f>
        <v/>
      </c>
      <c r="AK664" s="32" t="str">
        <f aca="false">IF(OR(AJ664="",N(AE664)=0),"",AJ664-AE664)</f>
        <v/>
      </c>
      <c r="AL664" s="33" t="n">
        <f aca="false">IF(N(F664)=0,"",INDEX(Inputs!$B$28:$B$32,IFERROR(MATCH(F664,Inputs!$A$28:$A$32,1),0)+1))</f>
        <v>0.1</v>
      </c>
      <c r="AM664" s="34"/>
      <c r="AN664" s="33" t="n">
        <f aca="false">IF(N(AM664)&gt;0,AM664,AL664)</f>
        <v>0.1</v>
      </c>
      <c r="AO664" s="29" t="n">
        <f aca="false">IF(N(AN664)=0,"",AN664+IF(I664="yes",AN664*Inputs!$B$10*Inputs!$B$9,0)+IFERROR(INDEX(Inputs!$B$13:$B$15,MATCH(G664,Inputs!$A$13:$A$15,0)),0)+IFERROR(INDEX(Inputs!$B$18:$B$24,MATCH(H664,Inputs!$A$18:$A$24,0)),0))</f>
        <v>0.095</v>
      </c>
      <c r="AP664" s="28" t="n">
        <f aca="false">IF(OR(N(AO664)&lt;=0,N(AG664)=0,N(L664)=0),"",MIN(L664,AG664/AO664))</f>
        <v>18.0921052631579</v>
      </c>
      <c r="AQ664" s="29" t="str">
        <f aca="false">IF(OR(AP664="",N(O664)=0),"",AP664/O664-1)</f>
        <v/>
      </c>
      <c r="AR664" s="29" t="str">
        <f aca="false">IF(OR(AQ664="",N(O664)=0),"",AQ664+AG664/O664)</f>
        <v/>
      </c>
      <c r="AS664" s="32" t="str">
        <f aca="false">IF(OR(AR664="",N(AJ664)=0),"",AR664-AJ664)</f>
        <v/>
      </c>
      <c r="AT664" s="28"/>
      <c r="AU664" s="28"/>
      <c r="AV664" s="28" t="n">
        <f aca="false">IF(N(AT664)&gt;0,AT664,L664)</f>
        <v>25</v>
      </c>
      <c r="AW664" s="28" t="n">
        <f aca="false">IF(AND(N(M664)&gt;0,N(AV664)&gt;0),M664*AV664,IF(N(AU664)&gt;0,AU664,N664))</f>
        <v>1.71875</v>
      </c>
      <c r="AX664" s="29" t="n">
        <f aca="false">IF(N(AN664)=0,"",AN664+IF(I664="yes",AN664*Inputs!$B$10*Inputs!$B$9,0)+IFERROR(INDEX(Inputs!$B$13:$B$15,MATCH(G664,Inputs!$A$13:$A$15,0)),0)+IFERROR(INDEX(Inputs!$B$18:$B$24,MATCH(H664,Inputs!$A$18:$A$24,0)),0))</f>
        <v>0.095</v>
      </c>
      <c r="AY664" s="28" t="n">
        <f aca="false">IF(OR(N(AX664)&lt;=0,N(AW664)=0,N(AV664)=0),"",MIN(AV664,AW664/AX664))</f>
        <v>18.0921052631579</v>
      </c>
      <c r="AZ664" s="29" t="str">
        <f aca="false">IF(OR(AY664="",N(O664)=0),"",AY664/O664-1)</f>
        <v/>
      </c>
      <c r="BA664" s="29" t="str">
        <f aca="false">IF(OR(AZ664="",N(O664)=0),"",AZ664+AW664/O664)</f>
        <v/>
      </c>
      <c r="BB664" s="32" t="str">
        <f aca="false">IF(OR(BA664="",N(AR664)=0),"",BA664-AR664)</f>
        <v/>
      </c>
      <c r="BC664" s="35" t="str">
        <f aca="false">IF(OR(BA664="",N(U664)=0),"",BA664-U664)</f>
        <v/>
      </c>
      <c r="BD664" s="36" t="s">
        <v>198</v>
      </c>
    </row>
    <row r="665" customFormat="false" ht="15" hidden="false" customHeight="false" outlineLevel="0" collapsed="false">
      <c r="A665" s="2" t="s">
        <v>1067</v>
      </c>
      <c r="B665" s="2" t="n">
        <v>345</v>
      </c>
      <c r="C665" s="2" t="s">
        <v>1338</v>
      </c>
      <c r="D665" s="2" t="s">
        <v>1335</v>
      </c>
      <c r="E665" s="2" t="s">
        <v>1336</v>
      </c>
      <c r="F665" s="27" t="n">
        <v>37</v>
      </c>
      <c r="G665" s="2" t="s">
        <v>52</v>
      </c>
      <c r="H665" s="2" t="s">
        <v>58</v>
      </c>
      <c r="I665" s="2" t="s">
        <v>144</v>
      </c>
      <c r="J665" s="2" t="s">
        <v>145</v>
      </c>
      <c r="K665" s="2" t="n">
        <v>4</v>
      </c>
      <c r="L665" s="28" t="n">
        <v>25</v>
      </c>
      <c r="M665" s="29" t="n">
        <v>0.07125</v>
      </c>
      <c r="N665" s="28" t="n">
        <v>1.78125</v>
      </c>
      <c r="O665" s="28" t="n">
        <v>0</v>
      </c>
      <c r="P665" s="2" t="s">
        <v>146</v>
      </c>
      <c r="Q665" s="29" t="n">
        <v>0.1</v>
      </c>
      <c r="R665" s="30" t="n">
        <v>0.095</v>
      </c>
      <c r="S665" s="31" t="n">
        <v>18.75</v>
      </c>
      <c r="T665" s="30"/>
      <c r="U665" s="30"/>
      <c r="V665" s="29" t="n">
        <v>-0.005</v>
      </c>
      <c r="W665" s="29" t="n">
        <f aca="false">IF(N(Q665)=0,"",Q665+IF(I665="yes",Q665*Inputs!$B$10*Inputs!$B$9,0)+V665)</f>
        <v>0.095</v>
      </c>
      <c r="X665" s="28" t="n">
        <f aca="false">IF(OR(N(W665)&lt;=0,N(N665)=0,N(L665)=0),"",MIN(L665,N665/W665))</f>
        <v>18.75</v>
      </c>
      <c r="Y665" s="29" t="str">
        <f aca="false">IF(OR(X665="",N(O665)=0),"",X665/O665-1)</f>
        <v/>
      </c>
      <c r="Z665" s="29" t="str">
        <f aca="false">IF(OR(Y665="",N(O665)=0),"",Y665+N665/O665)</f>
        <v/>
      </c>
      <c r="AA665" s="32" t="str">
        <f aca="false">IF(OR(Z665="",N(U665)=0),"",Z665-U665)</f>
        <v/>
      </c>
      <c r="AB665" s="29" t="n">
        <f aca="false">IF(N(Q665)=0,"",Q665+IF(I665="yes",Q665*Inputs!$B$10*Inputs!$B$9,0)+IFERROR(INDEX(Inputs!$B$13:$B$15,MATCH(G665,Inputs!$A$13:$A$15,0)),0)+IFERROR(INDEX(Inputs!$B$18:$B$24,MATCH(H665,Inputs!$A$18:$A$24,0)),0))</f>
        <v>0.095</v>
      </c>
      <c r="AC665" s="28" t="n">
        <f aca="false">IF(OR(N(AB665)&lt;=0,N(N665)=0,N(L665)=0),"",MIN(L665,N665/AB665))</f>
        <v>18.75</v>
      </c>
      <c r="AD665" s="29" t="str">
        <f aca="false">IF(OR(AC665="",N(O665)=0),"",AC665/O665-1)</f>
        <v/>
      </c>
      <c r="AE665" s="29" t="str">
        <f aca="false">IF(OR(AD665="",N(O665)=0),"",AD665+N665/O665)</f>
        <v/>
      </c>
      <c r="AF665" s="32" t="str">
        <f aca="false">IF(OR(AE665="",N(Z665)=0),"",AE665-Z665)</f>
        <v/>
      </c>
      <c r="AG665" s="28" t="n">
        <f aca="false">IF(AND(N(M665)&gt;0,N(L665)&gt;0),M665*L665,N665)</f>
        <v>1.78125</v>
      </c>
      <c r="AH665" s="28" t="n">
        <f aca="false">IF(OR(N(AB665)&lt;=0,N(AG665)=0,N(L665)=0),"",MIN(L665,AG665/AB665))</f>
        <v>18.75</v>
      </c>
      <c r="AI665" s="29" t="str">
        <f aca="false">IF(OR(AH665="",N(O665)=0),"",AH665/O665-1)</f>
        <v/>
      </c>
      <c r="AJ665" s="29" t="str">
        <f aca="false">IF(OR(AI665="",N(O665)=0),"",AI665+AG665/O665)</f>
        <v/>
      </c>
      <c r="AK665" s="32" t="str">
        <f aca="false">IF(OR(AJ665="",N(AE665)=0),"",AJ665-AE665)</f>
        <v/>
      </c>
      <c r="AL665" s="33" t="n">
        <f aca="false">IF(N(F665)=0,"",INDEX(Inputs!$B$28:$B$32,IFERROR(MATCH(F665,Inputs!$A$28:$A$32,1),0)+1))</f>
        <v>0.1</v>
      </c>
      <c r="AM665" s="34"/>
      <c r="AN665" s="33" t="n">
        <f aca="false">IF(N(AM665)&gt;0,AM665,AL665)</f>
        <v>0.1</v>
      </c>
      <c r="AO665" s="29" t="n">
        <f aca="false">IF(N(AN665)=0,"",AN665+IF(I665="yes",AN665*Inputs!$B$10*Inputs!$B$9,0)+IFERROR(INDEX(Inputs!$B$13:$B$15,MATCH(G665,Inputs!$A$13:$A$15,0)),0)+IFERROR(INDEX(Inputs!$B$18:$B$24,MATCH(H665,Inputs!$A$18:$A$24,0)),0))</f>
        <v>0.095</v>
      </c>
      <c r="AP665" s="28" t="n">
        <f aca="false">IF(OR(N(AO665)&lt;=0,N(AG665)=0,N(L665)=0),"",MIN(L665,AG665/AO665))</f>
        <v>18.75</v>
      </c>
      <c r="AQ665" s="29" t="str">
        <f aca="false">IF(OR(AP665="",N(O665)=0),"",AP665/O665-1)</f>
        <v/>
      </c>
      <c r="AR665" s="29" t="str">
        <f aca="false">IF(OR(AQ665="",N(O665)=0),"",AQ665+AG665/O665)</f>
        <v/>
      </c>
      <c r="AS665" s="32" t="str">
        <f aca="false">IF(OR(AR665="",N(AJ665)=0),"",AR665-AJ665)</f>
        <v/>
      </c>
      <c r="AT665" s="28" t="n">
        <v>25</v>
      </c>
      <c r="AU665" s="28" t="n">
        <v>1.78</v>
      </c>
      <c r="AV665" s="28" t="n">
        <f aca="false">IF(N(AT665)&gt;0,AT665,L665)</f>
        <v>25</v>
      </c>
      <c r="AW665" s="28" t="n">
        <f aca="false">IF(AND(N(M665)&gt;0,N(AV665)&gt;0),M665*AV665,IF(N(AU665)&gt;0,AU665,N665))</f>
        <v>1.78125</v>
      </c>
      <c r="AX665" s="29" t="n">
        <f aca="false">IF(N(AN665)=0,"",AN665+IF(I665="yes",AN665*Inputs!$B$10*Inputs!$B$9,0)+IFERROR(INDEX(Inputs!$B$13:$B$15,MATCH(G665,Inputs!$A$13:$A$15,0)),0)+IFERROR(INDEX(Inputs!$B$18:$B$24,MATCH(H665,Inputs!$A$18:$A$24,0)),0))</f>
        <v>0.095</v>
      </c>
      <c r="AY665" s="28" t="n">
        <f aca="false">IF(OR(N(AX665)&lt;=0,N(AW665)=0,N(AV665)=0),"",MIN(AV665,AW665/AX665))</f>
        <v>18.75</v>
      </c>
      <c r="AZ665" s="29" t="str">
        <f aca="false">IF(OR(AY665="",N(O665)=0),"",AY665/O665-1)</f>
        <v/>
      </c>
      <c r="BA665" s="29" t="str">
        <f aca="false">IF(OR(AZ665="",N(O665)=0),"",AZ665+AW665/O665)</f>
        <v/>
      </c>
      <c r="BB665" s="32" t="str">
        <f aca="false">IF(OR(BA665="",N(AR665)=0),"",BA665-AR665)</f>
        <v/>
      </c>
      <c r="BC665" s="35" t="str">
        <f aca="false">IF(OR(BA665="",N(U665)=0),"",BA665-U665)</f>
        <v/>
      </c>
      <c r="BD665" s="36" t="s">
        <v>299</v>
      </c>
    </row>
    <row r="666" customFormat="false" ht="15" hidden="false" customHeight="false" outlineLevel="0" collapsed="false">
      <c r="A666" s="2" t="s">
        <v>1067</v>
      </c>
      <c r="B666" s="2" t="n">
        <v>346</v>
      </c>
      <c r="C666" s="2" t="s">
        <v>1339</v>
      </c>
      <c r="D666" s="2" t="s">
        <v>1335</v>
      </c>
      <c r="E666" s="2" t="s">
        <v>1336</v>
      </c>
      <c r="F666" s="27" t="n">
        <v>37</v>
      </c>
      <c r="G666" s="2" t="s">
        <v>52</v>
      </c>
      <c r="H666" s="2" t="s">
        <v>58</v>
      </c>
      <c r="I666" s="2" t="s">
        <v>144</v>
      </c>
      <c r="J666" s="2" t="s">
        <v>145</v>
      </c>
      <c r="K666" s="2" t="n">
        <v>4</v>
      </c>
      <c r="L666" s="28" t="n">
        <v>25</v>
      </c>
      <c r="M666" s="29" t="n">
        <v>0.0775</v>
      </c>
      <c r="N666" s="28" t="n">
        <v>1.9375</v>
      </c>
      <c r="O666" s="28" t="n">
        <v>0</v>
      </c>
      <c r="P666" s="2" t="s">
        <v>146</v>
      </c>
      <c r="Q666" s="29" t="n">
        <v>0.1</v>
      </c>
      <c r="R666" s="30" t="n">
        <v>0.095</v>
      </c>
      <c r="S666" s="31" t="n">
        <v>20.3947368421053</v>
      </c>
      <c r="T666" s="30"/>
      <c r="U666" s="30"/>
      <c r="V666" s="29" t="n">
        <v>-0.005</v>
      </c>
      <c r="W666" s="29" t="n">
        <f aca="false">IF(N(Q666)=0,"",Q666+IF(I666="yes",Q666*Inputs!$B$10*Inputs!$B$9,0)+V666)</f>
        <v>0.095</v>
      </c>
      <c r="X666" s="28" t="n">
        <f aca="false">IF(OR(N(W666)&lt;=0,N(N666)=0,N(L666)=0),"",MIN(L666,N666/W666))</f>
        <v>20.3947368421053</v>
      </c>
      <c r="Y666" s="29" t="str">
        <f aca="false">IF(OR(X666="",N(O666)=0),"",X666/O666-1)</f>
        <v/>
      </c>
      <c r="Z666" s="29" t="str">
        <f aca="false">IF(OR(Y666="",N(O666)=0),"",Y666+N666/O666)</f>
        <v/>
      </c>
      <c r="AA666" s="32" t="str">
        <f aca="false">IF(OR(Z666="",N(U666)=0),"",Z666-U666)</f>
        <v/>
      </c>
      <c r="AB666" s="29" t="n">
        <f aca="false">IF(N(Q666)=0,"",Q666+IF(I666="yes",Q666*Inputs!$B$10*Inputs!$B$9,0)+IFERROR(INDEX(Inputs!$B$13:$B$15,MATCH(G666,Inputs!$A$13:$A$15,0)),0)+IFERROR(INDEX(Inputs!$B$18:$B$24,MATCH(H666,Inputs!$A$18:$A$24,0)),0))</f>
        <v>0.095</v>
      </c>
      <c r="AC666" s="28" t="n">
        <f aca="false">IF(OR(N(AB666)&lt;=0,N(N666)=0,N(L666)=0),"",MIN(L666,N666/AB666))</f>
        <v>20.3947368421053</v>
      </c>
      <c r="AD666" s="29" t="str">
        <f aca="false">IF(OR(AC666="",N(O666)=0),"",AC666/O666-1)</f>
        <v/>
      </c>
      <c r="AE666" s="29" t="str">
        <f aca="false">IF(OR(AD666="",N(O666)=0),"",AD666+N666/O666)</f>
        <v/>
      </c>
      <c r="AF666" s="32" t="str">
        <f aca="false">IF(OR(AE666="",N(Z666)=0),"",AE666-Z666)</f>
        <v/>
      </c>
      <c r="AG666" s="28" t="n">
        <f aca="false">IF(AND(N(M666)&gt;0,N(L666)&gt;0),M666*L666,N666)</f>
        <v>1.9375</v>
      </c>
      <c r="AH666" s="28" t="n">
        <f aca="false">IF(OR(N(AB666)&lt;=0,N(AG666)=0,N(L666)=0),"",MIN(L666,AG666/AB666))</f>
        <v>20.3947368421053</v>
      </c>
      <c r="AI666" s="29" t="str">
        <f aca="false">IF(OR(AH666="",N(O666)=0),"",AH666/O666-1)</f>
        <v/>
      </c>
      <c r="AJ666" s="29" t="str">
        <f aca="false">IF(OR(AI666="",N(O666)=0),"",AI666+AG666/O666)</f>
        <v/>
      </c>
      <c r="AK666" s="32" t="str">
        <f aca="false">IF(OR(AJ666="",N(AE666)=0),"",AJ666-AE666)</f>
        <v/>
      </c>
      <c r="AL666" s="33" t="n">
        <f aca="false">IF(N(F666)=0,"",INDEX(Inputs!$B$28:$B$32,IFERROR(MATCH(F666,Inputs!$A$28:$A$32,1),0)+1))</f>
        <v>0.1</v>
      </c>
      <c r="AM666" s="34"/>
      <c r="AN666" s="33" t="n">
        <f aca="false">IF(N(AM666)&gt;0,AM666,AL666)</f>
        <v>0.1</v>
      </c>
      <c r="AO666" s="29" t="n">
        <f aca="false">IF(N(AN666)=0,"",AN666+IF(I666="yes",AN666*Inputs!$B$10*Inputs!$B$9,0)+IFERROR(INDEX(Inputs!$B$13:$B$15,MATCH(G666,Inputs!$A$13:$A$15,0)),0)+IFERROR(INDEX(Inputs!$B$18:$B$24,MATCH(H666,Inputs!$A$18:$A$24,0)),0))</f>
        <v>0.095</v>
      </c>
      <c r="AP666" s="28" t="n">
        <f aca="false">IF(OR(N(AO666)&lt;=0,N(AG666)=0,N(L666)=0),"",MIN(L666,AG666/AO666))</f>
        <v>20.3947368421053</v>
      </c>
      <c r="AQ666" s="29" t="str">
        <f aca="false">IF(OR(AP666="",N(O666)=0),"",AP666/O666-1)</f>
        <v/>
      </c>
      <c r="AR666" s="29" t="str">
        <f aca="false">IF(OR(AQ666="",N(O666)=0),"",AQ666+AG666/O666)</f>
        <v/>
      </c>
      <c r="AS666" s="32" t="str">
        <f aca="false">IF(OR(AR666="",N(AJ666)=0),"",AR666-AJ666)</f>
        <v/>
      </c>
      <c r="AT666" s="28" t="n">
        <v>25</v>
      </c>
      <c r="AU666" s="28" t="n">
        <v>1.9375</v>
      </c>
      <c r="AV666" s="28" t="n">
        <f aca="false">IF(N(AT666)&gt;0,AT666,L666)</f>
        <v>25</v>
      </c>
      <c r="AW666" s="28" t="n">
        <f aca="false">IF(AND(N(M666)&gt;0,N(AV666)&gt;0),M666*AV666,IF(N(AU666)&gt;0,AU666,N666))</f>
        <v>1.9375</v>
      </c>
      <c r="AX666" s="29" t="n">
        <f aca="false">IF(N(AN666)=0,"",AN666+IF(I666="yes",AN666*Inputs!$B$10*Inputs!$B$9,0)+IFERROR(INDEX(Inputs!$B$13:$B$15,MATCH(G666,Inputs!$A$13:$A$15,0)),0)+IFERROR(INDEX(Inputs!$B$18:$B$24,MATCH(H666,Inputs!$A$18:$A$24,0)),0))</f>
        <v>0.095</v>
      </c>
      <c r="AY666" s="28" t="n">
        <f aca="false">IF(OR(N(AX666)&lt;=0,N(AW666)=0,N(AV666)=0),"",MIN(AV666,AW666/AX666))</f>
        <v>20.3947368421053</v>
      </c>
      <c r="AZ666" s="29" t="str">
        <f aca="false">IF(OR(AY666="",N(O666)=0),"",AY666/O666-1)</f>
        <v/>
      </c>
      <c r="BA666" s="29" t="str">
        <f aca="false">IF(OR(AZ666="",N(O666)=0),"",AZ666+AW666/O666)</f>
        <v/>
      </c>
      <c r="BB666" s="32" t="str">
        <f aca="false">IF(OR(BA666="",N(AR666)=0),"",BA666-AR666)</f>
        <v/>
      </c>
      <c r="BC666" s="35" t="str">
        <f aca="false">IF(OR(BA666="",N(U666)=0),"",BA666-U666)</f>
        <v/>
      </c>
      <c r="BD666" s="36" t="s">
        <v>299</v>
      </c>
    </row>
    <row r="667" customFormat="false" ht="15" hidden="false" customHeight="false" outlineLevel="0" collapsed="false">
      <c r="A667" s="2" t="s">
        <v>1067</v>
      </c>
      <c r="B667" s="2" t="n">
        <v>347</v>
      </c>
      <c r="C667" s="2" t="s">
        <v>1340</v>
      </c>
      <c r="D667" s="2" t="s">
        <v>1335</v>
      </c>
      <c r="E667" s="2" t="s">
        <v>1336</v>
      </c>
      <c r="F667" s="27" t="n">
        <v>37</v>
      </c>
      <c r="G667" s="2" t="s">
        <v>51</v>
      </c>
      <c r="H667" s="2" t="s">
        <v>58</v>
      </c>
      <c r="I667" s="2" t="s">
        <v>144</v>
      </c>
      <c r="J667" s="2" t="s">
        <v>145</v>
      </c>
      <c r="K667" s="2" t="n">
        <v>4</v>
      </c>
      <c r="L667" s="28" t="n">
        <v>25</v>
      </c>
      <c r="M667" s="29" t="n">
        <v>0.06</v>
      </c>
      <c r="N667" s="28" t="n">
        <v>1.5</v>
      </c>
      <c r="O667" s="28" t="n">
        <v>24.99</v>
      </c>
      <c r="P667" s="2" t="s">
        <v>223</v>
      </c>
      <c r="Q667" s="29" t="n">
        <v>0.1</v>
      </c>
      <c r="R667" s="30" t="n">
        <v>0.1</v>
      </c>
      <c r="S667" s="31" t="n">
        <v>15</v>
      </c>
      <c r="T667" s="30" t="n">
        <v>-0.399759903961585</v>
      </c>
      <c r="U667" s="30" t="n">
        <v>-0.339735894357743</v>
      </c>
      <c r="V667" s="29" t="n">
        <v>0</v>
      </c>
      <c r="W667" s="29" t="n">
        <f aca="false">IF(N(Q667)=0,"",Q667+IF(I667="yes",Q667*Inputs!$B$10*Inputs!$B$9,0)+V667)</f>
        <v>0.1</v>
      </c>
      <c r="X667" s="28" t="n">
        <f aca="false">IF(OR(N(W667)&lt;=0,N(N667)=0,N(L667)=0),"",MIN(L667,N667/W667))</f>
        <v>15</v>
      </c>
      <c r="Y667" s="29" t="n">
        <f aca="false">IF(OR(X667="",N(O667)=0),"",X667/O667-1)</f>
        <v>-0.399759903961585</v>
      </c>
      <c r="Z667" s="29" t="n">
        <f aca="false">IF(OR(Y667="",N(O667)=0),"",Y667+N667/O667)</f>
        <v>-0.339735894357743</v>
      </c>
      <c r="AA667" s="32" t="n">
        <f aca="false">IF(OR(Z667="",N(U667)=0),"",Z667-U667)</f>
        <v>0</v>
      </c>
      <c r="AB667" s="29" t="n">
        <f aca="false">IF(N(Q667)=0,"",Q667+IF(I667="yes",Q667*Inputs!$B$10*Inputs!$B$9,0)+IFERROR(INDEX(Inputs!$B$13:$B$15,MATCH(G667,Inputs!$A$13:$A$15,0)),0)+IFERROR(INDEX(Inputs!$B$18:$B$24,MATCH(H667,Inputs!$A$18:$A$24,0)),0))</f>
        <v>0.1</v>
      </c>
      <c r="AC667" s="28" t="n">
        <f aca="false">IF(OR(N(AB667)&lt;=0,N(N667)=0,N(L667)=0),"",MIN(L667,N667/AB667))</f>
        <v>15</v>
      </c>
      <c r="AD667" s="29" t="n">
        <f aca="false">IF(OR(AC667="",N(O667)=0),"",AC667/O667-1)</f>
        <v>-0.399759903961585</v>
      </c>
      <c r="AE667" s="29" t="n">
        <f aca="false">IF(OR(AD667="",N(O667)=0),"",AD667+N667/O667)</f>
        <v>-0.339735894357743</v>
      </c>
      <c r="AF667" s="32" t="n">
        <f aca="false">IF(OR(AE667="",N(Z667)=0),"",AE667-Z667)</f>
        <v>0</v>
      </c>
      <c r="AG667" s="28" t="n">
        <f aca="false">IF(AND(N(M667)&gt;0,N(L667)&gt;0),M667*L667,N667)</f>
        <v>1.5</v>
      </c>
      <c r="AH667" s="28" t="n">
        <f aca="false">IF(OR(N(AB667)&lt;=0,N(AG667)=0,N(L667)=0),"",MIN(L667,AG667/AB667))</f>
        <v>15</v>
      </c>
      <c r="AI667" s="29" t="n">
        <f aca="false">IF(OR(AH667="",N(O667)=0),"",AH667/O667-1)</f>
        <v>-0.399759903961585</v>
      </c>
      <c r="AJ667" s="29" t="n">
        <f aca="false">IF(OR(AI667="",N(O667)=0),"",AI667+AG667/O667)</f>
        <v>-0.339735894357743</v>
      </c>
      <c r="AK667" s="32" t="n">
        <f aca="false">IF(OR(AJ667="",N(AE667)=0),"",AJ667-AE667)</f>
        <v>0</v>
      </c>
      <c r="AL667" s="33" t="n">
        <f aca="false">IF(N(F667)=0,"",INDEX(Inputs!$B$28:$B$32,IFERROR(MATCH(F667,Inputs!$A$28:$A$32,1),0)+1))</f>
        <v>0.1</v>
      </c>
      <c r="AM667" s="34"/>
      <c r="AN667" s="33" t="n">
        <f aca="false">IF(N(AM667)&gt;0,AM667,AL667)</f>
        <v>0.1</v>
      </c>
      <c r="AO667" s="29" t="n">
        <f aca="false">IF(N(AN667)=0,"",AN667+IF(I667="yes",AN667*Inputs!$B$10*Inputs!$B$9,0)+IFERROR(INDEX(Inputs!$B$13:$B$15,MATCH(G667,Inputs!$A$13:$A$15,0)),0)+IFERROR(INDEX(Inputs!$B$18:$B$24,MATCH(H667,Inputs!$A$18:$A$24,0)),0))</f>
        <v>0.1</v>
      </c>
      <c r="AP667" s="28" t="n">
        <f aca="false">IF(OR(N(AO667)&lt;=0,N(AG667)=0,N(L667)=0),"",MIN(L667,AG667/AO667))</f>
        <v>15</v>
      </c>
      <c r="AQ667" s="29" t="n">
        <f aca="false">IF(OR(AP667="",N(O667)=0),"",AP667/O667-1)</f>
        <v>-0.399759903961585</v>
      </c>
      <c r="AR667" s="29" t="n">
        <f aca="false">IF(OR(AQ667="",N(O667)=0),"",AQ667+AG667/O667)</f>
        <v>-0.339735894357743</v>
      </c>
      <c r="AS667" s="32" t="n">
        <f aca="false">IF(OR(AR667="",N(AJ667)=0),"",AR667-AJ667)</f>
        <v>0</v>
      </c>
      <c r="AT667" s="28" t="n">
        <v>25</v>
      </c>
      <c r="AU667" s="28" t="n">
        <v>1.5</v>
      </c>
      <c r="AV667" s="28" t="n">
        <f aca="false">IF(N(AT667)&gt;0,AT667,L667)</f>
        <v>25</v>
      </c>
      <c r="AW667" s="28" t="n">
        <f aca="false">IF(AND(N(M667)&gt;0,N(AV667)&gt;0),M667*AV667,IF(N(AU667)&gt;0,AU667,N667))</f>
        <v>1.5</v>
      </c>
      <c r="AX667" s="29" t="n">
        <f aca="false">IF(N(AN667)=0,"",AN667+IF(I667="yes",AN667*Inputs!$B$10*Inputs!$B$9,0)+IFERROR(INDEX(Inputs!$B$13:$B$15,MATCH(G667,Inputs!$A$13:$A$15,0)),0)+IFERROR(INDEX(Inputs!$B$18:$B$24,MATCH(H667,Inputs!$A$18:$A$24,0)),0))</f>
        <v>0.1</v>
      </c>
      <c r="AY667" s="28" t="n">
        <f aca="false">IF(OR(N(AX667)&lt;=0,N(AW667)=0,N(AV667)=0),"",MIN(AV667,AW667/AX667))</f>
        <v>15</v>
      </c>
      <c r="AZ667" s="29" t="n">
        <f aca="false">IF(OR(AY667="",N(O667)=0),"",AY667/O667-1)</f>
        <v>-0.399759903961585</v>
      </c>
      <c r="BA667" s="29" t="n">
        <f aca="false">IF(OR(AZ667="",N(O667)=0),"",AZ667+AW667/O667)</f>
        <v>-0.339735894357743</v>
      </c>
      <c r="BB667" s="32" t="n">
        <f aca="false">IF(OR(BA667="",N(AR667)=0),"",BA667-AR667)</f>
        <v>0</v>
      </c>
      <c r="BC667" s="35" t="n">
        <f aca="false">IF(OR(BA667="",N(U667)=0),"",BA667-U667)</f>
        <v>0</v>
      </c>
      <c r="BD667" s="36" t="s">
        <v>224</v>
      </c>
    </row>
    <row r="668" customFormat="false" ht="15" hidden="false" customHeight="false" outlineLevel="0" collapsed="false">
      <c r="A668" s="2" t="s">
        <v>1067</v>
      </c>
      <c r="B668" s="2" t="n">
        <v>348</v>
      </c>
      <c r="C668" s="2" t="s">
        <v>1341</v>
      </c>
      <c r="D668" s="2" t="s">
        <v>1335</v>
      </c>
      <c r="E668" s="2" t="s">
        <v>1336</v>
      </c>
      <c r="F668" s="27" t="n">
        <v>37</v>
      </c>
      <c r="G668" s="2" t="s">
        <v>52</v>
      </c>
      <c r="H668" s="2" t="s">
        <v>58</v>
      </c>
      <c r="I668" s="2" t="s">
        <v>144</v>
      </c>
      <c r="J668" s="2" t="s">
        <v>145</v>
      </c>
      <c r="K668" s="2" t="n">
        <v>4</v>
      </c>
      <c r="L668" s="28" t="n">
        <v>25</v>
      </c>
      <c r="M668" s="29" t="n">
        <v>0.06</v>
      </c>
      <c r="N668" s="28" t="n">
        <v>1.5</v>
      </c>
      <c r="O668" s="28" t="n">
        <v>24.55</v>
      </c>
      <c r="P668" s="2" t="s">
        <v>223</v>
      </c>
      <c r="Q668" s="29" t="n">
        <v>0.1</v>
      </c>
      <c r="R668" s="30" t="n">
        <v>0.1</v>
      </c>
      <c r="S668" s="31" t="n">
        <v>15</v>
      </c>
      <c r="T668" s="30" t="n">
        <v>-0.389002036659878</v>
      </c>
      <c r="U668" s="30" t="n">
        <v>-0.327902240325866</v>
      </c>
      <c r="V668" s="29" t="n">
        <v>-0.005</v>
      </c>
      <c r="W668" s="29" t="n">
        <f aca="false">IF(N(Q668)=0,"",Q668+IF(I668="yes",Q668*Inputs!$B$10*Inputs!$B$9,0)+V668)</f>
        <v>0.095</v>
      </c>
      <c r="X668" s="28" t="n">
        <f aca="false">IF(OR(N(W668)&lt;=0,N(N668)=0,N(L668)=0),"",MIN(L668,N668/W668))</f>
        <v>15.7894736842105</v>
      </c>
      <c r="Y668" s="29" t="n">
        <f aca="false">IF(OR(X668="",N(O668)=0),"",X668/O668-1)</f>
        <v>-0.356844249115661</v>
      </c>
      <c r="Z668" s="29" t="n">
        <f aca="false">IF(OR(Y668="",N(O668)=0),"",Y668+N668/O668)</f>
        <v>-0.295744452781649</v>
      </c>
      <c r="AA668" s="32" t="n">
        <f aca="false">IF(OR(Z668="",N(U668)=0),"",Z668-U668)</f>
        <v>0.0321577875442169</v>
      </c>
      <c r="AB668" s="29" t="n">
        <f aca="false">IF(N(Q668)=0,"",Q668+IF(I668="yes",Q668*Inputs!$B$10*Inputs!$B$9,0)+IFERROR(INDEX(Inputs!$B$13:$B$15,MATCH(G668,Inputs!$A$13:$A$15,0)),0)+IFERROR(INDEX(Inputs!$B$18:$B$24,MATCH(H668,Inputs!$A$18:$A$24,0)),0))</f>
        <v>0.095</v>
      </c>
      <c r="AC668" s="28" t="n">
        <f aca="false">IF(OR(N(AB668)&lt;=0,N(N668)=0,N(L668)=0),"",MIN(L668,N668/AB668))</f>
        <v>15.7894736842105</v>
      </c>
      <c r="AD668" s="29" t="n">
        <f aca="false">IF(OR(AC668="",N(O668)=0),"",AC668/O668-1)</f>
        <v>-0.356844249115661</v>
      </c>
      <c r="AE668" s="29" t="n">
        <f aca="false">IF(OR(AD668="",N(O668)=0),"",AD668+N668/O668)</f>
        <v>-0.295744452781649</v>
      </c>
      <c r="AF668" s="32" t="n">
        <f aca="false">IF(OR(AE668="",N(Z668)=0),"",AE668-Z668)</f>
        <v>0</v>
      </c>
      <c r="AG668" s="28" t="n">
        <f aca="false">IF(AND(N(M668)&gt;0,N(L668)&gt;0),M668*L668,N668)</f>
        <v>1.5</v>
      </c>
      <c r="AH668" s="28" t="n">
        <f aca="false">IF(OR(N(AB668)&lt;=0,N(AG668)=0,N(L668)=0),"",MIN(L668,AG668/AB668))</f>
        <v>15.7894736842105</v>
      </c>
      <c r="AI668" s="29" t="n">
        <f aca="false">IF(OR(AH668="",N(O668)=0),"",AH668/O668-1)</f>
        <v>-0.356844249115661</v>
      </c>
      <c r="AJ668" s="29" t="n">
        <f aca="false">IF(OR(AI668="",N(O668)=0),"",AI668+AG668/O668)</f>
        <v>-0.295744452781649</v>
      </c>
      <c r="AK668" s="32" t="n">
        <f aca="false">IF(OR(AJ668="",N(AE668)=0),"",AJ668-AE668)</f>
        <v>0</v>
      </c>
      <c r="AL668" s="33" t="n">
        <f aca="false">IF(N(F668)=0,"",INDEX(Inputs!$B$28:$B$32,IFERROR(MATCH(F668,Inputs!$A$28:$A$32,1),0)+1))</f>
        <v>0.1</v>
      </c>
      <c r="AM668" s="34"/>
      <c r="AN668" s="33" t="n">
        <f aca="false">IF(N(AM668)&gt;0,AM668,AL668)</f>
        <v>0.1</v>
      </c>
      <c r="AO668" s="29" t="n">
        <f aca="false">IF(N(AN668)=0,"",AN668+IF(I668="yes",AN668*Inputs!$B$10*Inputs!$B$9,0)+IFERROR(INDEX(Inputs!$B$13:$B$15,MATCH(G668,Inputs!$A$13:$A$15,0)),0)+IFERROR(INDEX(Inputs!$B$18:$B$24,MATCH(H668,Inputs!$A$18:$A$24,0)),0))</f>
        <v>0.095</v>
      </c>
      <c r="AP668" s="28" t="n">
        <f aca="false">IF(OR(N(AO668)&lt;=0,N(AG668)=0,N(L668)=0),"",MIN(L668,AG668/AO668))</f>
        <v>15.7894736842105</v>
      </c>
      <c r="AQ668" s="29" t="n">
        <f aca="false">IF(OR(AP668="",N(O668)=0),"",AP668/O668-1)</f>
        <v>-0.356844249115661</v>
      </c>
      <c r="AR668" s="29" t="n">
        <f aca="false">IF(OR(AQ668="",N(O668)=0),"",AQ668+AG668/O668)</f>
        <v>-0.295744452781649</v>
      </c>
      <c r="AS668" s="32" t="n">
        <f aca="false">IF(OR(AR668="",N(AJ668)=0),"",AR668-AJ668)</f>
        <v>0</v>
      </c>
      <c r="AT668" s="28" t="n">
        <v>25</v>
      </c>
      <c r="AU668" s="28" t="n">
        <v>1.5</v>
      </c>
      <c r="AV668" s="28" t="n">
        <f aca="false">IF(N(AT668)&gt;0,AT668,L668)</f>
        <v>25</v>
      </c>
      <c r="AW668" s="28" t="n">
        <f aca="false">IF(AND(N(M668)&gt;0,N(AV668)&gt;0),M668*AV668,IF(N(AU668)&gt;0,AU668,N668))</f>
        <v>1.5</v>
      </c>
      <c r="AX668" s="29" t="n">
        <f aca="false">IF(N(AN668)=0,"",AN668+IF(I668="yes",AN668*Inputs!$B$10*Inputs!$B$9,0)+IFERROR(INDEX(Inputs!$B$13:$B$15,MATCH(G668,Inputs!$A$13:$A$15,0)),0)+IFERROR(INDEX(Inputs!$B$18:$B$24,MATCH(H668,Inputs!$A$18:$A$24,0)),0))</f>
        <v>0.095</v>
      </c>
      <c r="AY668" s="28" t="n">
        <f aca="false">IF(OR(N(AX668)&lt;=0,N(AW668)=0,N(AV668)=0),"",MIN(AV668,AW668/AX668))</f>
        <v>15.7894736842105</v>
      </c>
      <c r="AZ668" s="29" t="n">
        <f aca="false">IF(OR(AY668="",N(O668)=0),"",AY668/O668-1)</f>
        <v>-0.356844249115661</v>
      </c>
      <c r="BA668" s="29" t="n">
        <f aca="false">IF(OR(AZ668="",N(O668)=0),"",AZ668+AW668/O668)</f>
        <v>-0.295744452781649</v>
      </c>
      <c r="BB668" s="32" t="n">
        <f aca="false">IF(OR(BA668="",N(AR668)=0),"",BA668-AR668)</f>
        <v>0</v>
      </c>
      <c r="BC668" s="35" t="n">
        <f aca="false">IF(OR(BA668="",N(U668)=0),"",BA668-U668)</f>
        <v>0.0321577875442169</v>
      </c>
      <c r="BD668" s="36" t="s">
        <v>224</v>
      </c>
    </row>
    <row r="669" customFormat="false" ht="15" hidden="false" customHeight="false" outlineLevel="0" collapsed="false">
      <c r="A669" s="2" t="s">
        <v>1067</v>
      </c>
      <c r="B669" s="2" t="n">
        <v>349</v>
      </c>
      <c r="C669" s="2" t="s">
        <v>1342</v>
      </c>
      <c r="D669" s="2" t="s">
        <v>1335</v>
      </c>
      <c r="E669" s="2" t="s">
        <v>1336</v>
      </c>
      <c r="F669" s="27" t="n">
        <v>37</v>
      </c>
      <c r="G669" s="2" t="s">
        <v>52</v>
      </c>
      <c r="H669" s="2" t="s">
        <v>58</v>
      </c>
      <c r="I669" s="2" t="s">
        <v>144</v>
      </c>
      <c r="J669" s="2" t="s">
        <v>145</v>
      </c>
      <c r="K669" s="2" t="n">
        <v>4</v>
      </c>
      <c r="L669" s="28" t="n">
        <v>25</v>
      </c>
      <c r="M669" s="29" t="n">
        <v>0.07125</v>
      </c>
      <c r="N669" s="28" t="n">
        <v>1.78125</v>
      </c>
      <c r="O669" s="28" t="n">
        <v>24.57</v>
      </c>
      <c r="P669" s="2" t="s">
        <v>223</v>
      </c>
      <c r="Q669" s="29" t="n">
        <v>0.1</v>
      </c>
      <c r="R669" s="30" t="n">
        <v>0.1</v>
      </c>
      <c r="S669" s="31" t="n">
        <v>17.8125</v>
      </c>
      <c r="T669" s="30" t="n">
        <v>-0.275030525030525</v>
      </c>
      <c r="U669" s="30" t="n">
        <v>-0.202533577533578</v>
      </c>
      <c r="V669" s="29" t="n">
        <v>-0.005</v>
      </c>
      <c r="W669" s="29" t="n">
        <f aca="false">IF(N(Q669)=0,"",Q669+IF(I669="yes",Q669*Inputs!$B$10*Inputs!$B$9,0)+V669)</f>
        <v>0.095</v>
      </c>
      <c r="X669" s="28" t="n">
        <f aca="false">IF(OR(N(W669)&lt;=0,N(N669)=0,N(L669)=0),"",MIN(L669,N669/W669))</f>
        <v>18.75</v>
      </c>
      <c r="Y669" s="29" t="n">
        <f aca="false">IF(OR(X669="",N(O669)=0),"",X669/O669-1)</f>
        <v>-0.236874236874237</v>
      </c>
      <c r="Z669" s="29" t="n">
        <f aca="false">IF(OR(Y669="",N(O669)=0),"",Y669+N669/O669)</f>
        <v>-0.164377289377289</v>
      </c>
      <c r="AA669" s="32" t="n">
        <f aca="false">IF(OR(Z669="",N(U669)=0),"",Z669-U669)</f>
        <v>0.0381562881562883</v>
      </c>
      <c r="AB669" s="29" t="n">
        <f aca="false">IF(N(Q669)=0,"",Q669+IF(I669="yes",Q669*Inputs!$B$10*Inputs!$B$9,0)+IFERROR(INDEX(Inputs!$B$13:$B$15,MATCH(G669,Inputs!$A$13:$A$15,0)),0)+IFERROR(INDEX(Inputs!$B$18:$B$24,MATCH(H669,Inputs!$A$18:$A$24,0)),0))</f>
        <v>0.095</v>
      </c>
      <c r="AC669" s="28" t="n">
        <f aca="false">IF(OR(N(AB669)&lt;=0,N(N669)=0,N(L669)=0),"",MIN(L669,N669/AB669))</f>
        <v>18.75</v>
      </c>
      <c r="AD669" s="29" t="n">
        <f aca="false">IF(OR(AC669="",N(O669)=0),"",AC669/O669-1)</f>
        <v>-0.236874236874237</v>
      </c>
      <c r="AE669" s="29" t="n">
        <f aca="false">IF(OR(AD669="",N(O669)=0),"",AD669+N669/O669)</f>
        <v>-0.164377289377289</v>
      </c>
      <c r="AF669" s="32" t="n">
        <f aca="false">IF(OR(AE669="",N(Z669)=0),"",AE669-Z669)</f>
        <v>0</v>
      </c>
      <c r="AG669" s="28" t="n">
        <f aca="false">IF(AND(N(M669)&gt;0,N(L669)&gt;0),M669*L669,N669)</f>
        <v>1.78125</v>
      </c>
      <c r="AH669" s="28" t="n">
        <f aca="false">IF(OR(N(AB669)&lt;=0,N(AG669)=0,N(L669)=0),"",MIN(L669,AG669/AB669))</f>
        <v>18.75</v>
      </c>
      <c r="AI669" s="29" t="n">
        <f aca="false">IF(OR(AH669="",N(O669)=0),"",AH669/O669-1)</f>
        <v>-0.236874236874237</v>
      </c>
      <c r="AJ669" s="29" t="n">
        <f aca="false">IF(OR(AI669="",N(O669)=0),"",AI669+AG669/O669)</f>
        <v>-0.16437728937729</v>
      </c>
      <c r="AK669" s="32" t="n">
        <f aca="false">IF(OR(AJ669="",N(AE669)=0),"",AJ669-AE669)</f>
        <v>0</v>
      </c>
      <c r="AL669" s="33" t="n">
        <f aca="false">IF(N(F669)=0,"",INDEX(Inputs!$B$28:$B$32,IFERROR(MATCH(F669,Inputs!$A$28:$A$32,1),0)+1))</f>
        <v>0.1</v>
      </c>
      <c r="AM669" s="34"/>
      <c r="AN669" s="33" t="n">
        <f aca="false">IF(N(AM669)&gt;0,AM669,AL669)</f>
        <v>0.1</v>
      </c>
      <c r="AO669" s="29" t="n">
        <f aca="false">IF(N(AN669)=0,"",AN669+IF(I669="yes",AN669*Inputs!$B$10*Inputs!$B$9,0)+IFERROR(INDEX(Inputs!$B$13:$B$15,MATCH(G669,Inputs!$A$13:$A$15,0)),0)+IFERROR(INDEX(Inputs!$B$18:$B$24,MATCH(H669,Inputs!$A$18:$A$24,0)),0))</f>
        <v>0.095</v>
      </c>
      <c r="AP669" s="28" t="n">
        <f aca="false">IF(OR(N(AO669)&lt;=0,N(AG669)=0,N(L669)=0),"",MIN(L669,AG669/AO669))</f>
        <v>18.75</v>
      </c>
      <c r="AQ669" s="29" t="n">
        <f aca="false">IF(OR(AP669="",N(O669)=0),"",AP669/O669-1)</f>
        <v>-0.236874236874237</v>
      </c>
      <c r="AR669" s="29" t="n">
        <f aca="false">IF(OR(AQ669="",N(O669)=0),"",AQ669+AG669/O669)</f>
        <v>-0.16437728937729</v>
      </c>
      <c r="AS669" s="32" t="n">
        <f aca="false">IF(OR(AR669="",N(AJ669)=0),"",AR669-AJ669)</f>
        <v>0</v>
      </c>
      <c r="AT669" s="28" t="n">
        <v>25</v>
      </c>
      <c r="AU669" s="28" t="n">
        <v>1.78125</v>
      </c>
      <c r="AV669" s="28" t="n">
        <f aca="false">IF(N(AT669)&gt;0,AT669,L669)</f>
        <v>25</v>
      </c>
      <c r="AW669" s="28" t="n">
        <f aca="false">IF(AND(N(M669)&gt;0,N(AV669)&gt;0),M669*AV669,IF(N(AU669)&gt;0,AU669,N669))</f>
        <v>1.78125</v>
      </c>
      <c r="AX669" s="29" t="n">
        <f aca="false">IF(N(AN669)=0,"",AN669+IF(I669="yes",AN669*Inputs!$B$10*Inputs!$B$9,0)+IFERROR(INDEX(Inputs!$B$13:$B$15,MATCH(G669,Inputs!$A$13:$A$15,0)),0)+IFERROR(INDEX(Inputs!$B$18:$B$24,MATCH(H669,Inputs!$A$18:$A$24,0)),0))</f>
        <v>0.095</v>
      </c>
      <c r="AY669" s="28" t="n">
        <f aca="false">IF(OR(N(AX669)&lt;=0,N(AW669)=0,N(AV669)=0),"",MIN(AV669,AW669/AX669))</f>
        <v>18.75</v>
      </c>
      <c r="AZ669" s="29" t="n">
        <f aca="false">IF(OR(AY669="",N(O669)=0),"",AY669/O669-1)</f>
        <v>-0.236874236874237</v>
      </c>
      <c r="BA669" s="29" t="n">
        <f aca="false">IF(OR(AZ669="",N(O669)=0),"",AZ669+AW669/O669)</f>
        <v>-0.16437728937729</v>
      </c>
      <c r="BB669" s="32" t="n">
        <f aca="false">IF(OR(BA669="",N(AR669)=0),"",BA669-AR669)</f>
        <v>0</v>
      </c>
      <c r="BC669" s="35" t="n">
        <f aca="false">IF(OR(BA669="",N(U669)=0),"",BA669-U669)</f>
        <v>0.0381562881562882</v>
      </c>
      <c r="BD669" s="36" t="s">
        <v>224</v>
      </c>
    </row>
    <row r="670" customFormat="false" ht="15" hidden="false" customHeight="false" outlineLevel="0" collapsed="false">
      <c r="A670" s="2" t="s">
        <v>1067</v>
      </c>
      <c r="B670" s="2" t="n">
        <v>350</v>
      </c>
      <c r="C670" s="2" t="s">
        <v>1343</v>
      </c>
      <c r="D670" s="2" t="s">
        <v>1335</v>
      </c>
      <c r="E670" s="2" t="s">
        <v>1336</v>
      </c>
      <c r="F670" s="27" t="n">
        <v>37</v>
      </c>
      <c r="G670" s="2" t="s">
        <v>52</v>
      </c>
      <c r="H670" s="2" t="s">
        <v>58</v>
      </c>
      <c r="I670" s="2" t="s">
        <v>144</v>
      </c>
      <c r="J670" s="2" t="s">
        <v>145</v>
      </c>
      <c r="K670" s="2" t="n">
        <v>4</v>
      </c>
      <c r="L670" s="28" t="n">
        <v>25</v>
      </c>
      <c r="M670" s="29" t="n">
        <v>0.08</v>
      </c>
      <c r="N670" s="28" t="n">
        <v>2</v>
      </c>
      <c r="O670" s="28" t="n">
        <v>24.63</v>
      </c>
      <c r="P670" s="2" t="s">
        <v>223</v>
      </c>
      <c r="Q670" s="29" t="n">
        <v>0.1</v>
      </c>
      <c r="R670" s="30" t="n">
        <v>0.1</v>
      </c>
      <c r="S670" s="31" t="n">
        <v>20</v>
      </c>
      <c r="T670" s="30" t="n">
        <v>-0.187982135606983</v>
      </c>
      <c r="U670" s="30" t="n">
        <v>-0.106780349167682</v>
      </c>
      <c r="V670" s="29" t="n">
        <v>-0.005</v>
      </c>
      <c r="W670" s="29" t="n">
        <f aca="false">IF(N(Q670)=0,"",Q670+IF(I670="yes",Q670*Inputs!$B$10*Inputs!$B$9,0)+V670)</f>
        <v>0.095</v>
      </c>
      <c r="X670" s="28" t="n">
        <f aca="false">IF(OR(N(W670)&lt;=0,N(N670)=0,N(L670)=0),"",MIN(L670,N670/W670))</f>
        <v>21.0526315789474</v>
      </c>
      <c r="Y670" s="29" t="n">
        <f aca="false">IF(OR(X670="",N(O670)=0),"",X670/O670-1)</f>
        <v>-0.145244353270509</v>
      </c>
      <c r="Z670" s="29" t="n">
        <f aca="false">IF(OR(Y670="",N(O670)=0),"",Y670+N670/O670)</f>
        <v>-0.064042566831207</v>
      </c>
      <c r="AA670" s="32" t="n">
        <f aca="false">IF(OR(Z670="",N(U670)=0),"",Z670-U670)</f>
        <v>0.0427377823364746</v>
      </c>
      <c r="AB670" s="29" t="n">
        <f aca="false">IF(N(Q670)=0,"",Q670+IF(I670="yes",Q670*Inputs!$B$10*Inputs!$B$9,0)+IFERROR(INDEX(Inputs!$B$13:$B$15,MATCH(G670,Inputs!$A$13:$A$15,0)),0)+IFERROR(INDEX(Inputs!$B$18:$B$24,MATCH(H670,Inputs!$A$18:$A$24,0)),0))</f>
        <v>0.095</v>
      </c>
      <c r="AC670" s="28" t="n">
        <f aca="false">IF(OR(N(AB670)&lt;=0,N(N670)=0,N(L670)=0),"",MIN(L670,N670/AB670))</f>
        <v>21.0526315789474</v>
      </c>
      <c r="AD670" s="29" t="n">
        <f aca="false">IF(OR(AC670="",N(O670)=0),"",AC670/O670-1)</f>
        <v>-0.145244353270509</v>
      </c>
      <c r="AE670" s="29" t="n">
        <f aca="false">IF(OR(AD670="",N(O670)=0),"",AD670+N670/O670)</f>
        <v>-0.064042566831207</v>
      </c>
      <c r="AF670" s="32" t="n">
        <f aca="false">IF(OR(AE670="",N(Z670)=0),"",AE670-Z670)</f>
        <v>0</v>
      </c>
      <c r="AG670" s="28" t="n">
        <f aca="false">IF(AND(N(M670)&gt;0,N(L670)&gt;0),M670*L670,N670)</f>
        <v>2</v>
      </c>
      <c r="AH670" s="28" t="n">
        <f aca="false">IF(OR(N(AB670)&lt;=0,N(AG670)=0,N(L670)=0),"",MIN(L670,AG670/AB670))</f>
        <v>21.0526315789474</v>
      </c>
      <c r="AI670" s="29" t="n">
        <f aca="false">IF(OR(AH670="",N(O670)=0),"",AH670/O670-1)</f>
        <v>-0.145244353270509</v>
      </c>
      <c r="AJ670" s="29" t="n">
        <f aca="false">IF(OR(AI670="",N(O670)=0),"",AI670+AG670/O670)</f>
        <v>-0.064042566831207</v>
      </c>
      <c r="AK670" s="32" t="n">
        <f aca="false">IF(OR(AJ670="",N(AE670)=0),"",AJ670-AE670)</f>
        <v>0</v>
      </c>
      <c r="AL670" s="33" t="n">
        <f aca="false">IF(N(F670)=0,"",INDEX(Inputs!$B$28:$B$32,IFERROR(MATCH(F670,Inputs!$A$28:$A$32,1),0)+1))</f>
        <v>0.1</v>
      </c>
      <c r="AM670" s="34"/>
      <c r="AN670" s="33" t="n">
        <f aca="false">IF(N(AM670)&gt;0,AM670,AL670)</f>
        <v>0.1</v>
      </c>
      <c r="AO670" s="29" t="n">
        <f aca="false">IF(N(AN670)=0,"",AN670+IF(I670="yes",AN670*Inputs!$B$10*Inputs!$B$9,0)+IFERROR(INDEX(Inputs!$B$13:$B$15,MATCH(G670,Inputs!$A$13:$A$15,0)),0)+IFERROR(INDEX(Inputs!$B$18:$B$24,MATCH(H670,Inputs!$A$18:$A$24,0)),0))</f>
        <v>0.095</v>
      </c>
      <c r="AP670" s="28" t="n">
        <f aca="false">IF(OR(N(AO670)&lt;=0,N(AG670)=0,N(L670)=0),"",MIN(L670,AG670/AO670))</f>
        <v>21.0526315789474</v>
      </c>
      <c r="AQ670" s="29" t="n">
        <f aca="false">IF(OR(AP670="",N(O670)=0),"",AP670/O670-1)</f>
        <v>-0.145244353270509</v>
      </c>
      <c r="AR670" s="29" t="n">
        <f aca="false">IF(OR(AQ670="",N(O670)=0),"",AQ670+AG670/O670)</f>
        <v>-0.064042566831207</v>
      </c>
      <c r="AS670" s="32" t="n">
        <f aca="false">IF(OR(AR670="",N(AJ670)=0),"",AR670-AJ670)</f>
        <v>0</v>
      </c>
      <c r="AT670" s="28" t="n">
        <v>25</v>
      </c>
      <c r="AU670" s="28" t="n">
        <v>2</v>
      </c>
      <c r="AV670" s="28" t="n">
        <f aca="false">IF(N(AT670)&gt;0,AT670,L670)</f>
        <v>25</v>
      </c>
      <c r="AW670" s="28" t="n">
        <f aca="false">IF(AND(N(M670)&gt;0,N(AV670)&gt;0),M670*AV670,IF(N(AU670)&gt;0,AU670,N670))</f>
        <v>2</v>
      </c>
      <c r="AX670" s="29" t="n">
        <f aca="false">IF(N(AN670)=0,"",AN670+IF(I670="yes",AN670*Inputs!$B$10*Inputs!$B$9,0)+IFERROR(INDEX(Inputs!$B$13:$B$15,MATCH(G670,Inputs!$A$13:$A$15,0)),0)+IFERROR(INDEX(Inputs!$B$18:$B$24,MATCH(H670,Inputs!$A$18:$A$24,0)),0))</f>
        <v>0.095</v>
      </c>
      <c r="AY670" s="28" t="n">
        <f aca="false">IF(OR(N(AX670)&lt;=0,N(AW670)=0,N(AV670)=0),"",MIN(AV670,AW670/AX670))</f>
        <v>21.0526315789474</v>
      </c>
      <c r="AZ670" s="29" t="n">
        <f aca="false">IF(OR(AY670="",N(O670)=0),"",AY670/O670-1)</f>
        <v>-0.145244353270509</v>
      </c>
      <c r="BA670" s="29" t="n">
        <f aca="false">IF(OR(AZ670="",N(O670)=0),"",AZ670+AW670/O670)</f>
        <v>-0.064042566831207</v>
      </c>
      <c r="BB670" s="32" t="n">
        <f aca="false">IF(OR(BA670="",N(AR670)=0),"",BA670-AR670)</f>
        <v>0</v>
      </c>
      <c r="BC670" s="35" t="n">
        <f aca="false">IF(OR(BA670="",N(U670)=0),"",BA670-U670)</f>
        <v>0.0427377823364746</v>
      </c>
      <c r="BD670" s="36" t="s">
        <v>224</v>
      </c>
    </row>
    <row r="671" customFormat="false" ht="15" hidden="false" customHeight="false" outlineLevel="0" collapsed="false">
      <c r="A671" s="2" t="s">
        <v>1067</v>
      </c>
      <c r="B671" s="2" t="n">
        <v>353</v>
      </c>
      <c r="C671" s="2" t="s">
        <v>1344</v>
      </c>
      <c r="D671" s="2" t="s">
        <v>1345</v>
      </c>
      <c r="E671" s="2" t="s">
        <v>1346</v>
      </c>
      <c r="F671" s="27" t="n">
        <v>301</v>
      </c>
      <c r="G671" s="2" t="s">
        <v>52</v>
      </c>
      <c r="H671" s="2" t="s">
        <v>58</v>
      </c>
      <c r="I671" s="2" t="s">
        <v>144</v>
      </c>
      <c r="J671" s="2" t="s">
        <v>145</v>
      </c>
      <c r="K671" s="2" t="n">
        <v>4</v>
      </c>
      <c r="L671" s="28" t="n">
        <v>25</v>
      </c>
      <c r="M671" s="29" t="n">
        <v>0.08</v>
      </c>
      <c r="N671" s="28" t="n">
        <v>2</v>
      </c>
      <c r="O671" s="28" t="n">
        <v>25.2</v>
      </c>
      <c r="P671" s="2" t="s">
        <v>223</v>
      </c>
      <c r="Q671" s="29" t="n">
        <v>0.085</v>
      </c>
      <c r="R671" s="30" t="n">
        <v>0.085</v>
      </c>
      <c r="S671" s="31" t="n">
        <v>23.5294117647059</v>
      </c>
      <c r="T671" s="30" t="n">
        <v>-0.0662931839402429</v>
      </c>
      <c r="U671" s="30" t="n">
        <v>0.0130718954248365</v>
      </c>
      <c r="V671" s="29" t="n">
        <v>-0.005</v>
      </c>
      <c r="W671" s="29" t="n">
        <f aca="false">IF(N(Q671)=0,"",Q671+IF(I671="yes",Q671*Inputs!$B$10*Inputs!$B$9,0)+V671)</f>
        <v>0.08</v>
      </c>
      <c r="X671" s="28" t="n">
        <f aca="false">IF(OR(N(W671)&lt;=0,N(N671)=0,N(L671)=0),"",MIN(L671,N671/W671))</f>
        <v>25</v>
      </c>
      <c r="Y671" s="29" t="n">
        <f aca="false">IF(OR(X671="",N(O671)=0),"",X671/O671-1)</f>
        <v>-0.00793650793650791</v>
      </c>
      <c r="Z671" s="29" t="n">
        <f aca="false">IF(OR(Y671="",N(O671)=0),"",Y671+N671/O671)</f>
        <v>0.0714285714285715</v>
      </c>
      <c r="AA671" s="32" t="n">
        <f aca="false">IF(OR(Z671="",N(U671)=0),"",Z671-U671)</f>
        <v>0.058356676003735</v>
      </c>
      <c r="AB671" s="29" t="n">
        <f aca="false">IF(N(Q671)=0,"",Q671+IF(I671="yes",Q671*Inputs!$B$10*Inputs!$B$9,0)+IFERROR(INDEX(Inputs!$B$13:$B$15,MATCH(G671,Inputs!$A$13:$A$15,0)),0)+IFERROR(INDEX(Inputs!$B$18:$B$24,MATCH(H671,Inputs!$A$18:$A$24,0)),0))</f>
        <v>0.08</v>
      </c>
      <c r="AC671" s="28" t="n">
        <f aca="false">IF(OR(N(AB671)&lt;=0,N(N671)=0,N(L671)=0),"",MIN(L671,N671/AB671))</f>
        <v>25</v>
      </c>
      <c r="AD671" s="29" t="n">
        <f aca="false">IF(OR(AC671="",N(O671)=0),"",AC671/O671-1)</f>
        <v>-0.00793650793650791</v>
      </c>
      <c r="AE671" s="29" t="n">
        <f aca="false">IF(OR(AD671="",N(O671)=0),"",AD671+N671/O671)</f>
        <v>0.0714285714285715</v>
      </c>
      <c r="AF671" s="32" t="n">
        <f aca="false">IF(OR(AE671="",N(Z671)=0),"",AE671-Z671)</f>
        <v>0</v>
      </c>
      <c r="AG671" s="28" t="n">
        <f aca="false">IF(AND(N(M671)&gt;0,N(L671)&gt;0),M671*L671,N671)</f>
        <v>2</v>
      </c>
      <c r="AH671" s="28" t="n">
        <f aca="false">IF(OR(N(AB671)&lt;=0,N(AG671)=0,N(L671)=0),"",MIN(L671,AG671/AB671))</f>
        <v>25</v>
      </c>
      <c r="AI671" s="29" t="n">
        <f aca="false">IF(OR(AH671="",N(O671)=0),"",AH671/O671-1)</f>
        <v>-0.00793650793650791</v>
      </c>
      <c r="AJ671" s="29" t="n">
        <f aca="false">IF(OR(AI671="",N(O671)=0),"",AI671+AG671/O671)</f>
        <v>0.0714285714285715</v>
      </c>
      <c r="AK671" s="32" t="n">
        <f aca="false">IF(OR(AJ671="",N(AE671)=0),"",AJ671-AE671)</f>
        <v>0</v>
      </c>
      <c r="AL671" s="33" t="n">
        <f aca="false">IF(N(F671)=0,"",INDEX(Inputs!$B$28:$B$32,IFERROR(MATCH(F671,Inputs!$A$28:$A$32,1),0)+1))</f>
        <v>0.09</v>
      </c>
      <c r="AM671" s="34"/>
      <c r="AN671" s="33" t="n">
        <f aca="false">IF(N(AM671)&gt;0,AM671,AL671)</f>
        <v>0.09</v>
      </c>
      <c r="AO671" s="29" t="n">
        <f aca="false">IF(N(AN671)=0,"",AN671+IF(I671="yes",AN671*Inputs!$B$10*Inputs!$B$9,0)+IFERROR(INDEX(Inputs!$B$13:$B$15,MATCH(G671,Inputs!$A$13:$A$15,0)),0)+IFERROR(INDEX(Inputs!$B$18:$B$24,MATCH(H671,Inputs!$A$18:$A$24,0)),0))</f>
        <v>0.085</v>
      </c>
      <c r="AP671" s="28" t="n">
        <f aca="false">IF(OR(N(AO671)&lt;=0,N(AG671)=0,N(L671)=0),"",MIN(L671,AG671/AO671))</f>
        <v>23.5294117647059</v>
      </c>
      <c r="AQ671" s="29" t="n">
        <f aca="false">IF(OR(AP671="",N(O671)=0),"",AP671/O671-1)</f>
        <v>-0.0662931839402426</v>
      </c>
      <c r="AR671" s="29" t="n">
        <f aca="false">IF(OR(AQ671="",N(O671)=0),"",AQ671+AG671/O671)</f>
        <v>0.0130718954248367</v>
      </c>
      <c r="AS671" s="32" t="n">
        <f aca="false">IF(OR(AR671="",N(AJ671)=0),"",AR671-AJ671)</f>
        <v>-0.0583566760037347</v>
      </c>
      <c r="AT671" s="28" t="n">
        <v>25</v>
      </c>
      <c r="AU671" s="28" t="n">
        <v>2</v>
      </c>
      <c r="AV671" s="28" t="n">
        <f aca="false">IF(N(AT671)&gt;0,AT671,L671)</f>
        <v>25</v>
      </c>
      <c r="AW671" s="28" t="n">
        <f aca="false">IF(AND(N(M671)&gt;0,N(AV671)&gt;0),M671*AV671,IF(N(AU671)&gt;0,AU671,N671))</f>
        <v>2</v>
      </c>
      <c r="AX671" s="29" t="n">
        <f aca="false">IF(N(AN671)=0,"",AN671+IF(I671="yes",AN671*Inputs!$B$10*Inputs!$B$9,0)+IFERROR(INDEX(Inputs!$B$13:$B$15,MATCH(G671,Inputs!$A$13:$A$15,0)),0)+IFERROR(INDEX(Inputs!$B$18:$B$24,MATCH(H671,Inputs!$A$18:$A$24,0)),0))</f>
        <v>0.085</v>
      </c>
      <c r="AY671" s="28" t="n">
        <f aca="false">IF(OR(N(AX671)&lt;=0,N(AW671)=0,N(AV671)=0),"",MIN(AV671,AW671/AX671))</f>
        <v>23.5294117647059</v>
      </c>
      <c r="AZ671" s="29" t="n">
        <f aca="false">IF(OR(AY671="",N(O671)=0),"",AY671/O671-1)</f>
        <v>-0.0662931839402426</v>
      </c>
      <c r="BA671" s="29" t="n">
        <f aca="false">IF(OR(AZ671="",N(O671)=0),"",AZ671+AW671/O671)</f>
        <v>0.0130718954248367</v>
      </c>
      <c r="BB671" s="32" t="n">
        <f aca="false">IF(OR(BA671="",N(AR671)=0),"",BA671-AR671)</f>
        <v>0</v>
      </c>
      <c r="BC671" s="35" t="n">
        <f aca="false">IF(OR(BA671="",N(U671)=0),"",BA671-U671)</f>
        <v>2.22044604925031E-016</v>
      </c>
      <c r="BD671" s="36" t="s">
        <v>224</v>
      </c>
    </row>
    <row r="672" customFormat="false" ht="15" hidden="false" customHeight="false" outlineLevel="0" collapsed="false">
      <c r="A672" s="2" t="s">
        <v>1067</v>
      </c>
      <c r="B672" s="2" t="n">
        <v>354</v>
      </c>
      <c r="C672" s="2" t="s">
        <v>1347</v>
      </c>
      <c r="D672" s="2" t="s">
        <v>1345</v>
      </c>
      <c r="E672" s="2" t="s">
        <v>1346</v>
      </c>
      <c r="F672" s="27" t="n">
        <v>301</v>
      </c>
      <c r="G672" s="2" t="s">
        <v>52</v>
      </c>
      <c r="H672" s="2" t="s">
        <v>58</v>
      </c>
      <c r="I672" s="2" t="s">
        <v>144</v>
      </c>
      <c r="J672" s="2" t="s">
        <v>145</v>
      </c>
      <c r="K672" s="2" t="n">
        <v>4</v>
      </c>
      <c r="L672" s="28" t="n">
        <v>25</v>
      </c>
      <c r="M672" s="29" t="n">
        <v>0.06</v>
      </c>
      <c r="N672" s="28" t="n">
        <v>1.5</v>
      </c>
      <c r="O672" s="28" t="n">
        <v>25</v>
      </c>
      <c r="P672" s="2" t="s">
        <v>316</v>
      </c>
      <c r="Q672" s="29" t="n">
        <v>0.085</v>
      </c>
      <c r="R672" s="30"/>
      <c r="S672" s="31"/>
      <c r="T672" s="30"/>
      <c r="U672" s="30"/>
      <c r="V672" s="29" t="n">
        <v>-0.005</v>
      </c>
      <c r="W672" s="29" t="n">
        <f aca="false">IF(N(Q672)=0,"",Q672+IF(I672="yes",Q672*Inputs!$B$10*Inputs!$B$9,0)+V672)</f>
        <v>0.08</v>
      </c>
      <c r="X672" s="28" t="n">
        <f aca="false">IF(OR(N(W672)&lt;=0,N(N672)=0,N(L672)=0),"",MIN(L672,N672/W672))</f>
        <v>18.75</v>
      </c>
      <c r="Y672" s="29" t="n">
        <f aca="false">IF(OR(X672="",N(O672)=0),"",X672/O672-1)</f>
        <v>-0.25</v>
      </c>
      <c r="Z672" s="29" t="n">
        <f aca="false">IF(OR(Y672="",N(O672)=0),"",Y672+N672/O672)</f>
        <v>-0.19</v>
      </c>
      <c r="AA672" s="32" t="str">
        <f aca="false">IF(OR(Z672="",N(U672)=0),"",Z672-U672)</f>
        <v/>
      </c>
      <c r="AB672" s="29" t="n">
        <f aca="false">IF(N(Q672)=0,"",Q672+IF(I672="yes",Q672*Inputs!$B$10*Inputs!$B$9,0)+IFERROR(INDEX(Inputs!$B$13:$B$15,MATCH(G672,Inputs!$A$13:$A$15,0)),0)+IFERROR(INDEX(Inputs!$B$18:$B$24,MATCH(H672,Inputs!$A$18:$A$24,0)),0))</f>
        <v>0.08</v>
      </c>
      <c r="AC672" s="28" t="n">
        <f aca="false">IF(OR(N(AB672)&lt;=0,N(N672)=0,N(L672)=0),"",MIN(L672,N672/AB672))</f>
        <v>18.75</v>
      </c>
      <c r="AD672" s="29" t="n">
        <f aca="false">IF(OR(AC672="",N(O672)=0),"",AC672/O672-1)</f>
        <v>-0.25</v>
      </c>
      <c r="AE672" s="29" t="n">
        <f aca="false">IF(OR(AD672="",N(O672)=0),"",AD672+N672/O672)</f>
        <v>-0.19</v>
      </c>
      <c r="AF672" s="32" t="n">
        <f aca="false">IF(OR(AE672="",N(Z672)=0),"",AE672-Z672)</f>
        <v>0</v>
      </c>
      <c r="AG672" s="28" t="n">
        <f aca="false">IF(AND(N(M672)&gt;0,N(L672)&gt;0),M672*L672,N672)</f>
        <v>1.5</v>
      </c>
      <c r="AH672" s="28" t="n">
        <f aca="false">IF(OR(N(AB672)&lt;=0,N(AG672)=0,N(L672)=0),"",MIN(L672,AG672/AB672))</f>
        <v>18.75</v>
      </c>
      <c r="AI672" s="29" t="n">
        <f aca="false">IF(OR(AH672="",N(O672)=0),"",AH672/O672-1)</f>
        <v>-0.25</v>
      </c>
      <c r="AJ672" s="29" t="n">
        <f aca="false">IF(OR(AI672="",N(O672)=0),"",AI672+AG672/O672)</f>
        <v>-0.19</v>
      </c>
      <c r="AK672" s="32" t="n">
        <f aca="false">IF(OR(AJ672="",N(AE672)=0),"",AJ672-AE672)</f>
        <v>0</v>
      </c>
      <c r="AL672" s="33" t="n">
        <f aca="false">IF(N(F672)=0,"",INDEX(Inputs!$B$28:$B$32,IFERROR(MATCH(F672,Inputs!$A$28:$A$32,1),0)+1))</f>
        <v>0.09</v>
      </c>
      <c r="AM672" s="34"/>
      <c r="AN672" s="33" t="n">
        <f aca="false">IF(N(AM672)&gt;0,AM672,AL672)</f>
        <v>0.09</v>
      </c>
      <c r="AO672" s="29" t="n">
        <f aca="false">IF(N(AN672)=0,"",AN672+IF(I672="yes",AN672*Inputs!$B$10*Inputs!$B$9,0)+IFERROR(INDEX(Inputs!$B$13:$B$15,MATCH(G672,Inputs!$A$13:$A$15,0)),0)+IFERROR(INDEX(Inputs!$B$18:$B$24,MATCH(H672,Inputs!$A$18:$A$24,0)),0))</f>
        <v>0.085</v>
      </c>
      <c r="AP672" s="28" t="n">
        <f aca="false">IF(OR(N(AO672)&lt;=0,N(AG672)=0,N(L672)=0),"",MIN(L672,AG672/AO672))</f>
        <v>17.6470588235294</v>
      </c>
      <c r="AQ672" s="29" t="n">
        <f aca="false">IF(OR(AP672="",N(O672)=0),"",AP672/O672-1)</f>
        <v>-0.294117647058824</v>
      </c>
      <c r="AR672" s="29" t="n">
        <f aca="false">IF(OR(AQ672="",N(O672)=0),"",AQ672+AG672/O672)</f>
        <v>-0.234117647058823</v>
      </c>
      <c r="AS672" s="32" t="n">
        <f aca="false">IF(OR(AR672="",N(AJ672)=0),"",AR672-AJ672)</f>
        <v>-0.0441176470588235</v>
      </c>
      <c r="AT672" s="28" t="n">
        <v>25</v>
      </c>
      <c r="AU672" s="28" t="n">
        <v>1.5</v>
      </c>
      <c r="AV672" s="28" t="n">
        <f aca="false">IF(N(AT672)&gt;0,AT672,L672)</f>
        <v>25</v>
      </c>
      <c r="AW672" s="28" t="n">
        <f aca="false">IF(AND(N(M672)&gt;0,N(AV672)&gt;0),M672*AV672,IF(N(AU672)&gt;0,AU672,N672))</f>
        <v>1.5</v>
      </c>
      <c r="AX672" s="29" t="n">
        <f aca="false">IF(N(AN672)=0,"",AN672+IF(I672="yes",AN672*Inputs!$B$10*Inputs!$B$9,0)+IFERROR(INDEX(Inputs!$B$13:$B$15,MATCH(G672,Inputs!$A$13:$A$15,0)),0)+IFERROR(INDEX(Inputs!$B$18:$B$24,MATCH(H672,Inputs!$A$18:$A$24,0)),0))</f>
        <v>0.085</v>
      </c>
      <c r="AY672" s="28" t="n">
        <f aca="false">IF(OR(N(AX672)&lt;=0,N(AW672)=0,N(AV672)=0),"",MIN(AV672,AW672/AX672))</f>
        <v>17.6470588235294</v>
      </c>
      <c r="AZ672" s="29" t="n">
        <f aca="false">IF(OR(AY672="",N(O672)=0),"",AY672/O672-1)</f>
        <v>-0.294117647058824</v>
      </c>
      <c r="BA672" s="29" t="n">
        <f aca="false">IF(OR(AZ672="",N(O672)=0),"",AZ672+AW672/O672)</f>
        <v>-0.234117647058823</v>
      </c>
      <c r="BB672" s="32" t="n">
        <f aca="false">IF(OR(BA672="",N(AR672)=0),"",BA672-AR672)</f>
        <v>0</v>
      </c>
      <c r="BC672" s="35" t="str">
        <f aca="false">IF(OR(BA672="",N(U672)=0),"",BA672-U672)</f>
        <v/>
      </c>
      <c r="BD672" s="36" t="s">
        <v>416</v>
      </c>
    </row>
    <row r="673" customFormat="false" ht="15" hidden="false" customHeight="false" outlineLevel="0" collapsed="false">
      <c r="A673" s="2" t="s">
        <v>1067</v>
      </c>
      <c r="B673" s="2" t="n">
        <v>355</v>
      </c>
      <c r="C673" s="2" t="s">
        <v>1348</v>
      </c>
      <c r="D673" s="2" t="s">
        <v>1345</v>
      </c>
      <c r="E673" s="2" t="s">
        <v>1346</v>
      </c>
      <c r="F673" s="27" t="n">
        <v>301</v>
      </c>
      <c r="G673" s="2" t="s">
        <v>52</v>
      </c>
      <c r="H673" s="2" t="s">
        <v>58</v>
      </c>
      <c r="I673" s="2" t="s">
        <v>144</v>
      </c>
      <c r="J673" s="2" t="s">
        <v>145</v>
      </c>
      <c r="K673" s="2" t="n">
        <v>4</v>
      </c>
      <c r="L673" s="28" t="n">
        <v>25</v>
      </c>
      <c r="M673" s="29" t="n">
        <v>0.08125</v>
      </c>
      <c r="N673" s="28" t="n">
        <v>2.03125</v>
      </c>
      <c r="O673" s="28" t="n">
        <v>25.08</v>
      </c>
      <c r="P673" s="2" t="s">
        <v>223</v>
      </c>
      <c r="Q673" s="29" t="n">
        <v>0.085</v>
      </c>
      <c r="R673" s="30" t="n">
        <v>0.085</v>
      </c>
      <c r="S673" s="31" t="n">
        <v>23.8970588235294</v>
      </c>
      <c r="T673" s="30" t="n">
        <v>-0.0471667135753825</v>
      </c>
      <c r="U673" s="30" t="n">
        <v>0.03382411577071</v>
      </c>
      <c r="V673" s="29" t="n">
        <v>-0.005</v>
      </c>
      <c r="W673" s="29" t="n">
        <f aca="false">IF(N(Q673)=0,"",Q673+IF(I673="yes",Q673*Inputs!$B$10*Inputs!$B$9,0)+V673)</f>
        <v>0.08</v>
      </c>
      <c r="X673" s="28" t="n">
        <f aca="false">IF(OR(N(W673)&lt;=0,N(N673)=0,N(L673)=0),"",MIN(L673,N673/W673))</f>
        <v>25</v>
      </c>
      <c r="Y673" s="29" t="n">
        <f aca="false">IF(OR(X673="",N(O673)=0),"",X673/O673-1)</f>
        <v>-0.00318979266347685</v>
      </c>
      <c r="Z673" s="29" t="n">
        <f aca="false">IF(OR(Y673="",N(O673)=0),"",Y673+N673/O673)</f>
        <v>0.0778010366826157</v>
      </c>
      <c r="AA673" s="32" t="n">
        <f aca="false">IF(OR(Z673="",N(U673)=0),"",Z673-U673)</f>
        <v>0.0439769209119057</v>
      </c>
      <c r="AB673" s="29" t="n">
        <f aca="false">IF(N(Q673)=0,"",Q673+IF(I673="yes",Q673*Inputs!$B$10*Inputs!$B$9,0)+IFERROR(INDEX(Inputs!$B$13:$B$15,MATCH(G673,Inputs!$A$13:$A$15,0)),0)+IFERROR(INDEX(Inputs!$B$18:$B$24,MATCH(H673,Inputs!$A$18:$A$24,0)),0))</f>
        <v>0.08</v>
      </c>
      <c r="AC673" s="28" t="n">
        <f aca="false">IF(OR(N(AB673)&lt;=0,N(N673)=0,N(L673)=0),"",MIN(L673,N673/AB673))</f>
        <v>25</v>
      </c>
      <c r="AD673" s="29" t="n">
        <f aca="false">IF(OR(AC673="",N(O673)=0),"",AC673/O673-1)</f>
        <v>-0.00318979266347685</v>
      </c>
      <c r="AE673" s="29" t="n">
        <f aca="false">IF(OR(AD673="",N(O673)=0),"",AD673+N673/O673)</f>
        <v>0.0778010366826157</v>
      </c>
      <c r="AF673" s="32" t="n">
        <f aca="false">IF(OR(AE673="",N(Z673)=0),"",AE673-Z673)</f>
        <v>0</v>
      </c>
      <c r="AG673" s="28" t="n">
        <f aca="false">IF(AND(N(M673)&gt;0,N(L673)&gt;0),M673*L673,N673)</f>
        <v>2.03125</v>
      </c>
      <c r="AH673" s="28" t="n">
        <f aca="false">IF(OR(N(AB673)&lt;=0,N(AG673)=0,N(L673)=0),"",MIN(L673,AG673/AB673))</f>
        <v>25</v>
      </c>
      <c r="AI673" s="29" t="n">
        <f aca="false">IF(OR(AH673="",N(O673)=0),"",AH673/O673-1)</f>
        <v>-0.00318979266347685</v>
      </c>
      <c r="AJ673" s="29" t="n">
        <f aca="false">IF(OR(AI673="",N(O673)=0),"",AI673+AG673/O673)</f>
        <v>0.0778010366826157</v>
      </c>
      <c r="AK673" s="32" t="n">
        <f aca="false">IF(OR(AJ673="",N(AE673)=0),"",AJ673-AE673)</f>
        <v>0</v>
      </c>
      <c r="AL673" s="33" t="n">
        <f aca="false">IF(N(F673)=0,"",INDEX(Inputs!$B$28:$B$32,IFERROR(MATCH(F673,Inputs!$A$28:$A$32,1),0)+1))</f>
        <v>0.09</v>
      </c>
      <c r="AM673" s="34"/>
      <c r="AN673" s="33" t="n">
        <f aca="false">IF(N(AM673)&gt;0,AM673,AL673)</f>
        <v>0.09</v>
      </c>
      <c r="AO673" s="29" t="n">
        <f aca="false">IF(N(AN673)=0,"",AN673+IF(I673="yes",AN673*Inputs!$B$10*Inputs!$B$9,0)+IFERROR(INDEX(Inputs!$B$13:$B$15,MATCH(G673,Inputs!$A$13:$A$15,0)),0)+IFERROR(INDEX(Inputs!$B$18:$B$24,MATCH(H673,Inputs!$A$18:$A$24,0)),0))</f>
        <v>0.085</v>
      </c>
      <c r="AP673" s="28" t="n">
        <f aca="false">IF(OR(N(AO673)&lt;=0,N(AG673)=0,N(L673)=0),"",MIN(L673,AG673/AO673))</f>
        <v>23.8970588235294</v>
      </c>
      <c r="AQ673" s="29" t="n">
        <f aca="false">IF(OR(AP673="",N(O673)=0),"",AP673/O673-1)</f>
        <v>-0.0471667135753822</v>
      </c>
      <c r="AR673" s="29" t="n">
        <f aca="false">IF(OR(AQ673="",N(O673)=0),"",AQ673+AG673/O673)</f>
        <v>0.0338241157707104</v>
      </c>
      <c r="AS673" s="32" t="n">
        <f aca="false">IF(OR(AR673="",N(AJ673)=0),"",AR673-AJ673)</f>
        <v>-0.0439769209119053</v>
      </c>
      <c r="AT673" s="28" t="n">
        <v>25</v>
      </c>
      <c r="AU673" s="28" t="n">
        <v>2.03125</v>
      </c>
      <c r="AV673" s="28" t="n">
        <f aca="false">IF(N(AT673)&gt;0,AT673,L673)</f>
        <v>25</v>
      </c>
      <c r="AW673" s="28" t="n">
        <f aca="false">IF(AND(N(M673)&gt;0,N(AV673)&gt;0),M673*AV673,IF(N(AU673)&gt;0,AU673,N673))</f>
        <v>2.03125</v>
      </c>
      <c r="AX673" s="29" t="n">
        <f aca="false">IF(N(AN673)=0,"",AN673+IF(I673="yes",AN673*Inputs!$B$10*Inputs!$B$9,0)+IFERROR(INDEX(Inputs!$B$13:$B$15,MATCH(G673,Inputs!$A$13:$A$15,0)),0)+IFERROR(INDEX(Inputs!$B$18:$B$24,MATCH(H673,Inputs!$A$18:$A$24,0)),0))</f>
        <v>0.085</v>
      </c>
      <c r="AY673" s="28" t="n">
        <f aca="false">IF(OR(N(AX673)&lt;=0,N(AW673)=0,N(AV673)=0),"",MIN(AV673,AW673/AX673))</f>
        <v>23.8970588235294</v>
      </c>
      <c r="AZ673" s="29" t="n">
        <f aca="false">IF(OR(AY673="",N(O673)=0),"",AY673/O673-1)</f>
        <v>-0.0471667135753822</v>
      </c>
      <c r="BA673" s="29" t="n">
        <f aca="false">IF(OR(AZ673="",N(O673)=0),"",AZ673+AW673/O673)</f>
        <v>0.0338241157707104</v>
      </c>
      <c r="BB673" s="32" t="n">
        <f aca="false">IF(OR(BA673="",N(AR673)=0),"",BA673-AR673)</f>
        <v>0</v>
      </c>
      <c r="BC673" s="35" t="n">
        <f aca="false">IF(OR(BA673="",N(U673)=0),"",BA673-U673)</f>
        <v>3.46944695195361E-016</v>
      </c>
      <c r="BD673" s="36" t="s">
        <v>224</v>
      </c>
    </row>
    <row r="674" customFormat="false" ht="15" hidden="false" customHeight="false" outlineLevel="0" collapsed="false">
      <c r="A674" s="2" t="s">
        <v>1067</v>
      </c>
      <c r="B674" s="2" t="n">
        <v>356</v>
      </c>
      <c r="C674" s="2" t="s">
        <v>1349</v>
      </c>
      <c r="D674" s="2" t="s">
        <v>1345</v>
      </c>
      <c r="E674" s="2" t="s">
        <v>1346</v>
      </c>
      <c r="F674" s="27" t="n">
        <v>301</v>
      </c>
      <c r="G674" s="2" t="s">
        <v>52</v>
      </c>
      <c r="H674" s="2" t="s">
        <v>58</v>
      </c>
      <c r="I674" s="2" t="s">
        <v>144</v>
      </c>
      <c r="J674" s="2" t="s">
        <v>145</v>
      </c>
      <c r="K674" s="2" t="n">
        <v>4</v>
      </c>
      <c r="L674" s="28" t="n">
        <v>25</v>
      </c>
      <c r="M674" s="29" t="n">
        <v>0.085</v>
      </c>
      <c r="N674" s="28" t="n">
        <v>2.125</v>
      </c>
      <c r="O674" s="28" t="n">
        <v>25.19</v>
      </c>
      <c r="P674" s="2" t="s">
        <v>223</v>
      </c>
      <c r="Q674" s="29" t="n">
        <v>0.085</v>
      </c>
      <c r="R674" s="30" t="n">
        <v>0.085</v>
      </c>
      <c r="S674" s="31" t="n">
        <v>25</v>
      </c>
      <c r="T674" s="30" t="n">
        <v>-0.0075426756649466</v>
      </c>
      <c r="U674" s="30" t="n">
        <v>0.076816196903533</v>
      </c>
      <c r="V674" s="29" t="n">
        <v>-0.005</v>
      </c>
      <c r="W674" s="29" t="n">
        <f aca="false">IF(N(Q674)=0,"",Q674+IF(I674="yes",Q674*Inputs!$B$10*Inputs!$B$9,0)+V674)</f>
        <v>0.08</v>
      </c>
      <c r="X674" s="28" t="n">
        <f aca="false">IF(OR(N(W674)&lt;=0,N(N674)=0,N(L674)=0),"",MIN(L674,N674/W674))</f>
        <v>25</v>
      </c>
      <c r="Y674" s="29" t="n">
        <f aca="false">IF(OR(X674="",N(O674)=0),"",X674/O674-1)</f>
        <v>-0.00754267566494649</v>
      </c>
      <c r="Z674" s="29" t="n">
        <f aca="false">IF(OR(Y674="",N(O674)=0),"",Y674+N674/O674)</f>
        <v>0.0768161969035331</v>
      </c>
      <c r="AA674" s="32" t="n">
        <f aca="false">IF(OR(Z674="",N(U674)=0),"",Z674-U674)</f>
        <v>0</v>
      </c>
      <c r="AB674" s="29" t="n">
        <f aca="false">IF(N(Q674)=0,"",Q674+IF(I674="yes",Q674*Inputs!$B$10*Inputs!$B$9,0)+IFERROR(INDEX(Inputs!$B$13:$B$15,MATCH(G674,Inputs!$A$13:$A$15,0)),0)+IFERROR(INDEX(Inputs!$B$18:$B$24,MATCH(H674,Inputs!$A$18:$A$24,0)),0))</f>
        <v>0.08</v>
      </c>
      <c r="AC674" s="28" t="n">
        <f aca="false">IF(OR(N(AB674)&lt;=0,N(N674)=0,N(L674)=0),"",MIN(L674,N674/AB674))</f>
        <v>25</v>
      </c>
      <c r="AD674" s="29" t="n">
        <f aca="false">IF(OR(AC674="",N(O674)=0),"",AC674/O674-1)</f>
        <v>-0.00754267566494649</v>
      </c>
      <c r="AE674" s="29" t="n">
        <f aca="false">IF(OR(AD674="",N(O674)=0),"",AD674+N674/O674)</f>
        <v>0.0768161969035331</v>
      </c>
      <c r="AF674" s="32" t="n">
        <f aca="false">IF(OR(AE674="",N(Z674)=0),"",AE674-Z674)</f>
        <v>0</v>
      </c>
      <c r="AG674" s="28" t="n">
        <f aca="false">IF(AND(N(M674)&gt;0,N(L674)&gt;0),M674*L674,N674)</f>
        <v>2.125</v>
      </c>
      <c r="AH674" s="28" t="n">
        <f aca="false">IF(OR(N(AB674)&lt;=0,N(AG674)=0,N(L674)=0),"",MIN(L674,AG674/AB674))</f>
        <v>25</v>
      </c>
      <c r="AI674" s="29" t="n">
        <f aca="false">IF(OR(AH674="",N(O674)=0),"",AH674/O674-1)</f>
        <v>-0.00754267566494649</v>
      </c>
      <c r="AJ674" s="29" t="n">
        <f aca="false">IF(OR(AI674="",N(O674)=0),"",AI674+AG674/O674)</f>
        <v>0.0768161969035331</v>
      </c>
      <c r="AK674" s="32" t="n">
        <f aca="false">IF(OR(AJ674="",N(AE674)=0),"",AJ674-AE674)</f>
        <v>0</v>
      </c>
      <c r="AL674" s="33" t="n">
        <f aca="false">IF(N(F674)=0,"",INDEX(Inputs!$B$28:$B$32,IFERROR(MATCH(F674,Inputs!$A$28:$A$32,1),0)+1))</f>
        <v>0.09</v>
      </c>
      <c r="AM674" s="34"/>
      <c r="AN674" s="33" t="n">
        <f aca="false">IF(N(AM674)&gt;0,AM674,AL674)</f>
        <v>0.09</v>
      </c>
      <c r="AO674" s="29" t="n">
        <f aca="false">IF(N(AN674)=0,"",AN674+IF(I674="yes",AN674*Inputs!$B$10*Inputs!$B$9,0)+IFERROR(INDEX(Inputs!$B$13:$B$15,MATCH(G674,Inputs!$A$13:$A$15,0)),0)+IFERROR(INDEX(Inputs!$B$18:$B$24,MATCH(H674,Inputs!$A$18:$A$24,0)),0))</f>
        <v>0.085</v>
      </c>
      <c r="AP674" s="28" t="n">
        <f aca="false">IF(OR(N(AO674)&lt;=0,N(AG674)=0,N(L674)=0),"",MIN(L674,AG674/AO674))</f>
        <v>25</v>
      </c>
      <c r="AQ674" s="29" t="n">
        <f aca="false">IF(OR(AP674="",N(O674)=0),"",AP674/O674-1)</f>
        <v>-0.00754267566494649</v>
      </c>
      <c r="AR674" s="29" t="n">
        <f aca="false">IF(OR(AQ674="",N(O674)=0),"",AQ674+AG674/O674)</f>
        <v>0.0768161969035331</v>
      </c>
      <c r="AS674" s="32" t="n">
        <f aca="false">IF(OR(AR674="",N(AJ674)=0),"",AR674-AJ674)</f>
        <v>0</v>
      </c>
      <c r="AT674" s="28" t="n">
        <v>25</v>
      </c>
      <c r="AU674" s="28" t="n">
        <v>2.125</v>
      </c>
      <c r="AV674" s="28" t="n">
        <f aca="false">IF(N(AT674)&gt;0,AT674,L674)</f>
        <v>25</v>
      </c>
      <c r="AW674" s="28" t="n">
        <f aca="false">IF(AND(N(M674)&gt;0,N(AV674)&gt;0),M674*AV674,IF(N(AU674)&gt;0,AU674,N674))</f>
        <v>2.125</v>
      </c>
      <c r="AX674" s="29" t="n">
        <f aca="false">IF(N(AN674)=0,"",AN674+IF(I674="yes",AN674*Inputs!$B$10*Inputs!$B$9,0)+IFERROR(INDEX(Inputs!$B$13:$B$15,MATCH(G674,Inputs!$A$13:$A$15,0)),0)+IFERROR(INDEX(Inputs!$B$18:$B$24,MATCH(H674,Inputs!$A$18:$A$24,0)),0))</f>
        <v>0.085</v>
      </c>
      <c r="AY674" s="28" t="n">
        <f aca="false">IF(OR(N(AX674)&lt;=0,N(AW674)=0,N(AV674)=0),"",MIN(AV674,AW674/AX674))</f>
        <v>25</v>
      </c>
      <c r="AZ674" s="29" t="n">
        <f aca="false">IF(OR(AY674="",N(O674)=0),"",AY674/O674-1)</f>
        <v>-0.00754267566494649</v>
      </c>
      <c r="BA674" s="29" t="n">
        <f aca="false">IF(OR(AZ674="",N(O674)=0),"",AZ674+AW674/O674)</f>
        <v>0.0768161969035331</v>
      </c>
      <c r="BB674" s="32" t="n">
        <f aca="false">IF(OR(BA674="",N(AR674)=0),"",BA674-AR674)</f>
        <v>0</v>
      </c>
      <c r="BC674" s="35" t="n">
        <f aca="false">IF(OR(BA674="",N(U674)=0),"",BA674-U674)</f>
        <v>0</v>
      </c>
      <c r="BD674" s="36" t="s">
        <v>224</v>
      </c>
    </row>
    <row r="675" customFormat="false" ht="15" hidden="false" customHeight="false" outlineLevel="0" collapsed="false">
      <c r="A675" s="2" t="s">
        <v>1067</v>
      </c>
      <c r="B675" s="2" t="n">
        <v>360</v>
      </c>
      <c r="C675" s="2" t="s">
        <v>1350</v>
      </c>
      <c r="D675" s="2" t="s">
        <v>1351</v>
      </c>
      <c r="E675" s="2" t="s">
        <v>1352</v>
      </c>
      <c r="F675" s="27" t="n">
        <v>843</v>
      </c>
      <c r="G675" s="2" t="s">
        <v>51</v>
      </c>
      <c r="H675" s="2" t="s">
        <v>58</v>
      </c>
      <c r="I675" s="2" t="s">
        <v>151</v>
      </c>
      <c r="J675" s="2" t="s">
        <v>145</v>
      </c>
      <c r="K675" s="2" t="n">
        <v>4</v>
      </c>
      <c r="L675" s="28" t="n">
        <v>25</v>
      </c>
      <c r="M675" s="29" t="n">
        <v>0.08</v>
      </c>
      <c r="N675" s="28" t="n">
        <v>2</v>
      </c>
      <c r="O675" s="28" t="n">
        <v>26.5</v>
      </c>
      <c r="P675" s="2" t="s">
        <v>146</v>
      </c>
      <c r="Q675" s="29" t="n">
        <v>0.1</v>
      </c>
      <c r="R675" s="30" t="n">
        <v>0.095</v>
      </c>
      <c r="S675" s="31" t="n">
        <v>21.0526315789474</v>
      </c>
      <c r="T675" s="30" t="n">
        <v>-0.205561072492552</v>
      </c>
      <c r="U675" s="30" t="n">
        <v>-0.130089374379345</v>
      </c>
      <c r="V675" s="29" t="n">
        <v>0</v>
      </c>
      <c r="W675" s="29" t="n">
        <f aca="false">IF(N(Q675)=0,"",Q675+IF(I675="yes",Q675*Inputs!$B$10*Inputs!$B$9,0)+V675)</f>
        <v>0.095</v>
      </c>
      <c r="X675" s="28" t="n">
        <f aca="false">IF(OR(N(W675)&lt;=0,N(N675)=0,N(L675)=0),"",MIN(L675,N675/W675))</f>
        <v>21.0526315789474</v>
      </c>
      <c r="Y675" s="29" t="n">
        <f aca="false">IF(OR(X675="",N(O675)=0),"",X675/O675-1)</f>
        <v>-0.205561072492552</v>
      </c>
      <c r="Z675" s="29" t="n">
        <f aca="false">IF(OR(Y675="",N(O675)=0),"",Y675+N675/O675)</f>
        <v>-0.130089374379345</v>
      </c>
      <c r="AA675" s="32" t="n">
        <f aca="false">IF(OR(Z675="",N(U675)=0),"",Z675-U675)</f>
        <v>0</v>
      </c>
      <c r="AB675" s="29" t="n">
        <f aca="false">IF(N(Q675)=0,"",Q675+IF(I675="yes",Q675*Inputs!$B$10*Inputs!$B$9,0)+IFERROR(INDEX(Inputs!$B$13:$B$15,MATCH(G675,Inputs!$A$13:$A$15,0)),0)+IFERROR(INDEX(Inputs!$B$18:$B$24,MATCH(H675,Inputs!$A$18:$A$24,0)),0))</f>
        <v>0.095</v>
      </c>
      <c r="AC675" s="28" t="n">
        <f aca="false">IF(OR(N(AB675)&lt;=0,N(N675)=0,N(L675)=0),"",MIN(L675,N675/AB675))</f>
        <v>21.0526315789474</v>
      </c>
      <c r="AD675" s="29" t="n">
        <f aca="false">IF(OR(AC675="",N(O675)=0),"",AC675/O675-1)</f>
        <v>-0.205561072492552</v>
      </c>
      <c r="AE675" s="29" t="n">
        <f aca="false">IF(OR(AD675="",N(O675)=0),"",AD675+N675/O675)</f>
        <v>-0.130089374379345</v>
      </c>
      <c r="AF675" s="32" t="n">
        <f aca="false">IF(OR(AE675="",N(Z675)=0),"",AE675-Z675)</f>
        <v>0</v>
      </c>
      <c r="AG675" s="28" t="n">
        <f aca="false">IF(AND(N(M675)&gt;0,N(L675)&gt;0),M675*L675,N675)</f>
        <v>2</v>
      </c>
      <c r="AH675" s="28" t="n">
        <f aca="false">IF(OR(N(AB675)&lt;=0,N(AG675)=0,N(L675)=0),"",MIN(L675,AG675/AB675))</f>
        <v>21.0526315789474</v>
      </c>
      <c r="AI675" s="29" t="n">
        <f aca="false">IF(OR(AH675="",N(O675)=0),"",AH675/O675-1)</f>
        <v>-0.205561072492552</v>
      </c>
      <c r="AJ675" s="29" t="n">
        <f aca="false">IF(OR(AI675="",N(O675)=0),"",AI675+AG675/O675)</f>
        <v>-0.130089374379345</v>
      </c>
      <c r="AK675" s="32" t="n">
        <f aca="false">IF(OR(AJ675="",N(AE675)=0),"",AJ675-AE675)</f>
        <v>0</v>
      </c>
      <c r="AL675" s="33" t="n">
        <f aca="false">IF(N(F675)=0,"",INDEX(Inputs!$B$28:$B$32,IFERROR(MATCH(F675,Inputs!$A$28:$A$32,1),0)+1))</f>
        <v>0.09</v>
      </c>
      <c r="AM675" s="34"/>
      <c r="AN675" s="33" t="n">
        <f aca="false">IF(N(AM675)&gt;0,AM675,AL675)</f>
        <v>0.09</v>
      </c>
      <c r="AO675" s="29" t="n">
        <f aca="false">IF(N(AN675)=0,"",AN675+IF(I675="yes",AN675*Inputs!$B$10*Inputs!$B$9,0)+IFERROR(INDEX(Inputs!$B$13:$B$15,MATCH(G675,Inputs!$A$13:$A$15,0)),0)+IFERROR(INDEX(Inputs!$B$18:$B$24,MATCH(H675,Inputs!$A$18:$A$24,0)),0))</f>
        <v>0.0855</v>
      </c>
      <c r="AP675" s="28" t="n">
        <f aca="false">IF(OR(N(AO675)&lt;=0,N(AG675)=0,N(L675)=0),"",MIN(L675,AG675/AO675))</f>
        <v>23.3918128654971</v>
      </c>
      <c r="AQ675" s="29" t="n">
        <f aca="false">IF(OR(AP675="",N(O675)=0),"",AP675/O675-1)</f>
        <v>-0.11729008054728</v>
      </c>
      <c r="AR675" s="29" t="n">
        <f aca="false">IF(OR(AQ675="",N(O675)=0),"",AQ675+AG675/O675)</f>
        <v>-0.0418183824340726</v>
      </c>
      <c r="AS675" s="32" t="n">
        <f aca="false">IF(OR(AR675="",N(AJ675)=0),"",AR675-AJ675)</f>
        <v>0.0882709919452719</v>
      </c>
      <c r="AT675" s="28" t="n">
        <v>25</v>
      </c>
      <c r="AU675" s="28" t="n">
        <v>2</v>
      </c>
      <c r="AV675" s="28" t="n">
        <f aca="false">IF(N(AT675)&gt;0,AT675,L675)</f>
        <v>25</v>
      </c>
      <c r="AW675" s="28" t="n">
        <f aca="false">IF(AND(N(M675)&gt;0,N(AV675)&gt;0),M675*AV675,IF(N(AU675)&gt;0,AU675,N675))</f>
        <v>2</v>
      </c>
      <c r="AX675" s="29" t="n">
        <f aca="false">IF(N(AN675)=0,"",AN675+IF(I675="yes",AN675*Inputs!$B$10*Inputs!$B$9,0)+IFERROR(INDEX(Inputs!$B$13:$B$15,MATCH(G675,Inputs!$A$13:$A$15,0)),0)+IFERROR(INDEX(Inputs!$B$18:$B$24,MATCH(H675,Inputs!$A$18:$A$24,0)),0))</f>
        <v>0.0855</v>
      </c>
      <c r="AY675" s="28" t="n">
        <f aca="false">IF(OR(N(AX675)&lt;=0,N(AW675)=0,N(AV675)=0),"",MIN(AV675,AW675/AX675))</f>
        <v>23.3918128654971</v>
      </c>
      <c r="AZ675" s="29" t="n">
        <f aca="false">IF(OR(AY675="",N(O675)=0),"",AY675/O675-1)</f>
        <v>-0.11729008054728</v>
      </c>
      <c r="BA675" s="29" t="n">
        <f aca="false">IF(OR(AZ675="",N(O675)=0),"",AZ675+AW675/O675)</f>
        <v>-0.0418183824340726</v>
      </c>
      <c r="BB675" s="32" t="n">
        <f aca="false">IF(OR(BA675="",N(AR675)=0),"",BA675-AR675)</f>
        <v>0</v>
      </c>
      <c r="BC675" s="35" t="n">
        <f aca="false">IF(OR(BA675="",N(U675)=0),"",BA675-U675)</f>
        <v>0.0882709919452719</v>
      </c>
      <c r="BD675" s="37"/>
    </row>
    <row r="676" customFormat="false" ht="15" hidden="false" customHeight="false" outlineLevel="0" collapsed="false">
      <c r="A676" s="2" t="s">
        <v>1067</v>
      </c>
      <c r="B676" s="2" t="n">
        <v>361</v>
      </c>
      <c r="C676" s="2" t="s">
        <v>1353</v>
      </c>
      <c r="D676" s="2" t="s">
        <v>1351</v>
      </c>
      <c r="E676" s="2" t="s">
        <v>1352</v>
      </c>
      <c r="F676" s="27" t="n">
        <v>843</v>
      </c>
      <c r="G676" s="2" t="s">
        <v>51</v>
      </c>
      <c r="H676" s="2" t="s">
        <v>58</v>
      </c>
      <c r="I676" s="2" t="s">
        <v>151</v>
      </c>
      <c r="J676" s="2" t="s">
        <v>145</v>
      </c>
      <c r="K676" s="2" t="n">
        <v>4</v>
      </c>
      <c r="L676" s="28" t="n">
        <v>25</v>
      </c>
      <c r="M676" s="29" t="n">
        <v>0.08</v>
      </c>
      <c r="N676" s="28" t="n">
        <v>2</v>
      </c>
      <c r="O676" s="28" t="n">
        <v>26.15</v>
      </c>
      <c r="P676" s="2" t="s">
        <v>146</v>
      </c>
      <c r="Q676" s="29" t="n">
        <v>0.1</v>
      </c>
      <c r="R676" s="30" t="n">
        <v>0.095</v>
      </c>
      <c r="S676" s="31" t="n">
        <v>21.0526315789474</v>
      </c>
      <c r="T676" s="30" t="n">
        <v>-0.194928046694173</v>
      </c>
      <c r="U676" s="30" t="n">
        <v>-0.11844621113012</v>
      </c>
      <c r="V676" s="29" t="n">
        <v>0</v>
      </c>
      <c r="W676" s="29" t="n">
        <f aca="false">IF(N(Q676)=0,"",Q676+IF(I676="yes",Q676*Inputs!$B$10*Inputs!$B$9,0)+V676)</f>
        <v>0.095</v>
      </c>
      <c r="X676" s="28" t="n">
        <f aca="false">IF(OR(N(W676)&lt;=0,N(N676)=0,N(L676)=0),"",MIN(L676,N676/W676))</f>
        <v>21.0526315789474</v>
      </c>
      <c r="Y676" s="29" t="n">
        <f aca="false">IF(OR(X676="",N(O676)=0),"",X676/O676-1)</f>
        <v>-0.194928046694173</v>
      </c>
      <c r="Z676" s="29" t="n">
        <f aca="false">IF(OR(Y676="",N(O676)=0),"",Y676+N676/O676)</f>
        <v>-0.11844621113012</v>
      </c>
      <c r="AA676" s="32" t="n">
        <f aca="false">IF(OR(Z676="",N(U676)=0),"",Z676-U676)</f>
        <v>0</v>
      </c>
      <c r="AB676" s="29" t="n">
        <f aca="false">IF(N(Q676)=0,"",Q676+IF(I676="yes",Q676*Inputs!$B$10*Inputs!$B$9,0)+IFERROR(INDEX(Inputs!$B$13:$B$15,MATCH(G676,Inputs!$A$13:$A$15,0)),0)+IFERROR(INDEX(Inputs!$B$18:$B$24,MATCH(H676,Inputs!$A$18:$A$24,0)),0))</f>
        <v>0.095</v>
      </c>
      <c r="AC676" s="28" t="n">
        <f aca="false">IF(OR(N(AB676)&lt;=0,N(N676)=0,N(L676)=0),"",MIN(L676,N676/AB676))</f>
        <v>21.0526315789474</v>
      </c>
      <c r="AD676" s="29" t="n">
        <f aca="false">IF(OR(AC676="",N(O676)=0),"",AC676/O676-1)</f>
        <v>-0.194928046694173</v>
      </c>
      <c r="AE676" s="29" t="n">
        <f aca="false">IF(OR(AD676="",N(O676)=0),"",AD676+N676/O676)</f>
        <v>-0.11844621113012</v>
      </c>
      <c r="AF676" s="32" t="n">
        <f aca="false">IF(OR(AE676="",N(Z676)=0),"",AE676-Z676)</f>
        <v>0</v>
      </c>
      <c r="AG676" s="28" t="n">
        <f aca="false">IF(AND(N(M676)&gt;0,N(L676)&gt;0),M676*L676,N676)</f>
        <v>2</v>
      </c>
      <c r="AH676" s="28" t="n">
        <f aca="false">IF(OR(N(AB676)&lt;=0,N(AG676)=0,N(L676)=0),"",MIN(L676,AG676/AB676))</f>
        <v>21.0526315789474</v>
      </c>
      <c r="AI676" s="29" t="n">
        <f aca="false">IF(OR(AH676="",N(O676)=0),"",AH676/O676-1)</f>
        <v>-0.194928046694173</v>
      </c>
      <c r="AJ676" s="29" t="n">
        <f aca="false">IF(OR(AI676="",N(O676)=0),"",AI676+AG676/O676)</f>
        <v>-0.11844621113012</v>
      </c>
      <c r="AK676" s="32" t="n">
        <f aca="false">IF(OR(AJ676="",N(AE676)=0),"",AJ676-AE676)</f>
        <v>0</v>
      </c>
      <c r="AL676" s="33" t="n">
        <f aca="false">IF(N(F676)=0,"",INDEX(Inputs!$B$28:$B$32,IFERROR(MATCH(F676,Inputs!$A$28:$A$32,1),0)+1))</f>
        <v>0.09</v>
      </c>
      <c r="AM676" s="34"/>
      <c r="AN676" s="33" t="n">
        <f aca="false">IF(N(AM676)&gt;0,AM676,AL676)</f>
        <v>0.09</v>
      </c>
      <c r="AO676" s="29" t="n">
        <f aca="false">IF(N(AN676)=0,"",AN676+IF(I676="yes",AN676*Inputs!$B$10*Inputs!$B$9,0)+IFERROR(INDEX(Inputs!$B$13:$B$15,MATCH(G676,Inputs!$A$13:$A$15,0)),0)+IFERROR(INDEX(Inputs!$B$18:$B$24,MATCH(H676,Inputs!$A$18:$A$24,0)),0))</f>
        <v>0.0855</v>
      </c>
      <c r="AP676" s="28" t="n">
        <f aca="false">IF(OR(N(AO676)&lt;=0,N(AG676)=0,N(L676)=0),"",MIN(L676,AG676/AO676))</f>
        <v>23.3918128654971</v>
      </c>
      <c r="AQ676" s="29" t="n">
        <f aca="false">IF(OR(AP676="",N(O676)=0),"",AP676/O676-1)</f>
        <v>-0.10547560743797</v>
      </c>
      <c r="AR676" s="29" t="n">
        <f aca="false">IF(OR(AQ676="",N(O676)=0),"",AQ676+AG676/O676)</f>
        <v>-0.0289937718739167</v>
      </c>
      <c r="AS676" s="32" t="n">
        <f aca="false">IF(OR(AR676="",N(AJ676)=0),"",AR676-AJ676)</f>
        <v>0.0894524392562029</v>
      </c>
      <c r="AT676" s="28" t="n">
        <v>25</v>
      </c>
      <c r="AU676" s="28" t="n">
        <v>2</v>
      </c>
      <c r="AV676" s="28" t="n">
        <f aca="false">IF(N(AT676)&gt;0,AT676,L676)</f>
        <v>25</v>
      </c>
      <c r="AW676" s="28" t="n">
        <f aca="false">IF(AND(N(M676)&gt;0,N(AV676)&gt;0),M676*AV676,IF(N(AU676)&gt;0,AU676,N676))</f>
        <v>2</v>
      </c>
      <c r="AX676" s="29" t="n">
        <f aca="false">IF(N(AN676)=0,"",AN676+IF(I676="yes",AN676*Inputs!$B$10*Inputs!$B$9,0)+IFERROR(INDEX(Inputs!$B$13:$B$15,MATCH(G676,Inputs!$A$13:$A$15,0)),0)+IFERROR(INDEX(Inputs!$B$18:$B$24,MATCH(H676,Inputs!$A$18:$A$24,0)),0))</f>
        <v>0.0855</v>
      </c>
      <c r="AY676" s="28" t="n">
        <f aca="false">IF(OR(N(AX676)&lt;=0,N(AW676)=0,N(AV676)=0),"",MIN(AV676,AW676/AX676))</f>
        <v>23.3918128654971</v>
      </c>
      <c r="AZ676" s="29" t="n">
        <f aca="false">IF(OR(AY676="",N(O676)=0),"",AY676/O676-1)</f>
        <v>-0.10547560743797</v>
      </c>
      <c r="BA676" s="29" t="n">
        <f aca="false">IF(OR(AZ676="",N(O676)=0),"",AZ676+AW676/O676)</f>
        <v>-0.0289937718739167</v>
      </c>
      <c r="BB676" s="32" t="n">
        <f aca="false">IF(OR(BA676="",N(AR676)=0),"",BA676-AR676)</f>
        <v>0</v>
      </c>
      <c r="BC676" s="35" t="n">
        <f aca="false">IF(OR(BA676="",N(U676)=0),"",BA676-U676)</f>
        <v>0.0894524392562031</v>
      </c>
      <c r="BD676" s="37"/>
    </row>
    <row r="677" customFormat="false" ht="15" hidden="false" customHeight="false" outlineLevel="0" collapsed="false">
      <c r="A677" s="2" t="s">
        <v>1067</v>
      </c>
      <c r="B677" s="2" t="n">
        <v>364</v>
      </c>
      <c r="C677" s="2" t="s">
        <v>1354</v>
      </c>
      <c r="D677" s="2" t="s">
        <v>1355</v>
      </c>
      <c r="E677" s="2" t="s">
        <v>1356</v>
      </c>
      <c r="F677" s="27" t="n">
        <v>189900</v>
      </c>
      <c r="G677" s="2" t="s">
        <v>51</v>
      </c>
      <c r="H677" s="2" t="s">
        <v>58</v>
      </c>
      <c r="I677" s="2" t="s">
        <v>151</v>
      </c>
      <c r="J677" s="2" t="s">
        <v>145</v>
      </c>
      <c r="K677" s="2" t="n">
        <v>4</v>
      </c>
      <c r="L677" s="28" t="n">
        <v>25</v>
      </c>
      <c r="M677" s="29" t="n">
        <v>0.0595</v>
      </c>
      <c r="N677" s="28" t="n">
        <v>1.4875</v>
      </c>
      <c r="O677" s="28" t="n">
        <v>23.64</v>
      </c>
      <c r="P677" s="2" t="s">
        <v>146</v>
      </c>
      <c r="Q677" s="29" t="n">
        <v>0.08</v>
      </c>
      <c r="R677" s="30" t="n">
        <v>0.076</v>
      </c>
      <c r="S677" s="31" t="n">
        <v>19.5723684210526</v>
      </c>
      <c r="T677" s="30" t="n">
        <v>-0.172065633627215</v>
      </c>
      <c r="U677" s="30" t="n">
        <v>-0.109142621782884</v>
      </c>
      <c r="V677" s="29" t="n">
        <v>0</v>
      </c>
      <c r="W677" s="29" t="n">
        <f aca="false">IF(N(Q677)=0,"",Q677+IF(I677="yes",Q677*Inputs!$B$10*Inputs!$B$9,0)+V677)</f>
        <v>0.076</v>
      </c>
      <c r="X677" s="28" t="n">
        <f aca="false">IF(OR(N(W677)&lt;=0,N(N677)=0,N(L677)=0),"",MIN(L677,N677/W677))</f>
        <v>19.5723684210526</v>
      </c>
      <c r="Y677" s="29" t="n">
        <f aca="false">IF(OR(X677="",N(O677)=0),"",X677/O677-1)</f>
        <v>-0.172065633627215</v>
      </c>
      <c r="Z677" s="29" t="n">
        <f aca="false">IF(OR(Y677="",N(O677)=0),"",Y677+N677/O677)</f>
        <v>-0.109142621782884</v>
      </c>
      <c r="AA677" s="32" t="n">
        <f aca="false">IF(OR(Z677="",N(U677)=0),"",Z677-U677)</f>
        <v>0</v>
      </c>
      <c r="AB677" s="29" t="n">
        <f aca="false">IF(N(Q677)=0,"",Q677+IF(I677="yes",Q677*Inputs!$B$10*Inputs!$B$9,0)+IFERROR(INDEX(Inputs!$B$13:$B$15,MATCH(G677,Inputs!$A$13:$A$15,0)),0)+IFERROR(INDEX(Inputs!$B$18:$B$24,MATCH(H677,Inputs!$A$18:$A$24,0)),0))</f>
        <v>0.076</v>
      </c>
      <c r="AC677" s="28" t="n">
        <f aca="false">IF(OR(N(AB677)&lt;=0,N(N677)=0,N(L677)=0),"",MIN(L677,N677/AB677))</f>
        <v>19.5723684210526</v>
      </c>
      <c r="AD677" s="29" t="n">
        <f aca="false">IF(OR(AC677="",N(O677)=0),"",AC677/O677-1)</f>
        <v>-0.172065633627215</v>
      </c>
      <c r="AE677" s="29" t="n">
        <f aca="false">IF(OR(AD677="",N(O677)=0),"",AD677+N677/O677)</f>
        <v>-0.109142621782884</v>
      </c>
      <c r="AF677" s="32" t="n">
        <f aca="false">IF(OR(AE677="",N(Z677)=0),"",AE677-Z677)</f>
        <v>0</v>
      </c>
      <c r="AG677" s="28" t="n">
        <f aca="false">IF(AND(N(M677)&gt;0,N(L677)&gt;0),M677*L677,N677)</f>
        <v>1.4875</v>
      </c>
      <c r="AH677" s="28" t="n">
        <f aca="false">IF(OR(N(AB677)&lt;=0,N(AG677)=0,N(L677)=0),"",MIN(L677,AG677/AB677))</f>
        <v>19.5723684210526</v>
      </c>
      <c r="AI677" s="29" t="n">
        <f aca="false">IF(OR(AH677="",N(O677)=0),"",AH677/O677-1)</f>
        <v>-0.172065633627215</v>
      </c>
      <c r="AJ677" s="29" t="n">
        <f aca="false">IF(OR(AI677="",N(O677)=0),"",AI677+AG677/O677)</f>
        <v>-0.109142621782884</v>
      </c>
      <c r="AK677" s="32" t="n">
        <f aca="false">IF(OR(AJ677="",N(AE677)=0),"",AJ677-AE677)</f>
        <v>0</v>
      </c>
      <c r="AL677" s="33" t="n">
        <f aca="false">IF(N(F677)=0,"",INDEX(Inputs!$B$28:$B$32,IFERROR(MATCH(F677,Inputs!$A$28:$A$32,1),0)+1))</f>
        <v>0.075</v>
      </c>
      <c r="AM677" s="34"/>
      <c r="AN677" s="33" t="n">
        <f aca="false">IF(N(AM677)&gt;0,AM677,AL677)</f>
        <v>0.075</v>
      </c>
      <c r="AO677" s="29" t="n">
        <f aca="false">IF(N(AN677)=0,"",AN677+IF(I677="yes",AN677*Inputs!$B$10*Inputs!$B$9,0)+IFERROR(INDEX(Inputs!$B$13:$B$15,MATCH(G677,Inputs!$A$13:$A$15,0)),0)+IFERROR(INDEX(Inputs!$B$18:$B$24,MATCH(H677,Inputs!$A$18:$A$24,0)),0))</f>
        <v>0.07125</v>
      </c>
      <c r="AP677" s="28" t="n">
        <f aca="false">IF(OR(N(AO677)&lt;=0,N(AG677)=0,N(L677)=0),"",MIN(L677,AG677/AO677))</f>
        <v>20.8771929824561</v>
      </c>
      <c r="AQ677" s="29" t="n">
        <f aca="false">IF(OR(AP677="",N(O677)=0),"",AP677/O677-1)</f>
        <v>-0.116870009202363</v>
      </c>
      <c r="AR677" s="29" t="n">
        <f aca="false">IF(OR(AQ677="",N(O677)=0),"",AQ677+AG677/O677)</f>
        <v>-0.0539469973580313</v>
      </c>
      <c r="AS677" s="32" t="n">
        <f aca="false">IF(OR(AR677="",N(AJ677)=0),"",AR677-AJ677)</f>
        <v>0.0551956244248524</v>
      </c>
      <c r="AT677" s="28" t="n">
        <v>25</v>
      </c>
      <c r="AU677" s="28" t="n">
        <v>1.49</v>
      </c>
      <c r="AV677" s="28" t="n">
        <f aca="false">IF(N(AT677)&gt;0,AT677,L677)</f>
        <v>25</v>
      </c>
      <c r="AW677" s="28" t="n">
        <f aca="false">IF(AND(N(M677)&gt;0,N(AV677)&gt;0),M677*AV677,IF(N(AU677)&gt;0,AU677,N677))</f>
        <v>1.4875</v>
      </c>
      <c r="AX677" s="29" t="n">
        <f aca="false">IF(N(AN677)=0,"",AN677+IF(I677="yes",AN677*Inputs!$B$10*Inputs!$B$9,0)+IFERROR(INDEX(Inputs!$B$13:$B$15,MATCH(G677,Inputs!$A$13:$A$15,0)),0)+IFERROR(INDEX(Inputs!$B$18:$B$24,MATCH(H677,Inputs!$A$18:$A$24,0)),0))</f>
        <v>0.07125</v>
      </c>
      <c r="AY677" s="28" t="n">
        <f aca="false">IF(OR(N(AX677)&lt;=0,N(AW677)=0,N(AV677)=0),"",MIN(AV677,AW677/AX677))</f>
        <v>20.8771929824561</v>
      </c>
      <c r="AZ677" s="29" t="n">
        <f aca="false">IF(OR(AY677="",N(O677)=0),"",AY677/O677-1)</f>
        <v>-0.116870009202363</v>
      </c>
      <c r="BA677" s="29" t="n">
        <f aca="false">IF(OR(AZ677="",N(O677)=0),"",AZ677+AW677/O677)</f>
        <v>-0.0539469973580313</v>
      </c>
      <c r="BB677" s="32" t="n">
        <f aca="false">IF(OR(BA677="",N(AR677)=0),"",BA677-AR677)</f>
        <v>0</v>
      </c>
      <c r="BC677" s="35" t="n">
        <f aca="false">IF(OR(BA677="",N(U677)=0),"",BA677-U677)</f>
        <v>0.0551956244248522</v>
      </c>
      <c r="BD677" s="37"/>
    </row>
    <row r="678" customFormat="false" ht="15" hidden="false" customHeight="false" outlineLevel="0" collapsed="false">
      <c r="A678" s="2" t="s">
        <v>1067</v>
      </c>
      <c r="B678" s="2" t="n">
        <v>365</v>
      </c>
      <c r="C678" s="2" t="s">
        <v>1357</v>
      </c>
      <c r="D678" s="2" t="s">
        <v>1355</v>
      </c>
      <c r="E678" s="2" t="s">
        <v>1356</v>
      </c>
      <c r="F678" s="27" t="n">
        <v>189900</v>
      </c>
      <c r="G678" s="2" t="s">
        <v>51</v>
      </c>
      <c r="H678" s="2" t="s">
        <v>58</v>
      </c>
      <c r="I678" s="2" t="s">
        <v>151</v>
      </c>
      <c r="J678" s="2" t="s">
        <v>145</v>
      </c>
      <c r="K678" s="2" t="n">
        <v>4</v>
      </c>
      <c r="L678" s="28" t="n">
        <v>25</v>
      </c>
      <c r="M678" s="29" t="n">
        <v>0.0445</v>
      </c>
      <c r="N678" s="28" t="n">
        <v>1.1125</v>
      </c>
      <c r="O678" s="28" t="n">
        <v>16.9</v>
      </c>
      <c r="P678" s="2" t="s">
        <v>146</v>
      </c>
      <c r="Q678" s="29" t="n">
        <v>0.08</v>
      </c>
      <c r="R678" s="30" t="n">
        <v>0.076</v>
      </c>
      <c r="S678" s="31" t="n">
        <v>14.6381578947368</v>
      </c>
      <c r="T678" s="30" t="n">
        <v>-0.133836810962317</v>
      </c>
      <c r="U678" s="30" t="n">
        <v>-0.068008408595453</v>
      </c>
      <c r="V678" s="29" t="n">
        <v>0</v>
      </c>
      <c r="W678" s="29" t="n">
        <f aca="false">IF(N(Q678)=0,"",Q678+IF(I678="yes",Q678*Inputs!$B$10*Inputs!$B$9,0)+V678)</f>
        <v>0.076</v>
      </c>
      <c r="X678" s="28" t="n">
        <f aca="false">IF(OR(N(W678)&lt;=0,N(N678)=0,N(L678)=0),"",MIN(L678,N678/W678))</f>
        <v>14.6381578947368</v>
      </c>
      <c r="Y678" s="29" t="n">
        <f aca="false">IF(OR(X678="",N(O678)=0),"",X678/O678-1)</f>
        <v>-0.133836810962317</v>
      </c>
      <c r="Z678" s="29" t="n">
        <f aca="false">IF(OR(Y678="",N(O678)=0),"",Y678+N678/O678)</f>
        <v>-0.068008408595453</v>
      </c>
      <c r="AA678" s="32" t="n">
        <f aca="false">IF(OR(Z678="",N(U678)=0),"",Z678-U678)</f>
        <v>0</v>
      </c>
      <c r="AB678" s="29" t="n">
        <f aca="false">IF(N(Q678)=0,"",Q678+IF(I678="yes",Q678*Inputs!$B$10*Inputs!$B$9,0)+IFERROR(INDEX(Inputs!$B$13:$B$15,MATCH(G678,Inputs!$A$13:$A$15,0)),0)+IFERROR(INDEX(Inputs!$B$18:$B$24,MATCH(H678,Inputs!$A$18:$A$24,0)),0))</f>
        <v>0.076</v>
      </c>
      <c r="AC678" s="28" t="n">
        <f aca="false">IF(OR(N(AB678)&lt;=0,N(N678)=0,N(L678)=0),"",MIN(L678,N678/AB678))</f>
        <v>14.6381578947368</v>
      </c>
      <c r="AD678" s="29" t="n">
        <f aca="false">IF(OR(AC678="",N(O678)=0),"",AC678/O678-1)</f>
        <v>-0.133836810962317</v>
      </c>
      <c r="AE678" s="29" t="n">
        <f aca="false">IF(OR(AD678="",N(O678)=0),"",AD678+N678/O678)</f>
        <v>-0.068008408595453</v>
      </c>
      <c r="AF678" s="32" t="n">
        <f aca="false">IF(OR(AE678="",N(Z678)=0),"",AE678-Z678)</f>
        <v>0</v>
      </c>
      <c r="AG678" s="28" t="n">
        <f aca="false">IF(AND(N(M678)&gt;0,N(L678)&gt;0),M678*L678,N678)</f>
        <v>1.1125</v>
      </c>
      <c r="AH678" s="28" t="n">
        <f aca="false">IF(OR(N(AB678)&lt;=0,N(AG678)=0,N(L678)=0),"",MIN(L678,AG678/AB678))</f>
        <v>14.6381578947368</v>
      </c>
      <c r="AI678" s="29" t="n">
        <f aca="false">IF(OR(AH678="",N(O678)=0),"",AH678/O678-1)</f>
        <v>-0.133836810962317</v>
      </c>
      <c r="AJ678" s="29" t="n">
        <f aca="false">IF(OR(AI678="",N(O678)=0),"",AI678+AG678/O678)</f>
        <v>-0.068008408595453</v>
      </c>
      <c r="AK678" s="32" t="n">
        <f aca="false">IF(OR(AJ678="",N(AE678)=0),"",AJ678-AE678)</f>
        <v>0</v>
      </c>
      <c r="AL678" s="33" t="n">
        <f aca="false">IF(N(F678)=0,"",INDEX(Inputs!$B$28:$B$32,IFERROR(MATCH(F678,Inputs!$A$28:$A$32,1),0)+1))</f>
        <v>0.075</v>
      </c>
      <c r="AM678" s="34"/>
      <c r="AN678" s="33" t="n">
        <f aca="false">IF(N(AM678)&gt;0,AM678,AL678)</f>
        <v>0.075</v>
      </c>
      <c r="AO678" s="29" t="n">
        <f aca="false">IF(N(AN678)=0,"",AN678+IF(I678="yes",AN678*Inputs!$B$10*Inputs!$B$9,0)+IFERROR(INDEX(Inputs!$B$13:$B$15,MATCH(G678,Inputs!$A$13:$A$15,0)),0)+IFERROR(INDEX(Inputs!$B$18:$B$24,MATCH(H678,Inputs!$A$18:$A$24,0)),0))</f>
        <v>0.07125</v>
      </c>
      <c r="AP678" s="28" t="n">
        <f aca="false">IF(OR(N(AO678)&lt;=0,N(AG678)=0,N(L678)=0),"",MIN(L678,AG678/AO678))</f>
        <v>15.6140350877193</v>
      </c>
      <c r="AQ678" s="29" t="n">
        <f aca="false">IF(OR(AP678="",N(O678)=0),"",AP678/O678-1)</f>
        <v>-0.0760925983598046</v>
      </c>
      <c r="AR678" s="29" t="n">
        <f aca="false">IF(OR(AQ678="",N(O678)=0),"",AQ678+AG678/O678)</f>
        <v>-0.0102641959929407</v>
      </c>
      <c r="AS678" s="32" t="n">
        <f aca="false">IF(OR(AR678="",N(AJ678)=0),"",AR678-AJ678)</f>
        <v>0.0577442126025123</v>
      </c>
      <c r="AT678" s="28" t="n">
        <v>25</v>
      </c>
      <c r="AU678" s="28" t="n">
        <v>1.1125</v>
      </c>
      <c r="AV678" s="28" t="n">
        <f aca="false">IF(N(AT678)&gt;0,AT678,L678)</f>
        <v>25</v>
      </c>
      <c r="AW678" s="28" t="n">
        <f aca="false">IF(AND(N(M678)&gt;0,N(AV678)&gt;0),M678*AV678,IF(N(AU678)&gt;0,AU678,N678))</f>
        <v>1.1125</v>
      </c>
      <c r="AX678" s="29" t="n">
        <f aca="false">IF(N(AN678)=0,"",AN678+IF(I678="yes",AN678*Inputs!$B$10*Inputs!$B$9,0)+IFERROR(INDEX(Inputs!$B$13:$B$15,MATCH(G678,Inputs!$A$13:$A$15,0)),0)+IFERROR(INDEX(Inputs!$B$18:$B$24,MATCH(H678,Inputs!$A$18:$A$24,0)),0))</f>
        <v>0.07125</v>
      </c>
      <c r="AY678" s="28" t="n">
        <f aca="false">IF(OR(N(AX678)&lt;=0,N(AW678)=0,N(AV678)=0),"",MIN(AV678,AW678/AX678))</f>
        <v>15.6140350877193</v>
      </c>
      <c r="AZ678" s="29" t="n">
        <f aca="false">IF(OR(AY678="",N(O678)=0),"",AY678/O678-1)</f>
        <v>-0.0760925983598046</v>
      </c>
      <c r="BA678" s="29" t="n">
        <f aca="false">IF(OR(AZ678="",N(O678)=0),"",AZ678+AW678/O678)</f>
        <v>-0.0102641959929407</v>
      </c>
      <c r="BB678" s="32" t="n">
        <f aca="false">IF(OR(BA678="",N(AR678)=0),"",BA678-AR678)</f>
        <v>0</v>
      </c>
      <c r="BC678" s="35" t="n">
        <f aca="false">IF(OR(BA678="",N(U678)=0),"",BA678-U678)</f>
        <v>0.0577442126025123</v>
      </c>
      <c r="BD678" s="37"/>
    </row>
    <row r="679" customFormat="false" ht="15" hidden="false" customHeight="false" outlineLevel="0" collapsed="false">
      <c r="A679" s="2" t="s">
        <v>1067</v>
      </c>
      <c r="B679" s="2" t="n">
        <v>368</v>
      </c>
      <c r="C679" s="2" t="s">
        <v>1358</v>
      </c>
      <c r="D679" s="2" t="s">
        <v>1359</v>
      </c>
      <c r="E679" s="2" t="s">
        <v>1360</v>
      </c>
      <c r="F679" s="27" t="n">
        <v>12100</v>
      </c>
      <c r="G679" s="2" t="s">
        <v>51</v>
      </c>
      <c r="H679" s="2" t="s">
        <v>58</v>
      </c>
      <c r="I679" s="2" t="s">
        <v>151</v>
      </c>
      <c r="J679" s="2" t="s">
        <v>145</v>
      </c>
      <c r="K679" s="2" t="n">
        <v>4</v>
      </c>
      <c r="L679" s="28" t="n">
        <v>25</v>
      </c>
      <c r="M679" s="29" t="n">
        <v>0.0625</v>
      </c>
      <c r="N679" s="28" t="n">
        <v>1.5625</v>
      </c>
      <c r="O679" s="28" t="n">
        <v>21.65</v>
      </c>
      <c r="P679" s="2" t="s">
        <v>146</v>
      </c>
      <c r="Q679" s="29" t="n">
        <v>0.08</v>
      </c>
      <c r="R679" s="30" t="n">
        <v>0.076</v>
      </c>
      <c r="S679" s="31" t="n">
        <v>20.5592105263158</v>
      </c>
      <c r="T679" s="30" t="n">
        <v>-0.0503828856205179</v>
      </c>
      <c r="U679" s="30" t="n">
        <v>0.0217880150723228</v>
      </c>
      <c r="V679" s="29" t="n">
        <v>0</v>
      </c>
      <c r="W679" s="29" t="n">
        <f aca="false">IF(N(Q679)=0,"",Q679+IF(I679="yes",Q679*Inputs!$B$10*Inputs!$B$9,0)+V679)</f>
        <v>0.076</v>
      </c>
      <c r="X679" s="28" t="n">
        <f aca="false">IF(OR(N(W679)&lt;=0,N(N679)=0,N(L679)=0),"",MIN(L679,N679/W679))</f>
        <v>20.5592105263158</v>
      </c>
      <c r="Y679" s="29" t="n">
        <f aca="false">IF(OR(X679="",N(O679)=0),"",X679/O679-1)</f>
        <v>-0.0503828856205176</v>
      </c>
      <c r="Z679" s="29" t="n">
        <f aca="false">IF(OR(Y679="",N(O679)=0),"",Y679+N679/O679)</f>
        <v>0.021788015072323</v>
      </c>
      <c r="AA679" s="32" t="n">
        <f aca="false">IF(OR(Z679="",N(U679)=0),"",Z679-U679)</f>
        <v>2.39391839684799E-016</v>
      </c>
      <c r="AB679" s="29" t="n">
        <f aca="false">IF(N(Q679)=0,"",Q679+IF(I679="yes",Q679*Inputs!$B$10*Inputs!$B$9,0)+IFERROR(INDEX(Inputs!$B$13:$B$15,MATCH(G679,Inputs!$A$13:$A$15,0)),0)+IFERROR(INDEX(Inputs!$B$18:$B$24,MATCH(H679,Inputs!$A$18:$A$24,0)),0))</f>
        <v>0.076</v>
      </c>
      <c r="AC679" s="28" t="n">
        <f aca="false">IF(OR(N(AB679)&lt;=0,N(N679)=0,N(L679)=0),"",MIN(L679,N679/AB679))</f>
        <v>20.5592105263158</v>
      </c>
      <c r="AD679" s="29" t="n">
        <f aca="false">IF(OR(AC679="",N(O679)=0),"",AC679/O679-1)</f>
        <v>-0.0503828856205176</v>
      </c>
      <c r="AE679" s="29" t="n">
        <f aca="false">IF(OR(AD679="",N(O679)=0),"",AD679+N679/O679)</f>
        <v>0.021788015072323</v>
      </c>
      <c r="AF679" s="32" t="n">
        <f aca="false">IF(OR(AE679="",N(Z679)=0),"",AE679-Z679)</f>
        <v>0</v>
      </c>
      <c r="AG679" s="28" t="n">
        <f aca="false">IF(AND(N(M679)&gt;0,N(L679)&gt;0),M679*L679,N679)</f>
        <v>1.5625</v>
      </c>
      <c r="AH679" s="28" t="n">
        <f aca="false">IF(OR(N(AB679)&lt;=0,N(AG679)=0,N(L679)=0),"",MIN(L679,AG679/AB679))</f>
        <v>20.5592105263158</v>
      </c>
      <c r="AI679" s="29" t="n">
        <f aca="false">IF(OR(AH679="",N(O679)=0),"",AH679/O679-1)</f>
        <v>-0.0503828856205176</v>
      </c>
      <c r="AJ679" s="29" t="n">
        <f aca="false">IF(OR(AI679="",N(O679)=0),"",AI679+AG679/O679)</f>
        <v>0.021788015072323</v>
      </c>
      <c r="AK679" s="32" t="n">
        <f aca="false">IF(OR(AJ679="",N(AE679)=0),"",AJ679-AE679)</f>
        <v>0</v>
      </c>
      <c r="AL679" s="33" t="n">
        <f aca="false">IF(N(F679)=0,"",INDEX(Inputs!$B$28:$B$32,IFERROR(MATCH(F679,Inputs!$A$28:$A$32,1),0)+1))</f>
        <v>0.08</v>
      </c>
      <c r="AM679" s="34"/>
      <c r="AN679" s="33" t="n">
        <f aca="false">IF(N(AM679)&gt;0,AM679,AL679)</f>
        <v>0.08</v>
      </c>
      <c r="AO679" s="29" t="n">
        <f aca="false">IF(N(AN679)=0,"",AN679+IF(I679="yes",AN679*Inputs!$B$10*Inputs!$B$9,0)+IFERROR(INDEX(Inputs!$B$13:$B$15,MATCH(G679,Inputs!$A$13:$A$15,0)),0)+IFERROR(INDEX(Inputs!$B$18:$B$24,MATCH(H679,Inputs!$A$18:$A$24,0)),0))</f>
        <v>0.076</v>
      </c>
      <c r="AP679" s="28" t="n">
        <f aca="false">IF(OR(N(AO679)&lt;=0,N(AG679)=0,N(L679)=0),"",MIN(L679,AG679/AO679))</f>
        <v>20.5592105263158</v>
      </c>
      <c r="AQ679" s="29" t="n">
        <f aca="false">IF(OR(AP679="",N(O679)=0),"",AP679/O679-1)</f>
        <v>-0.0503828856205176</v>
      </c>
      <c r="AR679" s="29" t="n">
        <f aca="false">IF(OR(AQ679="",N(O679)=0),"",AQ679+AG679/O679)</f>
        <v>0.021788015072323</v>
      </c>
      <c r="AS679" s="32" t="n">
        <f aca="false">IF(OR(AR679="",N(AJ679)=0),"",AR679-AJ679)</f>
        <v>0</v>
      </c>
      <c r="AT679" s="28" t="n">
        <v>25</v>
      </c>
      <c r="AU679" s="28" t="n">
        <v>1.56</v>
      </c>
      <c r="AV679" s="28" t="n">
        <f aca="false">IF(N(AT679)&gt;0,AT679,L679)</f>
        <v>25</v>
      </c>
      <c r="AW679" s="28" t="n">
        <f aca="false">IF(AND(N(M679)&gt;0,N(AV679)&gt;0),M679*AV679,IF(N(AU679)&gt;0,AU679,N679))</f>
        <v>1.5625</v>
      </c>
      <c r="AX679" s="29" t="n">
        <f aca="false">IF(N(AN679)=0,"",AN679+IF(I679="yes",AN679*Inputs!$B$10*Inputs!$B$9,0)+IFERROR(INDEX(Inputs!$B$13:$B$15,MATCH(G679,Inputs!$A$13:$A$15,0)),0)+IFERROR(INDEX(Inputs!$B$18:$B$24,MATCH(H679,Inputs!$A$18:$A$24,0)),0))</f>
        <v>0.076</v>
      </c>
      <c r="AY679" s="28" t="n">
        <f aca="false">IF(OR(N(AX679)&lt;=0,N(AW679)=0,N(AV679)=0),"",MIN(AV679,AW679/AX679))</f>
        <v>20.5592105263158</v>
      </c>
      <c r="AZ679" s="29" t="n">
        <f aca="false">IF(OR(AY679="",N(O679)=0),"",AY679/O679-1)</f>
        <v>-0.0503828856205176</v>
      </c>
      <c r="BA679" s="29" t="n">
        <f aca="false">IF(OR(AZ679="",N(O679)=0),"",AZ679+AW679/O679)</f>
        <v>0.021788015072323</v>
      </c>
      <c r="BB679" s="32" t="n">
        <f aca="false">IF(OR(BA679="",N(AR679)=0),"",BA679-AR679)</f>
        <v>0</v>
      </c>
      <c r="BC679" s="35" t="n">
        <f aca="false">IF(OR(BA679="",N(U679)=0),"",BA679-U679)</f>
        <v>2.39391839684799E-016</v>
      </c>
      <c r="BD679" s="37"/>
    </row>
    <row r="680" customFormat="false" ht="15" hidden="false" customHeight="false" outlineLevel="0" collapsed="false">
      <c r="A680" s="2" t="s">
        <v>1067</v>
      </c>
      <c r="B680" s="2" t="n">
        <v>369</v>
      </c>
      <c r="C680" s="2" t="s">
        <v>1361</v>
      </c>
      <c r="D680" s="2" t="s">
        <v>1359</v>
      </c>
      <c r="E680" s="2" t="s">
        <v>1360</v>
      </c>
      <c r="F680" s="27" t="n">
        <v>12100</v>
      </c>
      <c r="G680" s="2" t="s">
        <v>51</v>
      </c>
      <c r="H680" s="2" t="s">
        <v>58</v>
      </c>
      <c r="I680" s="2" t="s">
        <v>151</v>
      </c>
      <c r="J680" s="2" t="s">
        <v>145</v>
      </c>
      <c r="K680" s="2" t="n">
        <v>4</v>
      </c>
      <c r="L680" s="28" t="n">
        <v>25</v>
      </c>
      <c r="M680" s="29" t="n">
        <v>0.06125</v>
      </c>
      <c r="N680" s="28" t="n">
        <v>1.53125</v>
      </c>
      <c r="O680" s="28" t="n">
        <v>21.25</v>
      </c>
      <c r="P680" s="2" t="s">
        <v>146</v>
      </c>
      <c r="Q680" s="29" t="n">
        <v>0.08</v>
      </c>
      <c r="R680" s="30" t="n">
        <v>0.076</v>
      </c>
      <c r="S680" s="31" t="n">
        <v>20.1480263157895</v>
      </c>
      <c r="T680" s="30" t="n">
        <v>-0.0518575851393189</v>
      </c>
      <c r="U680" s="30" t="n">
        <v>0.0202012383900928</v>
      </c>
      <c r="V680" s="29" t="n">
        <v>0</v>
      </c>
      <c r="W680" s="29" t="n">
        <f aca="false">IF(N(Q680)=0,"",Q680+IF(I680="yes",Q680*Inputs!$B$10*Inputs!$B$9,0)+V680)</f>
        <v>0.076</v>
      </c>
      <c r="X680" s="28" t="n">
        <f aca="false">IF(OR(N(W680)&lt;=0,N(N680)=0,N(L680)=0),"",MIN(L680,N680/W680))</f>
        <v>20.1480263157895</v>
      </c>
      <c r="Y680" s="29" t="n">
        <f aca="false">IF(OR(X680="",N(O680)=0),"",X680/O680-1)</f>
        <v>-0.0518575851393189</v>
      </c>
      <c r="Z680" s="29" t="n">
        <f aca="false">IF(OR(Y680="",N(O680)=0),"",Y680+N680/O680)</f>
        <v>0.0202012383900928</v>
      </c>
      <c r="AA680" s="32" t="n">
        <f aca="false">IF(OR(Z680="",N(U680)=0),"",Z680-U680)</f>
        <v>0</v>
      </c>
      <c r="AB680" s="29" t="n">
        <f aca="false">IF(N(Q680)=0,"",Q680+IF(I680="yes",Q680*Inputs!$B$10*Inputs!$B$9,0)+IFERROR(INDEX(Inputs!$B$13:$B$15,MATCH(G680,Inputs!$A$13:$A$15,0)),0)+IFERROR(INDEX(Inputs!$B$18:$B$24,MATCH(H680,Inputs!$A$18:$A$24,0)),0))</f>
        <v>0.076</v>
      </c>
      <c r="AC680" s="28" t="n">
        <f aca="false">IF(OR(N(AB680)&lt;=0,N(N680)=0,N(L680)=0),"",MIN(L680,N680/AB680))</f>
        <v>20.1480263157895</v>
      </c>
      <c r="AD680" s="29" t="n">
        <f aca="false">IF(OR(AC680="",N(O680)=0),"",AC680/O680-1)</f>
        <v>-0.0518575851393189</v>
      </c>
      <c r="AE680" s="29" t="n">
        <f aca="false">IF(OR(AD680="",N(O680)=0),"",AD680+N680/O680)</f>
        <v>0.0202012383900928</v>
      </c>
      <c r="AF680" s="32" t="n">
        <f aca="false">IF(OR(AE680="",N(Z680)=0),"",AE680-Z680)</f>
        <v>0</v>
      </c>
      <c r="AG680" s="28" t="n">
        <f aca="false">IF(AND(N(M680)&gt;0,N(L680)&gt;0),M680*L680,N680)</f>
        <v>1.53125</v>
      </c>
      <c r="AH680" s="28" t="n">
        <f aca="false">IF(OR(N(AB680)&lt;=0,N(AG680)=0,N(L680)=0),"",MIN(L680,AG680/AB680))</f>
        <v>20.1480263157895</v>
      </c>
      <c r="AI680" s="29" t="n">
        <f aca="false">IF(OR(AH680="",N(O680)=0),"",AH680/O680-1)</f>
        <v>-0.0518575851393189</v>
      </c>
      <c r="AJ680" s="29" t="n">
        <f aca="false">IF(OR(AI680="",N(O680)=0),"",AI680+AG680/O680)</f>
        <v>0.0202012383900928</v>
      </c>
      <c r="AK680" s="32" t="n">
        <f aca="false">IF(OR(AJ680="",N(AE680)=0),"",AJ680-AE680)</f>
        <v>0</v>
      </c>
      <c r="AL680" s="33" t="n">
        <f aca="false">IF(N(F680)=0,"",INDEX(Inputs!$B$28:$B$32,IFERROR(MATCH(F680,Inputs!$A$28:$A$32,1),0)+1))</f>
        <v>0.08</v>
      </c>
      <c r="AM680" s="34"/>
      <c r="AN680" s="33" t="n">
        <f aca="false">IF(N(AM680)&gt;0,AM680,AL680)</f>
        <v>0.08</v>
      </c>
      <c r="AO680" s="29" t="n">
        <f aca="false">IF(N(AN680)=0,"",AN680+IF(I680="yes",AN680*Inputs!$B$10*Inputs!$B$9,0)+IFERROR(INDEX(Inputs!$B$13:$B$15,MATCH(G680,Inputs!$A$13:$A$15,0)),0)+IFERROR(INDEX(Inputs!$B$18:$B$24,MATCH(H680,Inputs!$A$18:$A$24,0)),0))</f>
        <v>0.076</v>
      </c>
      <c r="AP680" s="28" t="n">
        <f aca="false">IF(OR(N(AO680)&lt;=0,N(AG680)=0,N(L680)=0),"",MIN(L680,AG680/AO680))</f>
        <v>20.1480263157895</v>
      </c>
      <c r="AQ680" s="29" t="n">
        <f aca="false">IF(OR(AP680="",N(O680)=0),"",AP680/O680-1)</f>
        <v>-0.0518575851393189</v>
      </c>
      <c r="AR680" s="29" t="n">
        <f aca="false">IF(OR(AQ680="",N(O680)=0),"",AQ680+AG680/O680)</f>
        <v>0.0202012383900928</v>
      </c>
      <c r="AS680" s="32" t="n">
        <f aca="false">IF(OR(AR680="",N(AJ680)=0),"",AR680-AJ680)</f>
        <v>0</v>
      </c>
      <c r="AT680" s="28" t="n">
        <v>25</v>
      </c>
      <c r="AU680" s="28" t="n">
        <v>1.53125</v>
      </c>
      <c r="AV680" s="28" t="n">
        <f aca="false">IF(N(AT680)&gt;0,AT680,L680)</f>
        <v>25</v>
      </c>
      <c r="AW680" s="28" t="n">
        <f aca="false">IF(AND(N(M680)&gt;0,N(AV680)&gt;0),M680*AV680,IF(N(AU680)&gt;0,AU680,N680))</f>
        <v>1.53125</v>
      </c>
      <c r="AX680" s="29" t="n">
        <f aca="false">IF(N(AN680)=0,"",AN680+IF(I680="yes",AN680*Inputs!$B$10*Inputs!$B$9,0)+IFERROR(INDEX(Inputs!$B$13:$B$15,MATCH(G680,Inputs!$A$13:$A$15,0)),0)+IFERROR(INDEX(Inputs!$B$18:$B$24,MATCH(H680,Inputs!$A$18:$A$24,0)),0))</f>
        <v>0.076</v>
      </c>
      <c r="AY680" s="28" t="n">
        <f aca="false">IF(OR(N(AX680)&lt;=0,N(AW680)=0,N(AV680)=0),"",MIN(AV680,AW680/AX680))</f>
        <v>20.1480263157895</v>
      </c>
      <c r="AZ680" s="29" t="n">
        <f aca="false">IF(OR(AY680="",N(O680)=0),"",AY680/O680-1)</f>
        <v>-0.0518575851393189</v>
      </c>
      <c r="BA680" s="29" t="n">
        <f aca="false">IF(OR(AZ680="",N(O680)=0),"",AZ680+AW680/O680)</f>
        <v>0.0202012383900928</v>
      </c>
      <c r="BB680" s="32" t="n">
        <f aca="false">IF(OR(BA680="",N(AR680)=0),"",BA680-AR680)</f>
        <v>0</v>
      </c>
      <c r="BC680" s="35" t="n">
        <f aca="false">IF(OR(BA680="",N(U680)=0),"",BA680-U680)</f>
        <v>0</v>
      </c>
      <c r="BD680" s="37"/>
    </row>
    <row r="681" customFormat="false" ht="15" hidden="false" customHeight="false" outlineLevel="0" collapsed="false">
      <c r="A681" s="2" t="s">
        <v>1067</v>
      </c>
      <c r="B681" s="2" t="n">
        <v>370</v>
      </c>
      <c r="C681" s="2" t="s">
        <v>1362</v>
      </c>
      <c r="D681" s="2" t="s">
        <v>1359</v>
      </c>
      <c r="E681" s="2" t="s">
        <v>1360</v>
      </c>
      <c r="F681" s="27" t="n">
        <v>12100</v>
      </c>
      <c r="G681" s="2" t="s">
        <v>51</v>
      </c>
      <c r="H681" s="2" t="s">
        <v>58</v>
      </c>
      <c r="I681" s="2" t="s">
        <v>151</v>
      </c>
      <c r="J681" s="2" t="s">
        <v>145</v>
      </c>
      <c r="K681" s="2" t="n">
        <v>4</v>
      </c>
      <c r="L681" s="28" t="n">
        <v>25</v>
      </c>
      <c r="M681" s="29" t="n">
        <v>0.045</v>
      </c>
      <c r="N681" s="28" t="n">
        <v>1.125</v>
      </c>
      <c r="O681" s="28" t="n">
        <v>15.48</v>
      </c>
      <c r="P681" s="2" t="s">
        <v>146</v>
      </c>
      <c r="Q681" s="29" t="n">
        <v>0.08</v>
      </c>
      <c r="R681" s="30" t="n">
        <v>0.076</v>
      </c>
      <c r="S681" s="31" t="n">
        <v>14.8026315789474</v>
      </c>
      <c r="T681" s="30" t="n">
        <v>-0.0437576499388005</v>
      </c>
      <c r="U681" s="30" t="n">
        <v>0.0289167686658507</v>
      </c>
      <c r="V681" s="29" t="n">
        <v>0</v>
      </c>
      <c r="W681" s="29" t="n">
        <f aca="false">IF(N(Q681)=0,"",Q681+IF(I681="yes",Q681*Inputs!$B$10*Inputs!$B$9,0)+V681)</f>
        <v>0.076</v>
      </c>
      <c r="X681" s="28" t="n">
        <f aca="false">IF(OR(N(W681)&lt;=0,N(N681)=0,N(L681)=0),"",MIN(L681,N681/W681))</f>
        <v>14.8026315789474</v>
      </c>
      <c r="Y681" s="29" t="n">
        <f aca="false">IF(OR(X681="",N(O681)=0),"",X681/O681-1)</f>
        <v>-0.0437576499388005</v>
      </c>
      <c r="Z681" s="29" t="n">
        <f aca="false">IF(OR(Y681="",N(O681)=0),"",Y681+N681/O681)</f>
        <v>0.0289167686658507</v>
      </c>
      <c r="AA681" s="32" t="n">
        <f aca="false">IF(OR(Z681="",N(U681)=0),"",Z681-U681)</f>
        <v>0</v>
      </c>
      <c r="AB681" s="29" t="n">
        <f aca="false">IF(N(Q681)=0,"",Q681+IF(I681="yes",Q681*Inputs!$B$10*Inputs!$B$9,0)+IFERROR(INDEX(Inputs!$B$13:$B$15,MATCH(G681,Inputs!$A$13:$A$15,0)),0)+IFERROR(INDEX(Inputs!$B$18:$B$24,MATCH(H681,Inputs!$A$18:$A$24,0)),0))</f>
        <v>0.076</v>
      </c>
      <c r="AC681" s="28" t="n">
        <f aca="false">IF(OR(N(AB681)&lt;=0,N(N681)=0,N(L681)=0),"",MIN(L681,N681/AB681))</f>
        <v>14.8026315789474</v>
      </c>
      <c r="AD681" s="29" t="n">
        <f aca="false">IF(OR(AC681="",N(O681)=0),"",AC681/O681-1)</f>
        <v>-0.0437576499388005</v>
      </c>
      <c r="AE681" s="29" t="n">
        <f aca="false">IF(OR(AD681="",N(O681)=0),"",AD681+N681/O681)</f>
        <v>0.0289167686658507</v>
      </c>
      <c r="AF681" s="32" t="n">
        <f aca="false">IF(OR(AE681="",N(Z681)=0),"",AE681-Z681)</f>
        <v>0</v>
      </c>
      <c r="AG681" s="28" t="n">
        <f aca="false">IF(AND(N(M681)&gt;0,N(L681)&gt;0),M681*L681,N681)</f>
        <v>1.125</v>
      </c>
      <c r="AH681" s="28" t="n">
        <f aca="false">IF(OR(N(AB681)&lt;=0,N(AG681)=0,N(L681)=0),"",MIN(L681,AG681/AB681))</f>
        <v>14.8026315789474</v>
      </c>
      <c r="AI681" s="29" t="n">
        <f aca="false">IF(OR(AH681="",N(O681)=0),"",AH681/O681-1)</f>
        <v>-0.0437576499388005</v>
      </c>
      <c r="AJ681" s="29" t="n">
        <f aca="false">IF(OR(AI681="",N(O681)=0),"",AI681+AG681/O681)</f>
        <v>0.0289167686658507</v>
      </c>
      <c r="AK681" s="32" t="n">
        <f aca="false">IF(OR(AJ681="",N(AE681)=0),"",AJ681-AE681)</f>
        <v>0</v>
      </c>
      <c r="AL681" s="33" t="n">
        <f aca="false">IF(N(F681)=0,"",INDEX(Inputs!$B$28:$B$32,IFERROR(MATCH(F681,Inputs!$A$28:$A$32,1),0)+1))</f>
        <v>0.08</v>
      </c>
      <c r="AM681" s="34"/>
      <c r="AN681" s="33" t="n">
        <f aca="false">IF(N(AM681)&gt;0,AM681,AL681)</f>
        <v>0.08</v>
      </c>
      <c r="AO681" s="29" t="n">
        <f aca="false">IF(N(AN681)=0,"",AN681+IF(I681="yes",AN681*Inputs!$B$10*Inputs!$B$9,0)+IFERROR(INDEX(Inputs!$B$13:$B$15,MATCH(G681,Inputs!$A$13:$A$15,0)),0)+IFERROR(INDEX(Inputs!$B$18:$B$24,MATCH(H681,Inputs!$A$18:$A$24,0)),0))</f>
        <v>0.076</v>
      </c>
      <c r="AP681" s="28" t="n">
        <f aca="false">IF(OR(N(AO681)&lt;=0,N(AG681)=0,N(L681)=0),"",MIN(L681,AG681/AO681))</f>
        <v>14.8026315789474</v>
      </c>
      <c r="AQ681" s="29" t="n">
        <f aca="false">IF(OR(AP681="",N(O681)=0),"",AP681/O681-1)</f>
        <v>-0.0437576499388005</v>
      </c>
      <c r="AR681" s="29" t="n">
        <f aca="false">IF(OR(AQ681="",N(O681)=0),"",AQ681+AG681/O681)</f>
        <v>0.0289167686658507</v>
      </c>
      <c r="AS681" s="32" t="n">
        <f aca="false">IF(OR(AR681="",N(AJ681)=0),"",AR681-AJ681)</f>
        <v>0</v>
      </c>
      <c r="AT681" s="28" t="n">
        <v>25</v>
      </c>
      <c r="AU681" s="28" t="n">
        <v>1.125</v>
      </c>
      <c r="AV681" s="28" t="n">
        <f aca="false">IF(N(AT681)&gt;0,AT681,L681)</f>
        <v>25</v>
      </c>
      <c r="AW681" s="28" t="n">
        <f aca="false">IF(AND(N(M681)&gt;0,N(AV681)&gt;0),M681*AV681,IF(N(AU681)&gt;0,AU681,N681))</f>
        <v>1.125</v>
      </c>
      <c r="AX681" s="29" t="n">
        <f aca="false">IF(N(AN681)=0,"",AN681+IF(I681="yes",AN681*Inputs!$B$10*Inputs!$B$9,0)+IFERROR(INDEX(Inputs!$B$13:$B$15,MATCH(G681,Inputs!$A$13:$A$15,0)),0)+IFERROR(INDEX(Inputs!$B$18:$B$24,MATCH(H681,Inputs!$A$18:$A$24,0)),0))</f>
        <v>0.076</v>
      </c>
      <c r="AY681" s="28" t="n">
        <f aca="false">IF(OR(N(AX681)&lt;=0,N(AW681)=0,N(AV681)=0),"",MIN(AV681,AW681/AX681))</f>
        <v>14.8026315789474</v>
      </c>
      <c r="AZ681" s="29" t="n">
        <f aca="false">IF(OR(AY681="",N(O681)=0),"",AY681/O681-1)</f>
        <v>-0.0437576499388005</v>
      </c>
      <c r="BA681" s="29" t="n">
        <f aca="false">IF(OR(AZ681="",N(O681)=0),"",AZ681+AW681/O681)</f>
        <v>0.0289167686658507</v>
      </c>
      <c r="BB681" s="32" t="n">
        <f aca="false">IF(OR(BA681="",N(AR681)=0),"",BA681-AR681)</f>
        <v>0</v>
      </c>
      <c r="BC681" s="35" t="n">
        <f aca="false">IF(OR(BA681="",N(U681)=0),"",BA681-U681)</f>
        <v>0</v>
      </c>
      <c r="BD681" s="37"/>
    </row>
    <row r="682" customFormat="false" ht="15" hidden="false" customHeight="false" outlineLevel="0" collapsed="false">
      <c r="A682" s="2" t="s">
        <v>1067</v>
      </c>
      <c r="B682" s="2" t="n">
        <v>371</v>
      </c>
      <c r="C682" s="2" t="s">
        <v>1363</v>
      </c>
      <c r="D682" s="2" t="s">
        <v>1359</v>
      </c>
      <c r="E682" s="2" t="s">
        <v>1360</v>
      </c>
      <c r="F682" s="27" t="n">
        <v>12100</v>
      </c>
      <c r="G682" s="2" t="s">
        <v>52</v>
      </c>
      <c r="H682" s="2" t="s">
        <v>58</v>
      </c>
      <c r="I682" s="2" t="s">
        <v>144</v>
      </c>
      <c r="J682" s="2" t="s">
        <v>145</v>
      </c>
      <c r="K682" s="2" t="n">
        <v>4</v>
      </c>
      <c r="L682" s="28" t="n">
        <v>25</v>
      </c>
      <c r="M682" s="29" t="n">
        <v>0.052</v>
      </c>
      <c r="N682" s="28" t="n">
        <v>1.3</v>
      </c>
      <c r="O682" s="28" t="n">
        <v>19.51</v>
      </c>
      <c r="P682" s="2" t="s">
        <v>146</v>
      </c>
      <c r="Q682" s="29" t="n">
        <v>0.08</v>
      </c>
      <c r="R682" s="30" t="n">
        <v>0.075</v>
      </c>
      <c r="S682" s="31" t="n">
        <v>17.3333333333333</v>
      </c>
      <c r="T682" s="30" t="n">
        <v>-0.111566717922433</v>
      </c>
      <c r="U682" s="30" t="n">
        <v>-0.0449342217666154</v>
      </c>
      <c r="V682" s="29" t="n">
        <v>-0.005</v>
      </c>
      <c r="W682" s="29" t="n">
        <f aca="false">IF(N(Q682)=0,"",Q682+IF(I682="yes",Q682*Inputs!$B$10*Inputs!$B$9,0)+V682)</f>
        <v>0.075</v>
      </c>
      <c r="X682" s="28" t="n">
        <f aca="false">IF(OR(N(W682)&lt;=0,N(N682)=0,N(L682)=0),"",MIN(L682,N682/W682))</f>
        <v>17.3333333333333</v>
      </c>
      <c r="Y682" s="29" t="n">
        <f aca="false">IF(OR(X682="",N(O682)=0),"",X682/O682-1)</f>
        <v>-0.111566717922433</v>
      </c>
      <c r="Z682" s="29" t="n">
        <f aca="false">IF(OR(Y682="",N(O682)=0),"",Y682+N682/O682)</f>
        <v>-0.0449342217666154</v>
      </c>
      <c r="AA682" s="32" t="n">
        <f aca="false">IF(OR(Z682="",N(U682)=0),"",Z682-U682)</f>
        <v>0</v>
      </c>
      <c r="AB682" s="29" t="n">
        <f aca="false">IF(N(Q682)=0,"",Q682+IF(I682="yes",Q682*Inputs!$B$10*Inputs!$B$9,0)+IFERROR(INDEX(Inputs!$B$13:$B$15,MATCH(G682,Inputs!$A$13:$A$15,0)),0)+IFERROR(INDEX(Inputs!$B$18:$B$24,MATCH(H682,Inputs!$A$18:$A$24,0)),0))</f>
        <v>0.075</v>
      </c>
      <c r="AC682" s="28" t="n">
        <f aca="false">IF(OR(N(AB682)&lt;=0,N(N682)=0,N(L682)=0),"",MIN(L682,N682/AB682))</f>
        <v>17.3333333333333</v>
      </c>
      <c r="AD682" s="29" t="n">
        <f aca="false">IF(OR(AC682="",N(O682)=0),"",AC682/O682-1)</f>
        <v>-0.111566717922433</v>
      </c>
      <c r="AE682" s="29" t="n">
        <f aca="false">IF(OR(AD682="",N(O682)=0),"",AD682+N682/O682)</f>
        <v>-0.0449342217666154</v>
      </c>
      <c r="AF682" s="32" t="n">
        <f aca="false">IF(OR(AE682="",N(Z682)=0),"",AE682-Z682)</f>
        <v>0</v>
      </c>
      <c r="AG682" s="28" t="n">
        <f aca="false">IF(AND(N(M682)&gt;0,N(L682)&gt;0),M682*L682,N682)</f>
        <v>1.3</v>
      </c>
      <c r="AH682" s="28" t="n">
        <f aca="false">IF(OR(N(AB682)&lt;=0,N(AG682)=0,N(L682)=0),"",MIN(L682,AG682/AB682))</f>
        <v>17.3333333333333</v>
      </c>
      <c r="AI682" s="29" t="n">
        <f aca="false">IF(OR(AH682="",N(O682)=0),"",AH682/O682-1)</f>
        <v>-0.111566717922433</v>
      </c>
      <c r="AJ682" s="29" t="n">
        <f aca="false">IF(OR(AI682="",N(O682)=0),"",AI682+AG682/O682)</f>
        <v>-0.0449342217666154</v>
      </c>
      <c r="AK682" s="32" t="n">
        <f aca="false">IF(OR(AJ682="",N(AE682)=0),"",AJ682-AE682)</f>
        <v>0</v>
      </c>
      <c r="AL682" s="33" t="n">
        <f aca="false">IF(N(F682)=0,"",INDEX(Inputs!$B$28:$B$32,IFERROR(MATCH(F682,Inputs!$A$28:$A$32,1),0)+1))</f>
        <v>0.08</v>
      </c>
      <c r="AM682" s="34"/>
      <c r="AN682" s="33" t="n">
        <f aca="false">IF(N(AM682)&gt;0,AM682,AL682)</f>
        <v>0.08</v>
      </c>
      <c r="AO682" s="29" t="n">
        <f aca="false">IF(N(AN682)=0,"",AN682+IF(I682="yes",AN682*Inputs!$B$10*Inputs!$B$9,0)+IFERROR(INDEX(Inputs!$B$13:$B$15,MATCH(G682,Inputs!$A$13:$A$15,0)),0)+IFERROR(INDEX(Inputs!$B$18:$B$24,MATCH(H682,Inputs!$A$18:$A$24,0)),0))</f>
        <v>0.075</v>
      </c>
      <c r="AP682" s="28" t="n">
        <f aca="false">IF(OR(N(AO682)&lt;=0,N(AG682)=0,N(L682)=0),"",MIN(L682,AG682/AO682))</f>
        <v>17.3333333333333</v>
      </c>
      <c r="AQ682" s="29" t="n">
        <f aca="false">IF(OR(AP682="",N(O682)=0),"",AP682/O682-1)</f>
        <v>-0.111566717922433</v>
      </c>
      <c r="AR682" s="29" t="n">
        <f aca="false">IF(OR(AQ682="",N(O682)=0),"",AQ682+AG682/O682)</f>
        <v>-0.0449342217666154</v>
      </c>
      <c r="AS682" s="32" t="n">
        <f aca="false">IF(OR(AR682="",N(AJ682)=0),"",AR682-AJ682)</f>
        <v>0</v>
      </c>
      <c r="AT682" s="28" t="n">
        <v>25</v>
      </c>
      <c r="AU682" s="28" t="n">
        <v>1.3</v>
      </c>
      <c r="AV682" s="28" t="n">
        <f aca="false">IF(N(AT682)&gt;0,AT682,L682)</f>
        <v>25</v>
      </c>
      <c r="AW682" s="28" t="n">
        <f aca="false">IF(AND(N(M682)&gt;0,N(AV682)&gt;0),M682*AV682,IF(N(AU682)&gt;0,AU682,N682))</f>
        <v>1.3</v>
      </c>
      <c r="AX682" s="29" t="n">
        <f aca="false">IF(N(AN682)=0,"",AN682+IF(I682="yes",AN682*Inputs!$B$10*Inputs!$B$9,0)+IFERROR(INDEX(Inputs!$B$13:$B$15,MATCH(G682,Inputs!$A$13:$A$15,0)),0)+IFERROR(INDEX(Inputs!$B$18:$B$24,MATCH(H682,Inputs!$A$18:$A$24,0)),0))</f>
        <v>0.075</v>
      </c>
      <c r="AY682" s="28" t="n">
        <f aca="false">IF(OR(N(AX682)&lt;=0,N(AW682)=0,N(AV682)=0),"",MIN(AV682,AW682/AX682))</f>
        <v>17.3333333333333</v>
      </c>
      <c r="AZ682" s="29" t="n">
        <f aca="false">IF(OR(AY682="",N(O682)=0),"",AY682/O682-1)</f>
        <v>-0.111566717922433</v>
      </c>
      <c r="BA682" s="29" t="n">
        <f aca="false">IF(OR(AZ682="",N(O682)=0),"",AZ682+AW682/O682)</f>
        <v>-0.0449342217666154</v>
      </c>
      <c r="BB682" s="32" t="n">
        <f aca="false">IF(OR(BA682="",N(AR682)=0),"",BA682-AR682)</f>
        <v>0</v>
      </c>
      <c r="BC682" s="35" t="n">
        <f aca="false">IF(OR(BA682="",N(U682)=0),"",BA682-U682)</f>
        <v>0</v>
      </c>
      <c r="BD682" s="37"/>
    </row>
    <row r="683" customFormat="false" ht="15" hidden="false" customHeight="false" outlineLevel="0" collapsed="false">
      <c r="A683" s="2" t="s">
        <v>1067</v>
      </c>
      <c r="B683" s="2" t="n">
        <v>374</v>
      </c>
      <c r="C683" s="2" t="s">
        <v>1364</v>
      </c>
      <c r="D683" s="2" t="s">
        <v>1365</v>
      </c>
      <c r="E683" s="2" t="s">
        <v>1366</v>
      </c>
      <c r="F683" s="27" t="n">
        <v>2100</v>
      </c>
      <c r="G683" s="2" t="s">
        <v>51</v>
      </c>
      <c r="H683" s="2" t="s">
        <v>58</v>
      </c>
      <c r="I683" s="2" t="s">
        <v>144</v>
      </c>
      <c r="J683" s="2" t="s">
        <v>145</v>
      </c>
      <c r="K683" s="2" t="n">
        <v>4</v>
      </c>
      <c r="L683" s="28" t="n">
        <v>25</v>
      </c>
      <c r="M683" s="29" t="n">
        <v>0.06125</v>
      </c>
      <c r="N683" s="28" t="n">
        <v>1.53125</v>
      </c>
      <c r="O683" s="28" t="n">
        <v>22.25</v>
      </c>
      <c r="P683" s="2" t="s">
        <v>237</v>
      </c>
      <c r="Q683" s="29" t="n">
        <v>0.09</v>
      </c>
      <c r="R683" s="30" t="n">
        <v>0.07</v>
      </c>
      <c r="S683" s="31" t="n">
        <v>21.875</v>
      </c>
      <c r="T683" s="30" t="n">
        <v>-0.0168539325842698</v>
      </c>
      <c r="U683" s="30" t="n">
        <v>0.0519662921348313</v>
      </c>
      <c r="V683" s="29" t="n">
        <v>0</v>
      </c>
      <c r="W683" s="29" t="n">
        <f aca="false">IF(N(Q683)=0,"",Q683+IF(I683="yes",Q683*Inputs!$B$10*Inputs!$B$9,0)+V683)</f>
        <v>0.09</v>
      </c>
      <c r="X683" s="28" t="n">
        <f aca="false">IF(OR(N(W683)&lt;=0,N(N683)=0,N(L683)=0),"",MIN(L683,N683/W683))</f>
        <v>17.0138888888889</v>
      </c>
      <c r="Y683" s="29" t="n">
        <f aca="false">IF(OR(X683="",N(O683)=0),"",X683/O683-1)</f>
        <v>-0.235330836454432</v>
      </c>
      <c r="Z683" s="29" t="n">
        <f aca="false">IF(OR(Y683="",N(O683)=0),"",Y683+N683/O683)</f>
        <v>-0.166510611735331</v>
      </c>
      <c r="AA683" s="32" t="n">
        <f aca="false">IF(OR(Z683="",N(U683)=0),"",Z683-U683)</f>
        <v>-0.218476903870162</v>
      </c>
      <c r="AB683" s="29" t="n">
        <f aca="false">IF(N(Q683)=0,"",Q683+IF(I683="yes",Q683*Inputs!$B$10*Inputs!$B$9,0)+IFERROR(INDEX(Inputs!$B$13:$B$15,MATCH(G683,Inputs!$A$13:$A$15,0)),0)+IFERROR(INDEX(Inputs!$B$18:$B$24,MATCH(H683,Inputs!$A$18:$A$24,0)),0))</f>
        <v>0.09</v>
      </c>
      <c r="AC683" s="28" t="n">
        <f aca="false">IF(OR(N(AB683)&lt;=0,N(N683)=0,N(L683)=0),"",MIN(L683,N683/AB683))</f>
        <v>17.0138888888889</v>
      </c>
      <c r="AD683" s="29" t="n">
        <f aca="false">IF(OR(AC683="",N(O683)=0),"",AC683/O683-1)</f>
        <v>-0.235330836454432</v>
      </c>
      <c r="AE683" s="29" t="n">
        <f aca="false">IF(OR(AD683="",N(O683)=0),"",AD683+N683/O683)</f>
        <v>-0.166510611735331</v>
      </c>
      <c r="AF683" s="32" t="n">
        <f aca="false">IF(OR(AE683="",N(Z683)=0),"",AE683-Z683)</f>
        <v>0</v>
      </c>
      <c r="AG683" s="28" t="n">
        <f aca="false">IF(AND(N(M683)&gt;0,N(L683)&gt;0),M683*L683,N683)</f>
        <v>1.53125</v>
      </c>
      <c r="AH683" s="28" t="n">
        <f aca="false">IF(OR(N(AB683)&lt;=0,N(AG683)=0,N(L683)=0),"",MIN(L683,AG683/AB683))</f>
        <v>17.0138888888889</v>
      </c>
      <c r="AI683" s="29" t="n">
        <f aca="false">IF(OR(AH683="",N(O683)=0),"",AH683/O683-1)</f>
        <v>-0.235330836454432</v>
      </c>
      <c r="AJ683" s="29" t="n">
        <f aca="false">IF(OR(AI683="",N(O683)=0),"",AI683+AG683/O683)</f>
        <v>-0.166510611735331</v>
      </c>
      <c r="AK683" s="32" t="n">
        <f aca="false">IF(OR(AJ683="",N(AE683)=0),"",AJ683-AE683)</f>
        <v>0</v>
      </c>
      <c r="AL683" s="33" t="n">
        <f aca="false">IF(N(F683)=0,"",INDEX(Inputs!$B$28:$B$32,IFERROR(MATCH(F683,Inputs!$A$28:$A$32,1),0)+1))</f>
        <v>0.085</v>
      </c>
      <c r="AM683" s="34" t="n">
        <v>0.07</v>
      </c>
      <c r="AN683" s="33" t="n">
        <f aca="false">IF(N(AM683)&gt;0,AM683,AL683)</f>
        <v>0.07</v>
      </c>
      <c r="AO683" s="29" t="n">
        <f aca="false">IF(N(AN683)=0,"",AN683+IF(I683="yes",AN683*Inputs!$B$10*Inputs!$B$9,0)+IFERROR(INDEX(Inputs!$B$13:$B$15,MATCH(G683,Inputs!$A$13:$A$15,0)),0)+IFERROR(INDEX(Inputs!$B$18:$B$24,MATCH(H683,Inputs!$A$18:$A$24,0)),0))</f>
        <v>0.07</v>
      </c>
      <c r="AP683" s="28" t="n">
        <f aca="false">IF(OR(N(AO683)&lt;=0,N(AG683)=0,N(L683)=0),"",MIN(L683,AG683/AO683))</f>
        <v>21.875</v>
      </c>
      <c r="AQ683" s="29" t="n">
        <f aca="false">IF(OR(AP683="",N(O683)=0),"",AP683/O683-1)</f>
        <v>-0.0168539325842698</v>
      </c>
      <c r="AR683" s="29" t="n">
        <f aca="false">IF(OR(AQ683="",N(O683)=0),"",AQ683+AG683/O683)</f>
        <v>0.0519662921348313</v>
      </c>
      <c r="AS683" s="32" t="n">
        <f aca="false">IF(OR(AR683="",N(AJ683)=0),"",AR683-AJ683)</f>
        <v>0.218476903870162</v>
      </c>
      <c r="AT683" s="28" t="n">
        <v>25</v>
      </c>
      <c r="AU683" s="28" t="n">
        <v>1.53125</v>
      </c>
      <c r="AV683" s="28" t="n">
        <f aca="false">IF(N(AT683)&gt;0,AT683,L683)</f>
        <v>25</v>
      </c>
      <c r="AW683" s="28" t="n">
        <f aca="false">IF(AND(N(M683)&gt;0,N(AV683)&gt;0),M683*AV683,IF(N(AU683)&gt;0,AU683,N683))</f>
        <v>1.53125</v>
      </c>
      <c r="AX683" s="29" t="n">
        <f aca="false">IF(N(AN683)=0,"",AN683+IF(I683="yes",AN683*Inputs!$B$10*Inputs!$B$9,0)+IFERROR(INDEX(Inputs!$B$13:$B$15,MATCH(G683,Inputs!$A$13:$A$15,0)),0)+IFERROR(INDEX(Inputs!$B$18:$B$24,MATCH(H683,Inputs!$A$18:$A$24,0)),0))</f>
        <v>0.07</v>
      </c>
      <c r="AY683" s="28" t="n">
        <f aca="false">IF(OR(N(AX683)&lt;=0,N(AW683)=0,N(AV683)=0),"",MIN(AV683,AW683/AX683))</f>
        <v>21.875</v>
      </c>
      <c r="AZ683" s="29" t="n">
        <f aca="false">IF(OR(AY683="",N(O683)=0),"",AY683/O683-1)</f>
        <v>-0.0168539325842698</v>
      </c>
      <c r="BA683" s="29" t="n">
        <f aca="false">IF(OR(AZ683="",N(O683)=0),"",AZ683+AW683/O683)</f>
        <v>0.0519662921348313</v>
      </c>
      <c r="BB683" s="32" t="n">
        <f aca="false">IF(OR(BA683="",N(AR683)=0),"",BA683-AR683)</f>
        <v>0</v>
      </c>
      <c r="BC683" s="35" t="n">
        <f aca="false">IF(OR(BA683="",N(U683)=0),"",BA683-U683)</f>
        <v>0</v>
      </c>
      <c r="BD683" s="36" t="s">
        <v>238</v>
      </c>
    </row>
    <row r="684" customFormat="false" ht="15" hidden="false" customHeight="false" outlineLevel="0" collapsed="false">
      <c r="A684" s="2" t="s">
        <v>1067</v>
      </c>
      <c r="B684" s="2" t="n">
        <v>375</v>
      </c>
      <c r="C684" s="2" t="s">
        <v>1367</v>
      </c>
      <c r="D684" s="2" t="s">
        <v>1365</v>
      </c>
      <c r="E684" s="2" t="s">
        <v>1366</v>
      </c>
      <c r="F684" s="27" t="n">
        <v>2100</v>
      </c>
      <c r="G684" s="2" t="s">
        <v>51</v>
      </c>
      <c r="H684" s="2" t="s">
        <v>58</v>
      </c>
      <c r="I684" s="2" t="s">
        <v>144</v>
      </c>
      <c r="J684" s="2" t="s">
        <v>145</v>
      </c>
      <c r="K684" s="2" t="n">
        <v>4</v>
      </c>
      <c r="L684" s="28" t="n">
        <v>25</v>
      </c>
      <c r="M684" s="29" t="n">
        <v>0.057</v>
      </c>
      <c r="N684" s="28" t="n">
        <v>1.425</v>
      </c>
      <c r="O684" s="28" t="n">
        <v>21.67</v>
      </c>
      <c r="P684" s="2" t="s">
        <v>237</v>
      </c>
      <c r="Q684" s="29" t="n">
        <v>0.09</v>
      </c>
      <c r="R684" s="30" t="n">
        <v>0.07</v>
      </c>
      <c r="S684" s="31" t="n">
        <v>20.3571428571429</v>
      </c>
      <c r="T684" s="30" t="n">
        <v>-0.0605840859647968</v>
      </c>
      <c r="U684" s="30" t="n">
        <v>0.00517502801766742</v>
      </c>
      <c r="V684" s="29" t="n">
        <v>0</v>
      </c>
      <c r="W684" s="29" t="n">
        <f aca="false">IF(N(Q684)=0,"",Q684+IF(I684="yes",Q684*Inputs!$B$10*Inputs!$B$9,0)+V684)</f>
        <v>0.09</v>
      </c>
      <c r="X684" s="28" t="n">
        <f aca="false">IF(OR(N(W684)&lt;=0,N(N684)=0,N(L684)=0),"",MIN(L684,N684/W684))</f>
        <v>15.8333333333333</v>
      </c>
      <c r="Y684" s="29" t="n">
        <f aca="false">IF(OR(X684="",N(O684)=0),"",X684/O684-1)</f>
        <v>-0.26934317797262</v>
      </c>
      <c r="Z684" s="29" t="n">
        <f aca="false">IF(OR(Y684="",N(O684)=0),"",Y684+N684/O684)</f>
        <v>-0.203584063990156</v>
      </c>
      <c r="AA684" s="32" t="n">
        <f aca="false">IF(OR(Z684="",N(U684)=0),"",Z684-U684)</f>
        <v>-0.208759092007823</v>
      </c>
      <c r="AB684" s="29" t="n">
        <f aca="false">IF(N(Q684)=0,"",Q684+IF(I684="yes",Q684*Inputs!$B$10*Inputs!$B$9,0)+IFERROR(INDEX(Inputs!$B$13:$B$15,MATCH(G684,Inputs!$A$13:$A$15,0)),0)+IFERROR(INDEX(Inputs!$B$18:$B$24,MATCH(H684,Inputs!$A$18:$A$24,0)),0))</f>
        <v>0.09</v>
      </c>
      <c r="AC684" s="28" t="n">
        <f aca="false">IF(OR(N(AB684)&lt;=0,N(N684)=0,N(L684)=0),"",MIN(L684,N684/AB684))</f>
        <v>15.8333333333333</v>
      </c>
      <c r="AD684" s="29" t="n">
        <f aca="false">IF(OR(AC684="",N(O684)=0),"",AC684/O684-1)</f>
        <v>-0.26934317797262</v>
      </c>
      <c r="AE684" s="29" t="n">
        <f aca="false">IF(OR(AD684="",N(O684)=0),"",AD684+N684/O684)</f>
        <v>-0.203584063990156</v>
      </c>
      <c r="AF684" s="32" t="n">
        <f aca="false">IF(OR(AE684="",N(Z684)=0),"",AE684-Z684)</f>
        <v>0</v>
      </c>
      <c r="AG684" s="28" t="n">
        <f aca="false">IF(AND(N(M684)&gt;0,N(L684)&gt;0),M684*L684,N684)</f>
        <v>1.425</v>
      </c>
      <c r="AH684" s="28" t="n">
        <f aca="false">IF(OR(N(AB684)&lt;=0,N(AG684)=0,N(L684)=0),"",MIN(L684,AG684/AB684))</f>
        <v>15.8333333333333</v>
      </c>
      <c r="AI684" s="29" t="n">
        <f aca="false">IF(OR(AH684="",N(O684)=0),"",AH684/O684-1)</f>
        <v>-0.26934317797262</v>
      </c>
      <c r="AJ684" s="29" t="n">
        <f aca="false">IF(OR(AI684="",N(O684)=0),"",AI684+AG684/O684)</f>
        <v>-0.203584063990156</v>
      </c>
      <c r="AK684" s="32" t="n">
        <f aca="false">IF(OR(AJ684="",N(AE684)=0),"",AJ684-AE684)</f>
        <v>0</v>
      </c>
      <c r="AL684" s="33" t="n">
        <f aca="false">IF(N(F684)=0,"",INDEX(Inputs!$B$28:$B$32,IFERROR(MATCH(F684,Inputs!$A$28:$A$32,1),0)+1))</f>
        <v>0.085</v>
      </c>
      <c r="AM684" s="34" t="n">
        <v>0.07</v>
      </c>
      <c r="AN684" s="33" t="n">
        <f aca="false">IF(N(AM684)&gt;0,AM684,AL684)</f>
        <v>0.07</v>
      </c>
      <c r="AO684" s="29" t="n">
        <f aca="false">IF(N(AN684)=0,"",AN684+IF(I684="yes",AN684*Inputs!$B$10*Inputs!$B$9,0)+IFERROR(INDEX(Inputs!$B$13:$B$15,MATCH(G684,Inputs!$A$13:$A$15,0)),0)+IFERROR(INDEX(Inputs!$B$18:$B$24,MATCH(H684,Inputs!$A$18:$A$24,0)),0))</f>
        <v>0.07</v>
      </c>
      <c r="AP684" s="28" t="n">
        <f aca="false">IF(OR(N(AO684)&lt;=0,N(AG684)=0,N(L684)=0),"",MIN(L684,AG684/AO684))</f>
        <v>20.3571428571429</v>
      </c>
      <c r="AQ684" s="29" t="n">
        <f aca="false">IF(OR(AP684="",N(O684)=0),"",AP684/O684-1)</f>
        <v>-0.0605840859647968</v>
      </c>
      <c r="AR684" s="29" t="n">
        <f aca="false">IF(OR(AQ684="",N(O684)=0),"",AQ684+AG684/O684)</f>
        <v>0.00517502801766742</v>
      </c>
      <c r="AS684" s="32" t="n">
        <f aca="false">IF(OR(AR684="",N(AJ684)=0),"",AR684-AJ684)</f>
        <v>0.208759092007823</v>
      </c>
      <c r="AT684" s="28" t="n">
        <v>25</v>
      </c>
      <c r="AU684" s="28" t="n">
        <v>1.425</v>
      </c>
      <c r="AV684" s="28" t="n">
        <f aca="false">IF(N(AT684)&gt;0,AT684,L684)</f>
        <v>25</v>
      </c>
      <c r="AW684" s="28" t="n">
        <f aca="false">IF(AND(N(M684)&gt;0,N(AV684)&gt;0),M684*AV684,IF(N(AU684)&gt;0,AU684,N684))</f>
        <v>1.425</v>
      </c>
      <c r="AX684" s="29" t="n">
        <f aca="false">IF(N(AN684)=0,"",AN684+IF(I684="yes",AN684*Inputs!$B$10*Inputs!$B$9,0)+IFERROR(INDEX(Inputs!$B$13:$B$15,MATCH(G684,Inputs!$A$13:$A$15,0)),0)+IFERROR(INDEX(Inputs!$B$18:$B$24,MATCH(H684,Inputs!$A$18:$A$24,0)),0))</f>
        <v>0.07</v>
      </c>
      <c r="AY684" s="28" t="n">
        <f aca="false">IF(OR(N(AX684)&lt;=0,N(AW684)=0,N(AV684)=0),"",MIN(AV684,AW684/AX684))</f>
        <v>20.3571428571429</v>
      </c>
      <c r="AZ684" s="29" t="n">
        <f aca="false">IF(OR(AY684="",N(O684)=0),"",AY684/O684-1)</f>
        <v>-0.0605840859647968</v>
      </c>
      <c r="BA684" s="29" t="n">
        <f aca="false">IF(OR(AZ684="",N(O684)=0),"",AZ684+AW684/O684)</f>
        <v>0.00517502801766742</v>
      </c>
      <c r="BB684" s="32" t="n">
        <f aca="false">IF(OR(BA684="",N(AR684)=0),"",BA684-AR684)</f>
        <v>0</v>
      </c>
      <c r="BC684" s="35" t="n">
        <f aca="false">IF(OR(BA684="",N(U684)=0),"",BA684-U684)</f>
        <v>0</v>
      </c>
      <c r="BD684" s="36" t="s">
        <v>238</v>
      </c>
    </row>
    <row r="685" customFormat="false" ht="15" hidden="false" customHeight="false" outlineLevel="0" collapsed="false">
      <c r="A685" s="2" t="s">
        <v>1067</v>
      </c>
      <c r="B685" s="2" t="n">
        <v>378</v>
      </c>
      <c r="C685" s="2" t="s">
        <v>1368</v>
      </c>
      <c r="D685" s="2" t="s">
        <v>1369</v>
      </c>
      <c r="E685" s="2" t="s">
        <v>1370</v>
      </c>
      <c r="F685" s="27" t="n">
        <v>22</v>
      </c>
      <c r="G685" s="2" t="s">
        <v>51</v>
      </c>
      <c r="H685" s="2" t="s">
        <v>58</v>
      </c>
      <c r="I685" s="2" t="s">
        <v>151</v>
      </c>
      <c r="J685" s="2" t="s">
        <v>145</v>
      </c>
      <c r="K685" s="2" t="n">
        <v>4</v>
      </c>
      <c r="L685" s="28" t="n">
        <v>25</v>
      </c>
      <c r="M685" s="29" t="n">
        <v>0.05375</v>
      </c>
      <c r="N685" s="28" t="n">
        <v>1.34375</v>
      </c>
      <c r="O685" s="28" t="n">
        <v>0</v>
      </c>
      <c r="P685" s="2" t="s">
        <v>223</v>
      </c>
      <c r="Q685" s="29" t="n">
        <v>0.1</v>
      </c>
      <c r="R685" s="30" t="n">
        <v>0.1</v>
      </c>
      <c r="S685" s="31" t="n">
        <v>13.4375</v>
      </c>
      <c r="T685" s="30"/>
      <c r="U685" s="30"/>
      <c r="V685" s="29" t="n">
        <v>0</v>
      </c>
      <c r="W685" s="29" t="n">
        <f aca="false">IF(N(Q685)=0,"",Q685+IF(I685="yes",Q685*Inputs!$B$10*Inputs!$B$9,0)+V685)</f>
        <v>0.095</v>
      </c>
      <c r="X685" s="28" t="n">
        <f aca="false">IF(OR(N(W685)&lt;=0,N(N685)=0,N(L685)=0),"",MIN(L685,N685/W685))</f>
        <v>14.1447368421053</v>
      </c>
      <c r="Y685" s="29" t="str">
        <f aca="false">IF(OR(X685="",N(O685)=0),"",X685/O685-1)</f>
        <v/>
      </c>
      <c r="Z685" s="29" t="str">
        <f aca="false">IF(OR(Y685="",N(O685)=0),"",Y685+N685/O685)</f>
        <v/>
      </c>
      <c r="AA685" s="32" t="str">
        <f aca="false">IF(OR(Z685="",N(U685)=0),"",Z685-U685)</f>
        <v/>
      </c>
      <c r="AB685" s="29" t="n">
        <f aca="false">IF(N(Q685)=0,"",Q685+IF(I685="yes",Q685*Inputs!$B$10*Inputs!$B$9,0)+IFERROR(INDEX(Inputs!$B$13:$B$15,MATCH(G685,Inputs!$A$13:$A$15,0)),0)+IFERROR(INDEX(Inputs!$B$18:$B$24,MATCH(H685,Inputs!$A$18:$A$24,0)),0))</f>
        <v>0.095</v>
      </c>
      <c r="AC685" s="28" t="n">
        <f aca="false">IF(OR(N(AB685)&lt;=0,N(N685)=0,N(L685)=0),"",MIN(L685,N685/AB685))</f>
        <v>14.1447368421053</v>
      </c>
      <c r="AD685" s="29" t="str">
        <f aca="false">IF(OR(AC685="",N(O685)=0),"",AC685/O685-1)</f>
        <v/>
      </c>
      <c r="AE685" s="29" t="str">
        <f aca="false">IF(OR(AD685="",N(O685)=0),"",AD685+N685/O685)</f>
        <v/>
      </c>
      <c r="AF685" s="32" t="str">
        <f aca="false">IF(OR(AE685="",N(Z685)=0),"",AE685-Z685)</f>
        <v/>
      </c>
      <c r="AG685" s="28" t="n">
        <f aca="false">IF(AND(N(M685)&gt;0,N(L685)&gt;0),M685*L685,N685)</f>
        <v>1.34375</v>
      </c>
      <c r="AH685" s="28" t="n">
        <f aca="false">IF(OR(N(AB685)&lt;=0,N(AG685)=0,N(L685)=0),"",MIN(L685,AG685/AB685))</f>
        <v>14.1447368421053</v>
      </c>
      <c r="AI685" s="29" t="str">
        <f aca="false">IF(OR(AH685="",N(O685)=0),"",AH685/O685-1)</f>
        <v/>
      </c>
      <c r="AJ685" s="29" t="str">
        <f aca="false">IF(OR(AI685="",N(O685)=0),"",AI685+AG685/O685)</f>
        <v/>
      </c>
      <c r="AK685" s="32" t="str">
        <f aca="false">IF(OR(AJ685="",N(AE685)=0),"",AJ685-AE685)</f>
        <v/>
      </c>
      <c r="AL685" s="33" t="n">
        <f aca="false">IF(N(F685)=0,"",INDEX(Inputs!$B$28:$B$32,IFERROR(MATCH(F685,Inputs!$A$28:$A$32,1),0)+1))</f>
        <v>0.1</v>
      </c>
      <c r="AM685" s="34"/>
      <c r="AN685" s="33" t="n">
        <f aca="false">IF(N(AM685)&gt;0,AM685,AL685)</f>
        <v>0.1</v>
      </c>
      <c r="AO685" s="29" t="n">
        <f aca="false">IF(N(AN685)=0,"",AN685+IF(I685="yes",AN685*Inputs!$B$10*Inputs!$B$9,0)+IFERROR(INDEX(Inputs!$B$13:$B$15,MATCH(G685,Inputs!$A$13:$A$15,0)),0)+IFERROR(INDEX(Inputs!$B$18:$B$24,MATCH(H685,Inputs!$A$18:$A$24,0)),0))</f>
        <v>0.095</v>
      </c>
      <c r="AP685" s="28" t="n">
        <f aca="false">IF(OR(N(AO685)&lt;=0,N(AG685)=0,N(L685)=0),"",MIN(L685,AG685/AO685))</f>
        <v>14.1447368421053</v>
      </c>
      <c r="AQ685" s="29" t="str">
        <f aca="false">IF(OR(AP685="",N(O685)=0),"",AP685/O685-1)</f>
        <v/>
      </c>
      <c r="AR685" s="29" t="str">
        <f aca="false">IF(OR(AQ685="",N(O685)=0),"",AQ685+AG685/O685)</f>
        <v/>
      </c>
      <c r="AS685" s="32" t="str">
        <f aca="false">IF(OR(AR685="",N(AJ685)=0),"",AR685-AJ685)</f>
        <v/>
      </c>
      <c r="AT685" s="28"/>
      <c r="AU685" s="28"/>
      <c r="AV685" s="28" t="n">
        <f aca="false">IF(N(AT685)&gt;0,AT685,L685)</f>
        <v>25</v>
      </c>
      <c r="AW685" s="28" t="n">
        <f aca="false">IF(AND(N(M685)&gt;0,N(AV685)&gt;0),M685*AV685,IF(N(AU685)&gt;0,AU685,N685))</f>
        <v>1.34375</v>
      </c>
      <c r="AX685" s="29" t="n">
        <f aca="false">IF(N(AN685)=0,"",AN685+IF(I685="yes",AN685*Inputs!$B$10*Inputs!$B$9,0)+IFERROR(INDEX(Inputs!$B$13:$B$15,MATCH(G685,Inputs!$A$13:$A$15,0)),0)+IFERROR(INDEX(Inputs!$B$18:$B$24,MATCH(H685,Inputs!$A$18:$A$24,0)),0))</f>
        <v>0.095</v>
      </c>
      <c r="AY685" s="28" t="n">
        <f aca="false">IF(OR(N(AX685)&lt;=0,N(AW685)=0,N(AV685)=0),"",MIN(AV685,AW685/AX685))</f>
        <v>14.1447368421053</v>
      </c>
      <c r="AZ685" s="29" t="str">
        <f aca="false">IF(OR(AY685="",N(O685)=0),"",AY685/O685-1)</f>
        <v/>
      </c>
      <c r="BA685" s="29" t="str">
        <f aca="false">IF(OR(AZ685="",N(O685)=0),"",AZ685+AW685/O685)</f>
        <v/>
      </c>
      <c r="BB685" s="32" t="str">
        <f aca="false">IF(OR(BA685="",N(AR685)=0),"",BA685-AR685)</f>
        <v/>
      </c>
      <c r="BC685" s="35" t="str">
        <f aca="false">IF(OR(BA685="",N(U685)=0),"",BA685-U685)</f>
        <v/>
      </c>
      <c r="BD685" s="36" t="s">
        <v>508</v>
      </c>
    </row>
    <row r="686" customFormat="false" ht="15" hidden="false" customHeight="false" outlineLevel="0" collapsed="false">
      <c r="A686" s="2" t="s">
        <v>1067</v>
      </c>
      <c r="B686" s="2" t="n">
        <v>382</v>
      </c>
      <c r="C686" s="2" t="s">
        <v>1371</v>
      </c>
      <c r="D686" s="2" t="s">
        <v>1372</v>
      </c>
      <c r="E686" s="2" t="s">
        <v>1373</v>
      </c>
      <c r="F686" s="27" t="n">
        <v>5400</v>
      </c>
      <c r="G686" s="2" t="s">
        <v>51</v>
      </c>
      <c r="H686" s="2" t="s">
        <v>58</v>
      </c>
      <c r="I686" s="2" t="s">
        <v>151</v>
      </c>
      <c r="J686" s="2" t="s">
        <v>145</v>
      </c>
      <c r="K686" s="2" t="n">
        <v>4</v>
      </c>
      <c r="L686" s="28" t="n">
        <v>25</v>
      </c>
      <c r="M686" s="29" t="n">
        <v>0.046</v>
      </c>
      <c r="N686" s="28" t="n">
        <v>1.15</v>
      </c>
      <c r="O686" s="28" t="n">
        <v>15.7</v>
      </c>
      <c r="P686" s="2" t="s">
        <v>146</v>
      </c>
      <c r="Q686" s="29" t="n">
        <v>0.08</v>
      </c>
      <c r="R686" s="30" t="n">
        <v>0.076</v>
      </c>
      <c r="S686" s="31" t="n">
        <v>15.1315789473684</v>
      </c>
      <c r="T686" s="30" t="n">
        <v>-0.0362051625879988</v>
      </c>
      <c r="U686" s="30" t="n">
        <v>0.0370432450553133</v>
      </c>
      <c r="V686" s="29" t="n">
        <v>0</v>
      </c>
      <c r="W686" s="29" t="n">
        <f aca="false">IF(N(Q686)=0,"",Q686+IF(I686="yes",Q686*Inputs!$B$10*Inputs!$B$9,0)+V686)</f>
        <v>0.076</v>
      </c>
      <c r="X686" s="28" t="n">
        <f aca="false">IF(OR(N(W686)&lt;=0,N(N686)=0,N(L686)=0),"",MIN(L686,N686/W686))</f>
        <v>15.1315789473684</v>
      </c>
      <c r="Y686" s="29" t="n">
        <f aca="false">IF(OR(X686="",N(O686)=0),"",X686/O686-1)</f>
        <v>-0.0362051625879987</v>
      </c>
      <c r="Z686" s="29" t="n">
        <f aca="false">IF(OR(Y686="",N(O686)=0),"",Y686+N686/O686)</f>
        <v>0.0370432450553134</v>
      </c>
      <c r="AA686" s="32" t="n">
        <f aca="false">IF(OR(Z686="",N(U686)=0),"",Z686-U686)</f>
        <v>0</v>
      </c>
      <c r="AB686" s="29" t="n">
        <f aca="false">IF(N(Q686)=0,"",Q686+IF(I686="yes",Q686*Inputs!$B$10*Inputs!$B$9,0)+IFERROR(INDEX(Inputs!$B$13:$B$15,MATCH(G686,Inputs!$A$13:$A$15,0)),0)+IFERROR(INDEX(Inputs!$B$18:$B$24,MATCH(H686,Inputs!$A$18:$A$24,0)),0))</f>
        <v>0.076</v>
      </c>
      <c r="AC686" s="28" t="n">
        <f aca="false">IF(OR(N(AB686)&lt;=0,N(N686)=0,N(L686)=0),"",MIN(L686,N686/AB686))</f>
        <v>15.1315789473684</v>
      </c>
      <c r="AD686" s="29" t="n">
        <f aca="false">IF(OR(AC686="",N(O686)=0),"",AC686/O686-1)</f>
        <v>-0.0362051625879987</v>
      </c>
      <c r="AE686" s="29" t="n">
        <f aca="false">IF(OR(AD686="",N(O686)=0),"",AD686+N686/O686)</f>
        <v>0.0370432450553134</v>
      </c>
      <c r="AF686" s="32" t="n">
        <f aca="false">IF(OR(AE686="",N(Z686)=0),"",AE686-Z686)</f>
        <v>0</v>
      </c>
      <c r="AG686" s="28" t="n">
        <f aca="false">IF(AND(N(M686)&gt;0,N(L686)&gt;0),M686*L686,N686)</f>
        <v>1.15</v>
      </c>
      <c r="AH686" s="28" t="n">
        <f aca="false">IF(OR(N(AB686)&lt;=0,N(AG686)=0,N(L686)=0),"",MIN(L686,AG686/AB686))</f>
        <v>15.1315789473684</v>
      </c>
      <c r="AI686" s="29" t="n">
        <f aca="false">IF(OR(AH686="",N(O686)=0),"",AH686/O686-1)</f>
        <v>-0.0362051625879987</v>
      </c>
      <c r="AJ686" s="29" t="n">
        <f aca="false">IF(OR(AI686="",N(O686)=0),"",AI686+AG686/O686)</f>
        <v>0.0370432450553134</v>
      </c>
      <c r="AK686" s="32" t="n">
        <f aca="false">IF(OR(AJ686="",N(AE686)=0),"",AJ686-AE686)</f>
        <v>0</v>
      </c>
      <c r="AL686" s="33" t="n">
        <f aca="false">IF(N(F686)=0,"",INDEX(Inputs!$B$28:$B$32,IFERROR(MATCH(F686,Inputs!$A$28:$A$32,1),0)+1))</f>
        <v>0.08</v>
      </c>
      <c r="AM686" s="34"/>
      <c r="AN686" s="33" t="n">
        <f aca="false">IF(N(AM686)&gt;0,AM686,AL686)</f>
        <v>0.08</v>
      </c>
      <c r="AO686" s="29" t="n">
        <f aca="false">IF(N(AN686)=0,"",AN686+IF(I686="yes",AN686*Inputs!$B$10*Inputs!$B$9,0)+IFERROR(INDEX(Inputs!$B$13:$B$15,MATCH(G686,Inputs!$A$13:$A$15,0)),0)+IFERROR(INDEX(Inputs!$B$18:$B$24,MATCH(H686,Inputs!$A$18:$A$24,0)),0))</f>
        <v>0.076</v>
      </c>
      <c r="AP686" s="28" t="n">
        <f aca="false">IF(OR(N(AO686)&lt;=0,N(AG686)=0,N(L686)=0),"",MIN(L686,AG686/AO686))</f>
        <v>15.1315789473684</v>
      </c>
      <c r="AQ686" s="29" t="n">
        <f aca="false">IF(OR(AP686="",N(O686)=0),"",AP686/O686-1)</f>
        <v>-0.0362051625879987</v>
      </c>
      <c r="AR686" s="29" t="n">
        <f aca="false">IF(OR(AQ686="",N(O686)=0),"",AQ686+AG686/O686)</f>
        <v>0.0370432450553134</v>
      </c>
      <c r="AS686" s="32" t="n">
        <f aca="false">IF(OR(AR686="",N(AJ686)=0),"",AR686-AJ686)</f>
        <v>0</v>
      </c>
      <c r="AT686" s="28" t="n">
        <v>25</v>
      </c>
      <c r="AU686" s="28" t="n">
        <v>1.15</v>
      </c>
      <c r="AV686" s="28" t="n">
        <f aca="false">IF(N(AT686)&gt;0,AT686,L686)</f>
        <v>25</v>
      </c>
      <c r="AW686" s="28" t="n">
        <f aca="false">IF(AND(N(M686)&gt;0,N(AV686)&gt;0),M686*AV686,IF(N(AU686)&gt;0,AU686,N686))</f>
        <v>1.15</v>
      </c>
      <c r="AX686" s="29" t="n">
        <f aca="false">IF(N(AN686)=0,"",AN686+IF(I686="yes",AN686*Inputs!$B$10*Inputs!$B$9,0)+IFERROR(INDEX(Inputs!$B$13:$B$15,MATCH(G686,Inputs!$A$13:$A$15,0)),0)+IFERROR(INDEX(Inputs!$B$18:$B$24,MATCH(H686,Inputs!$A$18:$A$24,0)),0))</f>
        <v>0.076</v>
      </c>
      <c r="AY686" s="28" t="n">
        <f aca="false">IF(OR(N(AX686)&lt;=0,N(AW686)=0,N(AV686)=0),"",MIN(AV686,AW686/AX686))</f>
        <v>15.1315789473684</v>
      </c>
      <c r="AZ686" s="29" t="n">
        <f aca="false">IF(OR(AY686="",N(O686)=0),"",AY686/O686-1)</f>
        <v>-0.0362051625879987</v>
      </c>
      <c r="BA686" s="29" t="n">
        <f aca="false">IF(OR(AZ686="",N(O686)=0),"",AZ686+AW686/O686)</f>
        <v>0.0370432450553134</v>
      </c>
      <c r="BB686" s="32" t="n">
        <f aca="false">IF(OR(BA686="",N(AR686)=0),"",BA686-AR686)</f>
        <v>0</v>
      </c>
      <c r="BC686" s="35" t="n">
        <f aca="false">IF(OR(BA686="",N(U686)=0),"",BA686-U686)</f>
        <v>0</v>
      </c>
      <c r="BD686" s="37"/>
    </row>
    <row r="687" customFormat="false" ht="15" hidden="false" customHeight="false" outlineLevel="0" collapsed="false">
      <c r="A687" s="2" t="s">
        <v>1067</v>
      </c>
      <c r="B687" s="2" t="n">
        <v>386</v>
      </c>
      <c r="C687" s="2" t="s">
        <v>1374</v>
      </c>
      <c r="D687" s="2" t="s">
        <v>1375</v>
      </c>
      <c r="E687" s="2" t="s">
        <v>1376</v>
      </c>
      <c r="F687" s="27" t="n">
        <v>158</v>
      </c>
      <c r="G687" s="2" t="s">
        <v>51</v>
      </c>
      <c r="H687" s="2" t="s">
        <v>58</v>
      </c>
      <c r="I687" s="2" t="s">
        <v>144</v>
      </c>
      <c r="J687" s="2" t="s">
        <v>145</v>
      </c>
      <c r="K687" s="2" t="n">
        <v>4</v>
      </c>
      <c r="L687" s="28" t="n">
        <v>25</v>
      </c>
      <c r="M687" s="29" t="n">
        <v>0.06375</v>
      </c>
      <c r="N687" s="28" t="n">
        <v>1.59375</v>
      </c>
      <c r="O687" s="28" t="n">
        <v>0</v>
      </c>
      <c r="P687" s="2" t="s">
        <v>146</v>
      </c>
      <c r="Q687" s="29" t="n">
        <v>0.1</v>
      </c>
      <c r="R687" s="30" t="n">
        <v>0.1</v>
      </c>
      <c r="S687" s="31" t="n">
        <v>15.9375</v>
      </c>
      <c r="T687" s="30"/>
      <c r="U687" s="30"/>
      <c r="V687" s="29" t="n">
        <v>0</v>
      </c>
      <c r="W687" s="29" t="n">
        <f aca="false">IF(N(Q687)=0,"",Q687+IF(I687="yes",Q687*Inputs!$B$10*Inputs!$B$9,0)+V687)</f>
        <v>0.1</v>
      </c>
      <c r="X687" s="28" t="n">
        <f aca="false">IF(OR(N(W687)&lt;=0,N(N687)=0,N(L687)=0),"",MIN(L687,N687/W687))</f>
        <v>15.9375</v>
      </c>
      <c r="Y687" s="29" t="str">
        <f aca="false">IF(OR(X687="",N(O687)=0),"",X687/O687-1)</f>
        <v/>
      </c>
      <c r="Z687" s="29" t="str">
        <f aca="false">IF(OR(Y687="",N(O687)=0),"",Y687+N687/O687)</f>
        <v/>
      </c>
      <c r="AA687" s="32" t="str">
        <f aca="false">IF(OR(Z687="",N(U687)=0),"",Z687-U687)</f>
        <v/>
      </c>
      <c r="AB687" s="29" t="n">
        <f aca="false">IF(N(Q687)=0,"",Q687+IF(I687="yes",Q687*Inputs!$B$10*Inputs!$B$9,0)+IFERROR(INDEX(Inputs!$B$13:$B$15,MATCH(G687,Inputs!$A$13:$A$15,0)),0)+IFERROR(INDEX(Inputs!$B$18:$B$24,MATCH(H687,Inputs!$A$18:$A$24,0)),0))</f>
        <v>0.1</v>
      </c>
      <c r="AC687" s="28" t="n">
        <f aca="false">IF(OR(N(AB687)&lt;=0,N(N687)=0,N(L687)=0),"",MIN(L687,N687/AB687))</f>
        <v>15.9375</v>
      </c>
      <c r="AD687" s="29" t="str">
        <f aca="false">IF(OR(AC687="",N(O687)=0),"",AC687/O687-1)</f>
        <v/>
      </c>
      <c r="AE687" s="29" t="str">
        <f aca="false">IF(OR(AD687="",N(O687)=0),"",AD687+N687/O687)</f>
        <v/>
      </c>
      <c r="AF687" s="32" t="str">
        <f aca="false">IF(OR(AE687="",N(Z687)=0),"",AE687-Z687)</f>
        <v/>
      </c>
      <c r="AG687" s="28" t="n">
        <f aca="false">IF(AND(N(M687)&gt;0,N(L687)&gt;0),M687*L687,N687)</f>
        <v>1.59375</v>
      </c>
      <c r="AH687" s="28" t="n">
        <f aca="false">IF(OR(N(AB687)&lt;=0,N(AG687)=0,N(L687)=0),"",MIN(L687,AG687/AB687))</f>
        <v>15.9375</v>
      </c>
      <c r="AI687" s="29" t="str">
        <f aca="false">IF(OR(AH687="",N(O687)=0),"",AH687/O687-1)</f>
        <v/>
      </c>
      <c r="AJ687" s="29" t="str">
        <f aca="false">IF(OR(AI687="",N(O687)=0),"",AI687+AG687/O687)</f>
        <v/>
      </c>
      <c r="AK687" s="32" t="str">
        <f aca="false">IF(OR(AJ687="",N(AE687)=0),"",AJ687-AE687)</f>
        <v/>
      </c>
      <c r="AL687" s="33" t="n">
        <f aca="false">IF(N(F687)=0,"",INDEX(Inputs!$B$28:$B$32,IFERROR(MATCH(F687,Inputs!$A$28:$A$32,1),0)+1))</f>
        <v>0.1</v>
      </c>
      <c r="AM687" s="34"/>
      <c r="AN687" s="33" t="n">
        <f aca="false">IF(N(AM687)&gt;0,AM687,AL687)</f>
        <v>0.1</v>
      </c>
      <c r="AO687" s="29" t="n">
        <f aca="false">IF(N(AN687)=0,"",AN687+IF(I687="yes",AN687*Inputs!$B$10*Inputs!$B$9,0)+IFERROR(INDEX(Inputs!$B$13:$B$15,MATCH(G687,Inputs!$A$13:$A$15,0)),0)+IFERROR(INDEX(Inputs!$B$18:$B$24,MATCH(H687,Inputs!$A$18:$A$24,0)),0))</f>
        <v>0.1</v>
      </c>
      <c r="AP687" s="28" t="n">
        <f aca="false">IF(OR(N(AO687)&lt;=0,N(AG687)=0,N(L687)=0),"",MIN(L687,AG687/AO687))</f>
        <v>15.9375</v>
      </c>
      <c r="AQ687" s="29" t="str">
        <f aca="false">IF(OR(AP687="",N(O687)=0),"",AP687/O687-1)</f>
        <v/>
      </c>
      <c r="AR687" s="29" t="str">
        <f aca="false">IF(OR(AQ687="",N(O687)=0),"",AQ687+AG687/O687)</f>
        <v/>
      </c>
      <c r="AS687" s="32" t="str">
        <f aca="false">IF(OR(AR687="",N(AJ687)=0),"",AR687-AJ687)</f>
        <v/>
      </c>
      <c r="AT687" s="28" t="n">
        <v>25</v>
      </c>
      <c r="AU687" s="28" t="n">
        <v>1.59</v>
      </c>
      <c r="AV687" s="28" t="n">
        <f aca="false">IF(N(AT687)&gt;0,AT687,L687)</f>
        <v>25</v>
      </c>
      <c r="AW687" s="28" t="n">
        <f aca="false">IF(AND(N(M687)&gt;0,N(AV687)&gt;0),M687*AV687,IF(N(AU687)&gt;0,AU687,N687))</f>
        <v>1.59375</v>
      </c>
      <c r="AX687" s="29" t="n">
        <f aca="false">IF(N(AN687)=0,"",AN687+IF(I687="yes",AN687*Inputs!$B$10*Inputs!$B$9,0)+IFERROR(INDEX(Inputs!$B$13:$B$15,MATCH(G687,Inputs!$A$13:$A$15,0)),0)+IFERROR(INDEX(Inputs!$B$18:$B$24,MATCH(H687,Inputs!$A$18:$A$24,0)),0))</f>
        <v>0.1</v>
      </c>
      <c r="AY687" s="28" t="n">
        <f aca="false">IF(OR(N(AX687)&lt;=0,N(AW687)=0,N(AV687)=0),"",MIN(AV687,AW687/AX687))</f>
        <v>15.9375</v>
      </c>
      <c r="AZ687" s="29" t="str">
        <f aca="false">IF(OR(AY687="",N(O687)=0),"",AY687/O687-1)</f>
        <v/>
      </c>
      <c r="BA687" s="29" t="str">
        <f aca="false">IF(OR(AZ687="",N(O687)=0),"",AZ687+AW687/O687)</f>
        <v/>
      </c>
      <c r="BB687" s="32" t="str">
        <f aca="false">IF(OR(BA687="",N(AR687)=0),"",BA687-AR687)</f>
        <v/>
      </c>
      <c r="BC687" s="35" t="str">
        <f aca="false">IF(OR(BA687="",N(U687)=0),"",BA687-U687)</f>
        <v/>
      </c>
      <c r="BD687" s="36" t="s">
        <v>299</v>
      </c>
    </row>
    <row r="688" customFormat="false" ht="15" hidden="false" customHeight="false" outlineLevel="0" collapsed="false">
      <c r="A688" s="2" t="s">
        <v>1067</v>
      </c>
      <c r="B688" s="2" t="n">
        <v>390</v>
      </c>
      <c r="C688" s="2" t="s">
        <v>1377</v>
      </c>
      <c r="D688" s="2" t="s">
        <v>1378</v>
      </c>
      <c r="E688" s="2" t="s">
        <v>1379</v>
      </c>
      <c r="F688" s="27" t="n">
        <v>60100</v>
      </c>
      <c r="G688" s="2" t="s">
        <v>51</v>
      </c>
      <c r="H688" s="2" t="s">
        <v>58</v>
      </c>
      <c r="I688" s="2" t="s">
        <v>144</v>
      </c>
      <c r="J688" s="2" t="s">
        <v>145</v>
      </c>
      <c r="K688" s="2" t="n">
        <v>4</v>
      </c>
      <c r="L688" s="28" t="n">
        <v>25</v>
      </c>
      <c r="M688" s="29" t="n">
        <v>0.0445</v>
      </c>
      <c r="N688" s="28" t="n">
        <v>1.1125</v>
      </c>
      <c r="O688" s="28" t="n">
        <v>15.455</v>
      </c>
      <c r="P688" s="2" t="s">
        <v>146</v>
      </c>
      <c r="Q688" s="29" t="n">
        <v>0.08</v>
      </c>
      <c r="R688" s="30" t="n">
        <v>0.08</v>
      </c>
      <c r="S688" s="31" t="n">
        <v>13.90625</v>
      </c>
      <c r="T688" s="30" t="n">
        <v>-0.100210287932708</v>
      </c>
      <c r="U688" s="30" t="n">
        <v>-0.0282271109673245</v>
      </c>
      <c r="V688" s="29" t="n">
        <v>0</v>
      </c>
      <c r="W688" s="29" t="n">
        <f aca="false">IF(N(Q688)=0,"",Q688+IF(I688="yes",Q688*Inputs!$B$10*Inputs!$B$9,0)+V688)</f>
        <v>0.08</v>
      </c>
      <c r="X688" s="28" t="n">
        <f aca="false">IF(OR(N(W688)&lt;=0,N(N688)=0,N(L688)=0),"",MIN(L688,N688/W688))</f>
        <v>13.90625</v>
      </c>
      <c r="Y688" s="29" t="n">
        <f aca="false">IF(OR(X688="",N(O688)=0),"",X688/O688-1)</f>
        <v>-0.100210287932708</v>
      </c>
      <c r="Z688" s="29" t="n">
        <f aca="false">IF(OR(Y688="",N(O688)=0),"",Y688+N688/O688)</f>
        <v>-0.0282271109673245</v>
      </c>
      <c r="AA688" s="32" t="n">
        <f aca="false">IF(OR(Z688="",N(U688)=0),"",Z688-U688)</f>
        <v>0</v>
      </c>
      <c r="AB688" s="29" t="n">
        <f aca="false">IF(N(Q688)=0,"",Q688+IF(I688="yes",Q688*Inputs!$B$10*Inputs!$B$9,0)+IFERROR(INDEX(Inputs!$B$13:$B$15,MATCH(G688,Inputs!$A$13:$A$15,0)),0)+IFERROR(INDEX(Inputs!$B$18:$B$24,MATCH(H688,Inputs!$A$18:$A$24,0)),0))</f>
        <v>0.08</v>
      </c>
      <c r="AC688" s="28" t="n">
        <f aca="false">IF(OR(N(AB688)&lt;=0,N(N688)=0,N(L688)=0),"",MIN(L688,N688/AB688))</f>
        <v>13.90625</v>
      </c>
      <c r="AD688" s="29" t="n">
        <f aca="false">IF(OR(AC688="",N(O688)=0),"",AC688/O688-1)</f>
        <v>-0.100210287932708</v>
      </c>
      <c r="AE688" s="29" t="n">
        <f aca="false">IF(OR(AD688="",N(O688)=0),"",AD688+N688/O688)</f>
        <v>-0.0282271109673245</v>
      </c>
      <c r="AF688" s="32" t="n">
        <f aca="false">IF(OR(AE688="",N(Z688)=0),"",AE688-Z688)</f>
        <v>0</v>
      </c>
      <c r="AG688" s="28" t="n">
        <f aca="false">IF(AND(N(M688)&gt;0,N(L688)&gt;0),M688*L688,N688)</f>
        <v>1.1125</v>
      </c>
      <c r="AH688" s="28" t="n">
        <f aca="false">IF(OR(N(AB688)&lt;=0,N(AG688)=0,N(L688)=0),"",MIN(L688,AG688/AB688))</f>
        <v>13.90625</v>
      </c>
      <c r="AI688" s="29" t="n">
        <f aca="false">IF(OR(AH688="",N(O688)=0),"",AH688/O688-1)</f>
        <v>-0.100210287932708</v>
      </c>
      <c r="AJ688" s="29" t="n">
        <f aca="false">IF(OR(AI688="",N(O688)=0),"",AI688+AG688/O688)</f>
        <v>-0.0282271109673245</v>
      </c>
      <c r="AK688" s="32" t="n">
        <f aca="false">IF(OR(AJ688="",N(AE688)=0),"",AJ688-AE688)</f>
        <v>0</v>
      </c>
      <c r="AL688" s="33" t="n">
        <f aca="false">IF(N(F688)=0,"",INDEX(Inputs!$B$28:$B$32,IFERROR(MATCH(F688,Inputs!$A$28:$A$32,1),0)+1))</f>
        <v>0.075</v>
      </c>
      <c r="AM688" s="34"/>
      <c r="AN688" s="33" t="n">
        <f aca="false">IF(N(AM688)&gt;0,AM688,AL688)</f>
        <v>0.075</v>
      </c>
      <c r="AO688" s="29" t="n">
        <f aca="false">IF(N(AN688)=0,"",AN688+IF(I688="yes",AN688*Inputs!$B$10*Inputs!$B$9,0)+IFERROR(INDEX(Inputs!$B$13:$B$15,MATCH(G688,Inputs!$A$13:$A$15,0)),0)+IFERROR(INDEX(Inputs!$B$18:$B$24,MATCH(H688,Inputs!$A$18:$A$24,0)),0))</f>
        <v>0.075</v>
      </c>
      <c r="AP688" s="28" t="n">
        <f aca="false">IF(OR(N(AO688)&lt;=0,N(AG688)=0,N(L688)=0),"",MIN(L688,AG688/AO688))</f>
        <v>14.8333333333333</v>
      </c>
      <c r="AQ688" s="29" t="n">
        <f aca="false">IF(OR(AP688="",N(O688)=0),"",AP688/O688-1)</f>
        <v>-0.0402243071282217</v>
      </c>
      <c r="AR688" s="29" t="n">
        <f aca="false">IF(OR(AQ688="",N(O688)=0),"",AQ688+AG688/O688)</f>
        <v>0.0317588698371617</v>
      </c>
      <c r="AS688" s="32" t="n">
        <f aca="false">IF(OR(AR688="",N(AJ688)=0),"",AR688-AJ688)</f>
        <v>0.0599859808044863</v>
      </c>
      <c r="AT688" s="28" t="n">
        <v>25</v>
      </c>
      <c r="AU688" s="28" t="n">
        <v>1.1125</v>
      </c>
      <c r="AV688" s="28" t="n">
        <f aca="false">IF(N(AT688)&gt;0,AT688,L688)</f>
        <v>25</v>
      </c>
      <c r="AW688" s="28" t="n">
        <f aca="false">IF(AND(N(M688)&gt;0,N(AV688)&gt;0),M688*AV688,IF(N(AU688)&gt;0,AU688,N688))</f>
        <v>1.1125</v>
      </c>
      <c r="AX688" s="29" t="n">
        <f aca="false">IF(N(AN688)=0,"",AN688+IF(I688="yes",AN688*Inputs!$B$10*Inputs!$B$9,0)+IFERROR(INDEX(Inputs!$B$13:$B$15,MATCH(G688,Inputs!$A$13:$A$15,0)),0)+IFERROR(INDEX(Inputs!$B$18:$B$24,MATCH(H688,Inputs!$A$18:$A$24,0)),0))</f>
        <v>0.075</v>
      </c>
      <c r="AY688" s="28" t="n">
        <f aca="false">IF(OR(N(AX688)&lt;=0,N(AW688)=0,N(AV688)=0),"",MIN(AV688,AW688/AX688))</f>
        <v>14.8333333333333</v>
      </c>
      <c r="AZ688" s="29" t="n">
        <f aca="false">IF(OR(AY688="",N(O688)=0),"",AY688/O688-1)</f>
        <v>-0.0402243071282217</v>
      </c>
      <c r="BA688" s="29" t="n">
        <f aca="false">IF(OR(AZ688="",N(O688)=0),"",AZ688+AW688/O688)</f>
        <v>0.0317588698371617</v>
      </c>
      <c r="BB688" s="32" t="n">
        <f aca="false">IF(OR(BA688="",N(AR688)=0),"",BA688-AR688)</f>
        <v>0</v>
      </c>
      <c r="BC688" s="35" t="n">
        <f aca="false">IF(OR(BA688="",N(U688)=0),"",BA688-U688)</f>
        <v>0.0599859808044863</v>
      </c>
      <c r="BD688" s="36" t="s">
        <v>406</v>
      </c>
    </row>
    <row r="689" customFormat="false" ht="15" hidden="false" customHeight="false" outlineLevel="0" collapsed="false">
      <c r="A689" s="2" t="s">
        <v>1067</v>
      </c>
      <c r="B689" s="2" t="n">
        <v>394</v>
      </c>
      <c r="C689" s="2" t="s">
        <v>1380</v>
      </c>
      <c r="D689" s="2" t="s">
        <v>1381</v>
      </c>
      <c r="E689" s="2" t="s">
        <v>1382</v>
      </c>
      <c r="F689" s="27" t="n">
        <v>4100</v>
      </c>
      <c r="G689" s="2" t="s">
        <v>51</v>
      </c>
      <c r="H689" s="2" t="s">
        <v>58</v>
      </c>
      <c r="I689" s="2" t="s">
        <v>144</v>
      </c>
      <c r="J689" s="2" t="s">
        <v>145</v>
      </c>
      <c r="K689" s="2" t="n">
        <v>4</v>
      </c>
      <c r="L689" s="28" t="n">
        <v>25</v>
      </c>
      <c r="M689" s="29" t="n">
        <v>0.065</v>
      </c>
      <c r="N689" s="28" t="n">
        <v>1.625</v>
      </c>
      <c r="O689" s="28" t="n">
        <v>21.29</v>
      </c>
      <c r="P689" s="2" t="s">
        <v>146</v>
      </c>
      <c r="Q689" s="29" t="n">
        <v>0.08</v>
      </c>
      <c r="R689" s="30" t="n">
        <v>0.08</v>
      </c>
      <c r="S689" s="31" t="n">
        <v>20.3125</v>
      </c>
      <c r="T689" s="30" t="n">
        <v>-0.0459135744480976</v>
      </c>
      <c r="U689" s="30" t="n">
        <v>0.0304133395960546</v>
      </c>
      <c r="V689" s="29" t="n">
        <v>0</v>
      </c>
      <c r="W689" s="29" t="n">
        <f aca="false">IF(N(Q689)=0,"",Q689+IF(I689="yes",Q689*Inputs!$B$10*Inputs!$B$9,0)+V689)</f>
        <v>0.08</v>
      </c>
      <c r="X689" s="28" t="n">
        <f aca="false">IF(OR(N(W689)&lt;=0,N(N689)=0,N(L689)=0),"",MIN(L689,N689/W689))</f>
        <v>20.3125</v>
      </c>
      <c r="Y689" s="29" t="n">
        <f aca="false">IF(OR(X689="",N(O689)=0),"",X689/O689-1)</f>
        <v>-0.0459135744480976</v>
      </c>
      <c r="Z689" s="29" t="n">
        <f aca="false">IF(OR(Y689="",N(O689)=0),"",Y689+N689/O689)</f>
        <v>0.0304133395960546</v>
      </c>
      <c r="AA689" s="32" t="n">
        <f aca="false">IF(OR(Z689="",N(U689)=0),"",Z689-U689)</f>
        <v>0</v>
      </c>
      <c r="AB689" s="29" t="n">
        <f aca="false">IF(N(Q689)=0,"",Q689+IF(I689="yes",Q689*Inputs!$B$10*Inputs!$B$9,0)+IFERROR(INDEX(Inputs!$B$13:$B$15,MATCH(G689,Inputs!$A$13:$A$15,0)),0)+IFERROR(INDEX(Inputs!$B$18:$B$24,MATCH(H689,Inputs!$A$18:$A$24,0)),0))</f>
        <v>0.08</v>
      </c>
      <c r="AC689" s="28" t="n">
        <f aca="false">IF(OR(N(AB689)&lt;=0,N(N689)=0,N(L689)=0),"",MIN(L689,N689/AB689))</f>
        <v>20.3125</v>
      </c>
      <c r="AD689" s="29" t="n">
        <f aca="false">IF(OR(AC689="",N(O689)=0),"",AC689/O689-1)</f>
        <v>-0.0459135744480976</v>
      </c>
      <c r="AE689" s="29" t="n">
        <f aca="false">IF(OR(AD689="",N(O689)=0),"",AD689+N689/O689)</f>
        <v>0.0304133395960546</v>
      </c>
      <c r="AF689" s="32" t="n">
        <f aca="false">IF(OR(AE689="",N(Z689)=0),"",AE689-Z689)</f>
        <v>0</v>
      </c>
      <c r="AG689" s="28" t="n">
        <f aca="false">IF(AND(N(M689)&gt;0,N(L689)&gt;0),M689*L689,N689)</f>
        <v>1.625</v>
      </c>
      <c r="AH689" s="28" t="n">
        <f aca="false">IF(OR(N(AB689)&lt;=0,N(AG689)=0,N(L689)=0),"",MIN(L689,AG689/AB689))</f>
        <v>20.3125</v>
      </c>
      <c r="AI689" s="29" t="n">
        <f aca="false">IF(OR(AH689="",N(O689)=0),"",AH689/O689-1)</f>
        <v>-0.0459135744480976</v>
      </c>
      <c r="AJ689" s="29" t="n">
        <f aca="false">IF(OR(AI689="",N(O689)=0),"",AI689+AG689/O689)</f>
        <v>0.0304133395960546</v>
      </c>
      <c r="AK689" s="32" t="n">
        <f aca="false">IF(OR(AJ689="",N(AE689)=0),"",AJ689-AE689)</f>
        <v>0</v>
      </c>
      <c r="AL689" s="33" t="n">
        <f aca="false">IF(N(F689)=0,"",INDEX(Inputs!$B$28:$B$32,IFERROR(MATCH(F689,Inputs!$A$28:$A$32,1),0)+1))</f>
        <v>0.085</v>
      </c>
      <c r="AM689" s="34"/>
      <c r="AN689" s="33" t="n">
        <f aca="false">IF(N(AM689)&gt;0,AM689,AL689)</f>
        <v>0.085</v>
      </c>
      <c r="AO689" s="29" t="n">
        <f aca="false">IF(N(AN689)=0,"",AN689+IF(I689="yes",AN689*Inputs!$B$10*Inputs!$B$9,0)+IFERROR(INDEX(Inputs!$B$13:$B$15,MATCH(G689,Inputs!$A$13:$A$15,0)),0)+IFERROR(INDEX(Inputs!$B$18:$B$24,MATCH(H689,Inputs!$A$18:$A$24,0)),0))</f>
        <v>0.085</v>
      </c>
      <c r="AP689" s="28" t="n">
        <f aca="false">IF(OR(N(AO689)&lt;=0,N(AG689)=0,N(L689)=0),"",MIN(L689,AG689/AO689))</f>
        <v>19.1176470588235</v>
      </c>
      <c r="AQ689" s="29" t="n">
        <f aca="false">IF(OR(AP689="",N(O689)=0),"",AP689/O689-1)</f>
        <v>-0.102036305362915</v>
      </c>
      <c r="AR689" s="29" t="n">
        <f aca="false">IF(OR(AQ689="",N(O689)=0),"",AQ689+AG689/O689)</f>
        <v>-0.0257093913187632</v>
      </c>
      <c r="AS689" s="32" t="n">
        <f aca="false">IF(OR(AR689="",N(AJ689)=0),"",AR689-AJ689)</f>
        <v>-0.0561227309148178</v>
      </c>
      <c r="AT689" s="28" t="n">
        <v>25</v>
      </c>
      <c r="AU689" s="28" t="n">
        <v>1.63</v>
      </c>
      <c r="AV689" s="28" t="n">
        <f aca="false">IF(N(AT689)&gt;0,AT689,L689)</f>
        <v>25</v>
      </c>
      <c r="AW689" s="28" t="n">
        <f aca="false">IF(AND(N(M689)&gt;0,N(AV689)&gt;0),M689*AV689,IF(N(AU689)&gt;0,AU689,N689))</f>
        <v>1.625</v>
      </c>
      <c r="AX689" s="29" t="n">
        <f aca="false">IF(N(AN689)=0,"",AN689+IF(I689="yes",AN689*Inputs!$B$10*Inputs!$B$9,0)+IFERROR(INDEX(Inputs!$B$13:$B$15,MATCH(G689,Inputs!$A$13:$A$15,0)),0)+IFERROR(INDEX(Inputs!$B$18:$B$24,MATCH(H689,Inputs!$A$18:$A$24,0)),0))</f>
        <v>0.085</v>
      </c>
      <c r="AY689" s="28" t="n">
        <f aca="false">IF(OR(N(AX689)&lt;=0,N(AW689)=0,N(AV689)=0),"",MIN(AV689,AW689/AX689))</f>
        <v>19.1176470588235</v>
      </c>
      <c r="AZ689" s="29" t="n">
        <f aca="false">IF(OR(AY689="",N(O689)=0),"",AY689/O689-1)</f>
        <v>-0.102036305362915</v>
      </c>
      <c r="BA689" s="29" t="n">
        <f aca="false">IF(OR(AZ689="",N(O689)=0),"",AZ689+AW689/O689)</f>
        <v>-0.0257093913187632</v>
      </c>
      <c r="BB689" s="32" t="n">
        <f aca="false">IF(OR(BA689="",N(AR689)=0),"",BA689-AR689)</f>
        <v>0</v>
      </c>
      <c r="BC689" s="35" t="n">
        <f aca="false">IF(OR(BA689="",N(U689)=0),"",BA689-U689)</f>
        <v>-0.0561227309148178</v>
      </c>
      <c r="BD689" s="37"/>
    </row>
    <row r="690" customFormat="false" ht="15" hidden="false" customHeight="false" outlineLevel="0" collapsed="false">
      <c r="A690" s="2" t="s">
        <v>1067</v>
      </c>
      <c r="B690" s="2" t="n">
        <v>398</v>
      </c>
      <c r="C690" s="2" t="s">
        <v>1383</v>
      </c>
      <c r="D690" s="2" t="s">
        <v>1384</v>
      </c>
      <c r="E690" s="2" t="s">
        <v>1385</v>
      </c>
      <c r="F690" s="27" t="n">
        <v>4900</v>
      </c>
      <c r="G690" s="2" t="s">
        <v>52</v>
      </c>
      <c r="H690" s="2" t="s">
        <v>58</v>
      </c>
      <c r="I690" s="2" t="s">
        <v>144</v>
      </c>
      <c r="J690" s="2" t="s">
        <v>145</v>
      </c>
      <c r="K690" s="2" t="n">
        <v>4</v>
      </c>
      <c r="L690" s="28" t="n">
        <v>25</v>
      </c>
      <c r="M690" s="29" t="n">
        <v>0.06</v>
      </c>
      <c r="N690" s="28" t="n">
        <v>1.5</v>
      </c>
      <c r="O690" s="28" t="n">
        <v>17.94</v>
      </c>
      <c r="P690" s="2" t="s">
        <v>146</v>
      </c>
      <c r="Q690" s="29" t="n">
        <v>0.1</v>
      </c>
      <c r="R690" s="30" t="n">
        <v>0.095</v>
      </c>
      <c r="S690" s="31" t="n">
        <v>15.7894736842105</v>
      </c>
      <c r="T690" s="30" t="n">
        <v>-0.119873261749692</v>
      </c>
      <c r="U690" s="30" t="n">
        <v>-0.0362612216159128</v>
      </c>
      <c r="V690" s="29" t="n">
        <v>-0.005</v>
      </c>
      <c r="W690" s="29" t="n">
        <f aca="false">IF(N(Q690)=0,"",Q690+IF(I690="yes",Q690*Inputs!$B$10*Inputs!$B$9,0)+V690)</f>
        <v>0.095</v>
      </c>
      <c r="X690" s="28" t="n">
        <f aca="false">IF(OR(N(W690)&lt;=0,N(N690)=0,N(L690)=0),"",MIN(L690,N690/W690))</f>
        <v>15.7894736842105</v>
      </c>
      <c r="Y690" s="29" t="n">
        <f aca="false">IF(OR(X690="",N(O690)=0),"",X690/O690-1)</f>
        <v>-0.119873261749692</v>
      </c>
      <c r="Z690" s="29" t="n">
        <f aca="false">IF(OR(Y690="",N(O690)=0),"",Y690+N690/O690)</f>
        <v>-0.0362612216159128</v>
      </c>
      <c r="AA690" s="32" t="n">
        <f aca="false">IF(OR(Z690="",N(U690)=0),"",Z690-U690)</f>
        <v>0</v>
      </c>
      <c r="AB690" s="29" t="n">
        <f aca="false">IF(N(Q690)=0,"",Q690+IF(I690="yes",Q690*Inputs!$B$10*Inputs!$B$9,0)+IFERROR(INDEX(Inputs!$B$13:$B$15,MATCH(G690,Inputs!$A$13:$A$15,0)),0)+IFERROR(INDEX(Inputs!$B$18:$B$24,MATCH(H690,Inputs!$A$18:$A$24,0)),0))</f>
        <v>0.095</v>
      </c>
      <c r="AC690" s="28" t="n">
        <f aca="false">IF(OR(N(AB690)&lt;=0,N(N690)=0,N(L690)=0),"",MIN(L690,N690/AB690))</f>
        <v>15.7894736842105</v>
      </c>
      <c r="AD690" s="29" t="n">
        <f aca="false">IF(OR(AC690="",N(O690)=0),"",AC690/O690-1)</f>
        <v>-0.119873261749692</v>
      </c>
      <c r="AE690" s="29" t="n">
        <f aca="false">IF(OR(AD690="",N(O690)=0),"",AD690+N690/O690)</f>
        <v>-0.0362612216159128</v>
      </c>
      <c r="AF690" s="32" t="n">
        <f aca="false">IF(OR(AE690="",N(Z690)=0),"",AE690-Z690)</f>
        <v>0</v>
      </c>
      <c r="AG690" s="28" t="n">
        <f aca="false">IF(AND(N(M690)&gt;0,N(L690)&gt;0),M690*L690,N690)</f>
        <v>1.5</v>
      </c>
      <c r="AH690" s="28" t="n">
        <f aca="false">IF(OR(N(AB690)&lt;=0,N(AG690)=0,N(L690)=0),"",MIN(L690,AG690/AB690))</f>
        <v>15.7894736842105</v>
      </c>
      <c r="AI690" s="29" t="n">
        <f aca="false">IF(OR(AH690="",N(O690)=0),"",AH690/O690-1)</f>
        <v>-0.119873261749692</v>
      </c>
      <c r="AJ690" s="29" t="n">
        <f aca="false">IF(OR(AI690="",N(O690)=0),"",AI690+AG690/O690)</f>
        <v>-0.0362612216159128</v>
      </c>
      <c r="AK690" s="32" t="n">
        <f aca="false">IF(OR(AJ690="",N(AE690)=0),"",AJ690-AE690)</f>
        <v>0</v>
      </c>
      <c r="AL690" s="33" t="n">
        <f aca="false">IF(N(F690)=0,"",INDEX(Inputs!$B$28:$B$32,IFERROR(MATCH(F690,Inputs!$A$28:$A$32,1),0)+1))</f>
        <v>0.085</v>
      </c>
      <c r="AM690" s="34"/>
      <c r="AN690" s="33" t="n">
        <f aca="false">IF(N(AM690)&gt;0,AM690,AL690)</f>
        <v>0.085</v>
      </c>
      <c r="AO690" s="29" t="n">
        <f aca="false">IF(N(AN690)=0,"",AN690+IF(I690="yes",AN690*Inputs!$B$10*Inputs!$B$9,0)+IFERROR(INDEX(Inputs!$B$13:$B$15,MATCH(G690,Inputs!$A$13:$A$15,0)),0)+IFERROR(INDEX(Inputs!$B$18:$B$24,MATCH(H690,Inputs!$A$18:$A$24,0)),0))</f>
        <v>0.08</v>
      </c>
      <c r="AP690" s="28" t="n">
        <f aca="false">IF(OR(N(AO690)&lt;=0,N(AG690)=0,N(L690)=0),"",MIN(L690,AG690/AO690))</f>
        <v>18.75</v>
      </c>
      <c r="AQ690" s="29" t="n">
        <f aca="false">IF(OR(AP690="",N(O690)=0),"",AP690/O690-1)</f>
        <v>0.0451505016722407</v>
      </c>
      <c r="AR690" s="29" t="n">
        <f aca="false">IF(OR(AQ690="",N(O690)=0),"",AQ690+AG690/O690)</f>
        <v>0.12876254180602</v>
      </c>
      <c r="AS690" s="32" t="n">
        <f aca="false">IF(OR(AR690="",N(AJ690)=0),"",AR690-AJ690)</f>
        <v>0.165023763421933</v>
      </c>
      <c r="AT690" s="28" t="n">
        <v>25</v>
      </c>
      <c r="AU690" s="28" t="n">
        <v>1.5</v>
      </c>
      <c r="AV690" s="28" t="n">
        <f aca="false">IF(N(AT690)&gt;0,AT690,L690)</f>
        <v>25</v>
      </c>
      <c r="AW690" s="28" t="n">
        <f aca="false">IF(AND(N(M690)&gt;0,N(AV690)&gt;0),M690*AV690,IF(N(AU690)&gt;0,AU690,N690))</f>
        <v>1.5</v>
      </c>
      <c r="AX690" s="29" t="n">
        <f aca="false">IF(N(AN690)=0,"",AN690+IF(I690="yes",AN690*Inputs!$B$10*Inputs!$B$9,0)+IFERROR(INDEX(Inputs!$B$13:$B$15,MATCH(G690,Inputs!$A$13:$A$15,0)),0)+IFERROR(INDEX(Inputs!$B$18:$B$24,MATCH(H690,Inputs!$A$18:$A$24,0)),0))</f>
        <v>0.08</v>
      </c>
      <c r="AY690" s="28" t="n">
        <f aca="false">IF(OR(N(AX690)&lt;=0,N(AW690)=0,N(AV690)=0),"",MIN(AV690,AW690/AX690))</f>
        <v>18.75</v>
      </c>
      <c r="AZ690" s="29" t="n">
        <f aca="false">IF(OR(AY690="",N(O690)=0),"",AY690/O690-1)</f>
        <v>0.0451505016722407</v>
      </c>
      <c r="BA690" s="29" t="n">
        <f aca="false">IF(OR(AZ690="",N(O690)=0),"",AZ690+AW690/O690)</f>
        <v>0.12876254180602</v>
      </c>
      <c r="BB690" s="32" t="n">
        <f aca="false">IF(OR(BA690="",N(AR690)=0),"",BA690-AR690)</f>
        <v>0</v>
      </c>
      <c r="BC690" s="35" t="n">
        <f aca="false">IF(OR(BA690="",N(U690)=0),"",BA690-U690)</f>
        <v>0.165023763421933</v>
      </c>
      <c r="BD690" s="37"/>
    </row>
    <row r="691" customFormat="false" ht="15" hidden="false" customHeight="false" outlineLevel="0" collapsed="false">
      <c r="A691" s="2" t="s">
        <v>1067</v>
      </c>
      <c r="B691" s="2" t="n">
        <v>402</v>
      </c>
      <c r="C691" s="2" t="s">
        <v>1386</v>
      </c>
      <c r="D691" s="2" t="s">
        <v>1387</v>
      </c>
      <c r="E691" s="2" t="s">
        <v>1388</v>
      </c>
      <c r="F691" s="27" t="n">
        <v>291</v>
      </c>
      <c r="G691" s="2" t="s">
        <v>51</v>
      </c>
      <c r="H691" s="2" t="s">
        <v>58</v>
      </c>
      <c r="I691" s="2" t="s">
        <v>144</v>
      </c>
      <c r="J691" s="2" t="s">
        <v>168</v>
      </c>
      <c r="K691" s="2" t="n">
        <v>12</v>
      </c>
      <c r="L691" s="28" t="n">
        <v>25</v>
      </c>
      <c r="M691" s="29" t="n">
        <v>0.09</v>
      </c>
      <c r="N691" s="28" t="n">
        <v>2.25</v>
      </c>
      <c r="O691" s="28" t="n">
        <v>12.53</v>
      </c>
      <c r="P691" s="2" t="s">
        <v>146</v>
      </c>
      <c r="Q691" s="29" t="n">
        <v>0.1</v>
      </c>
      <c r="R691" s="30" t="n">
        <v>0.1</v>
      </c>
      <c r="S691" s="31" t="n">
        <v>22.5</v>
      </c>
      <c r="T691" s="30" t="n">
        <v>0.795690343176376</v>
      </c>
      <c r="U691" s="30" t="n">
        <v>0.975259377494014</v>
      </c>
      <c r="V691" s="29" t="n">
        <v>0</v>
      </c>
      <c r="W691" s="29" t="n">
        <f aca="false">IF(N(Q691)=0,"",Q691+IF(I691="yes",Q691*Inputs!$B$10*Inputs!$B$9,0)+V691)</f>
        <v>0.1</v>
      </c>
      <c r="X691" s="28" t="n">
        <f aca="false">IF(OR(N(W691)&lt;=0,N(N691)=0,N(L691)=0),"",MIN(L691,N691/W691))</f>
        <v>22.5</v>
      </c>
      <c r="Y691" s="29" t="n">
        <f aca="false">IF(OR(X691="",N(O691)=0),"",X691/O691-1)</f>
        <v>0.795690343176377</v>
      </c>
      <c r="Z691" s="29" t="n">
        <f aca="false">IF(OR(Y691="",N(O691)=0),"",Y691+N691/O691)</f>
        <v>0.975259377494015</v>
      </c>
      <c r="AA691" s="32" t="n">
        <f aca="false">IF(OR(Z691="",N(U691)=0),"",Z691-U691)</f>
        <v>0</v>
      </c>
      <c r="AB691" s="29" t="n">
        <f aca="false">IF(N(Q691)=0,"",Q691+IF(I691="yes",Q691*Inputs!$B$10*Inputs!$B$9,0)+IFERROR(INDEX(Inputs!$B$13:$B$15,MATCH(G691,Inputs!$A$13:$A$15,0)),0)+IFERROR(INDEX(Inputs!$B$18:$B$24,MATCH(H691,Inputs!$A$18:$A$24,0)),0))</f>
        <v>0.1</v>
      </c>
      <c r="AC691" s="28" t="n">
        <f aca="false">IF(OR(N(AB691)&lt;=0,N(N691)=0,N(L691)=0),"",MIN(L691,N691/AB691))</f>
        <v>22.5</v>
      </c>
      <c r="AD691" s="29" t="n">
        <f aca="false">IF(OR(AC691="",N(O691)=0),"",AC691/O691-1)</f>
        <v>0.795690343176377</v>
      </c>
      <c r="AE691" s="29" t="n">
        <f aca="false">IF(OR(AD691="",N(O691)=0),"",AD691+N691/O691)</f>
        <v>0.975259377494015</v>
      </c>
      <c r="AF691" s="32" t="n">
        <f aca="false">IF(OR(AE691="",N(Z691)=0),"",AE691-Z691)</f>
        <v>0</v>
      </c>
      <c r="AG691" s="28" t="n">
        <f aca="false">IF(AND(N(M691)&gt;0,N(L691)&gt;0),M691*L691,N691)</f>
        <v>2.25</v>
      </c>
      <c r="AH691" s="28" t="n">
        <f aca="false">IF(OR(N(AB691)&lt;=0,N(AG691)=0,N(L691)=0),"",MIN(L691,AG691/AB691))</f>
        <v>22.5</v>
      </c>
      <c r="AI691" s="29" t="n">
        <f aca="false">IF(OR(AH691="",N(O691)=0),"",AH691/O691-1)</f>
        <v>0.795690343176377</v>
      </c>
      <c r="AJ691" s="29" t="n">
        <f aca="false">IF(OR(AI691="",N(O691)=0),"",AI691+AG691/O691)</f>
        <v>0.975259377494015</v>
      </c>
      <c r="AK691" s="32" t="n">
        <f aca="false">IF(OR(AJ691="",N(AE691)=0),"",AJ691-AE691)</f>
        <v>0</v>
      </c>
      <c r="AL691" s="33" t="n">
        <f aca="false">IF(N(F691)=0,"",INDEX(Inputs!$B$28:$B$32,IFERROR(MATCH(F691,Inputs!$A$28:$A$32,1),0)+1))</f>
        <v>0.09</v>
      </c>
      <c r="AM691" s="34"/>
      <c r="AN691" s="33" t="n">
        <f aca="false">IF(N(AM691)&gt;0,AM691,AL691)</f>
        <v>0.09</v>
      </c>
      <c r="AO691" s="29" t="n">
        <f aca="false">IF(N(AN691)=0,"",AN691+IF(I691="yes",AN691*Inputs!$B$10*Inputs!$B$9,0)+IFERROR(INDEX(Inputs!$B$13:$B$15,MATCH(G691,Inputs!$A$13:$A$15,0)),0)+IFERROR(INDEX(Inputs!$B$18:$B$24,MATCH(H691,Inputs!$A$18:$A$24,0)),0))</f>
        <v>0.09</v>
      </c>
      <c r="AP691" s="28" t="n">
        <f aca="false">IF(OR(N(AO691)&lt;=0,N(AG691)=0,N(L691)=0),"",MIN(L691,AG691/AO691))</f>
        <v>25</v>
      </c>
      <c r="AQ691" s="29" t="n">
        <f aca="false">IF(OR(AP691="",N(O691)=0),"",AP691/O691-1)</f>
        <v>0.995211492418197</v>
      </c>
      <c r="AR691" s="29" t="n">
        <f aca="false">IF(OR(AQ691="",N(O691)=0),"",AQ691+AG691/O691)</f>
        <v>1.17478052673583</v>
      </c>
      <c r="AS691" s="32" t="n">
        <f aca="false">IF(OR(AR691="",N(AJ691)=0),"",AR691-AJ691)</f>
        <v>0.19952114924182</v>
      </c>
      <c r="AT691" s="28" t="n">
        <v>25</v>
      </c>
      <c r="AU691" s="28" t="n">
        <v>2.25</v>
      </c>
      <c r="AV691" s="28" t="n">
        <f aca="false">IF(N(AT691)&gt;0,AT691,L691)</f>
        <v>25</v>
      </c>
      <c r="AW691" s="28" t="n">
        <f aca="false">IF(AND(N(M691)&gt;0,N(AV691)&gt;0),M691*AV691,IF(N(AU691)&gt;0,AU691,N691))</f>
        <v>2.25</v>
      </c>
      <c r="AX691" s="29" t="n">
        <f aca="false">IF(N(AN691)=0,"",AN691+IF(I691="yes",AN691*Inputs!$B$10*Inputs!$B$9,0)+IFERROR(INDEX(Inputs!$B$13:$B$15,MATCH(G691,Inputs!$A$13:$A$15,0)),0)+IFERROR(INDEX(Inputs!$B$18:$B$24,MATCH(H691,Inputs!$A$18:$A$24,0)),0))</f>
        <v>0.09</v>
      </c>
      <c r="AY691" s="28" t="n">
        <f aca="false">IF(OR(N(AX691)&lt;=0,N(AW691)=0,N(AV691)=0),"",MIN(AV691,AW691/AX691))</f>
        <v>25</v>
      </c>
      <c r="AZ691" s="29" t="n">
        <f aca="false">IF(OR(AY691="",N(O691)=0),"",AY691/O691-1)</f>
        <v>0.995211492418197</v>
      </c>
      <c r="BA691" s="29" t="n">
        <f aca="false">IF(OR(AZ691="",N(O691)=0),"",AZ691+AW691/O691)</f>
        <v>1.17478052673583</v>
      </c>
      <c r="BB691" s="32" t="n">
        <f aca="false">IF(OR(BA691="",N(AR691)=0),"",BA691-AR691)</f>
        <v>0</v>
      </c>
      <c r="BC691" s="35" t="n">
        <f aca="false">IF(OR(BA691="",N(U691)=0),"",BA691-U691)</f>
        <v>0.19952114924182</v>
      </c>
      <c r="BD691" s="37"/>
    </row>
    <row r="692" customFormat="false" ht="15" hidden="false" customHeight="false" outlineLevel="0" collapsed="false">
      <c r="A692" s="2" t="s">
        <v>1067</v>
      </c>
      <c r="B692" s="2" t="n">
        <v>406</v>
      </c>
      <c r="C692" s="2" t="s">
        <v>1389</v>
      </c>
      <c r="D692" s="2" t="s">
        <v>1390</v>
      </c>
      <c r="E692" s="2" t="s">
        <v>143</v>
      </c>
      <c r="F692" s="27"/>
      <c r="G692" s="2" t="s">
        <v>51</v>
      </c>
      <c r="H692" s="2" t="s">
        <v>58</v>
      </c>
      <c r="I692" s="2" t="s">
        <v>151</v>
      </c>
      <c r="J692" s="2" t="s">
        <v>277</v>
      </c>
      <c r="K692" s="2" t="n">
        <v>2</v>
      </c>
      <c r="L692" s="28" t="n">
        <v>1000</v>
      </c>
      <c r="M692" s="29" t="n">
        <v>0.095</v>
      </c>
      <c r="N692" s="28" t="n">
        <v>95</v>
      </c>
      <c r="O692" s="28"/>
      <c r="P692" s="2" t="s">
        <v>146</v>
      </c>
      <c r="Q692" s="29" t="n">
        <v>0</v>
      </c>
      <c r="R692" s="30" t="n">
        <v>0</v>
      </c>
      <c r="S692" s="31"/>
      <c r="T692" s="30"/>
      <c r="U692" s="30"/>
      <c r="V692" s="29" t="n">
        <v>0</v>
      </c>
      <c r="W692" s="29" t="str">
        <f aca="false">IF(N(Q692)=0,"",Q692+IF(I692="yes",Q692*Inputs!$B$10*Inputs!$B$9,0)+V692)</f>
        <v/>
      </c>
      <c r="X692" s="28" t="str">
        <f aca="false">IF(OR(N(W692)&lt;=0,N(N692)=0,N(L692)=0),"",MIN(L692,N692/W692))</f>
        <v/>
      </c>
      <c r="Y692" s="29" t="str">
        <f aca="false">IF(OR(X692="",N(O692)=0),"",X692/O692-1)</f>
        <v/>
      </c>
      <c r="Z692" s="29" t="str">
        <f aca="false">IF(OR(Y692="",N(O692)=0),"",Y692+N692/O692)</f>
        <v/>
      </c>
      <c r="AA692" s="32" t="str">
        <f aca="false">IF(OR(Z692="",N(U692)=0),"",Z692-U692)</f>
        <v/>
      </c>
      <c r="AB692" s="29" t="str">
        <f aca="false">IF(N(Q692)=0,"",Q692+IF(I692="yes",Q692*Inputs!$B$10*Inputs!$B$9,0)+IFERROR(INDEX(Inputs!$B$13:$B$15,MATCH(G692,Inputs!$A$13:$A$15,0)),0)+IFERROR(INDEX(Inputs!$B$18:$B$24,MATCH(H692,Inputs!$A$18:$A$24,0)),0))</f>
        <v/>
      </c>
      <c r="AC692" s="28" t="str">
        <f aca="false">IF(OR(N(AB692)&lt;=0,N(N692)=0,N(L692)=0),"",MIN(L692,N692/AB692))</f>
        <v/>
      </c>
      <c r="AD692" s="29" t="str">
        <f aca="false">IF(OR(AC692="",N(O692)=0),"",AC692/O692-1)</f>
        <v/>
      </c>
      <c r="AE692" s="29" t="str">
        <f aca="false">IF(OR(AD692="",N(O692)=0),"",AD692+N692/O692)</f>
        <v/>
      </c>
      <c r="AF692" s="32" t="str">
        <f aca="false">IF(OR(AE692="",N(Z692)=0),"",AE692-Z692)</f>
        <v/>
      </c>
      <c r="AG692" s="28" t="n">
        <f aca="false">IF(AND(N(M692)&gt;0,N(L692)&gt;0),M692*L692,N692)</f>
        <v>95</v>
      </c>
      <c r="AH692" s="28" t="str">
        <f aca="false">IF(OR(N(AB692)&lt;=0,N(AG692)=0,N(L692)=0),"",MIN(L692,AG692/AB692))</f>
        <v/>
      </c>
      <c r="AI692" s="29" t="str">
        <f aca="false">IF(OR(AH692="",N(O692)=0),"",AH692/O692-1)</f>
        <v/>
      </c>
      <c r="AJ692" s="29" t="str">
        <f aca="false">IF(OR(AI692="",N(O692)=0),"",AI692+AG692/O692)</f>
        <v/>
      </c>
      <c r="AK692" s="32" t="str">
        <f aca="false">IF(OR(AJ692="",N(AE692)=0),"",AJ692-AE692)</f>
        <v/>
      </c>
      <c r="AL692" s="33" t="str">
        <f aca="false">IF(N(F692)=0,"",INDEX(Inputs!$B$28:$B$32,IFERROR(MATCH(F692,Inputs!$A$28:$A$32,1),0)+1))</f>
        <v/>
      </c>
      <c r="AM692" s="34"/>
      <c r="AN692" s="33" t="str">
        <f aca="false">IF(N(AM692)&gt;0,AM692,AL692)</f>
        <v/>
      </c>
      <c r="AO692" s="29" t="str">
        <f aca="false">IF(N(AN692)=0,"",AN692+IF(I692="yes",AN692*Inputs!$B$10*Inputs!$B$9,0)+IFERROR(INDEX(Inputs!$B$13:$B$15,MATCH(G692,Inputs!$A$13:$A$15,0)),0)+IFERROR(INDEX(Inputs!$B$18:$B$24,MATCH(H692,Inputs!$A$18:$A$24,0)),0))</f>
        <v/>
      </c>
      <c r="AP692" s="28" t="str">
        <f aca="false">IF(OR(N(AO692)&lt;=0,N(AG692)=0,N(L692)=0),"",MIN(L692,AG692/AO692))</f>
        <v/>
      </c>
      <c r="AQ692" s="29" t="str">
        <f aca="false">IF(OR(AP692="",N(O692)=0),"",AP692/O692-1)</f>
        <v/>
      </c>
      <c r="AR692" s="29" t="str">
        <f aca="false">IF(OR(AQ692="",N(O692)=0),"",AQ692+AG692/O692)</f>
        <v/>
      </c>
      <c r="AS692" s="32" t="str">
        <f aca="false">IF(OR(AR692="",N(AJ692)=0),"",AR692-AJ692)</f>
        <v/>
      </c>
      <c r="AT692" s="28" t="n">
        <v>1000</v>
      </c>
      <c r="AU692" s="28"/>
      <c r="AV692" s="28" t="n">
        <f aca="false">IF(N(AT692)&gt;0,AT692,L692)</f>
        <v>1000</v>
      </c>
      <c r="AW692" s="28" t="n">
        <f aca="false">IF(AND(N(M692)&gt;0,N(AV692)&gt;0),M692*AV692,IF(N(AU692)&gt;0,AU692,N692))</f>
        <v>95</v>
      </c>
      <c r="AX692" s="29" t="str">
        <f aca="false">IF(N(AN692)=0,"",AN692+IF(I692="yes",AN692*Inputs!$B$10*Inputs!$B$9,0)+IFERROR(INDEX(Inputs!$B$13:$B$15,MATCH(G692,Inputs!$A$13:$A$15,0)),0)+IFERROR(INDEX(Inputs!$B$18:$B$24,MATCH(H692,Inputs!$A$18:$A$24,0)),0))</f>
        <v/>
      </c>
      <c r="AY692" s="28" t="str">
        <f aca="false">IF(OR(N(AX692)&lt;=0,N(AW692)=0,N(AV692)=0),"",MIN(AV692,AW692/AX692))</f>
        <v/>
      </c>
      <c r="AZ692" s="29" t="str">
        <f aca="false">IF(OR(AY692="",N(O692)=0),"",AY692/O692-1)</f>
        <v/>
      </c>
      <c r="BA692" s="29" t="str">
        <f aca="false">IF(OR(AZ692="",N(O692)=0),"",AZ692+AW692/O692)</f>
        <v/>
      </c>
      <c r="BB692" s="32" t="str">
        <f aca="false">IF(OR(BA692="",N(AR692)=0),"",BA692-AR692)</f>
        <v/>
      </c>
      <c r="BC692" s="35" t="str">
        <f aca="false">IF(OR(BA692="",N(U692)=0),"",BA692-U692)</f>
        <v/>
      </c>
      <c r="BD692" s="36" t="s">
        <v>302</v>
      </c>
    </row>
    <row r="693" customFormat="false" ht="15" hidden="false" customHeight="false" outlineLevel="0" collapsed="false">
      <c r="A693" s="2" t="s">
        <v>1067</v>
      </c>
      <c r="B693" s="2" t="n">
        <v>410</v>
      </c>
      <c r="C693" s="2" t="s">
        <v>1391</v>
      </c>
      <c r="D693" s="2" t="s">
        <v>1392</v>
      </c>
      <c r="E693" s="2" t="s">
        <v>143</v>
      </c>
      <c r="F693" s="27"/>
      <c r="G693" s="2" t="s">
        <v>52</v>
      </c>
      <c r="H693" s="2" t="s">
        <v>58</v>
      </c>
      <c r="I693" s="2" t="s">
        <v>144</v>
      </c>
      <c r="J693" s="2" t="s">
        <v>145</v>
      </c>
      <c r="K693" s="2" t="n">
        <v>4</v>
      </c>
      <c r="L693" s="28" t="n">
        <v>25</v>
      </c>
      <c r="M693" s="29" t="n">
        <v>0.08375</v>
      </c>
      <c r="N693" s="28" t="n">
        <v>2.09375</v>
      </c>
      <c r="O693" s="28" t="n">
        <v>0</v>
      </c>
      <c r="P693" s="2" t="s">
        <v>146</v>
      </c>
      <c r="Q693" s="29" t="n">
        <v>0</v>
      </c>
      <c r="R693" s="30" t="n">
        <v>-0.005</v>
      </c>
      <c r="S693" s="31" t="n">
        <v>-418.75</v>
      </c>
      <c r="T693" s="30"/>
      <c r="U693" s="30"/>
      <c r="V693" s="29" t="n">
        <v>-0.005</v>
      </c>
      <c r="W693" s="29" t="str">
        <f aca="false">IF(N(Q693)=0,"",Q693+IF(I693="yes",Q693*Inputs!$B$10*Inputs!$B$9,0)+V693)</f>
        <v/>
      </c>
      <c r="X693" s="28" t="str">
        <f aca="false">IF(OR(N(W693)&lt;=0,N(N693)=0,N(L693)=0),"",MIN(L693,N693/W693))</f>
        <v/>
      </c>
      <c r="Y693" s="29" t="str">
        <f aca="false">IF(OR(X693="",N(O693)=0),"",X693/O693-1)</f>
        <v/>
      </c>
      <c r="Z693" s="29" t="str">
        <f aca="false">IF(OR(Y693="",N(O693)=0),"",Y693+N693/O693)</f>
        <v/>
      </c>
      <c r="AA693" s="32" t="str">
        <f aca="false">IF(OR(Z693="",N(U693)=0),"",Z693-U693)</f>
        <v/>
      </c>
      <c r="AB693" s="29" t="str">
        <f aca="false">IF(N(Q693)=0,"",Q693+IF(I693="yes",Q693*Inputs!$B$10*Inputs!$B$9,0)+IFERROR(INDEX(Inputs!$B$13:$B$15,MATCH(G693,Inputs!$A$13:$A$15,0)),0)+IFERROR(INDEX(Inputs!$B$18:$B$24,MATCH(H693,Inputs!$A$18:$A$24,0)),0))</f>
        <v/>
      </c>
      <c r="AC693" s="28" t="str">
        <f aca="false">IF(OR(N(AB693)&lt;=0,N(N693)=0,N(L693)=0),"",MIN(L693,N693/AB693))</f>
        <v/>
      </c>
      <c r="AD693" s="29" t="str">
        <f aca="false">IF(OR(AC693="",N(O693)=0),"",AC693/O693-1)</f>
        <v/>
      </c>
      <c r="AE693" s="29" t="str">
        <f aca="false">IF(OR(AD693="",N(O693)=0),"",AD693+N693/O693)</f>
        <v/>
      </c>
      <c r="AF693" s="32" t="str">
        <f aca="false">IF(OR(AE693="",N(Z693)=0),"",AE693-Z693)</f>
        <v/>
      </c>
      <c r="AG693" s="28" t="n">
        <f aca="false">IF(AND(N(M693)&gt;0,N(L693)&gt;0),M693*L693,N693)</f>
        <v>2.09375</v>
      </c>
      <c r="AH693" s="28" t="str">
        <f aca="false">IF(OR(N(AB693)&lt;=0,N(AG693)=0,N(L693)=0),"",MIN(L693,AG693/AB693))</f>
        <v/>
      </c>
      <c r="AI693" s="29" t="str">
        <f aca="false">IF(OR(AH693="",N(O693)=0),"",AH693/O693-1)</f>
        <v/>
      </c>
      <c r="AJ693" s="29" t="str">
        <f aca="false">IF(OR(AI693="",N(O693)=0),"",AI693+AG693/O693)</f>
        <v/>
      </c>
      <c r="AK693" s="32" t="str">
        <f aca="false">IF(OR(AJ693="",N(AE693)=0),"",AJ693-AE693)</f>
        <v/>
      </c>
      <c r="AL693" s="33" t="str">
        <f aca="false">IF(N(F693)=0,"",INDEX(Inputs!$B$28:$B$32,IFERROR(MATCH(F693,Inputs!$A$28:$A$32,1),0)+1))</f>
        <v/>
      </c>
      <c r="AM693" s="34"/>
      <c r="AN693" s="33" t="str">
        <f aca="false">IF(N(AM693)&gt;0,AM693,AL693)</f>
        <v/>
      </c>
      <c r="AO693" s="29" t="str">
        <f aca="false">IF(N(AN693)=0,"",AN693+IF(I693="yes",AN693*Inputs!$B$10*Inputs!$B$9,0)+IFERROR(INDEX(Inputs!$B$13:$B$15,MATCH(G693,Inputs!$A$13:$A$15,0)),0)+IFERROR(INDEX(Inputs!$B$18:$B$24,MATCH(H693,Inputs!$A$18:$A$24,0)),0))</f>
        <v/>
      </c>
      <c r="AP693" s="28" t="str">
        <f aca="false">IF(OR(N(AO693)&lt;=0,N(AG693)=0,N(L693)=0),"",MIN(L693,AG693/AO693))</f>
        <v/>
      </c>
      <c r="AQ693" s="29" t="str">
        <f aca="false">IF(OR(AP693="",N(O693)=0),"",AP693/O693-1)</f>
        <v/>
      </c>
      <c r="AR693" s="29" t="str">
        <f aca="false">IF(OR(AQ693="",N(O693)=0),"",AQ693+AG693/O693)</f>
        <v/>
      </c>
      <c r="AS693" s="32" t="str">
        <f aca="false">IF(OR(AR693="",N(AJ693)=0),"",AR693-AJ693)</f>
        <v/>
      </c>
      <c r="AT693" s="28"/>
      <c r="AU693" s="28"/>
      <c r="AV693" s="28" t="n">
        <f aca="false">IF(N(AT693)&gt;0,AT693,L693)</f>
        <v>25</v>
      </c>
      <c r="AW693" s="28" t="n">
        <f aca="false">IF(AND(N(M693)&gt;0,N(AV693)&gt;0),M693*AV693,IF(N(AU693)&gt;0,AU693,N693))</f>
        <v>2.09375</v>
      </c>
      <c r="AX693" s="29" t="str">
        <f aca="false">IF(N(AN693)=0,"",AN693+IF(I693="yes",AN693*Inputs!$B$10*Inputs!$B$9,0)+IFERROR(INDEX(Inputs!$B$13:$B$15,MATCH(G693,Inputs!$A$13:$A$15,0)),0)+IFERROR(INDEX(Inputs!$B$18:$B$24,MATCH(H693,Inputs!$A$18:$A$24,0)),0))</f>
        <v/>
      </c>
      <c r="AY693" s="28" t="str">
        <f aca="false">IF(OR(N(AX693)&lt;=0,N(AW693)=0,N(AV693)=0),"",MIN(AV693,AW693/AX693))</f>
        <v/>
      </c>
      <c r="AZ693" s="29" t="str">
        <f aca="false">IF(OR(AY693="",N(O693)=0),"",AY693/O693-1)</f>
        <v/>
      </c>
      <c r="BA693" s="29" t="str">
        <f aca="false">IF(OR(AZ693="",N(O693)=0),"",AZ693+AW693/O693)</f>
        <v/>
      </c>
      <c r="BB693" s="32" t="str">
        <f aca="false">IF(OR(BA693="",N(AR693)=0),"",BA693-AR693)</f>
        <v/>
      </c>
      <c r="BC693" s="35" t="str">
        <f aca="false">IF(OR(BA693="",N(U693)=0),"",BA693-U693)</f>
        <v/>
      </c>
      <c r="BD693" s="36" t="s">
        <v>147</v>
      </c>
    </row>
    <row r="694" customFormat="false" ht="15" hidden="false" customHeight="false" outlineLevel="0" collapsed="false">
      <c r="A694" s="2" t="s">
        <v>1067</v>
      </c>
      <c r="B694" s="2" t="n">
        <v>414</v>
      </c>
      <c r="C694" s="2" t="s">
        <v>1393</v>
      </c>
      <c r="D694" s="2" t="s">
        <v>1394</v>
      </c>
      <c r="E694" s="2" t="s">
        <v>143</v>
      </c>
      <c r="F694" s="27"/>
      <c r="G694" s="2" t="s">
        <v>51</v>
      </c>
      <c r="H694" s="2" t="s">
        <v>59</v>
      </c>
      <c r="I694" s="2" t="s">
        <v>151</v>
      </c>
      <c r="J694" s="2" t="s">
        <v>145</v>
      </c>
      <c r="K694" s="2" t="n">
        <v>4</v>
      </c>
      <c r="L694" s="28" t="n">
        <v>25</v>
      </c>
      <c r="M694" s="29" t="n">
        <v>0.063</v>
      </c>
      <c r="N694" s="28" t="n">
        <v>1.575</v>
      </c>
      <c r="O694" s="28" t="n">
        <v>0</v>
      </c>
      <c r="P694" s="2" t="s">
        <v>362</v>
      </c>
      <c r="Q694" s="29" t="n">
        <v>0</v>
      </c>
      <c r="R694" s="30"/>
      <c r="S694" s="31"/>
      <c r="T694" s="30"/>
      <c r="U694" s="30"/>
      <c r="V694" s="29" t="n">
        <v>0</v>
      </c>
      <c r="W694" s="29" t="str">
        <f aca="false">IF(N(Q694)=0,"",Q694+IF(I694="yes",Q694*Inputs!$B$10*Inputs!$B$9,0)+V694)</f>
        <v/>
      </c>
      <c r="X694" s="28" t="str">
        <f aca="false">IF(OR(N(W694)&lt;=0,N(N694)=0,N(L694)=0),"",MIN(L694,N694/W694))</f>
        <v/>
      </c>
      <c r="Y694" s="29" t="str">
        <f aca="false">IF(OR(X694="",N(O694)=0),"",X694/O694-1)</f>
        <v/>
      </c>
      <c r="Z694" s="29" t="str">
        <f aca="false">IF(OR(Y694="",N(O694)=0),"",Y694+N694/O694)</f>
        <v/>
      </c>
      <c r="AA694" s="32" t="str">
        <f aca="false">IF(OR(Z694="",N(U694)=0),"",Z694-U694)</f>
        <v/>
      </c>
      <c r="AB694" s="29" t="str">
        <f aca="false">IF(N(Q694)=0,"",Q694+IF(I694="yes",Q694*Inputs!$B$10*Inputs!$B$9,0)+IFERROR(INDEX(Inputs!$B$13:$B$15,MATCH(G694,Inputs!$A$13:$A$15,0)),0)+IFERROR(INDEX(Inputs!$B$18:$B$24,MATCH(H694,Inputs!$A$18:$A$24,0)),0))</f>
        <v/>
      </c>
      <c r="AC694" s="28" t="str">
        <f aca="false">IF(OR(N(AB694)&lt;=0,N(N694)=0,N(L694)=0),"",MIN(L694,N694/AB694))</f>
        <v/>
      </c>
      <c r="AD694" s="29" t="str">
        <f aca="false">IF(OR(AC694="",N(O694)=0),"",AC694/O694-1)</f>
        <v/>
      </c>
      <c r="AE694" s="29" t="str">
        <f aca="false">IF(OR(AD694="",N(O694)=0),"",AD694+N694/O694)</f>
        <v/>
      </c>
      <c r="AF694" s="32" t="str">
        <f aca="false">IF(OR(AE694="",N(Z694)=0),"",AE694-Z694)</f>
        <v/>
      </c>
      <c r="AG694" s="28" t="n">
        <f aca="false">IF(AND(N(M694)&gt;0,N(L694)&gt;0),M694*L694,N694)</f>
        <v>1.575</v>
      </c>
      <c r="AH694" s="28" t="str">
        <f aca="false">IF(OR(N(AB694)&lt;=0,N(AG694)=0,N(L694)=0),"",MIN(L694,AG694/AB694))</f>
        <v/>
      </c>
      <c r="AI694" s="29" t="str">
        <f aca="false">IF(OR(AH694="",N(O694)=0),"",AH694/O694-1)</f>
        <v/>
      </c>
      <c r="AJ694" s="29" t="str">
        <f aca="false">IF(OR(AI694="",N(O694)=0),"",AI694+AG694/O694)</f>
        <v/>
      </c>
      <c r="AK694" s="32" t="str">
        <f aca="false">IF(OR(AJ694="",N(AE694)=0),"",AJ694-AE694)</f>
        <v/>
      </c>
      <c r="AL694" s="33" t="str">
        <f aca="false">IF(N(F694)=0,"",INDEX(Inputs!$B$28:$B$32,IFERROR(MATCH(F694,Inputs!$A$28:$A$32,1),0)+1))</f>
        <v/>
      </c>
      <c r="AM694" s="34"/>
      <c r="AN694" s="33" t="str">
        <f aca="false">IF(N(AM694)&gt;0,AM694,AL694)</f>
        <v/>
      </c>
      <c r="AO694" s="29" t="str">
        <f aca="false">IF(N(AN694)=0,"",AN694+IF(I694="yes",AN694*Inputs!$B$10*Inputs!$B$9,0)+IFERROR(INDEX(Inputs!$B$13:$B$15,MATCH(G694,Inputs!$A$13:$A$15,0)),0)+IFERROR(INDEX(Inputs!$B$18:$B$24,MATCH(H694,Inputs!$A$18:$A$24,0)),0))</f>
        <v/>
      </c>
      <c r="AP694" s="28" t="str">
        <f aca="false">IF(OR(N(AO694)&lt;=0,N(AG694)=0,N(L694)=0),"",MIN(L694,AG694/AO694))</f>
        <v/>
      </c>
      <c r="AQ694" s="29" t="str">
        <f aca="false">IF(OR(AP694="",N(O694)=0),"",AP694/O694-1)</f>
        <v/>
      </c>
      <c r="AR694" s="29" t="str">
        <f aca="false">IF(OR(AQ694="",N(O694)=0),"",AQ694+AG694/O694)</f>
        <v/>
      </c>
      <c r="AS694" s="32" t="str">
        <f aca="false">IF(OR(AR694="",N(AJ694)=0),"",AR694-AJ694)</f>
        <v/>
      </c>
      <c r="AT694" s="28"/>
      <c r="AU694" s="28"/>
      <c r="AV694" s="28" t="n">
        <f aca="false">IF(N(AT694)&gt;0,AT694,L694)</f>
        <v>25</v>
      </c>
      <c r="AW694" s="28" t="n">
        <f aca="false">IF(AND(N(M694)&gt;0,N(AV694)&gt;0),M694*AV694,IF(N(AU694)&gt;0,AU694,N694))</f>
        <v>1.575</v>
      </c>
      <c r="AX694" s="29" t="str">
        <f aca="false">IF(N(AN694)=0,"",AN694+IF(I694="yes",AN694*Inputs!$B$10*Inputs!$B$9,0)+IFERROR(INDEX(Inputs!$B$13:$B$15,MATCH(G694,Inputs!$A$13:$A$15,0)),0)+IFERROR(INDEX(Inputs!$B$18:$B$24,MATCH(H694,Inputs!$A$18:$A$24,0)),0))</f>
        <v/>
      </c>
      <c r="AY694" s="28" t="str">
        <f aca="false">IF(OR(N(AX694)&lt;=0,N(AW694)=0,N(AV694)=0),"",MIN(AV694,AW694/AX694))</f>
        <v/>
      </c>
      <c r="AZ694" s="29" t="str">
        <f aca="false">IF(OR(AY694="",N(O694)=0),"",AY694/O694-1)</f>
        <v/>
      </c>
      <c r="BA694" s="29" t="str">
        <f aca="false">IF(OR(AZ694="",N(O694)=0),"",AZ694+AW694/O694)</f>
        <v/>
      </c>
      <c r="BB694" s="32" t="str">
        <f aca="false">IF(OR(BA694="",N(AR694)=0),"",BA694-AR694)</f>
        <v/>
      </c>
      <c r="BC694" s="35" t="str">
        <f aca="false">IF(OR(BA694="",N(U694)=0),"",BA694-U694)</f>
        <v/>
      </c>
      <c r="BD694" s="36" t="s">
        <v>1395</v>
      </c>
    </row>
    <row r="695" customFormat="false" ht="15" hidden="false" customHeight="false" outlineLevel="0" collapsed="false">
      <c r="A695" s="2" t="s">
        <v>1067</v>
      </c>
      <c r="B695" s="2" t="n">
        <v>415</v>
      </c>
      <c r="C695" s="2" t="s">
        <v>1396</v>
      </c>
      <c r="D695" s="2" t="s">
        <v>1394</v>
      </c>
      <c r="E695" s="2" t="s">
        <v>143</v>
      </c>
      <c r="F695" s="27"/>
      <c r="G695" s="2" t="s">
        <v>51</v>
      </c>
      <c r="H695" s="2" t="s">
        <v>59</v>
      </c>
      <c r="I695" s="2" t="s">
        <v>151</v>
      </c>
      <c r="J695" s="2" t="s">
        <v>145</v>
      </c>
      <c r="K695" s="2" t="n">
        <v>4</v>
      </c>
      <c r="L695" s="28" t="n">
        <v>25</v>
      </c>
      <c r="M695" s="29" t="n">
        <v>0.058</v>
      </c>
      <c r="N695" s="28" t="n">
        <v>1.45</v>
      </c>
      <c r="O695" s="28" t="n">
        <v>0</v>
      </c>
      <c r="P695" s="2" t="s">
        <v>146</v>
      </c>
      <c r="Q695" s="29" t="n">
        <v>0</v>
      </c>
      <c r="R695" s="30" t="n">
        <v>0</v>
      </c>
      <c r="S695" s="31"/>
      <c r="T695" s="30"/>
      <c r="U695" s="30"/>
      <c r="V695" s="29" t="n">
        <v>0</v>
      </c>
      <c r="W695" s="29" t="str">
        <f aca="false">IF(N(Q695)=0,"",Q695+IF(I695="yes",Q695*Inputs!$B$10*Inputs!$B$9,0)+V695)</f>
        <v/>
      </c>
      <c r="X695" s="28" t="str">
        <f aca="false">IF(OR(N(W695)&lt;=0,N(N695)=0,N(L695)=0),"",MIN(L695,N695/W695))</f>
        <v/>
      </c>
      <c r="Y695" s="29" t="str">
        <f aca="false">IF(OR(X695="",N(O695)=0),"",X695/O695-1)</f>
        <v/>
      </c>
      <c r="Z695" s="29" t="str">
        <f aca="false">IF(OR(Y695="",N(O695)=0),"",Y695+N695/O695)</f>
        <v/>
      </c>
      <c r="AA695" s="32" t="str">
        <f aca="false">IF(OR(Z695="",N(U695)=0),"",Z695-U695)</f>
        <v/>
      </c>
      <c r="AB695" s="29" t="str">
        <f aca="false">IF(N(Q695)=0,"",Q695+IF(I695="yes",Q695*Inputs!$B$10*Inputs!$B$9,0)+IFERROR(INDEX(Inputs!$B$13:$B$15,MATCH(G695,Inputs!$A$13:$A$15,0)),0)+IFERROR(INDEX(Inputs!$B$18:$B$24,MATCH(H695,Inputs!$A$18:$A$24,0)),0))</f>
        <v/>
      </c>
      <c r="AC695" s="28" t="str">
        <f aca="false">IF(OR(N(AB695)&lt;=0,N(N695)=0,N(L695)=0),"",MIN(L695,N695/AB695))</f>
        <v/>
      </c>
      <c r="AD695" s="29" t="str">
        <f aca="false">IF(OR(AC695="",N(O695)=0),"",AC695/O695-1)</f>
        <v/>
      </c>
      <c r="AE695" s="29" t="str">
        <f aca="false">IF(OR(AD695="",N(O695)=0),"",AD695+N695/O695)</f>
        <v/>
      </c>
      <c r="AF695" s="32" t="str">
        <f aca="false">IF(OR(AE695="",N(Z695)=0),"",AE695-Z695)</f>
        <v/>
      </c>
      <c r="AG695" s="28" t="n">
        <f aca="false">IF(AND(N(M695)&gt;0,N(L695)&gt;0),M695*L695,N695)</f>
        <v>1.45</v>
      </c>
      <c r="AH695" s="28" t="str">
        <f aca="false">IF(OR(N(AB695)&lt;=0,N(AG695)=0,N(L695)=0),"",MIN(L695,AG695/AB695))</f>
        <v/>
      </c>
      <c r="AI695" s="29" t="str">
        <f aca="false">IF(OR(AH695="",N(O695)=0),"",AH695/O695-1)</f>
        <v/>
      </c>
      <c r="AJ695" s="29" t="str">
        <f aca="false">IF(OR(AI695="",N(O695)=0),"",AI695+AG695/O695)</f>
        <v/>
      </c>
      <c r="AK695" s="32" t="str">
        <f aca="false">IF(OR(AJ695="",N(AE695)=0),"",AJ695-AE695)</f>
        <v/>
      </c>
      <c r="AL695" s="33" t="str">
        <f aca="false">IF(N(F695)=0,"",INDEX(Inputs!$B$28:$B$32,IFERROR(MATCH(F695,Inputs!$A$28:$A$32,1),0)+1))</f>
        <v/>
      </c>
      <c r="AM695" s="34"/>
      <c r="AN695" s="33" t="str">
        <f aca="false">IF(N(AM695)&gt;0,AM695,AL695)</f>
        <v/>
      </c>
      <c r="AO695" s="29" t="str">
        <f aca="false">IF(N(AN695)=0,"",AN695+IF(I695="yes",AN695*Inputs!$B$10*Inputs!$B$9,0)+IFERROR(INDEX(Inputs!$B$13:$B$15,MATCH(G695,Inputs!$A$13:$A$15,0)),0)+IFERROR(INDEX(Inputs!$B$18:$B$24,MATCH(H695,Inputs!$A$18:$A$24,0)),0))</f>
        <v/>
      </c>
      <c r="AP695" s="28" t="str">
        <f aca="false">IF(OR(N(AO695)&lt;=0,N(AG695)=0,N(L695)=0),"",MIN(L695,AG695/AO695))</f>
        <v/>
      </c>
      <c r="AQ695" s="29" t="str">
        <f aca="false">IF(OR(AP695="",N(O695)=0),"",AP695/O695-1)</f>
        <v/>
      </c>
      <c r="AR695" s="29" t="str">
        <f aca="false">IF(OR(AQ695="",N(O695)=0),"",AQ695+AG695/O695)</f>
        <v/>
      </c>
      <c r="AS695" s="32" t="str">
        <f aca="false">IF(OR(AR695="",N(AJ695)=0),"",AR695-AJ695)</f>
        <v/>
      </c>
      <c r="AT695" s="28"/>
      <c r="AU695" s="28"/>
      <c r="AV695" s="28" t="n">
        <f aca="false">IF(N(AT695)&gt;0,AT695,L695)</f>
        <v>25</v>
      </c>
      <c r="AW695" s="28" t="n">
        <f aca="false">IF(AND(N(M695)&gt;0,N(AV695)&gt;0),M695*AV695,IF(N(AU695)&gt;0,AU695,N695))</f>
        <v>1.45</v>
      </c>
      <c r="AX695" s="29" t="str">
        <f aca="false">IF(N(AN695)=0,"",AN695+IF(I695="yes",AN695*Inputs!$B$10*Inputs!$B$9,0)+IFERROR(INDEX(Inputs!$B$13:$B$15,MATCH(G695,Inputs!$A$13:$A$15,0)),0)+IFERROR(INDEX(Inputs!$B$18:$B$24,MATCH(H695,Inputs!$A$18:$A$24,0)),0))</f>
        <v/>
      </c>
      <c r="AY695" s="28" t="str">
        <f aca="false">IF(OR(N(AX695)&lt;=0,N(AW695)=0,N(AV695)=0),"",MIN(AV695,AW695/AX695))</f>
        <v/>
      </c>
      <c r="AZ695" s="29" t="str">
        <f aca="false">IF(OR(AY695="",N(O695)=0),"",AY695/O695-1)</f>
        <v/>
      </c>
      <c r="BA695" s="29" t="str">
        <f aca="false">IF(OR(AZ695="",N(O695)=0),"",AZ695+AW695/O695)</f>
        <v/>
      </c>
      <c r="BB695" s="32" t="str">
        <f aca="false">IF(OR(BA695="",N(AR695)=0),"",BA695-AR695)</f>
        <v/>
      </c>
      <c r="BC695" s="35" t="str">
        <f aca="false">IF(OR(BA695="",N(U695)=0),"",BA695-U695)</f>
        <v/>
      </c>
      <c r="BD695" s="36" t="s">
        <v>147</v>
      </c>
    </row>
    <row r="696" customFormat="false" ht="15" hidden="false" customHeight="false" outlineLevel="0" collapsed="false">
      <c r="A696" s="2" t="s">
        <v>1067</v>
      </c>
      <c r="B696" s="2" t="n">
        <v>418</v>
      </c>
      <c r="C696" s="2" t="s">
        <v>1397</v>
      </c>
      <c r="D696" s="2" t="s">
        <v>1398</v>
      </c>
      <c r="E696" s="2" t="s">
        <v>1399</v>
      </c>
      <c r="F696" s="27" t="n">
        <v>105200</v>
      </c>
      <c r="G696" s="2" t="s">
        <v>52</v>
      </c>
      <c r="H696" s="2" t="s">
        <v>58</v>
      </c>
      <c r="I696" s="2" t="s">
        <v>144</v>
      </c>
      <c r="J696" s="2" t="s">
        <v>145</v>
      </c>
      <c r="K696" s="2" t="n">
        <v>4</v>
      </c>
      <c r="L696" s="28" t="n">
        <v>25</v>
      </c>
      <c r="M696" s="29" t="n">
        <v>0.0525</v>
      </c>
      <c r="N696" s="28" t="n">
        <v>1.3125</v>
      </c>
      <c r="O696" s="28" t="n">
        <v>19.63</v>
      </c>
      <c r="P696" s="2" t="s">
        <v>146</v>
      </c>
      <c r="Q696" s="29" t="n">
        <v>0.08</v>
      </c>
      <c r="R696" s="30" t="n">
        <v>0.075</v>
      </c>
      <c r="S696" s="31" t="n">
        <v>17.5</v>
      </c>
      <c r="T696" s="30" t="n">
        <v>-0.108507386653082</v>
      </c>
      <c r="U696" s="30" t="n">
        <v>-0.0416454406520632</v>
      </c>
      <c r="V696" s="29" t="n">
        <v>-0.005</v>
      </c>
      <c r="W696" s="29" t="n">
        <f aca="false">IF(N(Q696)=0,"",Q696+IF(I696="yes",Q696*Inputs!$B$10*Inputs!$B$9,0)+V696)</f>
        <v>0.075</v>
      </c>
      <c r="X696" s="28" t="n">
        <f aca="false">IF(OR(N(W696)&lt;=0,N(N696)=0,N(L696)=0),"",MIN(L696,N696/W696))</f>
        <v>17.5</v>
      </c>
      <c r="Y696" s="29" t="n">
        <f aca="false">IF(OR(X696="",N(O696)=0),"",X696/O696-1)</f>
        <v>-0.108507386653082</v>
      </c>
      <c r="Z696" s="29" t="n">
        <f aca="false">IF(OR(Y696="",N(O696)=0),"",Y696+N696/O696)</f>
        <v>-0.0416454406520632</v>
      </c>
      <c r="AA696" s="32" t="n">
        <f aca="false">IF(OR(Z696="",N(U696)=0),"",Z696-U696)</f>
        <v>0</v>
      </c>
      <c r="AB696" s="29" t="n">
        <f aca="false">IF(N(Q696)=0,"",Q696+IF(I696="yes",Q696*Inputs!$B$10*Inputs!$B$9,0)+IFERROR(INDEX(Inputs!$B$13:$B$15,MATCH(G696,Inputs!$A$13:$A$15,0)),0)+IFERROR(INDEX(Inputs!$B$18:$B$24,MATCH(H696,Inputs!$A$18:$A$24,0)),0))</f>
        <v>0.075</v>
      </c>
      <c r="AC696" s="28" t="n">
        <f aca="false">IF(OR(N(AB696)&lt;=0,N(N696)=0,N(L696)=0),"",MIN(L696,N696/AB696))</f>
        <v>17.5</v>
      </c>
      <c r="AD696" s="29" t="n">
        <f aca="false">IF(OR(AC696="",N(O696)=0),"",AC696/O696-1)</f>
        <v>-0.108507386653082</v>
      </c>
      <c r="AE696" s="29" t="n">
        <f aca="false">IF(OR(AD696="",N(O696)=0),"",AD696+N696/O696)</f>
        <v>-0.0416454406520632</v>
      </c>
      <c r="AF696" s="32" t="n">
        <f aca="false">IF(OR(AE696="",N(Z696)=0),"",AE696-Z696)</f>
        <v>0</v>
      </c>
      <c r="AG696" s="28" t="n">
        <f aca="false">IF(AND(N(M696)&gt;0,N(L696)&gt;0),M696*L696,N696)</f>
        <v>1.3125</v>
      </c>
      <c r="AH696" s="28" t="n">
        <f aca="false">IF(OR(N(AB696)&lt;=0,N(AG696)=0,N(L696)=0),"",MIN(L696,AG696/AB696))</f>
        <v>17.5</v>
      </c>
      <c r="AI696" s="29" t="n">
        <f aca="false">IF(OR(AH696="",N(O696)=0),"",AH696/O696-1)</f>
        <v>-0.108507386653082</v>
      </c>
      <c r="AJ696" s="29" t="n">
        <f aca="false">IF(OR(AI696="",N(O696)=0),"",AI696+AG696/O696)</f>
        <v>-0.0416454406520632</v>
      </c>
      <c r="AK696" s="32" t="n">
        <f aca="false">IF(OR(AJ696="",N(AE696)=0),"",AJ696-AE696)</f>
        <v>0</v>
      </c>
      <c r="AL696" s="33" t="n">
        <f aca="false">IF(N(F696)=0,"",INDEX(Inputs!$B$28:$B$32,IFERROR(MATCH(F696,Inputs!$A$28:$A$32,1),0)+1))</f>
        <v>0.075</v>
      </c>
      <c r="AM696" s="34"/>
      <c r="AN696" s="33" t="n">
        <f aca="false">IF(N(AM696)&gt;0,AM696,AL696)</f>
        <v>0.075</v>
      </c>
      <c r="AO696" s="29" t="n">
        <f aca="false">IF(N(AN696)=0,"",AN696+IF(I696="yes",AN696*Inputs!$B$10*Inputs!$B$9,0)+IFERROR(INDEX(Inputs!$B$13:$B$15,MATCH(G696,Inputs!$A$13:$A$15,0)),0)+IFERROR(INDEX(Inputs!$B$18:$B$24,MATCH(H696,Inputs!$A$18:$A$24,0)),0))</f>
        <v>0.07</v>
      </c>
      <c r="AP696" s="28" t="n">
        <f aca="false">IF(OR(N(AO696)&lt;=0,N(AG696)=0,N(L696)=0),"",MIN(L696,AG696/AO696))</f>
        <v>18.75</v>
      </c>
      <c r="AQ696" s="29" t="n">
        <f aca="false">IF(OR(AP696="",N(O696)=0),"",AP696/O696-1)</f>
        <v>-0.0448293428425877</v>
      </c>
      <c r="AR696" s="29" t="n">
        <f aca="false">IF(OR(AQ696="",N(O696)=0),"",AQ696+AG696/O696)</f>
        <v>0.0220326031584312</v>
      </c>
      <c r="AS696" s="32" t="n">
        <f aca="false">IF(OR(AR696="",N(AJ696)=0),"",AR696-AJ696)</f>
        <v>0.0636780438104944</v>
      </c>
      <c r="AT696" s="28" t="n">
        <v>25</v>
      </c>
      <c r="AU696" s="28" t="n">
        <v>1.31</v>
      </c>
      <c r="AV696" s="28" t="n">
        <f aca="false">IF(N(AT696)&gt;0,AT696,L696)</f>
        <v>25</v>
      </c>
      <c r="AW696" s="28" t="n">
        <f aca="false">IF(AND(N(M696)&gt;0,N(AV696)&gt;0),M696*AV696,IF(N(AU696)&gt;0,AU696,N696))</f>
        <v>1.3125</v>
      </c>
      <c r="AX696" s="29" t="n">
        <f aca="false">IF(N(AN696)=0,"",AN696+IF(I696="yes",AN696*Inputs!$B$10*Inputs!$B$9,0)+IFERROR(INDEX(Inputs!$B$13:$B$15,MATCH(G696,Inputs!$A$13:$A$15,0)),0)+IFERROR(INDEX(Inputs!$B$18:$B$24,MATCH(H696,Inputs!$A$18:$A$24,0)),0))</f>
        <v>0.07</v>
      </c>
      <c r="AY696" s="28" t="n">
        <f aca="false">IF(OR(N(AX696)&lt;=0,N(AW696)=0,N(AV696)=0),"",MIN(AV696,AW696/AX696))</f>
        <v>18.75</v>
      </c>
      <c r="AZ696" s="29" t="n">
        <f aca="false">IF(OR(AY696="",N(O696)=0),"",AY696/O696-1)</f>
        <v>-0.0448293428425877</v>
      </c>
      <c r="BA696" s="29" t="n">
        <f aca="false">IF(OR(AZ696="",N(O696)=0),"",AZ696+AW696/O696)</f>
        <v>0.0220326031584312</v>
      </c>
      <c r="BB696" s="32" t="n">
        <f aca="false">IF(OR(BA696="",N(AR696)=0),"",BA696-AR696)</f>
        <v>0</v>
      </c>
      <c r="BC696" s="35" t="n">
        <f aca="false">IF(OR(BA696="",N(U696)=0),"",BA696-U696)</f>
        <v>0.0636780438104944</v>
      </c>
      <c r="BD696" s="37"/>
    </row>
    <row r="697" customFormat="false" ht="15" hidden="false" customHeight="false" outlineLevel="0" collapsed="false">
      <c r="A697" s="2" t="s">
        <v>1067</v>
      </c>
      <c r="B697" s="2" t="n">
        <v>419</v>
      </c>
      <c r="C697" s="2" t="s">
        <v>1400</v>
      </c>
      <c r="D697" s="2" t="s">
        <v>1398</v>
      </c>
      <c r="E697" s="2" t="s">
        <v>1399</v>
      </c>
      <c r="F697" s="27" t="n">
        <v>105200</v>
      </c>
      <c r="G697" s="2" t="s">
        <v>52</v>
      </c>
      <c r="H697" s="2" t="s">
        <v>58</v>
      </c>
      <c r="I697" s="2" t="s">
        <v>144</v>
      </c>
      <c r="J697" s="2" t="s">
        <v>145</v>
      </c>
      <c r="K697" s="2" t="n">
        <v>4</v>
      </c>
      <c r="L697" s="28" t="n">
        <v>25</v>
      </c>
      <c r="M697" s="29" t="n">
        <v>0.0495</v>
      </c>
      <c r="N697" s="28" t="n">
        <v>1.2375</v>
      </c>
      <c r="O697" s="28" t="n">
        <v>18.2</v>
      </c>
      <c r="P697" s="2" t="s">
        <v>146</v>
      </c>
      <c r="Q697" s="29" t="n">
        <v>0.08</v>
      </c>
      <c r="R697" s="30" t="n">
        <v>0.075</v>
      </c>
      <c r="S697" s="31" t="n">
        <v>16.5</v>
      </c>
      <c r="T697" s="30" t="n">
        <v>-0.0934065934065934</v>
      </c>
      <c r="U697" s="30" t="n">
        <v>-0.0254120879120879</v>
      </c>
      <c r="V697" s="29" t="n">
        <v>-0.005</v>
      </c>
      <c r="W697" s="29" t="n">
        <f aca="false">IF(N(Q697)=0,"",Q697+IF(I697="yes",Q697*Inputs!$B$10*Inputs!$B$9,0)+V697)</f>
        <v>0.075</v>
      </c>
      <c r="X697" s="28" t="n">
        <f aca="false">IF(OR(N(W697)&lt;=0,N(N697)=0,N(L697)=0),"",MIN(L697,N697/W697))</f>
        <v>16.5</v>
      </c>
      <c r="Y697" s="29" t="n">
        <f aca="false">IF(OR(X697="",N(O697)=0),"",X697/O697-1)</f>
        <v>-0.0934065934065934</v>
      </c>
      <c r="Z697" s="29" t="n">
        <f aca="false">IF(OR(Y697="",N(O697)=0),"",Y697+N697/O697)</f>
        <v>-0.0254120879120879</v>
      </c>
      <c r="AA697" s="32" t="n">
        <f aca="false">IF(OR(Z697="",N(U697)=0),"",Z697-U697)</f>
        <v>0</v>
      </c>
      <c r="AB697" s="29" t="n">
        <f aca="false">IF(N(Q697)=0,"",Q697+IF(I697="yes",Q697*Inputs!$B$10*Inputs!$B$9,0)+IFERROR(INDEX(Inputs!$B$13:$B$15,MATCH(G697,Inputs!$A$13:$A$15,0)),0)+IFERROR(INDEX(Inputs!$B$18:$B$24,MATCH(H697,Inputs!$A$18:$A$24,0)),0))</f>
        <v>0.075</v>
      </c>
      <c r="AC697" s="28" t="n">
        <f aca="false">IF(OR(N(AB697)&lt;=0,N(N697)=0,N(L697)=0),"",MIN(L697,N697/AB697))</f>
        <v>16.5</v>
      </c>
      <c r="AD697" s="29" t="n">
        <f aca="false">IF(OR(AC697="",N(O697)=0),"",AC697/O697-1)</f>
        <v>-0.0934065934065934</v>
      </c>
      <c r="AE697" s="29" t="n">
        <f aca="false">IF(OR(AD697="",N(O697)=0),"",AD697+N697/O697)</f>
        <v>-0.0254120879120879</v>
      </c>
      <c r="AF697" s="32" t="n">
        <f aca="false">IF(OR(AE697="",N(Z697)=0),"",AE697-Z697)</f>
        <v>0</v>
      </c>
      <c r="AG697" s="28" t="n">
        <f aca="false">IF(AND(N(M697)&gt;0,N(L697)&gt;0),M697*L697,N697)</f>
        <v>1.2375</v>
      </c>
      <c r="AH697" s="28" t="n">
        <f aca="false">IF(OR(N(AB697)&lt;=0,N(AG697)=0,N(L697)=0),"",MIN(L697,AG697/AB697))</f>
        <v>16.5</v>
      </c>
      <c r="AI697" s="29" t="n">
        <f aca="false">IF(OR(AH697="",N(O697)=0),"",AH697/O697-1)</f>
        <v>-0.0934065934065934</v>
      </c>
      <c r="AJ697" s="29" t="n">
        <f aca="false">IF(OR(AI697="",N(O697)=0),"",AI697+AG697/O697)</f>
        <v>-0.0254120879120879</v>
      </c>
      <c r="AK697" s="32" t="n">
        <f aca="false">IF(OR(AJ697="",N(AE697)=0),"",AJ697-AE697)</f>
        <v>0</v>
      </c>
      <c r="AL697" s="33" t="n">
        <f aca="false">IF(N(F697)=0,"",INDEX(Inputs!$B$28:$B$32,IFERROR(MATCH(F697,Inputs!$A$28:$A$32,1),0)+1))</f>
        <v>0.075</v>
      </c>
      <c r="AM697" s="34"/>
      <c r="AN697" s="33" t="n">
        <f aca="false">IF(N(AM697)&gt;0,AM697,AL697)</f>
        <v>0.075</v>
      </c>
      <c r="AO697" s="29" t="n">
        <f aca="false">IF(N(AN697)=0,"",AN697+IF(I697="yes",AN697*Inputs!$B$10*Inputs!$B$9,0)+IFERROR(INDEX(Inputs!$B$13:$B$15,MATCH(G697,Inputs!$A$13:$A$15,0)),0)+IFERROR(INDEX(Inputs!$B$18:$B$24,MATCH(H697,Inputs!$A$18:$A$24,0)),0))</f>
        <v>0.07</v>
      </c>
      <c r="AP697" s="28" t="n">
        <f aca="false">IF(OR(N(AO697)&lt;=0,N(AG697)=0,N(L697)=0),"",MIN(L697,AG697/AO697))</f>
        <v>17.6785714285714</v>
      </c>
      <c r="AQ697" s="29" t="n">
        <f aca="false">IF(OR(AP697="",N(O697)=0),"",AP697/O697-1)</f>
        <v>-0.0286499215070642</v>
      </c>
      <c r="AR697" s="29" t="n">
        <f aca="false">IF(OR(AQ697="",N(O697)=0),"",AQ697+AG697/O697)</f>
        <v>0.0393445839874413</v>
      </c>
      <c r="AS697" s="32" t="n">
        <f aca="false">IF(OR(AR697="",N(AJ697)=0),"",AR697-AJ697)</f>
        <v>0.0647566718995292</v>
      </c>
      <c r="AT697" s="28" t="n">
        <v>25</v>
      </c>
      <c r="AU697" s="28" t="n">
        <v>1.2375</v>
      </c>
      <c r="AV697" s="28" t="n">
        <f aca="false">IF(N(AT697)&gt;0,AT697,L697)</f>
        <v>25</v>
      </c>
      <c r="AW697" s="28" t="n">
        <f aca="false">IF(AND(N(M697)&gt;0,N(AV697)&gt;0),M697*AV697,IF(N(AU697)&gt;0,AU697,N697))</f>
        <v>1.2375</v>
      </c>
      <c r="AX697" s="29" t="n">
        <f aca="false">IF(N(AN697)=0,"",AN697+IF(I697="yes",AN697*Inputs!$B$10*Inputs!$B$9,0)+IFERROR(INDEX(Inputs!$B$13:$B$15,MATCH(G697,Inputs!$A$13:$A$15,0)),0)+IFERROR(INDEX(Inputs!$B$18:$B$24,MATCH(H697,Inputs!$A$18:$A$24,0)),0))</f>
        <v>0.07</v>
      </c>
      <c r="AY697" s="28" t="n">
        <f aca="false">IF(OR(N(AX697)&lt;=0,N(AW697)=0,N(AV697)=0),"",MIN(AV697,AW697/AX697))</f>
        <v>17.6785714285714</v>
      </c>
      <c r="AZ697" s="29" t="n">
        <f aca="false">IF(OR(AY697="",N(O697)=0),"",AY697/O697-1)</f>
        <v>-0.0286499215070642</v>
      </c>
      <c r="BA697" s="29" t="n">
        <f aca="false">IF(OR(AZ697="",N(O697)=0),"",AZ697+AW697/O697)</f>
        <v>0.0393445839874413</v>
      </c>
      <c r="BB697" s="32" t="n">
        <f aca="false">IF(OR(BA697="",N(AR697)=0),"",BA697-AR697)</f>
        <v>0</v>
      </c>
      <c r="BC697" s="35" t="n">
        <f aca="false">IF(OR(BA697="",N(U697)=0),"",BA697-U697)</f>
        <v>0.0647566718995292</v>
      </c>
      <c r="BD697" s="37"/>
    </row>
    <row r="698" customFormat="false" ht="15" hidden="false" customHeight="false" outlineLevel="0" collapsed="false">
      <c r="A698" s="2" t="s">
        <v>1067</v>
      </c>
      <c r="B698" s="2" t="n">
        <v>420</v>
      </c>
      <c r="C698" s="2" t="s">
        <v>1401</v>
      </c>
      <c r="D698" s="2" t="s">
        <v>1398</v>
      </c>
      <c r="E698" s="2" t="s">
        <v>1399</v>
      </c>
      <c r="F698" s="27" t="n">
        <v>105200</v>
      </c>
      <c r="G698" s="2" t="s">
        <v>52</v>
      </c>
      <c r="H698" s="2" t="s">
        <v>58</v>
      </c>
      <c r="I698" s="2" t="s">
        <v>144</v>
      </c>
      <c r="J698" s="2" t="s">
        <v>145</v>
      </c>
      <c r="K698" s="2" t="n">
        <v>4</v>
      </c>
      <c r="L698" s="28" t="n">
        <v>25</v>
      </c>
      <c r="M698" s="29" t="n">
        <v>0.042</v>
      </c>
      <c r="N698" s="28" t="n">
        <v>1.05</v>
      </c>
      <c r="O698" s="28" t="n">
        <v>15.89</v>
      </c>
      <c r="P698" s="2" t="s">
        <v>146</v>
      </c>
      <c r="Q698" s="29" t="n">
        <v>0.08</v>
      </c>
      <c r="R698" s="30" t="n">
        <v>0.075</v>
      </c>
      <c r="S698" s="31" t="n">
        <v>14</v>
      </c>
      <c r="T698" s="30" t="n">
        <v>-0.118942731277533</v>
      </c>
      <c r="U698" s="30" t="n">
        <v>-0.0528634361233479</v>
      </c>
      <c r="V698" s="29" t="n">
        <v>-0.005</v>
      </c>
      <c r="W698" s="29" t="n">
        <f aca="false">IF(N(Q698)=0,"",Q698+IF(I698="yes",Q698*Inputs!$B$10*Inputs!$B$9,0)+V698)</f>
        <v>0.075</v>
      </c>
      <c r="X698" s="28" t="n">
        <f aca="false">IF(OR(N(W698)&lt;=0,N(N698)=0,N(L698)=0),"",MIN(L698,N698/W698))</f>
        <v>14</v>
      </c>
      <c r="Y698" s="29" t="n">
        <f aca="false">IF(OR(X698="",N(O698)=0),"",X698/O698-1)</f>
        <v>-0.118942731277533</v>
      </c>
      <c r="Z698" s="29" t="n">
        <f aca="false">IF(OR(Y698="",N(O698)=0),"",Y698+N698/O698)</f>
        <v>-0.0528634361233479</v>
      </c>
      <c r="AA698" s="32" t="n">
        <f aca="false">IF(OR(Z698="",N(U698)=0),"",Z698-U698)</f>
        <v>0</v>
      </c>
      <c r="AB698" s="29" t="n">
        <f aca="false">IF(N(Q698)=0,"",Q698+IF(I698="yes",Q698*Inputs!$B$10*Inputs!$B$9,0)+IFERROR(INDEX(Inputs!$B$13:$B$15,MATCH(G698,Inputs!$A$13:$A$15,0)),0)+IFERROR(INDEX(Inputs!$B$18:$B$24,MATCH(H698,Inputs!$A$18:$A$24,0)),0))</f>
        <v>0.075</v>
      </c>
      <c r="AC698" s="28" t="n">
        <f aca="false">IF(OR(N(AB698)&lt;=0,N(N698)=0,N(L698)=0),"",MIN(L698,N698/AB698))</f>
        <v>14</v>
      </c>
      <c r="AD698" s="29" t="n">
        <f aca="false">IF(OR(AC698="",N(O698)=0),"",AC698/O698-1)</f>
        <v>-0.118942731277533</v>
      </c>
      <c r="AE698" s="29" t="n">
        <f aca="false">IF(OR(AD698="",N(O698)=0),"",AD698+N698/O698)</f>
        <v>-0.0528634361233479</v>
      </c>
      <c r="AF698" s="32" t="n">
        <f aca="false">IF(OR(AE698="",N(Z698)=0),"",AE698-Z698)</f>
        <v>0</v>
      </c>
      <c r="AG698" s="28" t="n">
        <f aca="false">IF(AND(N(M698)&gt;0,N(L698)&gt;0),M698*L698,N698)</f>
        <v>1.05</v>
      </c>
      <c r="AH698" s="28" t="n">
        <f aca="false">IF(OR(N(AB698)&lt;=0,N(AG698)=0,N(L698)=0),"",MIN(L698,AG698/AB698))</f>
        <v>14</v>
      </c>
      <c r="AI698" s="29" t="n">
        <f aca="false">IF(OR(AH698="",N(O698)=0),"",AH698/O698-1)</f>
        <v>-0.118942731277533</v>
      </c>
      <c r="AJ698" s="29" t="n">
        <f aca="false">IF(OR(AI698="",N(O698)=0),"",AI698+AG698/O698)</f>
        <v>-0.0528634361233479</v>
      </c>
      <c r="AK698" s="32" t="n">
        <f aca="false">IF(OR(AJ698="",N(AE698)=0),"",AJ698-AE698)</f>
        <v>0</v>
      </c>
      <c r="AL698" s="33" t="n">
        <f aca="false">IF(N(F698)=0,"",INDEX(Inputs!$B$28:$B$32,IFERROR(MATCH(F698,Inputs!$A$28:$A$32,1),0)+1))</f>
        <v>0.075</v>
      </c>
      <c r="AM698" s="34"/>
      <c r="AN698" s="33" t="n">
        <f aca="false">IF(N(AM698)&gt;0,AM698,AL698)</f>
        <v>0.075</v>
      </c>
      <c r="AO698" s="29" t="n">
        <f aca="false">IF(N(AN698)=0,"",AN698+IF(I698="yes",AN698*Inputs!$B$10*Inputs!$B$9,0)+IFERROR(INDEX(Inputs!$B$13:$B$15,MATCH(G698,Inputs!$A$13:$A$15,0)),0)+IFERROR(INDEX(Inputs!$B$18:$B$24,MATCH(H698,Inputs!$A$18:$A$24,0)),0))</f>
        <v>0.07</v>
      </c>
      <c r="AP698" s="28" t="n">
        <f aca="false">IF(OR(N(AO698)&lt;=0,N(AG698)=0,N(L698)=0),"",MIN(L698,AG698/AO698))</f>
        <v>15</v>
      </c>
      <c r="AQ698" s="29" t="n">
        <f aca="false">IF(OR(AP698="",N(O698)=0),"",AP698/O698-1)</f>
        <v>-0.0560100692259282</v>
      </c>
      <c r="AR698" s="29" t="n">
        <f aca="false">IF(OR(AQ698="",N(O698)=0),"",AQ698+AG698/O698)</f>
        <v>0.0100692259282568</v>
      </c>
      <c r="AS698" s="32" t="n">
        <f aca="false">IF(OR(AR698="",N(AJ698)=0),"",AR698-AJ698)</f>
        <v>0.0629326620516048</v>
      </c>
      <c r="AT698" s="28" t="n">
        <v>25</v>
      </c>
      <c r="AU698" s="28" t="n">
        <v>1.05</v>
      </c>
      <c r="AV698" s="28" t="n">
        <f aca="false">IF(N(AT698)&gt;0,AT698,L698)</f>
        <v>25</v>
      </c>
      <c r="AW698" s="28" t="n">
        <f aca="false">IF(AND(N(M698)&gt;0,N(AV698)&gt;0),M698*AV698,IF(N(AU698)&gt;0,AU698,N698))</f>
        <v>1.05</v>
      </c>
      <c r="AX698" s="29" t="n">
        <f aca="false">IF(N(AN698)=0,"",AN698+IF(I698="yes",AN698*Inputs!$B$10*Inputs!$B$9,0)+IFERROR(INDEX(Inputs!$B$13:$B$15,MATCH(G698,Inputs!$A$13:$A$15,0)),0)+IFERROR(INDEX(Inputs!$B$18:$B$24,MATCH(H698,Inputs!$A$18:$A$24,0)),0))</f>
        <v>0.07</v>
      </c>
      <c r="AY698" s="28" t="n">
        <f aca="false">IF(OR(N(AX698)&lt;=0,N(AW698)=0,N(AV698)=0),"",MIN(AV698,AW698/AX698))</f>
        <v>15</v>
      </c>
      <c r="AZ698" s="29" t="n">
        <f aca="false">IF(OR(AY698="",N(O698)=0),"",AY698/O698-1)</f>
        <v>-0.0560100692259282</v>
      </c>
      <c r="BA698" s="29" t="n">
        <f aca="false">IF(OR(AZ698="",N(O698)=0),"",AZ698+AW698/O698)</f>
        <v>0.0100692259282568</v>
      </c>
      <c r="BB698" s="32" t="n">
        <f aca="false">IF(OR(BA698="",N(AR698)=0),"",BA698-AR698)</f>
        <v>0</v>
      </c>
      <c r="BC698" s="35" t="n">
        <f aca="false">IF(OR(BA698="",N(U698)=0),"",BA698-U698)</f>
        <v>0.0629326620516048</v>
      </c>
      <c r="BD698" s="37"/>
    </row>
    <row r="699" customFormat="false" ht="15" hidden="false" customHeight="false" outlineLevel="0" collapsed="false">
      <c r="A699" s="2" t="s">
        <v>1067</v>
      </c>
      <c r="B699" s="2" t="n">
        <v>421</v>
      </c>
      <c r="C699" s="2" t="s">
        <v>1402</v>
      </c>
      <c r="D699" s="2" t="s">
        <v>1398</v>
      </c>
      <c r="E699" s="2" t="s">
        <v>1399</v>
      </c>
      <c r="F699" s="27" t="n">
        <v>105200</v>
      </c>
      <c r="G699" s="2" t="s">
        <v>52</v>
      </c>
      <c r="H699" s="2" t="s">
        <v>58</v>
      </c>
      <c r="I699" s="2" t="s">
        <v>144</v>
      </c>
      <c r="J699" s="2" t="s">
        <v>145</v>
      </c>
      <c r="K699" s="2" t="n">
        <v>4</v>
      </c>
      <c r="L699" s="28" t="n">
        <v>25</v>
      </c>
      <c r="M699" s="29" t="n">
        <v>0.05</v>
      </c>
      <c r="N699" s="28" t="n">
        <v>1.25</v>
      </c>
      <c r="O699" s="28" t="n">
        <v>20.33</v>
      </c>
      <c r="P699" s="2" t="s">
        <v>146</v>
      </c>
      <c r="Q699" s="29" t="n">
        <v>0.08</v>
      </c>
      <c r="R699" s="30" t="n">
        <v>0.075</v>
      </c>
      <c r="S699" s="31" t="n">
        <v>16.6666666666667</v>
      </c>
      <c r="T699" s="30" t="n">
        <v>-0.180193474340056</v>
      </c>
      <c r="U699" s="30" t="n">
        <v>-0.11870798491556</v>
      </c>
      <c r="V699" s="29" t="n">
        <v>-0.005</v>
      </c>
      <c r="W699" s="29" t="n">
        <f aca="false">IF(N(Q699)=0,"",Q699+IF(I699="yes",Q699*Inputs!$B$10*Inputs!$B$9,0)+V699)</f>
        <v>0.075</v>
      </c>
      <c r="X699" s="28" t="n">
        <f aca="false">IF(OR(N(W699)&lt;=0,N(N699)=0,N(L699)=0),"",MIN(L699,N699/W699))</f>
        <v>16.6666666666667</v>
      </c>
      <c r="Y699" s="29" t="n">
        <f aca="false">IF(OR(X699="",N(O699)=0),"",X699/O699-1)</f>
        <v>-0.180193474340056</v>
      </c>
      <c r="Z699" s="29" t="n">
        <f aca="false">IF(OR(Y699="",N(O699)=0),"",Y699+N699/O699)</f>
        <v>-0.11870798491556</v>
      </c>
      <c r="AA699" s="32" t="n">
        <f aca="false">IF(OR(Z699="",N(U699)=0),"",Z699-U699)</f>
        <v>0</v>
      </c>
      <c r="AB699" s="29" t="n">
        <f aca="false">IF(N(Q699)=0,"",Q699+IF(I699="yes",Q699*Inputs!$B$10*Inputs!$B$9,0)+IFERROR(INDEX(Inputs!$B$13:$B$15,MATCH(G699,Inputs!$A$13:$A$15,0)),0)+IFERROR(INDEX(Inputs!$B$18:$B$24,MATCH(H699,Inputs!$A$18:$A$24,0)),0))</f>
        <v>0.075</v>
      </c>
      <c r="AC699" s="28" t="n">
        <f aca="false">IF(OR(N(AB699)&lt;=0,N(N699)=0,N(L699)=0),"",MIN(L699,N699/AB699))</f>
        <v>16.6666666666667</v>
      </c>
      <c r="AD699" s="29" t="n">
        <f aca="false">IF(OR(AC699="",N(O699)=0),"",AC699/O699-1)</f>
        <v>-0.180193474340056</v>
      </c>
      <c r="AE699" s="29" t="n">
        <f aca="false">IF(OR(AD699="",N(O699)=0),"",AD699+N699/O699)</f>
        <v>-0.11870798491556</v>
      </c>
      <c r="AF699" s="32" t="n">
        <f aca="false">IF(OR(AE699="",N(Z699)=0),"",AE699-Z699)</f>
        <v>0</v>
      </c>
      <c r="AG699" s="28" t="n">
        <f aca="false">IF(AND(N(M699)&gt;0,N(L699)&gt;0),M699*L699,N699)</f>
        <v>1.25</v>
      </c>
      <c r="AH699" s="28" t="n">
        <f aca="false">IF(OR(N(AB699)&lt;=0,N(AG699)=0,N(L699)=0),"",MIN(L699,AG699/AB699))</f>
        <v>16.6666666666667</v>
      </c>
      <c r="AI699" s="29" t="n">
        <f aca="false">IF(OR(AH699="",N(O699)=0),"",AH699/O699-1)</f>
        <v>-0.180193474340056</v>
      </c>
      <c r="AJ699" s="29" t="n">
        <f aca="false">IF(OR(AI699="",N(O699)=0),"",AI699+AG699/O699)</f>
        <v>-0.11870798491556</v>
      </c>
      <c r="AK699" s="32" t="n">
        <f aca="false">IF(OR(AJ699="",N(AE699)=0),"",AJ699-AE699)</f>
        <v>0</v>
      </c>
      <c r="AL699" s="33" t="n">
        <f aca="false">IF(N(F699)=0,"",INDEX(Inputs!$B$28:$B$32,IFERROR(MATCH(F699,Inputs!$A$28:$A$32,1),0)+1))</f>
        <v>0.075</v>
      </c>
      <c r="AM699" s="34"/>
      <c r="AN699" s="33" t="n">
        <f aca="false">IF(N(AM699)&gt;0,AM699,AL699)</f>
        <v>0.075</v>
      </c>
      <c r="AO699" s="29" t="n">
        <f aca="false">IF(N(AN699)=0,"",AN699+IF(I699="yes",AN699*Inputs!$B$10*Inputs!$B$9,0)+IFERROR(INDEX(Inputs!$B$13:$B$15,MATCH(G699,Inputs!$A$13:$A$15,0)),0)+IFERROR(INDEX(Inputs!$B$18:$B$24,MATCH(H699,Inputs!$A$18:$A$24,0)),0))</f>
        <v>0.07</v>
      </c>
      <c r="AP699" s="28" t="n">
        <f aca="false">IF(OR(N(AO699)&lt;=0,N(AG699)=0,N(L699)=0),"",MIN(L699,AG699/AO699))</f>
        <v>17.8571428571429</v>
      </c>
      <c r="AQ699" s="29" t="n">
        <f aca="false">IF(OR(AP699="",N(O699)=0),"",AP699/O699-1)</f>
        <v>-0.121635865364345</v>
      </c>
      <c r="AR699" s="29" t="n">
        <f aca="false">IF(OR(AQ699="",N(O699)=0),"",AQ699+AG699/O699)</f>
        <v>-0.0601503759398495</v>
      </c>
      <c r="AS699" s="32" t="n">
        <f aca="false">IF(OR(AR699="",N(AJ699)=0),"",AR699-AJ699)</f>
        <v>0.0585576089757103</v>
      </c>
      <c r="AT699" s="28" t="n">
        <v>25</v>
      </c>
      <c r="AU699" s="28" t="n">
        <v>1.25</v>
      </c>
      <c r="AV699" s="28" t="n">
        <f aca="false">IF(N(AT699)&gt;0,AT699,L699)</f>
        <v>25</v>
      </c>
      <c r="AW699" s="28" t="n">
        <f aca="false">IF(AND(N(M699)&gt;0,N(AV699)&gt;0),M699*AV699,IF(N(AU699)&gt;0,AU699,N699))</f>
        <v>1.25</v>
      </c>
      <c r="AX699" s="29" t="n">
        <f aca="false">IF(N(AN699)=0,"",AN699+IF(I699="yes",AN699*Inputs!$B$10*Inputs!$B$9,0)+IFERROR(INDEX(Inputs!$B$13:$B$15,MATCH(G699,Inputs!$A$13:$A$15,0)),0)+IFERROR(INDEX(Inputs!$B$18:$B$24,MATCH(H699,Inputs!$A$18:$A$24,0)),0))</f>
        <v>0.07</v>
      </c>
      <c r="AY699" s="28" t="n">
        <f aca="false">IF(OR(N(AX699)&lt;=0,N(AW699)=0,N(AV699)=0),"",MIN(AV699,AW699/AX699))</f>
        <v>17.8571428571429</v>
      </c>
      <c r="AZ699" s="29" t="n">
        <f aca="false">IF(OR(AY699="",N(O699)=0),"",AY699/O699-1)</f>
        <v>-0.121635865364345</v>
      </c>
      <c r="BA699" s="29" t="n">
        <f aca="false">IF(OR(AZ699="",N(O699)=0),"",AZ699+AW699/O699)</f>
        <v>-0.0601503759398495</v>
      </c>
      <c r="BB699" s="32" t="n">
        <f aca="false">IF(OR(BA699="",N(AR699)=0),"",BA699-AR699)</f>
        <v>0</v>
      </c>
      <c r="BC699" s="35" t="n">
        <f aca="false">IF(OR(BA699="",N(U699)=0),"",BA699-U699)</f>
        <v>0.0585576089757104</v>
      </c>
      <c r="BD699" s="37"/>
    </row>
    <row r="700" customFormat="false" ht="15" hidden="false" customHeight="false" outlineLevel="0" collapsed="false">
      <c r="A700" s="2" t="s">
        <v>1067</v>
      </c>
      <c r="B700" s="2" t="n">
        <v>424</v>
      </c>
      <c r="C700" s="2" t="s">
        <v>1403</v>
      </c>
      <c r="D700" s="2" t="s">
        <v>1404</v>
      </c>
      <c r="E700" s="2" t="s">
        <v>143</v>
      </c>
      <c r="F700" s="27"/>
      <c r="G700" s="2" t="s">
        <v>51</v>
      </c>
      <c r="H700" s="2" t="s">
        <v>58</v>
      </c>
      <c r="I700" s="2" t="s">
        <v>144</v>
      </c>
      <c r="J700" s="2" t="s">
        <v>145</v>
      </c>
      <c r="K700" s="2" t="n">
        <v>4</v>
      </c>
      <c r="L700" s="28" t="n">
        <v>25</v>
      </c>
      <c r="M700" s="29" t="n">
        <v>0.08</v>
      </c>
      <c r="N700" s="28" t="n">
        <v>2</v>
      </c>
      <c r="O700" s="28" t="n">
        <v>2.35</v>
      </c>
      <c r="P700" s="2" t="s">
        <v>146</v>
      </c>
      <c r="Q700" s="29" t="n">
        <v>0</v>
      </c>
      <c r="R700" s="30" t="n">
        <v>0</v>
      </c>
      <c r="S700" s="31"/>
      <c r="T700" s="30"/>
      <c r="U700" s="30"/>
      <c r="V700" s="29" t="n">
        <v>0</v>
      </c>
      <c r="W700" s="29" t="str">
        <f aca="false">IF(N(Q700)=0,"",Q700+IF(I700="yes",Q700*Inputs!$B$10*Inputs!$B$9,0)+V700)</f>
        <v/>
      </c>
      <c r="X700" s="28" t="str">
        <f aca="false">IF(OR(N(W700)&lt;=0,N(N700)=0,N(L700)=0),"",MIN(L700,N700/W700))</f>
        <v/>
      </c>
      <c r="Y700" s="29" t="str">
        <f aca="false">IF(OR(X700="",N(O700)=0),"",X700/O700-1)</f>
        <v/>
      </c>
      <c r="Z700" s="29" t="str">
        <f aca="false">IF(OR(Y700="",N(O700)=0),"",Y700+N700/O700)</f>
        <v/>
      </c>
      <c r="AA700" s="32" t="str">
        <f aca="false">IF(OR(Z700="",N(U700)=0),"",Z700-U700)</f>
        <v/>
      </c>
      <c r="AB700" s="29" t="str">
        <f aca="false">IF(N(Q700)=0,"",Q700+IF(I700="yes",Q700*Inputs!$B$10*Inputs!$B$9,0)+IFERROR(INDEX(Inputs!$B$13:$B$15,MATCH(G700,Inputs!$A$13:$A$15,0)),0)+IFERROR(INDEX(Inputs!$B$18:$B$24,MATCH(H700,Inputs!$A$18:$A$24,0)),0))</f>
        <v/>
      </c>
      <c r="AC700" s="28" t="str">
        <f aca="false">IF(OR(N(AB700)&lt;=0,N(N700)=0,N(L700)=0),"",MIN(L700,N700/AB700))</f>
        <v/>
      </c>
      <c r="AD700" s="29" t="str">
        <f aca="false">IF(OR(AC700="",N(O700)=0),"",AC700/O700-1)</f>
        <v/>
      </c>
      <c r="AE700" s="29" t="str">
        <f aca="false">IF(OR(AD700="",N(O700)=0),"",AD700+N700/O700)</f>
        <v/>
      </c>
      <c r="AF700" s="32" t="str">
        <f aca="false">IF(OR(AE700="",N(Z700)=0),"",AE700-Z700)</f>
        <v/>
      </c>
      <c r="AG700" s="28" t="n">
        <f aca="false">IF(AND(N(M700)&gt;0,N(L700)&gt;0),M700*L700,N700)</f>
        <v>2</v>
      </c>
      <c r="AH700" s="28" t="str">
        <f aca="false">IF(OR(N(AB700)&lt;=0,N(AG700)=0,N(L700)=0),"",MIN(L700,AG700/AB700))</f>
        <v/>
      </c>
      <c r="AI700" s="29" t="str">
        <f aca="false">IF(OR(AH700="",N(O700)=0),"",AH700/O700-1)</f>
        <v/>
      </c>
      <c r="AJ700" s="29" t="str">
        <f aca="false">IF(OR(AI700="",N(O700)=0),"",AI700+AG700/O700)</f>
        <v/>
      </c>
      <c r="AK700" s="32" t="str">
        <f aca="false">IF(OR(AJ700="",N(AE700)=0),"",AJ700-AE700)</f>
        <v/>
      </c>
      <c r="AL700" s="33" t="str">
        <f aca="false">IF(N(F700)=0,"",INDEX(Inputs!$B$28:$B$32,IFERROR(MATCH(F700,Inputs!$A$28:$A$32,1),0)+1))</f>
        <v/>
      </c>
      <c r="AM700" s="34"/>
      <c r="AN700" s="33" t="str">
        <f aca="false">IF(N(AM700)&gt;0,AM700,AL700)</f>
        <v/>
      </c>
      <c r="AO700" s="29" t="str">
        <f aca="false">IF(N(AN700)=0,"",AN700+IF(I700="yes",AN700*Inputs!$B$10*Inputs!$B$9,0)+IFERROR(INDEX(Inputs!$B$13:$B$15,MATCH(G700,Inputs!$A$13:$A$15,0)),0)+IFERROR(INDEX(Inputs!$B$18:$B$24,MATCH(H700,Inputs!$A$18:$A$24,0)),0))</f>
        <v/>
      </c>
      <c r="AP700" s="28" t="str">
        <f aca="false">IF(OR(N(AO700)&lt;=0,N(AG700)=0,N(L700)=0),"",MIN(L700,AG700/AO700))</f>
        <v/>
      </c>
      <c r="AQ700" s="29" t="str">
        <f aca="false">IF(OR(AP700="",N(O700)=0),"",AP700/O700-1)</f>
        <v/>
      </c>
      <c r="AR700" s="29" t="str">
        <f aca="false">IF(OR(AQ700="",N(O700)=0),"",AQ700+AG700/O700)</f>
        <v/>
      </c>
      <c r="AS700" s="32" t="str">
        <f aca="false">IF(OR(AR700="",N(AJ700)=0),"",AR700-AJ700)</f>
        <v/>
      </c>
      <c r="AT700" s="28" t="n">
        <v>25</v>
      </c>
      <c r="AU700" s="28" t="n">
        <v>2</v>
      </c>
      <c r="AV700" s="28" t="n">
        <f aca="false">IF(N(AT700)&gt;0,AT700,L700)</f>
        <v>25</v>
      </c>
      <c r="AW700" s="28" t="n">
        <f aca="false">IF(AND(N(M700)&gt;0,N(AV700)&gt;0),M700*AV700,IF(N(AU700)&gt;0,AU700,N700))</f>
        <v>2</v>
      </c>
      <c r="AX700" s="29" t="str">
        <f aca="false">IF(N(AN700)=0,"",AN700+IF(I700="yes",AN700*Inputs!$B$10*Inputs!$B$9,0)+IFERROR(INDEX(Inputs!$B$13:$B$15,MATCH(G700,Inputs!$A$13:$A$15,0)),0)+IFERROR(INDEX(Inputs!$B$18:$B$24,MATCH(H700,Inputs!$A$18:$A$24,0)),0))</f>
        <v/>
      </c>
      <c r="AY700" s="28" t="str">
        <f aca="false">IF(OR(N(AX700)&lt;=0,N(AW700)=0,N(AV700)=0),"",MIN(AV700,AW700/AX700))</f>
        <v/>
      </c>
      <c r="AZ700" s="29" t="str">
        <f aca="false">IF(OR(AY700="",N(O700)=0),"",AY700/O700-1)</f>
        <v/>
      </c>
      <c r="BA700" s="29" t="str">
        <f aca="false">IF(OR(AZ700="",N(O700)=0),"",AZ700+AW700/O700)</f>
        <v/>
      </c>
      <c r="BB700" s="32" t="str">
        <f aca="false">IF(OR(BA700="",N(AR700)=0),"",BA700-AR700)</f>
        <v/>
      </c>
      <c r="BC700" s="35" t="str">
        <f aca="false">IF(OR(BA700="",N(U700)=0),"",BA700-U700)</f>
        <v/>
      </c>
      <c r="BD700" s="36" t="s">
        <v>231</v>
      </c>
    </row>
    <row r="701" customFormat="false" ht="15" hidden="false" customHeight="false" outlineLevel="0" collapsed="false">
      <c r="A701" s="2" t="s">
        <v>1067</v>
      </c>
      <c r="B701" s="2" t="n">
        <v>425</v>
      </c>
      <c r="C701" s="2" t="s">
        <v>1405</v>
      </c>
      <c r="D701" s="2" t="s">
        <v>1404</v>
      </c>
      <c r="E701" s="2" t="s">
        <v>143</v>
      </c>
      <c r="F701" s="27"/>
      <c r="G701" s="2" t="s">
        <v>51</v>
      </c>
      <c r="H701" s="2" t="s">
        <v>58</v>
      </c>
      <c r="I701" s="2" t="s">
        <v>144</v>
      </c>
      <c r="J701" s="2" t="s">
        <v>145</v>
      </c>
      <c r="K701" s="2" t="n">
        <v>4</v>
      </c>
      <c r="L701" s="28" t="n">
        <v>25</v>
      </c>
      <c r="M701" s="29" t="n">
        <v>0.0825</v>
      </c>
      <c r="N701" s="28" t="n">
        <v>2.0625</v>
      </c>
      <c r="O701" s="28" t="n">
        <v>2.45</v>
      </c>
      <c r="P701" s="2" t="s">
        <v>146</v>
      </c>
      <c r="Q701" s="29" t="n">
        <v>0</v>
      </c>
      <c r="R701" s="30" t="n">
        <v>0</v>
      </c>
      <c r="S701" s="31"/>
      <c r="T701" s="30"/>
      <c r="U701" s="30"/>
      <c r="V701" s="29" t="n">
        <v>0</v>
      </c>
      <c r="W701" s="29" t="str">
        <f aca="false">IF(N(Q701)=0,"",Q701+IF(I701="yes",Q701*Inputs!$B$10*Inputs!$B$9,0)+V701)</f>
        <v/>
      </c>
      <c r="X701" s="28" t="str">
        <f aca="false">IF(OR(N(W701)&lt;=0,N(N701)=0,N(L701)=0),"",MIN(L701,N701/W701))</f>
        <v/>
      </c>
      <c r="Y701" s="29" t="str">
        <f aca="false">IF(OR(X701="",N(O701)=0),"",X701/O701-1)</f>
        <v/>
      </c>
      <c r="Z701" s="29" t="str">
        <f aca="false">IF(OR(Y701="",N(O701)=0),"",Y701+N701/O701)</f>
        <v/>
      </c>
      <c r="AA701" s="32" t="str">
        <f aca="false">IF(OR(Z701="",N(U701)=0),"",Z701-U701)</f>
        <v/>
      </c>
      <c r="AB701" s="29" t="str">
        <f aca="false">IF(N(Q701)=0,"",Q701+IF(I701="yes",Q701*Inputs!$B$10*Inputs!$B$9,0)+IFERROR(INDEX(Inputs!$B$13:$B$15,MATCH(G701,Inputs!$A$13:$A$15,0)),0)+IFERROR(INDEX(Inputs!$B$18:$B$24,MATCH(H701,Inputs!$A$18:$A$24,0)),0))</f>
        <v/>
      </c>
      <c r="AC701" s="28" t="str">
        <f aca="false">IF(OR(N(AB701)&lt;=0,N(N701)=0,N(L701)=0),"",MIN(L701,N701/AB701))</f>
        <v/>
      </c>
      <c r="AD701" s="29" t="str">
        <f aca="false">IF(OR(AC701="",N(O701)=0),"",AC701/O701-1)</f>
        <v/>
      </c>
      <c r="AE701" s="29" t="str">
        <f aca="false">IF(OR(AD701="",N(O701)=0),"",AD701+N701/O701)</f>
        <v/>
      </c>
      <c r="AF701" s="32" t="str">
        <f aca="false">IF(OR(AE701="",N(Z701)=0),"",AE701-Z701)</f>
        <v/>
      </c>
      <c r="AG701" s="28" t="n">
        <f aca="false">IF(AND(N(M701)&gt;0,N(L701)&gt;0),M701*L701,N701)</f>
        <v>2.0625</v>
      </c>
      <c r="AH701" s="28" t="str">
        <f aca="false">IF(OR(N(AB701)&lt;=0,N(AG701)=0,N(L701)=0),"",MIN(L701,AG701/AB701))</f>
        <v/>
      </c>
      <c r="AI701" s="29" t="str">
        <f aca="false">IF(OR(AH701="",N(O701)=0),"",AH701/O701-1)</f>
        <v/>
      </c>
      <c r="AJ701" s="29" t="str">
        <f aca="false">IF(OR(AI701="",N(O701)=0),"",AI701+AG701/O701)</f>
        <v/>
      </c>
      <c r="AK701" s="32" t="str">
        <f aca="false">IF(OR(AJ701="",N(AE701)=0),"",AJ701-AE701)</f>
        <v/>
      </c>
      <c r="AL701" s="33" t="str">
        <f aca="false">IF(N(F701)=0,"",INDEX(Inputs!$B$28:$B$32,IFERROR(MATCH(F701,Inputs!$A$28:$A$32,1),0)+1))</f>
        <v/>
      </c>
      <c r="AM701" s="34"/>
      <c r="AN701" s="33" t="str">
        <f aca="false">IF(N(AM701)&gt;0,AM701,AL701)</f>
        <v/>
      </c>
      <c r="AO701" s="29" t="str">
        <f aca="false">IF(N(AN701)=0,"",AN701+IF(I701="yes",AN701*Inputs!$B$10*Inputs!$B$9,0)+IFERROR(INDEX(Inputs!$B$13:$B$15,MATCH(G701,Inputs!$A$13:$A$15,0)),0)+IFERROR(INDEX(Inputs!$B$18:$B$24,MATCH(H701,Inputs!$A$18:$A$24,0)),0))</f>
        <v/>
      </c>
      <c r="AP701" s="28" t="str">
        <f aca="false">IF(OR(N(AO701)&lt;=0,N(AG701)=0,N(L701)=0),"",MIN(L701,AG701/AO701))</f>
        <v/>
      </c>
      <c r="AQ701" s="29" t="str">
        <f aca="false">IF(OR(AP701="",N(O701)=0),"",AP701/O701-1)</f>
        <v/>
      </c>
      <c r="AR701" s="29" t="str">
        <f aca="false">IF(OR(AQ701="",N(O701)=0),"",AQ701+AG701/O701)</f>
        <v/>
      </c>
      <c r="AS701" s="32" t="str">
        <f aca="false">IF(OR(AR701="",N(AJ701)=0),"",AR701-AJ701)</f>
        <v/>
      </c>
      <c r="AT701" s="28" t="n">
        <v>25</v>
      </c>
      <c r="AU701" s="28" t="n">
        <v>2.06</v>
      </c>
      <c r="AV701" s="28" t="n">
        <f aca="false">IF(N(AT701)&gt;0,AT701,L701)</f>
        <v>25</v>
      </c>
      <c r="AW701" s="28" t="n">
        <f aca="false">IF(AND(N(M701)&gt;0,N(AV701)&gt;0),M701*AV701,IF(N(AU701)&gt;0,AU701,N701))</f>
        <v>2.0625</v>
      </c>
      <c r="AX701" s="29" t="str">
        <f aca="false">IF(N(AN701)=0,"",AN701+IF(I701="yes",AN701*Inputs!$B$10*Inputs!$B$9,0)+IFERROR(INDEX(Inputs!$B$13:$B$15,MATCH(G701,Inputs!$A$13:$A$15,0)),0)+IFERROR(INDEX(Inputs!$B$18:$B$24,MATCH(H701,Inputs!$A$18:$A$24,0)),0))</f>
        <v/>
      </c>
      <c r="AY701" s="28" t="str">
        <f aca="false">IF(OR(N(AX701)&lt;=0,N(AW701)=0,N(AV701)=0),"",MIN(AV701,AW701/AX701))</f>
        <v/>
      </c>
      <c r="AZ701" s="29" t="str">
        <f aca="false">IF(OR(AY701="",N(O701)=0),"",AY701/O701-1)</f>
        <v/>
      </c>
      <c r="BA701" s="29" t="str">
        <f aca="false">IF(OR(AZ701="",N(O701)=0),"",AZ701+AW701/O701)</f>
        <v/>
      </c>
      <c r="BB701" s="32" t="str">
        <f aca="false">IF(OR(BA701="",N(AR701)=0),"",BA701-AR701)</f>
        <v/>
      </c>
      <c r="BC701" s="35" t="str">
        <f aca="false">IF(OR(BA701="",N(U701)=0),"",BA701-U701)</f>
        <v/>
      </c>
      <c r="BD701" s="36" t="s">
        <v>231</v>
      </c>
    </row>
    <row r="702" customFormat="false" ht="15" hidden="false" customHeight="false" outlineLevel="0" collapsed="false">
      <c r="A702" s="2" t="s">
        <v>1067</v>
      </c>
      <c r="B702" s="2" t="n">
        <v>426</v>
      </c>
      <c r="C702" s="2" t="s">
        <v>1406</v>
      </c>
      <c r="D702" s="2" t="s">
        <v>1404</v>
      </c>
      <c r="E702" s="2" t="s">
        <v>143</v>
      </c>
      <c r="F702" s="27"/>
      <c r="G702" s="2" t="s">
        <v>51</v>
      </c>
      <c r="H702" s="2" t="s">
        <v>58</v>
      </c>
      <c r="I702" s="2" t="s">
        <v>144</v>
      </c>
      <c r="J702" s="2" t="s">
        <v>145</v>
      </c>
      <c r="K702" s="2" t="n">
        <v>4</v>
      </c>
      <c r="L702" s="28" t="n">
        <v>25</v>
      </c>
      <c r="M702" s="29" t="n">
        <v>0.07875</v>
      </c>
      <c r="N702" s="28" t="n">
        <v>1.96875</v>
      </c>
      <c r="O702" s="28" t="n">
        <v>1.9</v>
      </c>
      <c r="P702" s="2" t="s">
        <v>146</v>
      </c>
      <c r="Q702" s="29" t="n">
        <v>0</v>
      </c>
      <c r="R702" s="30" t="n">
        <v>0</v>
      </c>
      <c r="S702" s="31"/>
      <c r="T702" s="30"/>
      <c r="U702" s="30"/>
      <c r="V702" s="29" t="n">
        <v>0</v>
      </c>
      <c r="W702" s="29" t="str">
        <f aca="false">IF(N(Q702)=0,"",Q702+IF(I702="yes",Q702*Inputs!$B$10*Inputs!$B$9,0)+V702)</f>
        <v/>
      </c>
      <c r="X702" s="28" t="str">
        <f aca="false">IF(OR(N(W702)&lt;=0,N(N702)=0,N(L702)=0),"",MIN(L702,N702/W702))</f>
        <v/>
      </c>
      <c r="Y702" s="29" t="str">
        <f aca="false">IF(OR(X702="",N(O702)=0),"",X702/O702-1)</f>
        <v/>
      </c>
      <c r="Z702" s="29" t="str">
        <f aca="false">IF(OR(Y702="",N(O702)=0),"",Y702+N702/O702)</f>
        <v/>
      </c>
      <c r="AA702" s="32" t="str">
        <f aca="false">IF(OR(Z702="",N(U702)=0),"",Z702-U702)</f>
        <v/>
      </c>
      <c r="AB702" s="29" t="str">
        <f aca="false">IF(N(Q702)=0,"",Q702+IF(I702="yes",Q702*Inputs!$B$10*Inputs!$B$9,0)+IFERROR(INDEX(Inputs!$B$13:$B$15,MATCH(G702,Inputs!$A$13:$A$15,0)),0)+IFERROR(INDEX(Inputs!$B$18:$B$24,MATCH(H702,Inputs!$A$18:$A$24,0)),0))</f>
        <v/>
      </c>
      <c r="AC702" s="28" t="str">
        <f aca="false">IF(OR(N(AB702)&lt;=0,N(N702)=0,N(L702)=0),"",MIN(L702,N702/AB702))</f>
        <v/>
      </c>
      <c r="AD702" s="29" t="str">
        <f aca="false">IF(OR(AC702="",N(O702)=0),"",AC702/O702-1)</f>
        <v/>
      </c>
      <c r="AE702" s="29" t="str">
        <f aca="false">IF(OR(AD702="",N(O702)=0),"",AD702+N702/O702)</f>
        <v/>
      </c>
      <c r="AF702" s="32" t="str">
        <f aca="false">IF(OR(AE702="",N(Z702)=0),"",AE702-Z702)</f>
        <v/>
      </c>
      <c r="AG702" s="28" t="n">
        <f aca="false">IF(AND(N(M702)&gt;0,N(L702)&gt;0),M702*L702,N702)</f>
        <v>1.96875</v>
      </c>
      <c r="AH702" s="28" t="str">
        <f aca="false">IF(OR(N(AB702)&lt;=0,N(AG702)=0,N(L702)=0),"",MIN(L702,AG702/AB702))</f>
        <v/>
      </c>
      <c r="AI702" s="29" t="str">
        <f aca="false">IF(OR(AH702="",N(O702)=0),"",AH702/O702-1)</f>
        <v/>
      </c>
      <c r="AJ702" s="29" t="str">
        <f aca="false">IF(OR(AI702="",N(O702)=0),"",AI702+AG702/O702)</f>
        <v/>
      </c>
      <c r="AK702" s="32" t="str">
        <f aca="false">IF(OR(AJ702="",N(AE702)=0),"",AJ702-AE702)</f>
        <v/>
      </c>
      <c r="AL702" s="33" t="str">
        <f aca="false">IF(N(F702)=0,"",INDEX(Inputs!$B$28:$B$32,IFERROR(MATCH(F702,Inputs!$A$28:$A$32,1),0)+1))</f>
        <v/>
      </c>
      <c r="AM702" s="34"/>
      <c r="AN702" s="33" t="str">
        <f aca="false">IF(N(AM702)&gt;0,AM702,AL702)</f>
        <v/>
      </c>
      <c r="AO702" s="29" t="str">
        <f aca="false">IF(N(AN702)=0,"",AN702+IF(I702="yes",AN702*Inputs!$B$10*Inputs!$B$9,0)+IFERROR(INDEX(Inputs!$B$13:$B$15,MATCH(G702,Inputs!$A$13:$A$15,0)),0)+IFERROR(INDEX(Inputs!$B$18:$B$24,MATCH(H702,Inputs!$A$18:$A$24,0)),0))</f>
        <v/>
      </c>
      <c r="AP702" s="28" t="str">
        <f aca="false">IF(OR(N(AO702)&lt;=0,N(AG702)=0,N(L702)=0),"",MIN(L702,AG702/AO702))</f>
        <v/>
      </c>
      <c r="AQ702" s="29" t="str">
        <f aca="false">IF(OR(AP702="",N(O702)=0),"",AP702/O702-1)</f>
        <v/>
      </c>
      <c r="AR702" s="29" t="str">
        <f aca="false">IF(OR(AQ702="",N(O702)=0),"",AQ702+AG702/O702)</f>
        <v/>
      </c>
      <c r="AS702" s="32" t="str">
        <f aca="false">IF(OR(AR702="",N(AJ702)=0),"",AR702-AJ702)</f>
        <v/>
      </c>
      <c r="AT702" s="28" t="n">
        <v>25</v>
      </c>
      <c r="AU702" s="28" t="n">
        <v>1.97</v>
      </c>
      <c r="AV702" s="28" t="n">
        <f aca="false">IF(N(AT702)&gt;0,AT702,L702)</f>
        <v>25</v>
      </c>
      <c r="AW702" s="28" t="n">
        <f aca="false">IF(AND(N(M702)&gt;0,N(AV702)&gt;0),M702*AV702,IF(N(AU702)&gt;0,AU702,N702))</f>
        <v>1.96875</v>
      </c>
      <c r="AX702" s="29" t="str">
        <f aca="false">IF(N(AN702)=0,"",AN702+IF(I702="yes",AN702*Inputs!$B$10*Inputs!$B$9,0)+IFERROR(INDEX(Inputs!$B$13:$B$15,MATCH(G702,Inputs!$A$13:$A$15,0)),0)+IFERROR(INDEX(Inputs!$B$18:$B$24,MATCH(H702,Inputs!$A$18:$A$24,0)),0))</f>
        <v/>
      </c>
      <c r="AY702" s="28" t="str">
        <f aca="false">IF(OR(N(AX702)&lt;=0,N(AW702)=0,N(AV702)=0),"",MIN(AV702,AW702/AX702))</f>
        <v/>
      </c>
      <c r="AZ702" s="29" t="str">
        <f aca="false">IF(OR(AY702="",N(O702)=0),"",AY702/O702-1)</f>
        <v/>
      </c>
      <c r="BA702" s="29" t="str">
        <f aca="false">IF(OR(AZ702="",N(O702)=0),"",AZ702+AW702/O702)</f>
        <v/>
      </c>
      <c r="BB702" s="32" t="str">
        <f aca="false">IF(OR(BA702="",N(AR702)=0),"",BA702-AR702)</f>
        <v/>
      </c>
      <c r="BC702" s="35" t="str">
        <f aca="false">IF(OR(BA702="",N(U702)=0),"",BA702-U702)</f>
        <v/>
      </c>
      <c r="BD702" s="36" t="s">
        <v>231</v>
      </c>
    </row>
    <row r="703" customFormat="false" ht="15" hidden="false" customHeight="false" outlineLevel="0" collapsed="false">
      <c r="A703" s="2" t="s">
        <v>1067</v>
      </c>
      <c r="B703" s="2" t="n">
        <v>429</v>
      </c>
      <c r="C703" s="2" t="s">
        <v>1407</v>
      </c>
      <c r="D703" s="2" t="s">
        <v>1408</v>
      </c>
      <c r="E703" s="2" t="s">
        <v>1409</v>
      </c>
      <c r="F703" s="27" t="n">
        <v>141</v>
      </c>
      <c r="G703" s="2" t="s">
        <v>51</v>
      </c>
      <c r="H703" s="2" t="s">
        <v>63</v>
      </c>
      <c r="I703" s="2" t="s">
        <v>151</v>
      </c>
      <c r="J703" s="2" t="s">
        <v>145</v>
      </c>
      <c r="K703" s="2" t="n">
        <v>4</v>
      </c>
      <c r="L703" s="28" t="n">
        <v>25</v>
      </c>
      <c r="M703" s="29" t="n">
        <v>0.0275</v>
      </c>
      <c r="N703" s="28" t="n">
        <v>0.6875</v>
      </c>
      <c r="O703" s="28" t="n">
        <v>24.75</v>
      </c>
      <c r="P703" s="2" t="s">
        <v>223</v>
      </c>
      <c r="Q703" s="29" t="n">
        <v>0.09</v>
      </c>
      <c r="R703" s="30" t="n">
        <v>0.09</v>
      </c>
      <c r="S703" s="31" t="n">
        <v>7.63888888888889</v>
      </c>
      <c r="T703" s="30" t="n">
        <v>-0.691358024691358</v>
      </c>
      <c r="U703" s="30" t="n">
        <v>-0.66358024691358</v>
      </c>
      <c r="V703" s="29" t="n">
        <v>0</v>
      </c>
      <c r="W703" s="29" t="n">
        <f aca="false">IF(N(Q703)=0,"",Q703+IF(I703="yes",Q703*Inputs!$B$10*Inputs!$B$9,0)+V703)</f>
        <v>0.0855</v>
      </c>
      <c r="X703" s="28" t="n">
        <f aca="false">IF(OR(N(W703)&lt;=0,N(N703)=0,N(L703)=0),"",MIN(L703,N703/W703))</f>
        <v>8.04093567251462</v>
      </c>
      <c r="Y703" s="29" t="n">
        <f aca="false">IF(OR(X703="",N(O703)=0),"",X703/O703-1)</f>
        <v>-0.67511371020143</v>
      </c>
      <c r="Z703" s="29" t="n">
        <f aca="false">IF(OR(Y703="",N(O703)=0),"",Y703+N703/O703)</f>
        <v>-0.647335932423652</v>
      </c>
      <c r="AA703" s="32" t="n">
        <f aca="false">IF(OR(Z703="",N(U703)=0),"",Z703-U703)</f>
        <v>0.0162443144899285</v>
      </c>
      <c r="AB703" s="29" t="n">
        <f aca="false">IF(N(Q703)=0,"",Q703+IF(I703="yes",Q703*Inputs!$B$10*Inputs!$B$9,0)+IFERROR(INDEX(Inputs!$B$13:$B$15,MATCH(G703,Inputs!$A$13:$A$15,0)),0)+IFERROR(INDEX(Inputs!$B$18:$B$24,MATCH(H703,Inputs!$A$18:$A$24,0)),0))</f>
        <v>0.0855</v>
      </c>
      <c r="AC703" s="28" t="n">
        <f aca="false">IF(OR(N(AB703)&lt;=0,N(N703)=0,N(L703)=0),"",MIN(L703,N703/AB703))</f>
        <v>8.04093567251462</v>
      </c>
      <c r="AD703" s="29" t="n">
        <f aca="false">IF(OR(AC703="",N(O703)=0),"",AC703/O703-1)</f>
        <v>-0.67511371020143</v>
      </c>
      <c r="AE703" s="29" t="n">
        <f aca="false">IF(OR(AD703="",N(O703)=0),"",AD703+N703/O703)</f>
        <v>-0.647335932423652</v>
      </c>
      <c r="AF703" s="32" t="n">
        <f aca="false">IF(OR(AE703="",N(Z703)=0),"",AE703-Z703)</f>
        <v>0</v>
      </c>
      <c r="AG703" s="28" t="n">
        <f aca="false">IF(AND(N(M703)&gt;0,N(L703)&gt;0),M703*L703,N703)</f>
        <v>0.6875</v>
      </c>
      <c r="AH703" s="28" t="n">
        <f aca="false">IF(OR(N(AB703)&lt;=0,N(AG703)=0,N(L703)=0),"",MIN(L703,AG703/AB703))</f>
        <v>8.04093567251462</v>
      </c>
      <c r="AI703" s="29" t="n">
        <f aca="false">IF(OR(AH703="",N(O703)=0),"",AH703/O703-1)</f>
        <v>-0.67511371020143</v>
      </c>
      <c r="AJ703" s="29" t="n">
        <f aca="false">IF(OR(AI703="",N(O703)=0),"",AI703+AG703/O703)</f>
        <v>-0.647335932423652</v>
      </c>
      <c r="AK703" s="32" t="n">
        <f aca="false">IF(OR(AJ703="",N(AE703)=0),"",AJ703-AE703)</f>
        <v>0</v>
      </c>
      <c r="AL703" s="33" t="n">
        <f aca="false">IF(N(F703)=0,"",INDEX(Inputs!$B$28:$B$32,IFERROR(MATCH(F703,Inputs!$A$28:$A$32,1),0)+1))</f>
        <v>0.1</v>
      </c>
      <c r="AM703" s="34"/>
      <c r="AN703" s="33" t="n">
        <f aca="false">IF(N(AM703)&gt;0,AM703,AL703)</f>
        <v>0.1</v>
      </c>
      <c r="AO703" s="29" t="n">
        <f aca="false">IF(N(AN703)=0,"",AN703+IF(I703="yes",AN703*Inputs!$B$10*Inputs!$B$9,0)+IFERROR(INDEX(Inputs!$B$13:$B$15,MATCH(G703,Inputs!$A$13:$A$15,0)),0)+IFERROR(INDEX(Inputs!$B$18:$B$24,MATCH(H703,Inputs!$A$18:$A$24,0)),0))</f>
        <v>0.095</v>
      </c>
      <c r="AP703" s="28" t="n">
        <f aca="false">IF(OR(N(AO703)&lt;=0,N(AG703)=0,N(L703)=0),"",MIN(L703,AG703/AO703))</f>
        <v>7.23684210526316</v>
      </c>
      <c r="AQ703" s="29" t="n">
        <f aca="false">IF(OR(AP703="",N(O703)=0),"",AP703/O703-1)</f>
        <v>-0.707602339181287</v>
      </c>
      <c r="AR703" s="29" t="n">
        <f aca="false">IF(OR(AQ703="",N(O703)=0),"",AQ703+AG703/O703)</f>
        <v>-0.679824561403509</v>
      </c>
      <c r="AS703" s="32" t="n">
        <f aca="false">IF(OR(AR703="",N(AJ703)=0),"",AR703-AJ703)</f>
        <v>-0.0324886289798571</v>
      </c>
      <c r="AT703" s="28" t="n">
        <v>25</v>
      </c>
      <c r="AU703" s="28" t="n">
        <v>0.6875</v>
      </c>
      <c r="AV703" s="28" t="n">
        <f aca="false">IF(N(AT703)&gt;0,AT703,L703)</f>
        <v>25</v>
      </c>
      <c r="AW703" s="28" t="n">
        <f aca="false">IF(AND(N(M703)&gt;0,N(AV703)&gt;0),M703*AV703,IF(N(AU703)&gt;0,AU703,N703))</f>
        <v>0.6875</v>
      </c>
      <c r="AX703" s="29" t="n">
        <f aca="false">IF(N(AN703)=0,"",AN703+IF(I703="yes",AN703*Inputs!$B$10*Inputs!$B$9,0)+IFERROR(INDEX(Inputs!$B$13:$B$15,MATCH(G703,Inputs!$A$13:$A$15,0)),0)+IFERROR(INDEX(Inputs!$B$18:$B$24,MATCH(H703,Inputs!$A$18:$A$24,0)),0))</f>
        <v>0.095</v>
      </c>
      <c r="AY703" s="28" t="n">
        <f aca="false">IF(OR(N(AX703)&lt;=0,N(AW703)=0,N(AV703)=0),"",MIN(AV703,AW703/AX703))</f>
        <v>7.23684210526316</v>
      </c>
      <c r="AZ703" s="29" t="n">
        <f aca="false">IF(OR(AY703="",N(O703)=0),"",AY703/O703-1)</f>
        <v>-0.707602339181287</v>
      </c>
      <c r="BA703" s="29" t="n">
        <f aca="false">IF(OR(AZ703="",N(O703)=0),"",AZ703+AW703/O703)</f>
        <v>-0.679824561403509</v>
      </c>
      <c r="BB703" s="32" t="n">
        <f aca="false">IF(OR(BA703="",N(AR703)=0),"",BA703-AR703)</f>
        <v>0</v>
      </c>
      <c r="BC703" s="35" t="n">
        <f aca="false">IF(OR(BA703="",N(U703)=0),"",BA703-U703)</f>
        <v>-0.0162443144899286</v>
      </c>
      <c r="BD703" s="36" t="s">
        <v>224</v>
      </c>
    </row>
    <row r="704" customFormat="false" ht="15" hidden="false" customHeight="false" outlineLevel="0" collapsed="false">
      <c r="A704" s="2" t="s">
        <v>1067</v>
      </c>
      <c r="B704" s="2" t="n">
        <v>433</v>
      </c>
      <c r="C704" s="2" t="s">
        <v>1410</v>
      </c>
      <c r="D704" s="2" t="s">
        <v>1411</v>
      </c>
      <c r="E704" s="2" t="s">
        <v>1412</v>
      </c>
      <c r="F704" s="27" t="n">
        <v>71100</v>
      </c>
      <c r="G704" s="2" t="s">
        <v>51</v>
      </c>
      <c r="H704" s="2" t="s">
        <v>58</v>
      </c>
      <c r="I704" s="2" t="s">
        <v>144</v>
      </c>
      <c r="J704" s="2" t="s">
        <v>145</v>
      </c>
      <c r="K704" s="2" t="n">
        <v>4</v>
      </c>
      <c r="L704" s="28" t="n">
        <v>50</v>
      </c>
      <c r="M704" s="29" t="n">
        <v>0.08375</v>
      </c>
      <c r="N704" s="28" t="n">
        <v>4.1875</v>
      </c>
      <c r="O704" s="28" t="n">
        <v>55.24</v>
      </c>
      <c r="P704" s="2" t="s">
        <v>146</v>
      </c>
      <c r="Q704" s="29" t="n">
        <v>0.08</v>
      </c>
      <c r="R704" s="30" t="n">
        <v>0.08</v>
      </c>
      <c r="S704" s="31" t="n">
        <v>50</v>
      </c>
      <c r="T704" s="30" t="n">
        <v>-0.0948587979724838</v>
      </c>
      <c r="U704" s="30" t="n">
        <v>-0.0190532223026793</v>
      </c>
      <c r="V704" s="29" t="n">
        <v>0</v>
      </c>
      <c r="W704" s="29" t="n">
        <f aca="false">IF(N(Q704)=0,"",Q704+IF(I704="yes",Q704*Inputs!$B$10*Inputs!$B$9,0)+V704)</f>
        <v>0.08</v>
      </c>
      <c r="X704" s="28" t="n">
        <f aca="false">IF(OR(N(W704)&lt;=0,N(N704)=0,N(L704)=0),"",MIN(L704,N704/W704))</f>
        <v>50</v>
      </c>
      <c r="Y704" s="29" t="n">
        <f aca="false">IF(OR(X704="",N(O704)=0),"",X704/O704-1)</f>
        <v>-0.0948587979724838</v>
      </c>
      <c r="Z704" s="29" t="n">
        <f aca="false">IF(OR(Y704="",N(O704)=0),"",Y704+N704/O704)</f>
        <v>-0.0190532223026793</v>
      </c>
      <c r="AA704" s="32" t="n">
        <f aca="false">IF(OR(Z704="",N(U704)=0),"",Z704-U704)</f>
        <v>0</v>
      </c>
      <c r="AB704" s="29" t="n">
        <f aca="false">IF(N(Q704)=0,"",Q704+IF(I704="yes",Q704*Inputs!$B$10*Inputs!$B$9,0)+IFERROR(INDEX(Inputs!$B$13:$B$15,MATCH(G704,Inputs!$A$13:$A$15,0)),0)+IFERROR(INDEX(Inputs!$B$18:$B$24,MATCH(H704,Inputs!$A$18:$A$24,0)),0))</f>
        <v>0.08</v>
      </c>
      <c r="AC704" s="28" t="n">
        <f aca="false">IF(OR(N(AB704)&lt;=0,N(N704)=0,N(L704)=0),"",MIN(L704,N704/AB704))</f>
        <v>50</v>
      </c>
      <c r="AD704" s="29" t="n">
        <f aca="false">IF(OR(AC704="",N(O704)=0),"",AC704/O704-1)</f>
        <v>-0.0948587979724838</v>
      </c>
      <c r="AE704" s="29" t="n">
        <f aca="false">IF(OR(AD704="",N(O704)=0),"",AD704+N704/O704)</f>
        <v>-0.0190532223026793</v>
      </c>
      <c r="AF704" s="32" t="n">
        <f aca="false">IF(OR(AE704="",N(Z704)=0),"",AE704-Z704)</f>
        <v>0</v>
      </c>
      <c r="AG704" s="28" t="n">
        <f aca="false">IF(AND(N(M704)&gt;0,N(L704)&gt;0),M704*L704,N704)</f>
        <v>4.1875</v>
      </c>
      <c r="AH704" s="28" t="n">
        <f aca="false">IF(OR(N(AB704)&lt;=0,N(AG704)=0,N(L704)=0),"",MIN(L704,AG704/AB704))</f>
        <v>50</v>
      </c>
      <c r="AI704" s="29" t="n">
        <f aca="false">IF(OR(AH704="",N(O704)=0),"",AH704/O704-1)</f>
        <v>-0.0948587979724838</v>
      </c>
      <c r="AJ704" s="29" t="n">
        <f aca="false">IF(OR(AI704="",N(O704)=0),"",AI704+AG704/O704)</f>
        <v>-0.0190532223026793</v>
      </c>
      <c r="AK704" s="32" t="n">
        <f aca="false">IF(OR(AJ704="",N(AE704)=0),"",AJ704-AE704)</f>
        <v>0</v>
      </c>
      <c r="AL704" s="33" t="n">
        <f aca="false">IF(N(F704)=0,"",INDEX(Inputs!$B$28:$B$32,IFERROR(MATCH(F704,Inputs!$A$28:$A$32,1),0)+1))</f>
        <v>0.075</v>
      </c>
      <c r="AM704" s="34"/>
      <c r="AN704" s="33" t="n">
        <f aca="false">IF(N(AM704)&gt;0,AM704,AL704)</f>
        <v>0.075</v>
      </c>
      <c r="AO704" s="29" t="n">
        <f aca="false">IF(N(AN704)=0,"",AN704+IF(I704="yes",AN704*Inputs!$B$10*Inputs!$B$9,0)+IFERROR(INDEX(Inputs!$B$13:$B$15,MATCH(G704,Inputs!$A$13:$A$15,0)),0)+IFERROR(INDEX(Inputs!$B$18:$B$24,MATCH(H704,Inputs!$A$18:$A$24,0)),0))</f>
        <v>0.075</v>
      </c>
      <c r="AP704" s="28" t="n">
        <f aca="false">IF(OR(N(AO704)&lt;=0,N(AG704)=0,N(L704)=0),"",MIN(L704,AG704/AO704))</f>
        <v>50</v>
      </c>
      <c r="AQ704" s="29" t="n">
        <f aca="false">IF(OR(AP704="",N(O704)=0),"",AP704/O704-1)</f>
        <v>-0.0948587979724838</v>
      </c>
      <c r="AR704" s="29" t="n">
        <f aca="false">IF(OR(AQ704="",N(O704)=0),"",AQ704+AG704/O704)</f>
        <v>-0.0190532223026793</v>
      </c>
      <c r="AS704" s="32" t="n">
        <f aca="false">IF(OR(AR704="",N(AJ704)=0),"",AR704-AJ704)</f>
        <v>0</v>
      </c>
      <c r="AT704" s="28" t="n">
        <v>50</v>
      </c>
      <c r="AU704" s="28" t="n">
        <v>4.19</v>
      </c>
      <c r="AV704" s="28" t="n">
        <f aca="false">IF(N(AT704)&gt;0,AT704,L704)</f>
        <v>50</v>
      </c>
      <c r="AW704" s="28" t="n">
        <f aca="false">IF(AND(N(M704)&gt;0,N(AV704)&gt;0),M704*AV704,IF(N(AU704)&gt;0,AU704,N704))</f>
        <v>4.1875</v>
      </c>
      <c r="AX704" s="29" t="n">
        <f aca="false">IF(N(AN704)=0,"",AN704+IF(I704="yes",AN704*Inputs!$B$10*Inputs!$B$9,0)+IFERROR(INDEX(Inputs!$B$13:$B$15,MATCH(G704,Inputs!$A$13:$A$15,0)),0)+IFERROR(INDEX(Inputs!$B$18:$B$24,MATCH(H704,Inputs!$A$18:$A$24,0)),0))</f>
        <v>0.075</v>
      </c>
      <c r="AY704" s="28" t="n">
        <f aca="false">IF(OR(N(AX704)&lt;=0,N(AW704)=0,N(AV704)=0),"",MIN(AV704,AW704/AX704))</f>
        <v>50</v>
      </c>
      <c r="AZ704" s="29" t="n">
        <f aca="false">IF(OR(AY704="",N(O704)=0),"",AY704/O704-1)</f>
        <v>-0.0948587979724838</v>
      </c>
      <c r="BA704" s="29" t="n">
        <f aca="false">IF(OR(AZ704="",N(O704)=0),"",AZ704+AW704/O704)</f>
        <v>-0.0190532223026793</v>
      </c>
      <c r="BB704" s="32" t="n">
        <f aca="false">IF(OR(BA704="",N(AR704)=0),"",BA704-AR704)</f>
        <v>0</v>
      </c>
      <c r="BC704" s="35" t="n">
        <f aca="false">IF(OR(BA704="",N(U704)=0),"",BA704-U704)</f>
        <v>0</v>
      </c>
      <c r="BD704" s="37"/>
    </row>
    <row r="705" customFormat="false" ht="15" hidden="false" customHeight="false" outlineLevel="0" collapsed="false">
      <c r="A705" s="2" t="s">
        <v>1067</v>
      </c>
      <c r="B705" s="2" t="n">
        <v>437</v>
      </c>
      <c r="C705" s="2" t="s">
        <v>1413</v>
      </c>
      <c r="D705" s="2" t="s">
        <v>1414</v>
      </c>
      <c r="E705" s="2" t="s">
        <v>143</v>
      </c>
      <c r="F705" s="27"/>
      <c r="G705" s="2" t="s">
        <v>51</v>
      </c>
      <c r="H705" s="2" t="s">
        <v>58</v>
      </c>
      <c r="I705" s="2" t="s">
        <v>1415</v>
      </c>
      <c r="J705" s="2" t="s">
        <v>145</v>
      </c>
      <c r="K705" s="2" t="n">
        <v>4</v>
      </c>
      <c r="L705" s="28" t="n">
        <v>25</v>
      </c>
      <c r="M705" s="29" t="n">
        <v>0.06</v>
      </c>
      <c r="N705" s="28" t="n">
        <v>1.5</v>
      </c>
      <c r="O705" s="28" t="n">
        <v>0</v>
      </c>
      <c r="P705" s="2" t="s">
        <v>146</v>
      </c>
      <c r="Q705" s="29" t="n">
        <v>0</v>
      </c>
      <c r="R705" s="30" t="n">
        <v>0</v>
      </c>
      <c r="S705" s="31"/>
      <c r="T705" s="30"/>
      <c r="U705" s="30"/>
      <c r="V705" s="29" t="n">
        <v>0</v>
      </c>
      <c r="W705" s="29" t="str">
        <f aca="false">IF(N(Q705)=0,"",Q705+IF(I705="yes",Q705*Inputs!$B$10*Inputs!$B$9,0)+V705)</f>
        <v/>
      </c>
      <c r="X705" s="28" t="str">
        <f aca="false">IF(OR(N(W705)&lt;=0,N(N705)=0,N(L705)=0),"",MIN(L705,N705/W705))</f>
        <v/>
      </c>
      <c r="Y705" s="29" t="str">
        <f aca="false">IF(OR(X705="",N(O705)=0),"",X705/O705-1)</f>
        <v/>
      </c>
      <c r="Z705" s="29" t="str">
        <f aca="false">IF(OR(Y705="",N(O705)=0),"",Y705+N705/O705)</f>
        <v/>
      </c>
      <c r="AA705" s="32" t="str">
        <f aca="false">IF(OR(Z705="",N(U705)=0),"",Z705-U705)</f>
        <v/>
      </c>
      <c r="AB705" s="29" t="str">
        <f aca="false">IF(N(Q705)=0,"",Q705+IF(I705="yes",Q705*Inputs!$B$10*Inputs!$B$9,0)+IFERROR(INDEX(Inputs!$B$13:$B$15,MATCH(G705,Inputs!$A$13:$A$15,0)),0)+IFERROR(INDEX(Inputs!$B$18:$B$24,MATCH(H705,Inputs!$A$18:$A$24,0)),0))</f>
        <v/>
      </c>
      <c r="AC705" s="28" t="str">
        <f aca="false">IF(OR(N(AB705)&lt;=0,N(N705)=0,N(L705)=0),"",MIN(L705,N705/AB705))</f>
        <v/>
      </c>
      <c r="AD705" s="29" t="str">
        <f aca="false">IF(OR(AC705="",N(O705)=0),"",AC705/O705-1)</f>
        <v/>
      </c>
      <c r="AE705" s="29" t="str">
        <f aca="false">IF(OR(AD705="",N(O705)=0),"",AD705+N705/O705)</f>
        <v/>
      </c>
      <c r="AF705" s="32" t="str">
        <f aca="false">IF(OR(AE705="",N(Z705)=0),"",AE705-Z705)</f>
        <v/>
      </c>
      <c r="AG705" s="28" t="n">
        <f aca="false">IF(AND(N(M705)&gt;0,N(L705)&gt;0),M705*L705,N705)</f>
        <v>1.5</v>
      </c>
      <c r="AH705" s="28" t="str">
        <f aca="false">IF(OR(N(AB705)&lt;=0,N(AG705)=0,N(L705)=0),"",MIN(L705,AG705/AB705))</f>
        <v/>
      </c>
      <c r="AI705" s="29" t="str">
        <f aca="false">IF(OR(AH705="",N(O705)=0),"",AH705/O705-1)</f>
        <v/>
      </c>
      <c r="AJ705" s="29" t="str">
        <f aca="false">IF(OR(AI705="",N(O705)=0),"",AI705+AG705/O705)</f>
        <v/>
      </c>
      <c r="AK705" s="32" t="str">
        <f aca="false">IF(OR(AJ705="",N(AE705)=0),"",AJ705-AE705)</f>
        <v/>
      </c>
      <c r="AL705" s="33" t="str">
        <f aca="false">IF(N(F705)=0,"",INDEX(Inputs!$B$28:$B$32,IFERROR(MATCH(F705,Inputs!$A$28:$A$32,1),0)+1))</f>
        <v/>
      </c>
      <c r="AM705" s="34"/>
      <c r="AN705" s="33" t="str">
        <f aca="false">IF(N(AM705)&gt;0,AM705,AL705)</f>
        <v/>
      </c>
      <c r="AO705" s="29" t="str">
        <f aca="false">IF(N(AN705)=0,"",AN705+IF(I705="yes",AN705*Inputs!$B$10*Inputs!$B$9,0)+IFERROR(INDEX(Inputs!$B$13:$B$15,MATCH(G705,Inputs!$A$13:$A$15,0)),0)+IFERROR(INDEX(Inputs!$B$18:$B$24,MATCH(H705,Inputs!$A$18:$A$24,0)),0))</f>
        <v/>
      </c>
      <c r="AP705" s="28" t="str">
        <f aca="false">IF(OR(N(AO705)&lt;=0,N(AG705)=0,N(L705)=0),"",MIN(L705,AG705/AO705))</f>
        <v/>
      </c>
      <c r="AQ705" s="29" t="str">
        <f aca="false">IF(OR(AP705="",N(O705)=0),"",AP705/O705-1)</f>
        <v/>
      </c>
      <c r="AR705" s="29" t="str">
        <f aca="false">IF(OR(AQ705="",N(O705)=0),"",AQ705+AG705/O705)</f>
        <v/>
      </c>
      <c r="AS705" s="32" t="str">
        <f aca="false">IF(OR(AR705="",N(AJ705)=0),"",AR705-AJ705)</f>
        <v/>
      </c>
      <c r="AT705" s="28"/>
      <c r="AU705" s="28"/>
      <c r="AV705" s="28" t="n">
        <f aca="false">IF(N(AT705)&gt;0,AT705,L705)</f>
        <v>25</v>
      </c>
      <c r="AW705" s="28" t="n">
        <f aca="false">IF(AND(N(M705)&gt;0,N(AV705)&gt;0),M705*AV705,IF(N(AU705)&gt;0,AU705,N705))</f>
        <v>1.5</v>
      </c>
      <c r="AX705" s="29" t="str">
        <f aca="false">IF(N(AN705)=0,"",AN705+IF(I705="yes",AN705*Inputs!$B$10*Inputs!$B$9,0)+IFERROR(INDEX(Inputs!$B$13:$B$15,MATCH(G705,Inputs!$A$13:$A$15,0)),0)+IFERROR(INDEX(Inputs!$B$18:$B$24,MATCH(H705,Inputs!$A$18:$A$24,0)),0))</f>
        <v/>
      </c>
      <c r="AY705" s="28" t="str">
        <f aca="false">IF(OR(N(AX705)&lt;=0,N(AW705)=0,N(AV705)=0),"",MIN(AV705,AW705/AX705))</f>
        <v/>
      </c>
      <c r="AZ705" s="29" t="str">
        <f aca="false">IF(OR(AY705="",N(O705)=0),"",AY705/O705-1)</f>
        <v/>
      </c>
      <c r="BA705" s="29" t="str">
        <f aca="false">IF(OR(AZ705="",N(O705)=0),"",AZ705+AW705/O705)</f>
        <v/>
      </c>
      <c r="BB705" s="32" t="str">
        <f aca="false">IF(OR(BA705="",N(AR705)=0),"",BA705-AR705)</f>
        <v/>
      </c>
      <c r="BC705" s="35" t="str">
        <f aca="false">IF(OR(BA705="",N(U705)=0),"",BA705-U705)</f>
        <v/>
      </c>
      <c r="BD705" s="36" t="s">
        <v>147</v>
      </c>
    </row>
    <row r="706" customFormat="false" ht="15" hidden="false" customHeight="false" outlineLevel="0" collapsed="false">
      <c r="A706" s="2" t="s">
        <v>1067</v>
      </c>
      <c r="B706" s="2" t="n">
        <v>441</v>
      </c>
      <c r="C706" s="2" t="s">
        <v>1416</v>
      </c>
      <c r="D706" s="2" t="s">
        <v>1417</v>
      </c>
      <c r="E706" s="2" t="s">
        <v>1418</v>
      </c>
      <c r="F706" s="27" t="n">
        <v>2700</v>
      </c>
      <c r="G706" s="2" t="s">
        <v>51</v>
      </c>
      <c r="H706" s="2" t="s">
        <v>58</v>
      </c>
      <c r="I706" s="2" t="s">
        <v>151</v>
      </c>
      <c r="J706" s="2" t="s">
        <v>145</v>
      </c>
      <c r="K706" s="2" t="n">
        <v>4</v>
      </c>
      <c r="L706" s="28" t="n">
        <v>25</v>
      </c>
      <c r="M706" s="29" t="n">
        <v>0.08</v>
      </c>
      <c r="N706" s="28" t="n">
        <v>2</v>
      </c>
      <c r="O706" s="28" t="n">
        <v>0</v>
      </c>
      <c r="P706" s="2" t="s">
        <v>146</v>
      </c>
      <c r="Q706" s="29" t="n">
        <v>0.08</v>
      </c>
      <c r="R706" s="30" t="n">
        <v>0.076</v>
      </c>
      <c r="S706" s="31" t="n">
        <v>25</v>
      </c>
      <c r="T706" s="30"/>
      <c r="U706" s="30"/>
      <c r="V706" s="29" t="n">
        <v>0</v>
      </c>
      <c r="W706" s="29" t="n">
        <f aca="false">IF(N(Q706)=0,"",Q706+IF(I706="yes",Q706*Inputs!$B$10*Inputs!$B$9,0)+V706)</f>
        <v>0.076</v>
      </c>
      <c r="X706" s="28" t="n">
        <f aca="false">IF(OR(N(W706)&lt;=0,N(N706)=0,N(L706)=0),"",MIN(L706,N706/W706))</f>
        <v>25</v>
      </c>
      <c r="Y706" s="29" t="str">
        <f aca="false">IF(OR(X706="",N(O706)=0),"",X706/O706-1)</f>
        <v/>
      </c>
      <c r="Z706" s="29" t="str">
        <f aca="false">IF(OR(Y706="",N(O706)=0),"",Y706+N706/O706)</f>
        <v/>
      </c>
      <c r="AA706" s="32" t="str">
        <f aca="false">IF(OR(Z706="",N(U706)=0),"",Z706-U706)</f>
        <v/>
      </c>
      <c r="AB706" s="29" t="n">
        <f aca="false">IF(N(Q706)=0,"",Q706+IF(I706="yes",Q706*Inputs!$B$10*Inputs!$B$9,0)+IFERROR(INDEX(Inputs!$B$13:$B$15,MATCH(G706,Inputs!$A$13:$A$15,0)),0)+IFERROR(INDEX(Inputs!$B$18:$B$24,MATCH(H706,Inputs!$A$18:$A$24,0)),0))</f>
        <v>0.076</v>
      </c>
      <c r="AC706" s="28" t="n">
        <f aca="false">IF(OR(N(AB706)&lt;=0,N(N706)=0,N(L706)=0),"",MIN(L706,N706/AB706))</f>
        <v>25</v>
      </c>
      <c r="AD706" s="29" t="str">
        <f aca="false">IF(OR(AC706="",N(O706)=0),"",AC706/O706-1)</f>
        <v/>
      </c>
      <c r="AE706" s="29" t="str">
        <f aca="false">IF(OR(AD706="",N(O706)=0),"",AD706+N706/O706)</f>
        <v/>
      </c>
      <c r="AF706" s="32" t="str">
        <f aca="false">IF(OR(AE706="",N(Z706)=0),"",AE706-Z706)</f>
        <v/>
      </c>
      <c r="AG706" s="28" t="n">
        <f aca="false">IF(AND(N(M706)&gt;0,N(L706)&gt;0),M706*L706,N706)</f>
        <v>2</v>
      </c>
      <c r="AH706" s="28" t="n">
        <f aca="false">IF(OR(N(AB706)&lt;=0,N(AG706)=0,N(L706)=0),"",MIN(L706,AG706/AB706))</f>
        <v>25</v>
      </c>
      <c r="AI706" s="29" t="str">
        <f aca="false">IF(OR(AH706="",N(O706)=0),"",AH706/O706-1)</f>
        <v/>
      </c>
      <c r="AJ706" s="29" t="str">
        <f aca="false">IF(OR(AI706="",N(O706)=0),"",AI706+AG706/O706)</f>
        <v/>
      </c>
      <c r="AK706" s="32" t="str">
        <f aca="false">IF(OR(AJ706="",N(AE706)=0),"",AJ706-AE706)</f>
        <v/>
      </c>
      <c r="AL706" s="33" t="n">
        <f aca="false">IF(N(F706)=0,"",INDEX(Inputs!$B$28:$B$32,IFERROR(MATCH(F706,Inputs!$A$28:$A$32,1),0)+1))</f>
        <v>0.085</v>
      </c>
      <c r="AM706" s="34"/>
      <c r="AN706" s="33" t="n">
        <f aca="false">IF(N(AM706)&gt;0,AM706,AL706)</f>
        <v>0.085</v>
      </c>
      <c r="AO706" s="29" t="n">
        <f aca="false">IF(N(AN706)=0,"",AN706+IF(I706="yes",AN706*Inputs!$B$10*Inputs!$B$9,0)+IFERROR(INDEX(Inputs!$B$13:$B$15,MATCH(G706,Inputs!$A$13:$A$15,0)),0)+IFERROR(INDEX(Inputs!$B$18:$B$24,MATCH(H706,Inputs!$A$18:$A$24,0)),0))</f>
        <v>0.08075</v>
      </c>
      <c r="AP706" s="28" t="n">
        <f aca="false">IF(OR(N(AO706)&lt;=0,N(AG706)=0,N(L706)=0),"",MIN(L706,AG706/AO706))</f>
        <v>24.7678018575851</v>
      </c>
      <c r="AQ706" s="29" t="str">
        <f aca="false">IF(OR(AP706="",N(O706)=0),"",AP706/O706-1)</f>
        <v/>
      </c>
      <c r="AR706" s="29" t="str">
        <f aca="false">IF(OR(AQ706="",N(O706)=0),"",AQ706+AG706/O706)</f>
        <v/>
      </c>
      <c r="AS706" s="32" t="str">
        <f aca="false">IF(OR(AR706="",N(AJ706)=0),"",AR706-AJ706)</f>
        <v/>
      </c>
      <c r="AT706" s="28"/>
      <c r="AU706" s="28"/>
      <c r="AV706" s="28" t="n">
        <f aca="false">IF(N(AT706)&gt;0,AT706,L706)</f>
        <v>25</v>
      </c>
      <c r="AW706" s="28" t="n">
        <f aca="false">IF(AND(N(M706)&gt;0,N(AV706)&gt;0),M706*AV706,IF(N(AU706)&gt;0,AU706,N706))</f>
        <v>2</v>
      </c>
      <c r="AX706" s="29" t="n">
        <f aca="false">IF(N(AN706)=0,"",AN706+IF(I706="yes",AN706*Inputs!$B$10*Inputs!$B$9,0)+IFERROR(INDEX(Inputs!$B$13:$B$15,MATCH(G706,Inputs!$A$13:$A$15,0)),0)+IFERROR(INDEX(Inputs!$B$18:$B$24,MATCH(H706,Inputs!$A$18:$A$24,0)),0))</f>
        <v>0.08075</v>
      </c>
      <c r="AY706" s="28" t="n">
        <f aca="false">IF(OR(N(AX706)&lt;=0,N(AW706)=0,N(AV706)=0),"",MIN(AV706,AW706/AX706))</f>
        <v>24.7678018575851</v>
      </c>
      <c r="AZ706" s="29" t="str">
        <f aca="false">IF(OR(AY706="",N(O706)=0),"",AY706/O706-1)</f>
        <v/>
      </c>
      <c r="BA706" s="29" t="str">
        <f aca="false">IF(OR(AZ706="",N(O706)=0),"",AZ706+AW706/O706)</f>
        <v/>
      </c>
      <c r="BB706" s="32" t="str">
        <f aca="false">IF(OR(BA706="",N(AR706)=0),"",BA706-AR706)</f>
        <v/>
      </c>
      <c r="BC706" s="35" t="str">
        <f aca="false">IF(OR(BA706="",N(U706)=0),"",BA706-U706)</f>
        <v/>
      </c>
      <c r="BD706" s="36" t="s">
        <v>198</v>
      </c>
    </row>
    <row r="707" customFormat="false" ht="15" hidden="false" customHeight="false" outlineLevel="0" collapsed="false">
      <c r="A707" s="2" t="s">
        <v>1067</v>
      </c>
      <c r="B707" s="2" t="n">
        <v>445</v>
      </c>
      <c r="C707" s="2" t="s">
        <v>1419</v>
      </c>
      <c r="D707" s="2" t="s">
        <v>1420</v>
      </c>
      <c r="E707" s="2" t="s">
        <v>1421</v>
      </c>
      <c r="F707" s="27" t="n">
        <v>2</v>
      </c>
      <c r="G707" s="2" t="s">
        <v>51</v>
      </c>
      <c r="H707" s="2" t="s">
        <v>58</v>
      </c>
      <c r="I707" s="2" t="s">
        <v>144</v>
      </c>
      <c r="J707" s="2" t="s">
        <v>168</v>
      </c>
      <c r="K707" s="2" t="n">
        <v>12</v>
      </c>
      <c r="L707" s="28" t="n">
        <v>25</v>
      </c>
      <c r="M707" s="29" t="n">
        <v>0.09375</v>
      </c>
      <c r="N707" s="28" t="n">
        <v>2.34375</v>
      </c>
      <c r="O707" s="28" t="n">
        <v>6.69</v>
      </c>
      <c r="P707" s="2" t="s">
        <v>146</v>
      </c>
      <c r="Q707" s="29" t="n">
        <v>0.1</v>
      </c>
      <c r="R707" s="30" t="n">
        <v>0.1</v>
      </c>
      <c r="S707" s="31" t="n">
        <v>23.4375</v>
      </c>
      <c r="T707" s="30" t="n">
        <v>2.50336322869955</v>
      </c>
      <c r="U707" s="30" t="n">
        <v>2.85369955156951</v>
      </c>
      <c r="V707" s="29" t="n">
        <v>0</v>
      </c>
      <c r="W707" s="29" t="n">
        <f aca="false">IF(N(Q707)=0,"",Q707+IF(I707="yes",Q707*Inputs!$B$10*Inputs!$B$9,0)+V707)</f>
        <v>0.1</v>
      </c>
      <c r="X707" s="28" t="n">
        <f aca="false">IF(OR(N(W707)&lt;=0,N(N707)=0,N(L707)=0),"",MIN(L707,N707/W707))</f>
        <v>23.4375</v>
      </c>
      <c r="Y707" s="29" t="n">
        <f aca="false">IF(OR(X707="",N(O707)=0),"",X707/O707-1)</f>
        <v>2.50336322869955</v>
      </c>
      <c r="Z707" s="29" t="n">
        <f aca="false">IF(OR(Y707="",N(O707)=0),"",Y707+N707/O707)</f>
        <v>2.85369955156951</v>
      </c>
      <c r="AA707" s="32" t="n">
        <f aca="false">IF(OR(Z707="",N(U707)=0),"",Z707-U707)</f>
        <v>0</v>
      </c>
      <c r="AB707" s="29" t="n">
        <f aca="false">IF(N(Q707)=0,"",Q707+IF(I707="yes",Q707*Inputs!$B$10*Inputs!$B$9,0)+IFERROR(INDEX(Inputs!$B$13:$B$15,MATCH(G707,Inputs!$A$13:$A$15,0)),0)+IFERROR(INDEX(Inputs!$B$18:$B$24,MATCH(H707,Inputs!$A$18:$A$24,0)),0))</f>
        <v>0.1</v>
      </c>
      <c r="AC707" s="28" t="n">
        <f aca="false">IF(OR(N(AB707)&lt;=0,N(N707)=0,N(L707)=0),"",MIN(L707,N707/AB707))</f>
        <v>23.4375</v>
      </c>
      <c r="AD707" s="29" t="n">
        <f aca="false">IF(OR(AC707="",N(O707)=0),"",AC707/O707-1)</f>
        <v>2.50336322869955</v>
      </c>
      <c r="AE707" s="29" t="n">
        <f aca="false">IF(OR(AD707="",N(O707)=0),"",AD707+N707/O707)</f>
        <v>2.85369955156951</v>
      </c>
      <c r="AF707" s="32" t="n">
        <f aca="false">IF(OR(AE707="",N(Z707)=0),"",AE707-Z707)</f>
        <v>0</v>
      </c>
      <c r="AG707" s="28" t="n">
        <f aca="false">IF(AND(N(M707)&gt;0,N(L707)&gt;0),M707*L707,N707)</f>
        <v>2.34375</v>
      </c>
      <c r="AH707" s="28" t="n">
        <f aca="false">IF(OR(N(AB707)&lt;=0,N(AG707)=0,N(L707)=0),"",MIN(L707,AG707/AB707))</f>
        <v>23.4375</v>
      </c>
      <c r="AI707" s="29" t="n">
        <f aca="false">IF(OR(AH707="",N(O707)=0),"",AH707/O707-1)</f>
        <v>2.50336322869955</v>
      </c>
      <c r="AJ707" s="29" t="n">
        <f aca="false">IF(OR(AI707="",N(O707)=0),"",AI707+AG707/O707)</f>
        <v>2.85369955156951</v>
      </c>
      <c r="AK707" s="32" t="n">
        <f aca="false">IF(OR(AJ707="",N(AE707)=0),"",AJ707-AE707)</f>
        <v>0</v>
      </c>
      <c r="AL707" s="33" t="n">
        <f aca="false">IF(N(F707)=0,"",INDEX(Inputs!$B$28:$B$32,IFERROR(MATCH(F707,Inputs!$A$28:$A$32,1),0)+1))</f>
        <v>0.1</v>
      </c>
      <c r="AM707" s="34"/>
      <c r="AN707" s="33" t="n">
        <f aca="false">IF(N(AM707)&gt;0,AM707,AL707)</f>
        <v>0.1</v>
      </c>
      <c r="AO707" s="29" t="n">
        <f aca="false">IF(N(AN707)=0,"",AN707+IF(I707="yes",AN707*Inputs!$B$10*Inputs!$B$9,0)+IFERROR(INDEX(Inputs!$B$13:$B$15,MATCH(G707,Inputs!$A$13:$A$15,0)),0)+IFERROR(INDEX(Inputs!$B$18:$B$24,MATCH(H707,Inputs!$A$18:$A$24,0)),0))</f>
        <v>0.1</v>
      </c>
      <c r="AP707" s="28" t="n">
        <f aca="false">IF(OR(N(AO707)&lt;=0,N(AG707)=0,N(L707)=0),"",MIN(L707,AG707/AO707))</f>
        <v>23.4375</v>
      </c>
      <c r="AQ707" s="29" t="n">
        <f aca="false">IF(OR(AP707="",N(O707)=0),"",AP707/O707-1)</f>
        <v>2.50336322869955</v>
      </c>
      <c r="AR707" s="29" t="n">
        <f aca="false">IF(OR(AQ707="",N(O707)=0),"",AQ707+AG707/O707)</f>
        <v>2.85369955156951</v>
      </c>
      <c r="AS707" s="32" t="n">
        <f aca="false">IF(OR(AR707="",N(AJ707)=0),"",AR707-AJ707)</f>
        <v>0</v>
      </c>
      <c r="AT707" s="28" t="n">
        <v>25</v>
      </c>
      <c r="AU707" s="28" t="n">
        <v>2.34375</v>
      </c>
      <c r="AV707" s="28" t="n">
        <f aca="false">IF(N(AT707)&gt;0,AT707,L707)</f>
        <v>25</v>
      </c>
      <c r="AW707" s="28" t="n">
        <f aca="false">IF(AND(N(M707)&gt;0,N(AV707)&gt;0),M707*AV707,IF(N(AU707)&gt;0,AU707,N707))</f>
        <v>2.34375</v>
      </c>
      <c r="AX707" s="29" t="n">
        <f aca="false">IF(N(AN707)=0,"",AN707+IF(I707="yes",AN707*Inputs!$B$10*Inputs!$B$9,0)+IFERROR(INDEX(Inputs!$B$13:$B$15,MATCH(G707,Inputs!$A$13:$A$15,0)),0)+IFERROR(INDEX(Inputs!$B$18:$B$24,MATCH(H707,Inputs!$A$18:$A$24,0)),0))</f>
        <v>0.1</v>
      </c>
      <c r="AY707" s="28" t="n">
        <f aca="false">IF(OR(N(AX707)&lt;=0,N(AW707)=0,N(AV707)=0),"",MIN(AV707,AW707/AX707))</f>
        <v>23.4375</v>
      </c>
      <c r="AZ707" s="29" t="n">
        <f aca="false">IF(OR(AY707="",N(O707)=0),"",AY707/O707-1)</f>
        <v>2.50336322869955</v>
      </c>
      <c r="BA707" s="29" t="n">
        <f aca="false">IF(OR(AZ707="",N(O707)=0),"",AZ707+AW707/O707)</f>
        <v>2.85369955156951</v>
      </c>
      <c r="BB707" s="32" t="n">
        <f aca="false">IF(OR(BA707="",N(AR707)=0),"",BA707-AR707)</f>
        <v>0</v>
      </c>
      <c r="BC707" s="35" t="n">
        <f aca="false">IF(OR(BA707="",N(U707)=0),"",BA707-U707)</f>
        <v>0</v>
      </c>
      <c r="BD707" s="37"/>
    </row>
    <row r="708" customFormat="false" ht="15" hidden="false" customHeight="false" outlineLevel="0" collapsed="false">
      <c r="A708" s="2" t="s">
        <v>1067</v>
      </c>
      <c r="B708" s="2" t="n">
        <v>449</v>
      </c>
      <c r="C708" s="2" t="s">
        <v>1422</v>
      </c>
      <c r="D708" s="2" t="s">
        <v>1423</v>
      </c>
      <c r="E708" s="2" t="s">
        <v>1424</v>
      </c>
      <c r="F708" s="27" t="n">
        <v>4900</v>
      </c>
      <c r="G708" s="2" t="s">
        <v>51</v>
      </c>
      <c r="H708" s="2" t="s">
        <v>58</v>
      </c>
      <c r="I708" s="2" t="s">
        <v>151</v>
      </c>
      <c r="J708" s="2" t="s">
        <v>145</v>
      </c>
      <c r="K708" s="2" t="n">
        <v>4</v>
      </c>
      <c r="L708" s="28" t="n">
        <v>25</v>
      </c>
      <c r="M708" s="29" t="n">
        <v>0.059</v>
      </c>
      <c r="N708" s="28" t="n">
        <v>1.475</v>
      </c>
      <c r="O708" s="28" t="n">
        <v>0</v>
      </c>
      <c r="P708" s="2" t="s">
        <v>146</v>
      </c>
      <c r="Q708" s="29" t="n">
        <v>0.08</v>
      </c>
      <c r="R708" s="30" t="n">
        <v>0.076</v>
      </c>
      <c r="S708" s="31" t="n">
        <v>19.4078947368421</v>
      </c>
      <c r="T708" s="30"/>
      <c r="U708" s="30"/>
      <c r="V708" s="29" t="n">
        <v>0</v>
      </c>
      <c r="W708" s="29" t="n">
        <f aca="false">IF(N(Q708)=0,"",Q708+IF(I708="yes",Q708*Inputs!$B$10*Inputs!$B$9,0)+V708)</f>
        <v>0.076</v>
      </c>
      <c r="X708" s="28" t="n">
        <f aca="false">IF(OR(N(W708)&lt;=0,N(N708)=0,N(L708)=0),"",MIN(L708,N708/W708))</f>
        <v>19.4078947368421</v>
      </c>
      <c r="Y708" s="29" t="str">
        <f aca="false">IF(OR(X708="",N(O708)=0),"",X708/O708-1)</f>
        <v/>
      </c>
      <c r="Z708" s="29" t="str">
        <f aca="false">IF(OR(Y708="",N(O708)=0),"",Y708+N708/O708)</f>
        <v/>
      </c>
      <c r="AA708" s="32" t="str">
        <f aca="false">IF(OR(Z708="",N(U708)=0),"",Z708-U708)</f>
        <v/>
      </c>
      <c r="AB708" s="29" t="n">
        <f aca="false">IF(N(Q708)=0,"",Q708+IF(I708="yes",Q708*Inputs!$B$10*Inputs!$B$9,0)+IFERROR(INDEX(Inputs!$B$13:$B$15,MATCH(G708,Inputs!$A$13:$A$15,0)),0)+IFERROR(INDEX(Inputs!$B$18:$B$24,MATCH(H708,Inputs!$A$18:$A$24,0)),0))</f>
        <v>0.076</v>
      </c>
      <c r="AC708" s="28" t="n">
        <f aca="false">IF(OR(N(AB708)&lt;=0,N(N708)=0,N(L708)=0),"",MIN(L708,N708/AB708))</f>
        <v>19.4078947368421</v>
      </c>
      <c r="AD708" s="29" t="str">
        <f aca="false">IF(OR(AC708="",N(O708)=0),"",AC708/O708-1)</f>
        <v/>
      </c>
      <c r="AE708" s="29" t="str">
        <f aca="false">IF(OR(AD708="",N(O708)=0),"",AD708+N708/O708)</f>
        <v/>
      </c>
      <c r="AF708" s="32" t="str">
        <f aca="false">IF(OR(AE708="",N(Z708)=0),"",AE708-Z708)</f>
        <v/>
      </c>
      <c r="AG708" s="28" t="n">
        <f aca="false">IF(AND(N(M708)&gt;0,N(L708)&gt;0),M708*L708,N708)</f>
        <v>1.475</v>
      </c>
      <c r="AH708" s="28" t="n">
        <f aca="false">IF(OR(N(AB708)&lt;=0,N(AG708)=0,N(L708)=0),"",MIN(L708,AG708/AB708))</f>
        <v>19.4078947368421</v>
      </c>
      <c r="AI708" s="29" t="str">
        <f aca="false">IF(OR(AH708="",N(O708)=0),"",AH708/O708-1)</f>
        <v/>
      </c>
      <c r="AJ708" s="29" t="str">
        <f aca="false">IF(OR(AI708="",N(O708)=0),"",AI708+AG708/O708)</f>
        <v/>
      </c>
      <c r="AK708" s="32" t="str">
        <f aca="false">IF(OR(AJ708="",N(AE708)=0),"",AJ708-AE708)</f>
        <v/>
      </c>
      <c r="AL708" s="33" t="n">
        <f aca="false">IF(N(F708)=0,"",INDEX(Inputs!$B$28:$B$32,IFERROR(MATCH(F708,Inputs!$A$28:$A$32,1),0)+1))</f>
        <v>0.085</v>
      </c>
      <c r="AM708" s="34"/>
      <c r="AN708" s="33" t="n">
        <f aca="false">IF(N(AM708)&gt;0,AM708,AL708)</f>
        <v>0.085</v>
      </c>
      <c r="AO708" s="29" t="n">
        <f aca="false">IF(N(AN708)=0,"",AN708+IF(I708="yes",AN708*Inputs!$B$10*Inputs!$B$9,0)+IFERROR(INDEX(Inputs!$B$13:$B$15,MATCH(G708,Inputs!$A$13:$A$15,0)),0)+IFERROR(INDEX(Inputs!$B$18:$B$24,MATCH(H708,Inputs!$A$18:$A$24,0)),0))</f>
        <v>0.08075</v>
      </c>
      <c r="AP708" s="28" t="n">
        <f aca="false">IF(OR(N(AO708)&lt;=0,N(AG708)=0,N(L708)=0),"",MIN(L708,AG708/AO708))</f>
        <v>18.266253869969</v>
      </c>
      <c r="AQ708" s="29" t="str">
        <f aca="false">IF(OR(AP708="",N(O708)=0),"",AP708/O708-1)</f>
        <v/>
      </c>
      <c r="AR708" s="29" t="str">
        <f aca="false">IF(OR(AQ708="",N(O708)=0),"",AQ708+AG708/O708)</f>
        <v/>
      </c>
      <c r="AS708" s="32" t="str">
        <f aca="false">IF(OR(AR708="",N(AJ708)=0),"",AR708-AJ708)</f>
        <v/>
      </c>
      <c r="AT708" s="28" t="n">
        <v>25</v>
      </c>
      <c r="AU708" s="28" t="n">
        <v>1.48</v>
      </c>
      <c r="AV708" s="28" t="n">
        <f aca="false">IF(N(AT708)&gt;0,AT708,L708)</f>
        <v>25</v>
      </c>
      <c r="AW708" s="28" t="n">
        <f aca="false">IF(AND(N(M708)&gt;0,N(AV708)&gt;0),M708*AV708,IF(N(AU708)&gt;0,AU708,N708))</f>
        <v>1.475</v>
      </c>
      <c r="AX708" s="29" t="n">
        <f aca="false">IF(N(AN708)=0,"",AN708+IF(I708="yes",AN708*Inputs!$B$10*Inputs!$B$9,0)+IFERROR(INDEX(Inputs!$B$13:$B$15,MATCH(G708,Inputs!$A$13:$A$15,0)),0)+IFERROR(INDEX(Inputs!$B$18:$B$24,MATCH(H708,Inputs!$A$18:$A$24,0)),0))</f>
        <v>0.08075</v>
      </c>
      <c r="AY708" s="28" t="n">
        <f aca="false">IF(OR(N(AX708)&lt;=0,N(AW708)=0,N(AV708)=0),"",MIN(AV708,AW708/AX708))</f>
        <v>18.266253869969</v>
      </c>
      <c r="AZ708" s="29" t="str">
        <f aca="false">IF(OR(AY708="",N(O708)=0),"",AY708/O708-1)</f>
        <v/>
      </c>
      <c r="BA708" s="29" t="str">
        <f aca="false">IF(OR(AZ708="",N(O708)=0),"",AZ708+AW708/O708)</f>
        <v/>
      </c>
      <c r="BB708" s="32" t="str">
        <f aca="false">IF(OR(BA708="",N(AR708)=0),"",BA708-AR708)</f>
        <v/>
      </c>
      <c r="BC708" s="35" t="str">
        <f aca="false">IF(OR(BA708="",N(U708)=0),"",BA708-U708)</f>
        <v/>
      </c>
      <c r="BD708" s="36" t="s">
        <v>299</v>
      </c>
    </row>
    <row r="709" customFormat="false" ht="15" hidden="false" customHeight="false" outlineLevel="0" collapsed="false">
      <c r="A709" s="2" t="s">
        <v>1067</v>
      </c>
      <c r="B709" s="2" t="n">
        <v>450</v>
      </c>
      <c r="C709" s="2" t="s">
        <v>1425</v>
      </c>
      <c r="D709" s="2" t="s">
        <v>1423</v>
      </c>
      <c r="E709" s="2" t="s">
        <v>1424</v>
      </c>
      <c r="F709" s="27" t="n">
        <v>4900</v>
      </c>
      <c r="G709" s="2" t="s">
        <v>51</v>
      </c>
      <c r="H709" s="2" t="s">
        <v>64</v>
      </c>
      <c r="I709" s="2" t="s">
        <v>144</v>
      </c>
      <c r="J709" s="2" t="s">
        <v>145</v>
      </c>
      <c r="K709" s="2" t="n">
        <v>4</v>
      </c>
      <c r="L709" s="28" t="n">
        <v>50</v>
      </c>
      <c r="M709" s="29" t="n">
        <v>0.075</v>
      </c>
      <c r="N709" s="28" t="n">
        <v>3.75</v>
      </c>
      <c r="O709" s="28" t="n">
        <v>0</v>
      </c>
      <c r="P709" s="2" t="s">
        <v>146</v>
      </c>
      <c r="Q709" s="29" t="n">
        <v>0.08</v>
      </c>
      <c r="R709" s="30" t="n">
        <v>0.08</v>
      </c>
      <c r="S709" s="31" t="n">
        <v>46.875</v>
      </c>
      <c r="T709" s="30"/>
      <c r="U709" s="30"/>
      <c r="V709" s="29" t="n">
        <v>0</v>
      </c>
      <c r="W709" s="29" t="n">
        <f aca="false">IF(N(Q709)=0,"",Q709+IF(I709="yes",Q709*Inputs!$B$10*Inputs!$B$9,0)+V709)</f>
        <v>0.08</v>
      </c>
      <c r="X709" s="28" t="n">
        <f aca="false">IF(OR(N(W709)&lt;=0,N(N709)=0,N(L709)=0),"",MIN(L709,N709/W709))</f>
        <v>46.875</v>
      </c>
      <c r="Y709" s="29" t="str">
        <f aca="false">IF(OR(X709="",N(O709)=0),"",X709/O709-1)</f>
        <v/>
      </c>
      <c r="Z709" s="29" t="str">
        <f aca="false">IF(OR(Y709="",N(O709)=0),"",Y709+N709/O709)</f>
        <v/>
      </c>
      <c r="AA709" s="32" t="str">
        <f aca="false">IF(OR(Z709="",N(U709)=0),"",Z709-U709)</f>
        <v/>
      </c>
      <c r="AB709" s="29" t="n">
        <f aca="false">IF(N(Q709)=0,"",Q709+IF(I709="yes",Q709*Inputs!$B$10*Inputs!$B$9,0)+IFERROR(INDEX(Inputs!$B$13:$B$15,MATCH(G709,Inputs!$A$13:$A$15,0)),0)+IFERROR(INDEX(Inputs!$B$18:$B$24,MATCH(H709,Inputs!$A$18:$A$24,0)),0))</f>
        <v>0.08</v>
      </c>
      <c r="AC709" s="28" t="n">
        <f aca="false">IF(OR(N(AB709)&lt;=0,N(N709)=0,N(L709)=0),"",MIN(L709,N709/AB709))</f>
        <v>46.875</v>
      </c>
      <c r="AD709" s="29" t="str">
        <f aca="false">IF(OR(AC709="",N(O709)=0),"",AC709/O709-1)</f>
        <v/>
      </c>
      <c r="AE709" s="29" t="str">
        <f aca="false">IF(OR(AD709="",N(O709)=0),"",AD709+N709/O709)</f>
        <v/>
      </c>
      <c r="AF709" s="32" t="str">
        <f aca="false">IF(OR(AE709="",N(Z709)=0),"",AE709-Z709)</f>
        <v/>
      </c>
      <c r="AG709" s="28" t="n">
        <f aca="false">IF(AND(N(M709)&gt;0,N(L709)&gt;0),M709*L709,N709)</f>
        <v>3.75</v>
      </c>
      <c r="AH709" s="28" t="n">
        <f aca="false">IF(OR(N(AB709)&lt;=0,N(AG709)=0,N(L709)=0),"",MIN(L709,AG709/AB709))</f>
        <v>46.875</v>
      </c>
      <c r="AI709" s="29" t="str">
        <f aca="false">IF(OR(AH709="",N(O709)=0),"",AH709/O709-1)</f>
        <v/>
      </c>
      <c r="AJ709" s="29" t="str">
        <f aca="false">IF(OR(AI709="",N(O709)=0),"",AI709+AG709/O709)</f>
        <v/>
      </c>
      <c r="AK709" s="32" t="str">
        <f aca="false">IF(OR(AJ709="",N(AE709)=0),"",AJ709-AE709)</f>
        <v/>
      </c>
      <c r="AL709" s="33" t="n">
        <f aca="false">IF(N(F709)=0,"",INDEX(Inputs!$B$28:$B$32,IFERROR(MATCH(F709,Inputs!$A$28:$A$32,1),0)+1))</f>
        <v>0.085</v>
      </c>
      <c r="AM709" s="34"/>
      <c r="AN709" s="33" t="n">
        <f aca="false">IF(N(AM709)&gt;0,AM709,AL709)</f>
        <v>0.085</v>
      </c>
      <c r="AO709" s="29" t="n">
        <f aca="false">IF(N(AN709)=0,"",AN709+IF(I709="yes",AN709*Inputs!$B$10*Inputs!$B$9,0)+IFERROR(INDEX(Inputs!$B$13:$B$15,MATCH(G709,Inputs!$A$13:$A$15,0)),0)+IFERROR(INDEX(Inputs!$B$18:$B$24,MATCH(H709,Inputs!$A$18:$A$24,0)),0))</f>
        <v>0.085</v>
      </c>
      <c r="AP709" s="28" t="n">
        <f aca="false">IF(OR(N(AO709)&lt;=0,N(AG709)=0,N(L709)=0),"",MIN(L709,AG709/AO709))</f>
        <v>44.1176470588235</v>
      </c>
      <c r="AQ709" s="29" t="str">
        <f aca="false">IF(OR(AP709="",N(O709)=0),"",AP709/O709-1)</f>
        <v/>
      </c>
      <c r="AR709" s="29" t="str">
        <f aca="false">IF(OR(AQ709="",N(O709)=0),"",AQ709+AG709/O709)</f>
        <v/>
      </c>
      <c r="AS709" s="32" t="str">
        <f aca="false">IF(OR(AR709="",N(AJ709)=0),"",AR709-AJ709)</f>
        <v/>
      </c>
      <c r="AT709" s="28"/>
      <c r="AU709" s="28"/>
      <c r="AV709" s="28" t="n">
        <f aca="false">IF(N(AT709)&gt;0,AT709,L709)</f>
        <v>50</v>
      </c>
      <c r="AW709" s="28" t="n">
        <f aca="false">IF(AND(N(M709)&gt;0,N(AV709)&gt;0),M709*AV709,IF(N(AU709)&gt;0,AU709,N709))</f>
        <v>3.75</v>
      </c>
      <c r="AX709" s="29" t="n">
        <f aca="false">IF(N(AN709)=0,"",AN709+IF(I709="yes",AN709*Inputs!$B$10*Inputs!$B$9,0)+IFERROR(INDEX(Inputs!$B$13:$B$15,MATCH(G709,Inputs!$A$13:$A$15,0)),0)+IFERROR(INDEX(Inputs!$B$18:$B$24,MATCH(H709,Inputs!$A$18:$A$24,0)),0))</f>
        <v>0.085</v>
      </c>
      <c r="AY709" s="28" t="n">
        <f aca="false">IF(OR(N(AX709)&lt;=0,N(AW709)=0,N(AV709)=0),"",MIN(AV709,AW709/AX709))</f>
        <v>44.1176470588235</v>
      </c>
      <c r="AZ709" s="29" t="str">
        <f aca="false">IF(OR(AY709="",N(O709)=0),"",AY709/O709-1)</f>
        <v/>
      </c>
      <c r="BA709" s="29" t="str">
        <f aca="false">IF(OR(AZ709="",N(O709)=0),"",AZ709+AW709/O709)</f>
        <v/>
      </c>
      <c r="BB709" s="32" t="str">
        <f aca="false">IF(OR(BA709="",N(AR709)=0),"",BA709-AR709)</f>
        <v/>
      </c>
      <c r="BC709" s="35" t="str">
        <f aca="false">IF(OR(BA709="",N(U709)=0),"",BA709-U709)</f>
        <v/>
      </c>
      <c r="BD709" s="36" t="s">
        <v>198</v>
      </c>
    </row>
    <row r="710" customFormat="false" ht="15" hidden="false" customHeight="false" outlineLevel="0" collapsed="false">
      <c r="A710" s="2" t="s">
        <v>1067</v>
      </c>
      <c r="B710" s="2" t="n">
        <v>453</v>
      </c>
      <c r="C710" s="2" t="s">
        <v>1426</v>
      </c>
      <c r="D710" s="2" t="s">
        <v>1427</v>
      </c>
      <c r="E710" s="2" t="s">
        <v>143</v>
      </c>
      <c r="F710" s="27"/>
      <c r="G710" s="2" t="s">
        <v>51</v>
      </c>
      <c r="H710" s="2" t="s">
        <v>58</v>
      </c>
      <c r="I710" s="2" t="s">
        <v>144</v>
      </c>
      <c r="J710" s="2" t="s">
        <v>145</v>
      </c>
      <c r="K710" s="2" t="n">
        <v>4</v>
      </c>
      <c r="L710" s="28" t="n">
        <v>25</v>
      </c>
      <c r="M710" s="29" t="n">
        <v>0.06</v>
      </c>
      <c r="N710" s="28" t="n">
        <v>1.5</v>
      </c>
      <c r="O710" s="28" t="n">
        <v>0</v>
      </c>
      <c r="P710" s="2" t="s">
        <v>146</v>
      </c>
      <c r="Q710" s="29" t="n">
        <v>0</v>
      </c>
      <c r="R710" s="30" t="n">
        <v>0</v>
      </c>
      <c r="S710" s="31"/>
      <c r="T710" s="30"/>
      <c r="U710" s="30"/>
      <c r="V710" s="29" t="n">
        <v>0</v>
      </c>
      <c r="W710" s="29" t="str">
        <f aca="false">IF(N(Q710)=0,"",Q710+IF(I710="yes",Q710*Inputs!$B$10*Inputs!$B$9,0)+V710)</f>
        <v/>
      </c>
      <c r="X710" s="28" t="str">
        <f aca="false">IF(OR(N(W710)&lt;=0,N(N710)=0,N(L710)=0),"",MIN(L710,N710/W710))</f>
        <v/>
      </c>
      <c r="Y710" s="29" t="str">
        <f aca="false">IF(OR(X710="",N(O710)=0),"",X710/O710-1)</f>
        <v/>
      </c>
      <c r="Z710" s="29" t="str">
        <f aca="false">IF(OR(Y710="",N(O710)=0),"",Y710+N710/O710)</f>
        <v/>
      </c>
      <c r="AA710" s="32" t="str">
        <f aca="false">IF(OR(Z710="",N(U710)=0),"",Z710-U710)</f>
        <v/>
      </c>
      <c r="AB710" s="29" t="str">
        <f aca="false">IF(N(Q710)=0,"",Q710+IF(I710="yes",Q710*Inputs!$B$10*Inputs!$B$9,0)+IFERROR(INDEX(Inputs!$B$13:$B$15,MATCH(G710,Inputs!$A$13:$A$15,0)),0)+IFERROR(INDEX(Inputs!$B$18:$B$24,MATCH(H710,Inputs!$A$18:$A$24,0)),0))</f>
        <v/>
      </c>
      <c r="AC710" s="28" t="str">
        <f aca="false">IF(OR(N(AB710)&lt;=0,N(N710)=0,N(L710)=0),"",MIN(L710,N710/AB710))</f>
        <v/>
      </c>
      <c r="AD710" s="29" t="str">
        <f aca="false">IF(OR(AC710="",N(O710)=0),"",AC710/O710-1)</f>
        <v/>
      </c>
      <c r="AE710" s="29" t="str">
        <f aca="false">IF(OR(AD710="",N(O710)=0),"",AD710+N710/O710)</f>
        <v/>
      </c>
      <c r="AF710" s="32" t="str">
        <f aca="false">IF(OR(AE710="",N(Z710)=0),"",AE710-Z710)</f>
        <v/>
      </c>
      <c r="AG710" s="28" t="n">
        <f aca="false">IF(AND(N(M710)&gt;0,N(L710)&gt;0),M710*L710,N710)</f>
        <v>1.5</v>
      </c>
      <c r="AH710" s="28" t="str">
        <f aca="false">IF(OR(N(AB710)&lt;=0,N(AG710)=0,N(L710)=0),"",MIN(L710,AG710/AB710))</f>
        <v/>
      </c>
      <c r="AI710" s="29" t="str">
        <f aca="false">IF(OR(AH710="",N(O710)=0),"",AH710/O710-1)</f>
        <v/>
      </c>
      <c r="AJ710" s="29" t="str">
        <f aca="false">IF(OR(AI710="",N(O710)=0),"",AI710+AG710/O710)</f>
        <v/>
      </c>
      <c r="AK710" s="32" t="str">
        <f aca="false">IF(OR(AJ710="",N(AE710)=0),"",AJ710-AE710)</f>
        <v/>
      </c>
      <c r="AL710" s="33" t="str">
        <f aca="false">IF(N(F710)=0,"",INDEX(Inputs!$B$28:$B$32,IFERROR(MATCH(F710,Inputs!$A$28:$A$32,1),0)+1))</f>
        <v/>
      </c>
      <c r="AM710" s="34"/>
      <c r="AN710" s="33" t="str">
        <f aca="false">IF(N(AM710)&gt;0,AM710,AL710)</f>
        <v/>
      </c>
      <c r="AO710" s="29" t="str">
        <f aca="false">IF(N(AN710)=0,"",AN710+IF(I710="yes",AN710*Inputs!$B$10*Inputs!$B$9,0)+IFERROR(INDEX(Inputs!$B$13:$B$15,MATCH(G710,Inputs!$A$13:$A$15,0)),0)+IFERROR(INDEX(Inputs!$B$18:$B$24,MATCH(H710,Inputs!$A$18:$A$24,0)),0))</f>
        <v/>
      </c>
      <c r="AP710" s="28" t="str">
        <f aca="false">IF(OR(N(AO710)&lt;=0,N(AG710)=0,N(L710)=0),"",MIN(L710,AG710/AO710))</f>
        <v/>
      </c>
      <c r="AQ710" s="29" t="str">
        <f aca="false">IF(OR(AP710="",N(O710)=0),"",AP710/O710-1)</f>
        <v/>
      </c>
      <c r="AR710" s="29" t="str">
        <f aca="false">IF(OR(AQ710="",N(O710)=0),"",AQ710+AG710/O710)</f>
        <v/>
      </c>
      <c r="AS710" s="32" t="str">
        <f aca="false">IF(OR(AR710="",N(AJ710)=0),"",AR710-AJ710)</f>
        <v/>
      </c>
      <c r="AT710" s="28"/>
      <c r="AU710" s="28"/>
      <c r="AV710" s="28" t="n">
        <f aca="false">IF(N(AT710)&gt;0,AT710,L710)</f>
        <v>25</v>
      </c>
      <c r="AW710" s="28" t="n">
        <f aca="false">IF(AND(N(M710)&gt;0,N(AV710)&gt;0),M710*AV710,IF(N(AU710)&gt;0,AU710,N710))</f>
        <v>1.5</v>
      </c>
      <c r="AX710" s="29" t="str">
        <f aca="false">IF(N(AN710)=0,"",AN710+IF(I710="yes",AN710*Inputs!$B$10*Inputs!$B$9,0)+IFERROR(INDEX(Inputs!$B$13:$B$15,MATCH(G710,Inputs!$A$13:$A$15,0)),0)+IFERROR(INDEX(Inputs!$B$18:$B$24,MATCH(H710,Inputs!$A$18:$A$24,0)),0))</f>
        <v/>
      </c>
      <c r="AY710" s="28" t="str">
        <f aca="false">IF(OR(N(AX710)&lt;=0,N(AW710)=0,N(AV710)=0),"",MIN(AV710,AW710/AX710))</f>
        <v/>
      </c>
      <c r="AZ710" s="29" t="str">
        <f aca="false">IF(OR(AY710="",N(O710)=0),"",AY710/O710-1)</f>
        <v/>
      </c>
      <c r="BA710" s="29" t="str">
        <f aca="false">IF(OR(AZ710="",N(O710)=0),"",AZ710+AW710/O710)</f>
        <v/>
      </c>
      <c r="BB710" s="32" t="str">
        <f aca="false">IF(OR(BA710="",N(AR710)=0),"",BA710-AR710)</f>
        <v/>
      </c>
      <c r="BC710" s="35" t="str">
        <f aca="false">IF(OR(BA710="",N(U710)=0),"",BA710-U710)</f>
        <v/>
      </c>
      <c r="BD710" s="36" t="s">
        <v>147</v>
      </c>
    </row>
    <row r="711" customFormat="false" ht="15" hidden="false" customHeight="false" outlineLevel="0" collapsed="false">
      <c r="A711" s="2" t="s">
        <v>1067</v>
      </c>
      <c r="B711" s="2" t="n">
        <v>457</v>
      </c>
      <c r="C711" s="2" t="s">
        <v>1428</v>
      </c>
      <c r="D711" s="2" t="s">
        <v>1429</v>
      </c>
      <c r="E711" s="2" t="s">
        <v>1430</v>
      </c>
      <c r="F711" s="27" t="n">
        <v>57100</v>
      </c>
      <c r="G711" s="2" t="s">
        <v>51</v>
      </c>
      <c r="H711" s="2" t="s">
        <v>58</v>
      </c>
      <c r="I711" s="2" t="s">
        <v>151</v>
      </c>
      <c r="J711" s="2" t="s">
        <v>145</v>
      </c>
      <c r="K711" s="2" t="n">
        <v>4</v>
      </c>
      <c r="L711" s="28" t="n">
        <v>25</v>
      </c>
      <c r="M711" s="29" t="n">
        <v>0.06</v>
      </c>
      <c r="N711" s="28" t="n">
        <v>1.5</v>
      </c>
      <c r="O711" s="28" t="n">
        <v>30.96</v>
      </c>
      <c r="P711" s="2" t="s">
        <v>146</v>
      </c>
      <c r="Q711" s="29" t="n">
        <v>0.08</v>
      </c>
      <c r="R711" s="30" t="n">
        <v>0.076</v>
      </c>
      <c r="S711" s="31" t="n">
        <v>19.7368421052632</v>
      </c>
      <c r="T711" s="30" t="n">
        <v>-0.3625050999592</v>
      </c>
      <c r="U711" s="30" t="n">
        <v>-0.3140554875561</v>
      </c>
      <c r="V711" s="29" t="n">
        <v>0</v>
      </c>
      <c r="W711" s="29" t="n">
        <f aca="false">IF(N(Q711)=0,"",Q711+IF(I711="yes",Q711*Inputs!$B$10*Inputs!$B$9,0)+V711)</f>
        <v>0.076</v>
      </c>
      <c r="X711" s="28" t="n">
        <f aca="false">IF(OR(N(W711)&lt;=0,N(N711)=0,N(L711)=0),"",MIN(L711,N711/W711))</f>
        <v>19.7368421052632</v>
      </c>
      <c r="Y711" s="29" t="n">
        <f aca="false">IF(OR(X711="",N(O711)=0),"",X711/O711-1)</f>
        <v>-0.3625050999592</v>
      </c>
      <c r="Z711" s="29" t="n">
        <f aca="false">IF(OR(Y711="",N(O711)=0),"",Y711+N711/O711)</f>
        <v>-0.3140554875561</v>
      </c>
      <c r="AA711" s="32" t="n">
        <f aca="false">IF(OR(Z711="",N(U711)=0),"",Z711-U711)</f>
        <v>0</v>
      </c>
      <c r="AB711" s="29" t="n">
        <f aca="false">IF(N(Q711)=0,"",Q711+IF(I711="yes",Q711*Inputs!$B$10*Inputs!$B$9,0)+IFERROR(INDEX(Inputs!$B$13:$B$15,MATCH(G711,Inputs!$A$13:$A$15,0)),0)+IFERROR(INDEX(Inputs!$B$18:$B$24,MATCH(H711,Inputs!$A$18:$A$24,0)),0))</f>
        <v>0.076</v>
      </c>
      <c r="AC711" s="28" t="n">
        <f aca="false">IF(OR(N(AB711)&lt;=0,N(N711)=0,N(L711)=0),"",MIN(L711,N711/AB711))</f>
        <v>19.7368421052632</v>
      </c>
      <c r="AD711" s="29" t="n">
        <f aca="false">IF(OR(AC711="",N(O711)=0),"",AC711/O711-1)</f>
        <v>-0.3625050999592</v>
      </c>
      <c r="AE711" s="29" t="n">
        <f aca="false">IF(OR(AD711="",N(O711)=0),"",AD711+N711/O711)</f>
        <v>-0.3140554875561</v>
      </c>
      <c r="AF711" s="32" t="n">
        <f aca="false">IF(OR(AE711="",N(Z711)=0),"",AE711-Z711)</f>
        <v>0</v>
      </c>
      <c r="AG711" s="28" t="n">
        <f aca="false">IF(AND(N(M711)&gt;0,N(L711)&gt;0),M711*L711,N711)</f>
        <v>1.5</v>
      </c>
      <c r="AH711" s="28" t="n">
        <f aca="false">IF(OR(N(AB711)&lt;=0,N(AG711)=0,N(L711)=0),"",MIN(L711,AG711/AB711))</f>
        <v>19.7368421052632</v>
      </c>
      <c r="AI711" s="29" t="n">
        <f aca="false">IF(OR(AH711="",N(O711)=0),"",AH711/O711-1)</f>
        <v>-0.3625050999592</v>
      </c>
      <c r="AJ711" s="29" t="n">
        <f aca="false">IF(OR(AI711="",N(O711)=0),"",AI711+AG711/O711)</f>
        <v>-0.3140554875561</v>
      </c>
      <c r="AK711" s="32" t="n">
        <f aca="false">IF(OR(AJ711="",N(AE711)=0),"",AJ711-AE711)</f>
        <v>0</v>
      </c>
      <c r="AL711" s="33" t="n">
        <f aca="false">IF(N(F711)=0,"",INDEX(Inputs!$B$28:$B$32,IFERROR(MATCH(F711,Inputs!$A$28:$A$32,1),0)+1))</f>
        <v>0.075</v>
      </c>
      <c r="AM711" s="34"/>
      <c r="AN711" s="33" t="n">
        <f aca="false">IF(N(AM711)&gt;0,AM711,AL711)</f>
        <v>0.075</v>
      </c>
      <c r="AO711" s="29" t="n">
        <f aca="false">IF(N(AN711)=0,"",AN711+IF(I711="yes",AN711*Inputs!$B$10*Inputs!$B$9,0)+IFERROR(INDEX(Inputs!$B$13:$B$15,MATCH(G711,Inputs!$A$13:$A$15,0)),0)+IFERROR(INDEX(Inputs!$B$18:$B$24,MATCH(H711,Inputs!$A$18:$A$24,0)),0))</f>
        <v>0.07125</v>
      </c>
      <c r="AP711" s="28" t="n">
        <f aca="false">IF(OR(N(AO711)&lt;=0,N(AG711)=0,N(L711)=0),"",MIN(L711,AG711/AO711))</f>
        <v>21.0526315789474</v>
      </c>
      <c r="AQ711" s="29" t="n">
        <f aca="false">IF(OR(AP711="",N(O711)=0),"",AP711/O711-1)</f>
        <v>-0.32000543995648</v>
      </c>
      <c r="AR711" s="29" t="n">
        <f aca="false">IF(OR(AQ711="",N(O711)=0),"",AQ711+AG711/O711)</f>
        <v>-0.27155582755338</v>
      </c>
      <c r="AS711" s="32" t="n">
        <f aca="false">IF(OR(AR711="",N(AJ711)=0),"",AR711-AJ711)</f>
        <v>0.04249966000272</v>
      </c>
      <c r="AT711" s="28"/>
      <c r="AU711" s="28"/>
      <c r="AV711" s="28" t="n">
        <f aca="false">IF(N(AT711)&gt;0,AT711,L711)</f>
        <v>25</v>
      </c>
      <c r="AW711" s="28" t="n">
        <f aca="false">IF(AND(N(M711)&gt;0,N(AV711)&gt;0),M711*AV711,IF(N(AU711)&gt;0,AU711,N711))</f>
        <v>1.5</v>
      </c>
      <c r="AX711" s="29" t="n">
        <f aca="false">IF(N(AN711)=0,"",AN711+IF(I711="yes",AN711*Inputs!$B$10*Inputs!$B$9,0)+IFERROR(INDEX(Inputs!$B$13:$B$15,MATCH(G711,Inputs!$A$13:$A$15,0)),0)+IFERROR(INDEX(Inputs!$B$18:$B$24,MATCH(H711,Inputs!$A$18:$A$24,0)),0))</f>
        <v>0.07125</v>
      </c>
      <c r="AY711" s="28" t="n">
        <f aca="false">IF(OR(N(AX711)&lt;=0,N(AW711)=0,N(AV711)=0),"",MIN(AV711,AW711/AX711))</f>
        <v>21.0526315789474</v>
      </c>
      <c r="AZ711" s="29" t="n">
        <f aca="false">IF(OR(AY711="",N(O711)=0),"",AY711/O711-1)</f>
        <v>-0.32000543995648</v>
      </c>
      <c r="BA711" s="29" t="n">
        <f aca="false">IF(OR(AZ711="",N(O711)=0),"",AZ711+AW711/O711)</f>
        <v>-0.27155582755338</v>
      </c>
      <c r="BB711" s="32" t="n">
        <f aca="false">IF(OR(BA711="",N(AR711)=0),"",BA711-AR711)</f>
        <v>0</v>
      </c>
      <c r="BC711" s="35" t="n">
        <f aca="false">IF(OR(BA711="",N(U711)=0),"",BA711-U711)</f>
        <v>0.04249966000272</v>
      </c>
      <c r="BD711" s="36" t="s">
        <v>332</v>
      </c>
    </row>
    <row r="712" customFormat="false" ht="15" hidden="false" customHeight="false" outlineLevel="0" collapsed="false">
      <c r="A712" s="2" t="s">
        <v>1067</v>
      </c>
      <c r="B712" s="2" t="n">
        <v>458</v>
      </c>
      <c r="C712" s="2" t="s">
        <v>1431</v>
      </c>
      <c r="D712" s="2" t="s">
        <v>1429</v>
      </c>
      <c r="E712" s="2" t="s">
        <v>1430</v>
      </c>
      <c r="F712" s="27" t="n">
        <v>57100</v>
      </c>
      <c r="G712" s="2" t="s">
        <v>51</v>
      </c>
      <c r="H712" s="2" t="s">
        <v>58</v>
      </c>
      <c r="I712" s="2" t="s">
        <v>151</v>
      </c>
      <c r="J712" s="2" t="s">
        <v>145</v>
      </c>
      <c r="K712" s="2" t="n">
        <v>4</v>
      </c>
      <c r="L712" s="28" t="n">
        <v>25</v>
      </c>
      <c r="M712" s="29" t="n">
        <v>0.06</v>
      </c>
      <c r="N712" s="28" t="n">
        <v>1.5</v>
      </c>
      <c r="O712" s="28" t="n">
        <v>31.1</v>
      </c>
      <c r="P712" s="2" t="s">
        <v>146</v>
      </c>
      <c r="Q712" s="29" t="n">
        <v>0.08</v>
      </c>
      <c r="R712" s="30" t="n">
        <v>0.076</v>
      </c>
      <c r="S712" s="31" t="n">
        <v>19.7368421052632</v>
      </c>
      <c r="T712" s="30" t="n">
        <v>-0.365374851920799</v>
      </c>
      <c r="U712" s="30" t="n">
        <v>-0.31714334066678</v>
      </c>
      <c r="V712" s="29" t="n">
        <v>0</v>
      </c>
      <c r="W712" s="29" t="n">
        <f aca="false">IF(N(Q712)=0,"",Q712+IF(I712="yes",Q712*Inputs!$B$10*Inputs!$B$9,0)+V712)</f>
        <v>0.076</v>
      </c>
      <c r="X712" s="28" t="n">
        <f aca="false">IF(OR(N(W712)&lt;=0,N(N712)=0,N(L712)=0),"",MIN(L712,N712/W712))</f>
        <v>19.7368421052632</v>
      </c>
      <c r="Y712" s="29" t="n">
        <f aca="false">IF(OR(X712="",N(O712)=0),"",X712/O712-1)</f>
        <v>-0.365374851920799</v>
      </c>
      <c r="Z712" s="29" t="n">
        <f aca="false">IF(OR(Y712="",N(O712)=0),"",Y712+N712/O712)</f>
        <v>-0.317143340666779</v>
      </c>
      <c r="AA712" s="32" t="n">
        <f aca="false">IF(OR(Z712="",N(U712)=0),"",Z712-U712)</f>
        <v>0</v>
      </c>
      <c r="AB712" s="29" t="n">
        <f aca="false">IF(N(Q712)=0,"",Q712+IF(I712="yes",Q712*Inputs!$B$10*Inputs!$B$9,0)+IFERROR(INDEX(Inputs!$B$13:$B$15,MATCH(G712,Inputs!$A$13:$A$15,0)),0)+IFERROR(INDEX(Inputs!$B$18:$B$24,MATCH(H712,Inputs!$A$18:$A$24,0)),0))</f>
        <v>0.076</v>
      </c>
      <c r="AC712" s="28" t="n">
        <f aca="false">IF(OR(N(AB712)&lt;=0,N(N712)=0,N(L712)=0),"",MIN(L712,N712/AB712))</f>
        <v>19.7368421052632</v>
      </c>
      <c r="AD712" s="29" t="n">
        <f aca="false">IF(OR(AC712="",N(O712)=0),"",AC712/O712-1)</f>
        <v>-0.365374851920799</v>
      </c>
      <c r="AE712" s="29" t="n">
        <f aca="false">IF(OR(AD712="",N(O712)=0),"",AD712+N712/O712)</f>
        <v>-0.317143340666779</v>
      </c>
      <c r="AF712" s="32" t="n">
        <f aca="false">IF(OR(AE712="",N(Z712)=0),"",AE712-Z712)</f>
        <v>0</v>
      </c>
      <c r="AG712" s="28" t="n">
        <f aca="false">IF(AND(N(M712)&gt;0,N(L712)&gt;0),M712*L712,N712)</f>
        <v>1.5</v>
      </c>
      <c r="AH712" s="28" t="n">
        <f aca="false">IF(OR(N(AB712)&lt;=0,N(AG712)=0,N(L712)=0),"",MIN(L712,AG712/AB712))</f>
        <v>19.7368421052632</v>
      </c>
      <c r="AI712" s="29" t="n">
        <f aca="false">IF(OR(AH712="",N(O712)=0),"",AH712/O712-1)</f>
        <v>-0.365374851920799</v>
      </c>
      <c r="AJ712" s="29" t="n">
        <f aca="false">IF(OR(AI712="",N(O712)=0),"",AI712+AG712/O712)</f>
        <v>-0.317143340666779</v>
      </c>
      <c r="AK712" s="32" t="n">
        <f aca="false">IF(OR(AJ712="",N(AE712)=0),"",AJ712-AE712)</f>
        <v>0</v>
      </c>
      <c r="AL712" s="33" t="n">
        <f aca="false">IF(N(F712)=0,"",INDEX(Inputs!$B$28:$B$32,IFERROR(MATCH(F712,Inputs!$A$28:$A$32,1),0)+1))</f>
        <v>0.075</v>
      </c>
      <c r="AM712" s="34"/>
      <c r="AN712" s="33" t="n">
        <f aca="false">IF(N(AM712)&gt;0,AM712,AL712)</f>
        <v>0.075</v>
      </c>
      <c r="AO712" s="29" t="n">
        <f aca="false">IF(N(AN712)=0,"",AN712+IF(I712="yes",AN712*Inputs!$B$10*Inputs!$B$9,0)+IFERROR(INDEX(Inputs!$B$13:$B$15,MATCH(G712,Inputs!$A$13:$A$15,0)),0)+IFERROR(INDEX(Inputs!$B$18:$B$24,MATCH(H712,Inputs!$A$18:$A$24,0)),0))</f>
        <v>0.07125</v>
      </c>
      <c r="AP712" s="28" t="n">
        <f aca="false">IF(OR(N(AO712)&lt;=0,N(AG712)=0,N(L712)=0),"",MIN(L712,AG712/AO712))</f>
        <v>21.0526315789474</v>
      </c>
      <c r="AQ712" s="29" t="n">
        <f aca="false">IF(OR(AP712="",N(O712)=0),"",AP712/O712-1)</f>
        <v>-0.323066508715519</v>
      </c>
      <c r="AR712" s="29" t="n">
        <f aca="false">IF(OR(AQ712="",N(O712)=0),"",AQ712+AG712/O712)</f>
        <v>-0.274834997461499</v>
      </c>
      <c r="AS712" s="32" t="n">
        <f aca="false">IF(OR(AR712="",N(AJ712)=0),"",AR712-AJ712)</f>
        <v>0.0423083432052801</v>
      </c>
      <c r="AT712" s="28"/>
      <c r="AU712" s="28"/>
      <c r="AV712" s="28" t="n">
        <f aca="false">IF(N(AT712)&gt;0,AT712,L712)</f>
        <v>25</v>
      </c>
      <c r="AW712" s="28" t="n">
        <f aca="false">IF(AND(N(M712)&gt;0,N(AV712)&gt;0),M712*AV712,IF(N(AU712)&gt;0,AU712,N712))</f>
        <v>1.5</v>
      </c>
      <c r="AX712" s="29" t="n">
        <f aca="false">IF(N(AN712)=0,"",AN712+IF(I712="yes",AN712*Inputs!$B$10*Inputs!$B$9,0)+IFERROR(INDEX(Inputs!$B$13:$B$15,MATCH(G712,Inputs!$A$13:$A$15,0)),0)+IFERROR(INDEX(Inputs!$B$18:$B$24,MATCH(H712,Inputs!$A$18:$A$24,0)),0))</f>
        <v>0.07125</v>
      </c>
      <c r="AY712" s="28" t="n">
        <f aca="false">IF(OR(N(AX712)&lt;=0,N(AW712)=0,N(AV712)=0),"",MIN(AV712,AW712/AX712))</f>
        <v>21.0526315789474</v>
      </c>
      <c r="AZ712" s="29" t="n">
        <f aca="false">IF(OR(AY712="",N(O712)=0),"",AY712/O712-1)</f>
        <v>-0.323066508715519</v>
      </c>
      <c r="BA712" s="29" t="n">
        <f aca="false">IF(OR(AZ712="",N(O712)=0),"",AZ712+AW712/O712)</f>
        <v>-0.274834997461499</v>
      </c>
      <c r="BB712" s="32" t="n">
        <f aca="false">IF(OR(BA712="",N(AR712)=0),"",BA712-AR712)</f>
        <v>0</v>
      </c>
      <c r="BC712" s="35" t="n">
        <f aca="false">IF(OR(BA712="",N(U712)=0),"",BA712-U712)</f>
        <v>0.0423083432052802</v>
      </c>
      <c r="BD712" s="36" t="s">
        <v>332</v>
      </c>
    </row>
    <row r="713" customFormat="false" ht="15" hidden="false" customHeight="false" outlineLevel="0" collapsed="false">
      <c r="A713" s="2" t="s">
        <v>1067</v>
      </c>
      <c r="B713" s="2" t="n">
        <v>459</v>
      </c>
      <c r="C713" s="2" t="s">
        <v>1432</v>
      </c>
      <c r="D713" s="2" t="s">
        <v>1429</v>
      </c>
      <c r="E713" s="2" t="s">
        <v>1430</v>
      </c>
      <c r="F713" s="27" t="n">
        <v>57100</v>
      </c>
      <c r="G713" s="2" t="s">
        <v>52</v>
      </c>
      <c r="H713" s="2" t="s">
        <v>58</v>
      </c>
      <c r="I713" s="2" t="s">
        <v>144</v>
      </c>
      <c r="J713" s="2" t="s">
        <v>145</v>
      </c>
      <c r="K713" s="2" t="n">
        <v>4</v>
      </c>
      <c r="L713" s="28" t="n">
        <v>25</v>
      </c>
      <c r="M713" s="29" t="n">
        <v>0.0575</v>
      </c>
      <c r="N713" s="28" t="n">
        <v>1.4375</v>
      </c>
      <c r="O713" s="28" t="n">
        <v>20.52</v>
      </c>
      <c r="P713" s="2" t="s">
        <v>146</v>
      </c>
      <c r="Q713" s="29" t="n">
        <v>0.08</v>
      </c>
      <c r="R713" s="30" t="n">
        <v>0.075</v>
      </c>
      <c r="S713" s="31" t="n">
        <v>19.1666666666667</v>
      </c>
      <c r="T713" s="30" t="n">
        <v>-0.0659519168291097</v>
      </c>
      <c r="U713" s="30" t="n">
        <v>0.00410168940870705</v>
      </c>
      <c r="V713" s="29" t="n">
        <v>-0.005</v>
      </c>
      <c r="W713" s="29" t="n">
        <f aca="false">IF(N(Q713)=0,"",Q713+IF(I713="yes",Q713*Inputs!$B$10*Inputs!$B$9,0)+V713)</f>
        <v>0.075</v>
      </c>
      <c r="X713" s="28" t="n">
        <f aca="false">IF(OR(N(W713)&lt;=0,N(N713)=0,N(L713)=0),"",MIN(L713,N713/W713))</f>
        <v>19.1666666666667</v>
      </c>
      <c r="Y713" s="29" t="n">
        <f aca="false">IF(OR(X713="",N(O713)=0),"",X713/O713-1)</f>
        <v>-0.0659519168291097</v>
      </c>
      <c r="Z713" s="29" t="n">
        <f aca="false">IF(OR(Y713="",N(O713)=0),"",Y713+N713/O713)</f>
        <v>0.00410168940870705</v>
      </c>
      <c r="AA713" s="32" t="n">
        <f aca="false">IF(OR(Z713="",N(U713)=0),"",Z713-U713)</f>
        <v>0</v>
      </c>
      <c r="AB713" s="29" t="n">
        <f aca="false">IF(N(Q713)=0,"",Q713+IF(I713="yes",Q713*Inputs!$B$10*Inputs!$B$9,0)+IFERROR(INDEX(Inputs!$B$13:$B$15,MATCH(G713,Inputs!$A$13:$A$15,0)),0)+IFERROR(INDEX(Inputs!$B$18:$B$24,MATCH(H713,Inputs!$A$18:$A$24,0)),0))</f>
        <v>0.075</v>
      </c>
      <c r="AC713" s="28" t="n">
        <f aca="false">IF(OR(N(AB713)&lt;=0,N(N713)=0,N(L713)=0),"",MIN(L713,N713/AB713))</f>
        <v>19.1666666666667</v>
      </c>
      <c r="AD713" s="29" t="n">
        <f aca="false">IF(OR(AC713="",N(O713)=0),"",AC713/O713-1)</f>
        <v>-0.0659519168291097</v>
      </c>
      <c r="AE713" s="29" t="n">
        <f aca="false">IF(OR(AD713="",N(O713)=0),"",AD713+N713/O713)</f>
        <v>0.00410168940870705</v>
      </c>
      <c r="AF713" s="32" t="n">
        <f aca="false">IF(OR(AE713="",N(Z713)=0),"",AE713-Z713)</f>
        <v>0</v>
      </c>
      <c r="AG713" s="28" t="n">
        <f aca="false">IF(AND(N(M713)&gt;0,N(L713)&gt;0),M713*L713,N713)</f>
        <v>1.4375</v>
      </c>
      <c r="AH713" s="28" t="n">
        <f aca="false">IF(OR(N(AB713)&lt;=0,N(AG713)=0,N(L713)=0),"",MIN(L713,AG713/AB713))</f>
        <v>19.1666666666667</v>
      </c>
      <c r="AI713" s="29" t="n">
        <f aca="false">IF(OR(AH713="",N(O713)=0),"",AH713/O713-1)</f>
        <v>-0.0659519168291097</v>
      </c>
      <c r="AJ713" s="29" t="n">
        <f aca="false">IF(OR(AI713="",N(O713)=0),"",AI713+AG713/O713)</f>
        <v>0.00410168940870705</v>
      </c>
      <c r="AK713" s="32" t="n">
        <f aca="false">IF(OR(AJ713="",N(AE713)=0),"",AJ713-AE713)</f>
        <v>0</v>
      </c>
      <c r="AL713" s="33" t="n">
        <f aca="false">IF(N(F713)=0,"",INDEX(Inputs!$B$28:$B$32,IFERROR(MATCH(F713,Inputs!$A$28:$A$32,1),0)+1))</f>
        <v>0.075</v>
      </c>
      <c r="AM713" s="34"/>
      <c r="AN713" s="33" t="n">
        <f aca="false">IF(N(AM713)&gt;0,AM713,AL713)</f>
        <v>0.075</v>
      </c>
      <c r="AO713" s="29" t="n">
        <f aca="false">IF(N(AN713)=0,"",AN713+IF(I713="yes",AN713*Inputs!$B$10*Inputs!$B$9,0)+IFERROR(INDEX(Inputs!$B$13:$B$15,MATCH(G713,Inputs!$A$13:$A$15,0)),0)+IFERROR(INDEX(Inputs!$B$18:$B$24,MATCH(H713,Inputs!$A$18:$A$24,0)),0))</f>
        <v>0.07</v>
      </c>
      <c r="AP713" s="28" t="n">
        <f aca="false">IF(OR(N(AO713)&lt;=0,N(AG713)=0,N(L713)=0),"",MIN(L713,AG713/AO713))</f>
        <v>20.5357142857143</v>
      </c>
      <c r="AQ713" s="29" t="n">
        <f aca="false">IF(OR(AP713="",N(O713)=0),"",AP713/O713-1)</f>
        <v>0.000765803397382525</v>
      </c>
      <c r="AR713" s="29" t="n">
        <f aca="false">IF(OR(AQ713="",N(O713)=0),"",AQ713+AG713/O713)</f>
        <v>0.0708194096351993</v>
      </c>
      <c r="AS713" s="32" t="n">
        <f aca="false">IF(OR(AR713="",N(AJ713)=0),"",AR713-AJ713)</f>
        <v>0.0667177202264923</v>
      </c>
      <c r="AT713" s="28" t="n">
        <v>25</v>
      </c>
      <c r="AU713" s="28" t="n">
        <v>1.44</v>
      </c>
      <c r="AV713" s="28" t="n">
        <f aca="false">IF(N(AT713)&gt;0,AT713,L713)</f>
        <v>25</v>
      </c>
      <c r="AW713" s="28" t="n">
        <f aca="false">IF(AND(N(M713)&gt;0,N(AV713)&gt;0),M713*AV713,IF(N(AU713)&gt;0,AU713,N713))</f>
        <v>1.4375</v>
      </c>
      <c r="AX713" s="29" t="n">
        <f aca="false">IF(N(AN713)=0,"",AN713+IF(I713="yes",AN713*Inputs!$B$10*Inputs!$B$9,0)+IFERROR(INDEX(Inputs!$B$13:$B$15,MATCH(G713,Inputs!$A$13:$A$15,0)),0)+IFERROR(INDEX(Inputs!$B$18:$B$24,MATCH(H713,Inputs!$A$18:$A$24,0)),0))</f>
        <v>0.07</v>
      </c>
      <c r="AY713" s="28" t="n">
        <f aca="false">IF(OR(N(AX713)&lt;=0,N(AW713)=0,N(AV713)=0),"",MIN(AV713,AW713/AX713))</f>
        <v>20.5357142857143</v>
      </c>
      <c r="AZ713" s="29" t="n">
        <f aca="false">IF(OR(AY713="",N(O713)=0),"",AY713/O713-1)</f>
        <v>0.000765803397382525</v>
      </c>
      <c r="BA713" s="29" t="n">
        <f aca="false">IF(OR(AZ713="",N(O713)=0),"",AZ713+AW713/O713)</f>
        <v>0.0708194096351993</v>
      </c>
      <c r="BB713" s="32" t="n">
        <f aca="false">IF(OR(BA713="",N(AR713)=0),"",BA713-AR713)</f>
        <v>0</v>
      </c>
      <c r="BC713" s="35" t="n">
        <f aca="false">IF(OR(BA713="",N(U713)=0),"",BA713-U713)</f>
        <v>0.0667177202264923</v>
      </c>
      <c r="BD713" s="37"/>
    </row>
    <row r="714" customFormat="false" ht="15" hidden="false" customHeight="false" outlineLevel="0" collapsed="false">
      <c r="A714" s="2" t="s">
        <v>1067</v>
      </c>
      <c r="B714" s="2" t="n">
        <v>462</v>
      </c>
      <c r="C714" s="2" t="s">
        <v>1433</v>
      </c>
      <c r="D714" s="2" t="s">
        <v>1434</v>
      </c>
      <c r="E714" s="2" t="s">
        <v>1435</v>
      </c>
      <c r="F714" s="27" t="n">
        <v>118</v>
      </c>
      <c r="G714" s="2" t="s">
        <v>51</v>
      </c>
      <c r="H714" s="2" t="s">
        <v>58</v>
      </c>
      <c r="I714" s="2" t="s">
        <v>144</v>
      </c>
      <c r="J714" s="2" t="s">
        <v>145</v>
      </c>
      <c r="K714" s="2" t="n">
        <v>4</v>
      </c>
      <c r="L714" s="28" t="n">
        <v>25</v>
      </c>
      <c r="M714" s="29" t="n">
        <v>0.07</v>
      </c>
      <c r="N714" s="28" t="n">
        <v>1.75</v>
      </c>
      <c r="O714" s="28" t="n">
        <v>21.97</v>
      </c>
      <c r="P714" s="2" t="s">
        <v>146</v>
      </c>
      <c r="Q714" s="29" t="n">
        <v>0.1</v>
      </c>
      <c r="R714" s="30" t="n">
        <v>0.1</v>
      </c>
      <c r="S714" s="31" t="n">
        <v>17.5</v>
      </c>
      <c r="T714" s="30" t="n">
        <v>-0.20345926263086</v>
      </c>
      <c r="U714" s="30" t="n">
        <v>-0.123805188893946</v>
      </c>
      <c r="V714" s="29" t="n">
        <v>0</v>
      </c>
      <c r="W714" s="29" t="n">
        <f aca="false">IF(N(Q714)=0,"",Q714+IF(I714="yes",Q714*Inputs!$B$10*Inputs!$B$9,0)+V714)</f>
        <v>0.1</v>
      </c>
      <c r="X714" s="28" t="n">
        <f aca="false">IF(OR(N(W714)&lt;=0,N(N714)=0,N(L714)=0),"",MIN(L714,N714/W714))</f>
        <v>17.5</v>
      </c>
      <c r="Y714" s="29" t="n">
        <f aca="false">IF(OR(X714="",N(O714)=0),"",X714/O714-1)</f>
        <v>-0.20345926263086</v>
      </c>
      <c r="Z714" s="29" t="n">
        <f aca="false">IF(OR(Y714="",N(O714)=0),"",Y714+N714/O714)</f>
        <v>-0.123805188893946</v>
      </c>
      <c r="AA714" s="32" t="n">
        <f aca="false">IF(OR(Z714="",N(U714)=0),"",Z714-U714)</f>
        <v>0</v>
      </c>
      <c r="AB714" s="29" t="n">
        <f aca="false">IF(N(Q714)=0,"",Q714+IF(I714="yes",Q714*Inputs!$B$10*Inputs!$B$9,0)+IFERROR(INDEX(Inputs!$B$13:$B$15,MATCH(G714,Inputs!$A$13:$A$15,0)),0)+IFERROR(INDEX(Inputs!$B$18:$B$24,MATCH(H714,Inputs!$A$18:$A$24,0)),0))</f>
        <v>0.1</v>
      </c>
      <c r="AC714" s="28" t="n">
        <f aca="false">IF(OR(N(AB714)&lt;=0,N(N714)=0,N(L714)=0),"",MIN(L714,N714/AB714))</f>
        <v>17.5</v>
      </c>
      <c r="AD714" s="29" t="n">
        <f aca="false">IF(OR(AC714="",N(O714)=0),"",AC714/O714-1)</f>
        <v>-0.20345926263086</v>
      </c>
      <c r="AE714" s="29" t="n">
        <f aca="false">IF(OR(AD714="",N(O714)=0),"",AD714+N714/O714)</f>
        <v>-0.123805188893946</v>
      </c>
      <c r="AF714" s="32" t="n">
        <f aca="false">IF(OR(AE714="",N(Z714)=0),"",AE714-Z714)</f>
        <v>0</v>
      </c>
      <c r="AG714" s="28" t="n">
        <f aca="false">IF(AND(N(M714)&gt;0,N(L714)&gt;0),M714*L714,N714)</f>
        <v>1.75</v>
      </c>
      <c r="AH714" s="28" t="n">
        <f aca="false">IF(OR(N(AB714)&lt;=0,N(AG714)=0,N(L714)=0),"",MIN(L714,AG714/AB714))</f>
        <v>17.5</v>
      </c>
      <c r="AI714" s="29" t="n">
        <f aca="false">IF(OR(AH714="",N(O714)=0),"",AH714/O714-1)</f>
        <v>-0.20345926263086</v>
      </c>
      <c r="AJ714" s="29" t="n">
        <f aca="false">IF(OR(AI714="",N(O714)=0),"",AI714+AG714/O714)</f>
        <v>-0.123805188893946</v>
      </c>
      <c r="AK714" s="32" t="n">
        <f aca="false">IF(OR(AJ714="",N(AE714)=0),"",AJ714-AE714)</f>
        <v>0</v>
      </c>
      <c r="AL714" s="33" t="n">
        <f aca="false">IF(N(F714)=0,"",INDEX(Inputs!$B$28:$B$32,IFERROR(MATCH(F714,Inputs!$A$28:$A$32,1),0)+1))</f>
        <v>0.1</v>
      </c>
      <c r="AM714" s="34"/>
      <c r="AN714" s="33" t="n">
        <f aca="false">IF(N(AM714)&gt;0,AM714,AL714)</f>
        <v>0.1</v>
      </c>
      <c r="AO714" s="29" t="n">
        <f aca="false">IF(N(AN714)=0,"",AN714+IF(I714="yes",AN714*Inputs!$B$10*Inputs!$B$9,0)+IFERROR(INDEX(Inputs!$B$13:$B$15,MATCH(G714,Inputs!$A$13:$A$15,0)),0)+IFERROR(INDEX(Inputs!$B$18:$B$24,MATCH(H714,Inputs!$A$18:$A$24,0)),0))</f>
        <v>0.1</v>
      </c>
      <c r="AP714" s="28" t="n">
        <f aca="false">IF(OR(N(AO714)&lt;=0,N(AG714)=0,N(L714)=0),"",MIN(L714,AG714/AO714))</f>
        <v>17.5</v>
      </c>
      <c r="AQ714" s="29" t="n">
        <f aca="false">IF(OR(AP714="",N(O714)=0),"",AP714/O714-1)</f>
        <v>-0.20345926263086</v>
      </c>
      <c r="AR714" s="29" t="n">
        <f aca="false">IF(OR(AQ714="",N(O714)=0),"",AQ714+AG714/O714)</f>
        <v>-0.123805188893946</v>
      </c>
      <c r="AS714" s="32" t="n">
        <f aca="false">IF(OR(AR714="",N(AJ714)=0),"",AR714-AJ714)</f>
        <v>0</v>
      </c>
      <c r="AT714" s="28" t="n">
        <v>25</v>
      </c>
      <c r="AU714" s="28" t="n">
        <v>1.75</v>
      </c>
      <c r="AV714" s="28" t="n">
        <f aca="false">IF(N(AT714)&gt;0,AT714,L714)</f>
        <v>25</v>
      </c>
      <c r="AW714" s="28" t="n">
        <f aca="false">IF(AND(N(M714)&gt;0,N(AV714)&gt;0),M714*AV714,IF(N(AU714)&gt;0,AU714,N714))</f>
        <v>1.75</v>
      </c>
      <c r="AX714" s="29" t="n">
        <f aca="false">IF(N(AN714)=0,"",AN714+IF(I714="yes",AN714*Inputs!$B$10*Inputs!$B$9,0)+IFERROR(INDEX(Inputs!$B$13:$B$15,MATCH(G714,Inputs!$A$13:$A$15,0)),0)+IFERROR(INDEX(Inputs!$B$18:$B$24,MATCH(H714,Inputs!$A$18:$A$24,0)),0))</f>
        <v>0.1</v>
      </c>
      <c r="AY714" s="28" t="n">
        <f aca="false">IF(OR(N(AX714)&lt;=0,N(AW714)=0,N(AV714)=0),"",MIN(AV714,AW714/AX714))</f>
        <v>17.5</v>
      </c>
      <c r="AZ714" s="29" t="n">
        <f aca="false">IF(OR(AY714="",N(O714)=0),"",AY714/O714-1)</f>
        <v>-0.20345926263086</v>
      </c>
      <c r="BA714" s="29" t="n">
        <f aca="false">IF(OR(AZ714="",N(O714)=0),"",AZ714+AW714/O714)</f>
        <v>-0.123805188893946</v>
      </c>
      <c r="BB714" s="32" t="n">
        <f aca="false">IF(OR(BA714="",N(AR714)=0),"",BA714-AR714)</f>
        <v>0</v>
      </c>
      <c r="BC714" s="35" t="n">
        <f aca="false">IF(OR(BA714="",N(U714)=0),"",BA714-U714)</f>
        <v>0</v>
      </c>
      <c r="BD714" s="37"/>
    </row>
    <row r="715" customFormat="false" ht="15" hidden="false" customHeight="false" outlineLevel="0" collapsed="false">
      <c r="A715" s="2" t="s">
        <v>1067</v>
      </c>
      <c r="B715" s="2" t="n">
        <v>466</v>
      </c>
      <c r="C715" s="2" t="s">
        <v>1436</v>
      </c>
      <c r="D715" s="2" t="s">
        <v>1437</v>
      </c>
      <c r="E715" s="2" t="s">
        <v>143</v>
      </c>
      <c r="F715" s="27"/>
      <c r="G715" s="2" t="s">
        <v>52</v>
      </c>
      <c r="H715" s="2" t="s">
        <v>58</v>
      </c>
      <c r="I715" s="2" t="s">
        <v>144</v>
      </c>
      <c r="J715" s="2" t="s">
        <v>145</v>
      </c>
      <c r="K715" s="2" t="n">
        <v>4</v>
      </c>
      <c r="L715" s="28" t="n">
        <v>25</v>
      </c>
      <c r="M715" s="29" t="n">
        <v>0.06</v>
      </c>
      <c r="N715" s="28" t="n">
        <v>1.5</v>
      </c>
      <c r="O715" s="28"/>
      <c r="P715" s="2" t="s">
        <v>223</v>
      </c>
      <c r="Q715" s="29" t="n">
        <v>0</v>
      </c>
      <c r="R715" s="30" t="n">
        <v>0</v>
      </c>
      <c r="S715" s="31"/>
      <c r="T715" s="30"/>
      <c r="U715" s="30"/>
      <c r="V715" s="29" t="n">
        <v>-0.005</v>
      </c>
      <c r="W715" s="29" t="str">
        <f aca="false">IF(N(Q715)=0,"",Q715+IF(I715="yes",Q715*Inputs!$B$10*Inputs!$B$9,0)+V715)</f>
        <v/>
      </c>
      <c r="X715" s="28" t="str">
        <f aca="false">IF(OR(N(W715)&lt;=0,N(N715)=0,N(L715)=0),"",MIN(L715,N715/W715))</f>
        <v/>
      </c>
      <c r="Y715" s="29" t="str">
        <f aca="false">IF(OR(X715="",N(O715)=0),"",X715/O715-1)</f>
        <v/>
      </c>
      <c r="Z715" s="29" t="str">
        <f aca="false">IF(OR(Y715="",N(O715)=0),"",Y715+N715/O715)</f>
        <v/>
      </c>
      <c r="AA715" s="32" t="str">
        <f aca="false">IF(OR(Z715="",N(U715)=0),"",Z715-U715)</f>
        <v/>
      </c>
      <c r="AB715" s="29" t="str">
        <f aca="false">IF(N(Q715)=0,"",Q715+IF(I715="yes",Q715*Inputs!$B$10*Inputs!$B$9,0)+IFERROR(INDEX(Inputs!$B$13:$B$15,MATCH(G715,Inputs!$A$13:$A$15,0)),0)+IFERROR(INDEX(Inputs!$B$18:$B$24,MATCH(H715,Inputs!$A$18:$A$24,0)),0))</f>
        <v/>
      </c>
      <c r="AC715" s="28" t="str">
        <f aca="false">IF(OR(N(AB715)&lt;=0,N(N715)=0,N(L715)=0),"",MIN(L715,N715/AB715))</f>
        <v/>
      </c>
      <c r="AD715" s="29" t="str">
        <f aca="false">IF(OR(AC715="",N(O715)=0),"",AC715/O715-1)</f>
        <v/>
      </c>
      <c r="AE715" s="29" t="str">
        <f aca="false">IF(OR(AD715="",N(O715)=0),"",AD715+N715/O715)</f>
        <v/>
      </c>
      <c r="AF715" s="32" t="str">
        <f aca="false">IF(OR(AE715="",N(Z715)=0),"",AE715-Z715)</f>
        <v/>
      </c>
      <c r="AG715" s="28" t="n">
        <f aca="false">IF(AND(N(M715)&gt;0,N(L715)&gt;0),M715*L715,N715)</f>
        <v>1.5</v>
      </c>
      <c r="AH715" s="28" t="str">
        <f aca="false">IF(OR(N(AB715)&lt;=0,N(AG715)=0,N(L715)=0),"",MIN(L715,AG715/AB715))</f>
        <v/>
      </c>
      <c r="AI715" s="29" t="str">
        <f aca="false">IF(OR(AH715="",N(O715)=0),"",AH715/O715-1)</f>
        <v/>
      </c>
      <c r="AJ715" s="29" t="str">
        <f aca="false">IF(OR(AI715="",N(O715)=0),"",AI715+AG715/O715)</f>
        <v/>
      </c>
      <c r="AK715" s="32" t="str">
        <f aca="false">IF(OR(AJ715="",N(AE715)=0),"",AJ715-AE715)</f>
        <v/>
      </c>
      <c r="AL715" s="33" t="str">
        <f aca="false">IF(N(F715)=0,"",INDEX(Inputs!$B$28:$B$32,IFERROR(MATCH(F715,Inputs!$A$28:$A$32,1),0)+1))</f>
        <v/>
      </c>
      <c r="AM715" s="34"/>
      <c r="AN715" s="33" t="str">
        <f aca="false">IF(N(AM715)&gt;0,AM715,AL715)</f>
        <v/>
      </c>
      <c r="AO715" s="29" t="str">
        <f aca="false">IF(N(AN715)=0,"",AN715+IF(I715="yes",AN715*Inputs!$B$10*Inputs!$B$9,0)+IFERROR(INDEX(Inputs!$B$13:$B$15,MATCH(G715,Inputs!$A$13:$A$15,0)),0)+IFERROR(INDEX(Inputs!$B$18:$B$24,MATCH(H715,Inputs!$A$18:$A$24,0)),0))</f>
        <v/>
      </c>
      <c r="AP715" s="28" t="str">
        <f aca="false">IF(OR(N(AO715)&lt;=0,N(AG715)=0,N(L715)=0),"",MIN(L715,AG715/AO715))</f>
        <v/>
      </c>
      <c r="AQ715" s="29" t="str">
        <f aca="false">IF(OR(AP715="",N(O715)=0),"",AP715/O715-1)</f>
        <v/>
      </c>
      <c r="AR715" s="29" t="str">
        <f aca="false">IF(OR(AQ715="",N(O715)=0),"",AQ715+AG715/O715)</f>
        <v/>
      </c>
      <c r="AS715" s="32" t="str">
        <f aca="false">IF(OR(AR715="",N(AJ715)=0),"",AR715-AJ715)</f>
        <v/>
      </c>
      <c r="AT715" s="28" t="n">
        <v>25</v>
      </c>
      <c r="AU715" s="28" t="n">
        <v>1.5</v>
      </c>
      <c r="AV715" s="28" t="n">
        <f aca="false">IF(N(AT715)&gt;0,AT715,L715)</f>
        <v>25</v>
      </c>
      <c r="AW715" s="28" t="n">
        <f aca="false">IF(AND(N(M715)&gt;0,N(AV715)&gt;0),M715*AV715,IF(N(AU715)&gt;0,AU715,N715))</f>
        <v>1.5</v>
      </c>
      <c r="AX715" s="29" t="str">
        <f aca="false">IF(N(AN715)=0,"",AN715+IF(I715="yes",AN715*Inputs!$B$10*Inputs!$B$9,0)+IFERROR(INDEX(Inputs!$B$13:$B$15,MATCH(G715,Inputs!$A$13:$A$15,0)),0)+IFERROR(INDEX(Inputs!$B$18:$B$24,MATCH(H715,Inputs!$A$18:$A$24,0)),0))</f>
        <v/>
      </c>
      <c r="AY715" s="28" t="str">
        <f aca="false">IF(OR(N(AX715)&lt;=0,N(AW715)=0,N(AV715)=0),"",MIN(AV715,AW715/AX715))</f>
        <v/>
      </c>
      <c r="AZ715" s="29" t="str">
        <f aca="false">IF(OR(AY715="",N(O715)=0),"",AY715/O715-1)</f>
        <v/>
      </c>
      <c r="BA715" s="29" t="str">
        <f aca="false">IF(OR(AZ715="",N(O715)=0),"",AZ715+AW715/O715)</f>
        <v/>
      </c>
      <c r="BB715" s="32" t="str">
        <f aca="false">IF(OR(BA715="",N(AR715)=0),"",BA715-AR715)</f>
        <v/>
      </c>
      <c r="BC715" s="35" t="str">
        <f aca="false">IF(OR(BA715="",N(U715)=0),"",BA715-U715)</f>
        <v/>
      </c>
      <c r="BD715" s="36" t="s">
        <v>857</v>
      </c>
    </row>
    <row r="716" customFormat="false" ht="15" hidden="false" customHeight="false" outlineLevel="0" collapsed="false">
      <c r="A716" s="2" t="s">
        <v>1067</v>
      </c>
      <c r="B716" s="2" t="n">
        <v>470</v>
      </c>
      <c r="C716" s="2" t="s">
        <v>1438</v>
      </c>
      <c r="D716" s="2" t="s">
        <v>1439</v>
      </c>
      <c r="E716" s="2" t="s">
        <v>1440</v>
      </c>
      <c r="F716" s="27" t="n">
        <v>3900</v>
      </c>
      <c r="G716" s="2" t="s">
        <v>52</v>
      </c>
      <c r="H716" s="2" t="s">
        <v>58</v>
      </c>
      <c r="I716" s="2" t="s">
        <v>144</v>
      </c>
      <c r="J716" s="2" t="s">
        <v>145</v>
      </c>
      <c r="K716" s="2" t="n">
        <v>4</v>
      </c>
      <c r="L716" s="28" t="n">
        <v>25</v>
      </c>
      <c r="M716" s="29" t="n">
        <v>0.07</v>
      </c>
      <c r="N716" s="28" t="n">
        <v>1.75</v>
      </c>
      <c r="O716" s="28" t="n">
        <v>0</v>
      </c>
      <c r="P716" s="2" t="s">
        <v>146</v>
      </c>
      <c r="Q716" s="29" t="n">
        <v>0.08</v>
      </c>
      <c r="R716" s="30" t="n">
        <v>0.075</v>
      </c>
      <c r="S716" s="31" t="n">
        <v>23.3333333333333</v>
      </c>
      <c r="T716" s="30"/>
      <c r="U716" s="30"/>
      <c r="V716" s="29" t="n">
        <v>-0.005</v>
      </c>
      <c r="W716" s="29" t="n">
        <f aca="false">IF(N(Q716)=0,"",Q716+IF(I716="yes",Q716*Inputs!$B$10*Inputs!$B$9,0)+V716)</f>
        <v>0.075</v>
      </c>
      <c r="X716" s="28" t="n">
        <f aca="false">IF(OR(N(W716)&lt;=0,N(N716)=0,N(L716)=0),"",MIN(L716,N716/W716))</f>
        <v>23.3333333333333</v>
      </c>
      <c r="Y716" s="29" t="str">
        <f aca="false">IF(OR(X716="",N(O716)=0),"",X716/O716-1)</f>
        <v/>
      </c>
      <c r="Z716" s="29" t="str">
        <f aca="false">IF(OR(Y716="",N(O716)=0),"",Y716+N716/O716)</f>
        <v/>
      </c>
      <c r="AA716" s="32" t="str">
        <f aca="false">IF(OR(Z716="",N(U716)=0),"",Z716-U716)</f>
        <v/>
      </c>
      <c r="AB716" s="29" t="n">
        <f aca="false">IF(N(Q716)=0,"",Q716+IF(I716="yes",Q716*Inputs!$B$10*Inputs!$B$9,0)+IFERROR(INDEX(Inputs!$B$13:$B$15,MATCH(G716,Inputs!$A$13:$A$15,0)),0)+IFERROR(INDEX(Inputs!$B$18:$B$24,MATCH(H716,Inputs!$A$18:$A$24,0)),0))</f>
        <v>0.075</v>
      </c>
      <c r="AC716" s="28" t="n">
        <f aca="false">IF(OR(N(AB716)&lt;=0,N(N716)=0,N(L716)=0),"",MIN(L716,N716/AB716))</f>
        <v>23.3333333333333</v>
      </c>
      <c r="AD716" s="29" t="str">
        <f aca="false">IF(OR(AC716="",N(O716)=0),"",AC716/O716-1)</f>
        <v/>
      </c>
      <c r="AE716" s="29" t="str">
        <f aca="false">IF(OR(AD716="",N(O716)=0),"",AD716+N716/O716)</f>
        <v/>
      </c>
      <c r="AF716" s="32" t="str">
        <f aca="false">IF(OR(AE716="",N(Z716)=0),"",AE716-Z716)</f>
        <v/>
      </c>
      <c r="AG716" s="28" t="n">
        <f aca="false">IF(AND(N(M716)&gt;0,N(L716)&gt;0),M716*L716,N716)</f>
        <v>1.75</v>
      </c>
      <c r="AH716" s="28" t="n">
        <f aca="false">IF(OR(N(AB716)&lt;=0,N(AG716)=0,N(L716)=0),"",MIN(L716,AG716/AB716))</f>
        <v>23.3333333333333</v>
      </c>
      <c r="AI716" s="29" t="str">
        <f aca="false">IF(OR(AH716="",N(O716)=0),"",AH716/O716-1)</f>
        <v/>
      </c>
      <c r="AJ716" s="29" t="str">
        <f aca="false">IF(OR(AI716="",N(O716)=0),"",AI716+AG716/O716)</f>
        <v/>
      </c>
      <c r="AK716" s="32" t="str">
        <f aca="false">IF(OR(AJ716="",N(AE716)=0),"",AJ716-AE716)</f>
        <v/>
      </c>
      <c r="AL716" s="33" t="n">
        <f aca="false">IF(N(F716)=0,"",INDEX(Inputs!$B$28:$B$32,IFERROR(MATCH(F716,Inputs!$A$28:$A$32,1),0)+1))</f>
        <v>0.085</v>
      </c>
      <c r="AM716" s="34"/>
      <c r="AN716" s="33" t="n">
        <f aca="false">IF(N(AM716)&gt;0,AM716,AL716)</f>
        <v>0.085</v>
      </c>
      <c r="AO716" s="29" t="n">
        <f aca="false">IF(N(AN716)=0,"",AN716+IF(I716="yes",AN716*Inputs!$B$10*Inputs!$B$9,0)+IFERROR(INDEX(Inputs!$B$13:$B$15,MATCH(G716,Inputs!$A$13:$A$15,0)),0)+IFERROR(INDEX(Inputs!$B$18:$B$24,MATCH(H716,Inputs!$A$18:$A$24,0)),0))</f>
        <v>0.08</v>
      </c>
      <c r="AP716" s="28" t="n">
        <f aca="false">IF(OR(N(AO716)&lt;=0,N(AG716)=0,N(L716)=0),"",MIN(L716,AG716/AO716))</f>
        <v>21.875</v>
      </c>
      <c r="AQ716" s="29" t="str">
        <f aca="false">IF(OR(AP716="",N(O716)=0),"",AP716/O716-1)</f>
        <v/>
      </c>
      <c r="AR716" s="29" t="str">
        <f aca="false">IF(OR(AQ716="",N(O716)=0),"",AQ716+AG716/O716)</f>
        <v/>
      </c>
      <c r="AS716" s="32" t="str">
        <f aca="false">IF(OR(AR716="",N(AJ716)=0),"",AR716-AJ716)</f>
        <v/>
      </c>
      <c r="AT716" s="28"/>
      <c r="AU716" s="28"/>
      <c r="AV716" s="28" t="n">
        <f aca="false">IF(N(AT716)&gt;0,AT716,L716)</f>
        <v>25</v>
      </c>
      <c r="AW716" s="28" t="n">
        <f aca="false">IF(AND(N(M716)&gt;0,N(AV716)&gt;0),M716*AV716,IF(N(AU716)&gt;0,AU716,N716))</f>
        <v>1.75</v>
      </c>
      <c r="AX716" s="29" t="n">
        <f aca="false">IF(N(AN716)=0,"",AN716+IF(I716="yes",AN716*Inputs!$B$10*Inputs!$B$9,0)+IFERROR(INDEX(Inputs!$B$13:$B$15,MATCH(G716,Inputs!$A$13:$A$15,0)),0)+IFERROR(INDEX(Inputs!$B$18:$B$24,MATCH(H716,Inputs!$A$18:$A$24,0)),0))</f>
        <v>0.08</v>
      </c>
      <c r="AY716" s="28" t="n">
        <f aca="false">IF(OR(N(AX716)&lt;=0,N(AW716)=0,N(AV716)=0),"",MIN(AV716,AW716/AX716))</f>
        <v>21.875</v>
      </c>
      <c r="AZ716" s="29" t="str">
        <f aca="false">IF(OR(AY716="",N(O716)=0),"",AY716/O716-1)</f>
        <v/>
      </c>
      <c r="BA716" s="29" t="str">
        <f aca="false">IF(OR(AZ716="",N(O716)=0),"",AZ716+AW716/O716)</f>
        <v/>
      </c>
      <c r="BB716" s="32" t="str">
        <f aca="false">IF(OR(BA716="",N(AR716)=0),"",BA716-AR716)</f>
        <v/>
      </c>
      <c r="BC716" s="35" t="str">
        <f aca="false">IF(OR(BA716="",N(U716)=0),"",BA716-U716)</f>
        <v/>
      </c>
      <c r="BD716" s="36" t="s">
        <v>198</v>
      </c>
    </row>
    <row r="717" customFormat="false" ht="15" hidden="false" customHeight="false" outlineLevel="0" collapsed="false">
      <c r="A717" s="2" t="s">
        <v>1067</v>
      </c>
      <c r="B717" s="2" t="n">
        <v>474</v>
      </c>
      <c r="C717" s="2" t="s">
        <v>1441</v>
      </c>
      <c r="D717" s="2" t="s">
        <v>1442</v>
      </c>
      <c r="E717" s="2" t="s">
        <v>1443</v>
      </c>
      <c r="F717" s="27" t="n">
        <v>36</v>
      </c>
      <c r="G717" s="2" t="s">
        <v>51</v>
      </c>
      <c r="H717" s="2" t="s">
        <v>58</v>
      </c>
      <c r="I717" s="2" t="s">
        <v>144</v>
      </c>
      <c r="J717" s="2" t="s">
        <v>145</v>
      </c>
      <c r="K717" s="2" t="n">
        <v>4</v>
      </c>
      <c r="L717" s="28" t="n">
        <v>10</v>
      </c>
      <c r="M717" s="29" t="n">
        <v>0.1</v>
      </c>
      <c r="N717" s="28" t="n">
        <v>1</v>
      </c>
      <c r="O717" s="28" t="n">
        <v>9.65</v>
      </c>
      <c r="P717" s="2" t="s">
        <v>146</v>
      </c>
      <c r="Q717" s="29" t="n">
        <v>0.1</v>
      </c>
      <c r="R717" s="30" t="n">
        <v>0.1</v>
      </c>
      <c r="S717" s="31" t="n">
        <v>10</v>
      </c>
      <c r="T717" s="30" t="n">
        <v>0.0362694300518134</v>
      </c>
      <c r="U717" s="30" t="n">
        <v>0.139896373056995</v>
      </c>
      <c r="V717" s="29" t="n">
        <v>0</v>
      </c>
      <c r="W717" s="29" t="n">
        <f aca="false">IF(N(Q717)=0,"",Q717+IF(I717="yes",Q717*Inputs!$B$10*Inputs!$B$9,0)+V717)</f>
        <v>0.1</v>
      </c>
      <c r="X717" s="28" t="n">
        <f aca="false">IF(OR(N(W717)&lt;=0,N(N717)=0,N(L717)=0),"",MIN(L717,N717/W717))</f>
        <v>10</v>
      </c>
      <c r="Y717" s="29" t="n">
        <f aca="false">IF(OR(X717="",N(O717)=0),"",X717/O717-1)</f>
        <v>0.0362694300518134</v>
      </c>
      <c r="Z717" s="29" t="n">
        <f aca="false">IF(OR(Y717="",N(O717)=0),"",Y717+N717/O717)</f>
        <v>0.139896373056995</v>
      </c>
      <c r="AA717" s="32" t="n">
        <f aca="false">IF(OR(Z717="",N(U717)=0),"",Z717-U717)</f>
        <v>0</v>
      </c>
      <c r="AB717" s="29" t="n">
        <f aca="false">IF(N(Q717)=0,"",Q717+IF(I717="yes",Q717*Inputs!$B$10*Inputs!$B$9,0)+IFERROR(INDEX(Inputs!$B$13:$B$15,MATCH(G717,Inputs!$A$13:$A$15,0)),0)+IFERROR(INDEX(Inputs!$B$18:$B$24,MATCH(H717,Inputs!$A$18:$A$24,0)),0))</f>
        <v>0.1</v>
      </c>
      <c r="AC717" s="28" t="n">
        <f aca="false">IF(OR(N(AB717)&lt;=0,N(N717)=0,N(L717)=0),"",MIN(L717,N717/AB717))</f>
        <v>10</v>
      </c>
      <c r="AD717" s="29" t="n">
        <f aca="false">IF(OR(AC717="",N(O717)=0),"",AC717/O717-1)</f>
        <v>0.0362694300518134</v>
      </c>
      <c r="AE717" s="29" t="n">
        <f aca="false">IF(OR(AD717="",N(O717)=0),"",AD717+N717/O717)</f>
        <v>0.139896373056995</v>
      </c>
      <c r="AF717" s="32" t="n">
        <f aca="false">IF(OR(AE717="",N(Z717)=0),"",AE717-Z717)</f>
        <v>0</v>
      </c>
      <c r="AG717" s="28" t="n">
        <f aca="false">IF(AND(N(M717)&gt;0,N(L717)&gt;0),M717*L717,N717)</f>
        <v>1</v>
      </c>
      <c r="AH717" s="28" t="n">
        <f aca="false">IF(OR(N(AB717)&lt;=0,N(AG717)=0,N(L717)=0),"",MIN(L717,AG717/AB717))</f>
        <v>10</v>
      </c>
      <c r="AI717" s="29" t="n">
        <f aca="false">IF(OR(AH717="",N(O717)=0),"",AH717/O717-1)</f>
        <v>0.0362694300518134</v>
      </c>
      <c r="AJ717" s="29" t="n">
        <f aca="false">IF(OR(AI717="",N(O717)=0),"",AI717+AG717/O717)</f>
        <v>0.139896373056995</v>
      </c>
      <c r="AK717" s="32" t="n">
        <f aca="false">IF(OR(AJ717="",N(AE717)=0),"",AJ717-AE717)</f>
        <v>0</v>
      </c>
      <c r="AL717" s="33" t="n">
        <f aca="false">IF(N(F717)=0,"",INDEX(Inputs!$B$28:$B$32,IFERROR(MATCH(F717,Inputs!$A$28:$A$32,1),0)+1))</f>
        <v>0.1</v>
      </c>
      <c r="AM717" s="34"/>
      <c r="AN717" s="33" t="n">
        <f aca="false">IF(N(AM717)&gt;0,AM717,AL717)</f>
        <v>0.1</v>
      </c>
      <c r="AO717" s="29" t="n">
        <f aca="false">IF(N(AN717)=0,"",AN717+IF(I717="yes",AN717*Inputs!$B$10*Inputs!$B$9,0)+IFERROR(INDEX(Inputs!$B$13:$B$15,MATCH(G717,Inputs!$A$13:$A$15,0)),0)+IFERROR(INDEX(Inputs!$B$18:$B$24,MATCH(H717,Inputs!$A$18:$A$24,0)),0))</f>
        <v>0.1</v>
      </c>
      <c r="AP717" s="28" t="n">
        <f aca="false">IF(OR(N(AO717)&lt;=0,N(AG717)=0,N(L717)=0),"",MIN(L717,AG717/AO717))</f>
        <v>10</v>
      </c>
      <c r="AQ717" s="29" t="n">
        <f aca="false">IF(OR(AP717="",N(O717)=0),"",AP717/O717-1)</f>
        <v>0.0362694300518134</v>
      </c>
      <c r="AR717" s="29" t="n">
        <f aca="false">IF(OR(AQ717="",N(O717)=0),"",AQ717+AG717/O717)</f>
        <v>0.139896373056995</v>
      </c>
      <c r="AS717" s="32" t="n">
        <f aca="false">IF(OR(AR717="",N(AJ717)=0),"",AR717-AJ717)</f>
        <v>0</v>
      </c>
      <c r="AT717" s="28" t="n">
        <v>10</v>
      </c>
      <c r="AU717" s="28" t="n">
        <v>1</v>
      </c>
      <c r="AV717" s="28" t="n">
        <f aca="false">IF(N(AT717)&gt;0,AT717,L717)</f>
        <v>10</v>
      </c>
      <c r="AW717" s="28" t="n">
        <f aca="false">IF(AND(N(M717)&gt;0,N(AV717)&gt;0),M717*AV717,IF(N(AU717)&gt;0,AU717,N717))</f>
        <v>1</v>
      </c>
      <c r="AX717" s="29" t="n">
        <f aca="false">IF(N(AN717)=0,"",AN717+IF(I717="yes",AN717*Inputs!$B$10*Inputs!$B$9,0)+IFERROR(INDEX(Inputs!$B$13:$B$15,MATCH(G717,Inputs!$A$13:$A$15,0)),0)+IFERROR(INDEX(Inputs!$B$18:$B$24,MATCH(H717,Inputs!$A$18:$A$24,0)),0))</f>
        <v>0.1</v>
      </c>
      <c r="AY717" s="28" t="n">
        <f aca="false">IF(OR(N(AX717)&lt;=0,N(AW717)=0,N(AV717)=0),"",MIN(AV717,AW717/AX717))</f>
        <v>10</v>
      </c>
      <c r="AZ717" s="29" t="n">
        <f aca="false">IF(OR(AY717="",N(O717)=0),"",AY717/O717-1)</f>
        <v>0.0362694300518134</v>
      </c>
      <c r="BA717" s="29" t="n">
        <f aca="false">IF(OR(AZ717="",N(O717)=0),"",AZ717+AW717/O717)</f>
        <v>0.139896373056995</v>
      </c>
      <c r="BB717" s="32" t="n">
        <f aca="false">IF(OR(BA717="",N(AR717)=0),"",BA717-AR717)</f>
        <v>0</v>
      </c>
      <c r="BC717" s="35" t="n">
        <f aca="false">IF(OR(BA717="",N(U717)=0),"",BA717-U717)</f>
        <v>0</v>
      </c>
      <c r="BD717" s="37"/>
    </row>
    <row r="718" customFormat="false" ht="15" hidden="false" customHeight="false" outlineLevel="0" collapsed="false">
      <c r="A718" s="2" t="s">
        <v>1067</v>
      </c>
      <c r="B718" s="2" t="n">
        <v>478</v>
      </c>
      <c r="C718" s="2" t="s">
        <v>1444</v>
      </c>
      <c r="D718" s="2" t="s">
        <v>1445</v>
      </c>
      <c r="E718" s="2" t="s">
        <v>1446</v>
      </c>
      <c r="F718" s="27" t="n">
        <v>50300</v>
      </c>
      <c r="G718" s="2" t="s">
        <v>51</v>
      </c>
      <c r="H718" s="2" t="s">
        <v>58</v>
      </c>
      <c r="I718" s="2" t="s">
        <v>151</v>
      </c>
      <c r="J718" s="2" t="s">
        <v>145</v>
      </c>
      <c r="K718" s="2" t="n">
        <v>4</v>
      </c>
      <c r="L718" s="28" t="n">
        <v>25</v>
      </c>
      <c r="M718" s="29" t="n">
        <v>0.059</v>
      </c>
      <c r="N718" s="28" t="n">
        <v>1.475</v>
      </c>
      <c r="O718" s="28" t="n">
        <v>0</v>
      </c>
      <c r="P718" s="2" t="s">
        <v>146</v>
      </c>
      <c r="Q718" s="29" t="n">
        <v>0.08</v>
      </c>
      <c r="R718" s="30" t="n">
        <v>0.076</v>
      </c>
      <c r="S718" s="31" t="n">
        <v>19.4078947368421</v>
      </c>
      <c r="T718" s="30"/>
      <c r="U718" s="30"/>
      <c r="V718" s="29" t="n">
        <v>0</v>
      </c>
      <c r="W718" s="29" t="n">
        <f aca="false">IF(N(Q718)=0,"",Q718+IF(I718="yes",Q718*Inputs!$B$10*Inputs!$B$9,0)+V718)</f>
        <v>0.076</v>
      </c>
      <c r="X718" s="28" t="n">
        <f aca="false">IF(OR(N(W718)&lt;=0,N(N718)=0,N(L718)=0),"",MIN(L718,N718/W718))</f>
        <v>19.4078947368421</v>
      </c>
      <c r="Y718" s="29" t="str">
        <f aca="false">IF(OR(X718="",N(O718)=0),"",X718/O718-1)</f>
        <v/>
      </c>
      <c r="Z718" s="29" t="str">
        <f aca="false">IF(OR(Y718="",N(O718)=0),"",Y718+N718/O718)</f>
        <v/>
      </c>
      <c r="AA718" s="32" t="str">
        <f aca="false">IF(OR(Z718="",N(U718)=0),"",Z718-U718)</f>
        <v/>
      </c>
      <c r="AB718" s="29" t="n">
        <f aca="false">IF(N(Q718)=0,"",Q718+IF(I718="yes",Q718*Inputs!$B$10*Inputs!$B$9,0)+IFERROR(INDEX(Inputs!$B$13:$B$15,MATCH(G718,Inputs!$A$13:$A$15,0)),0)+IFERROR(INDEX(Inputs!$B$18:$B$24,MATCH(H718,Inputs!$A$18:$A$24,0)),0))</f>
        <v>0.076</v>
      </c>
      <c r="AC718" s="28" t="n">
        <f aca="false">IF(OR(N(AB718)&lt;=0,N(N718)=0,N(L718)=0),"",MIN(L718,N718/AB718))</f>
        <v>19.4078947368421</v>
      </c>
      <c r="AD718" s="29" t="str">
        <f aca="false">IF(OR(AC718="",N(O718)=0),"",AC718/O718-1)</f>
        <v/>
      </c>
      <c r="AE718" s="29" t="str">
        <f aca="false">IF(OR(AD718="",N(O718)=0),"",AD718+N718/O718)</f>
        <v/>
      </c>
      <c r="AF718" s="32" t="str">
        <f aca="false">IF(OR(AE718="",N(Z718)=0),"",AE718-Z718)</f>
        <v/>
      </c>
      <c r="AG718" s="28" t="n">
        <f aca="false">IF(AND(N(M718)&gt;0,N(L718)&gt;0),M718*L718,N718)</f>
        <v>1.475</v>
      </c>
      <c r="AH718" s="28" t="n">
        <f aca="false">IF(OR(N(AB718)&lt;=0,N(AG718)=0,N(L718)=0),"",MIN(L718,AG718/AB718))</f>
        <v>19.4078947368421</v>
      </c>
      <c r="AI718" s="29" t="str">
        <f aca="false">IF(OR(AH718="",N(O718)=0),"",AH718/O718-1)</f>
        <v/>
      </c>
      <c r="AJ718" s="29" t="str">
        <f aca="false">IF(OR(AI718="",N(O718)=0),"",AI718+AG718/O718)</f>
        <v/>
      </c>
      <c r="AK718" s="32" t="str">
        <f aca="false">IF(OR(AJ718="",N(AE718)=0),"",AJ718-AE718)</f>
        <v/>
      </c>
      <c r="AL718" s="33" t="n">
        <f aca="false">IF(N(F718)=0,"",INDEX(Inputs!$B$28:$B$32,IFERROR(MATCH(F718,Inputs!$A$28:$A$32,1),0)+1))</f>
        <v>0.075</v>
      </c>
      <c r="AM718" s="34"/>
      <c r="AN718" s="33" t="n">
        <f aca="false">IF(N(AM718)&gt;0,AM718,AL718)</f>
        <v>0.075</v>
      </c>
      <c r="AO718" s="29" t="n">
        <f aca="false">IF(N(AN718)=0,"",AN718+IF(I718="yes",AN718*Inputs!$B$10*Inputs!$B$9,0)+IFERROR(INDEX(Inputs!$B$13:$B$15,MATCH(G718,Inputs!$A$13:$A$15,0)),0)+IFERROR(INDEX(Inputs!$B$18:$B$24,MATCH(H718,Inputs!$A$18:$A$24,0)),0))</f>
        <v>0.07125</v>
      </c>
      <c r="AP718" s="28" t="n">
        <f aca="false">IF(OR(N(AO718)&lt;=0,N(AG718)=0,N(L718)=0),"",MIN(L718,AG718/AO718))</f>
        <v>20.7017543859649</v>
      </c>
      <c r="AQ718" s="29" t="str">
        <f aca="false">IF(OR(AP718="",N(O718)=0),"",AP718/O718-1)</f>
        <v/>
      </c>
      <c r="AR718" s="29" t="str">
        <f aca="false">IF(OR(AQ718="",N(O718)=0),"",AQ718+AG718/O718)</f>
        <v/>
      </c>
      <c r="AS718" s="32" t="str">
        <f aca="false">IF(OR(AR718="",N(AJ718)=0),"",AR718-AJ718)</f>
        <v/>
      </c>
      <c r="AT718" s="28"/>
      <c r="AU718" s="28"/>
      <c r="AV718" s="28" t="n">
        <f aca="false">IF(N(AT718)&gt;0,AT718,L718)</f>
        <v>25</v>
      </c>
      <c r="AW718" s="28" t="n">
        <f aca="false">IF(AND(N(M718)&gt;0,N(AV718)&gt;0),M718*AV718,IF(N(AU718)&gt;0,AU718,N718))</f>
        <v>1.475</v>
      </c>
      <c r="AX718" s="29" t="n">
        <f aca="false">IF(N(AN718)=0,"",AN718+IF(I718="yes",AN718*Inputs!$B$10*Inputs!$B$9,0)+IFERROR(INDEX(Inputs!$B$13:$B$15,MATCH(G718,Inputs!$A$13:$A$15,0)),0)+IFERROR(INDEX(Inputs!$B$18:$B$24,MATCH(H718,Inputs!$A$18:$A$24,0)),0))</f>
        <v>0.07125</v>
      </c>
      <c r="AY718" s="28" t="n">
        <f aca="false">IF(OR(N(AX718)&lt;=0,N(AW718)=0,N(AV718)=0),"",MIN(AV718,AW718/AX718))</f>
        <v>20.7017543859649</v>
      </c>
      <c r="AZ718" s="29" t="str">
        <f aca="false">IF(OR(AY718="",N(O718)=0),"",AY718/O718-1)</f>
        <v/>
      </c>
      <c r="BA718" s="29" t="str">
        <f aca="false">IF(OR(AZ718="",N(O718)=0),"",AZ718+AW718/O718)</f>
        <v/>
      </c>
      <c r="BB718" s="32" t="str">
        <f aca="false">IF(OR(BA718="",N(AR718)=0),"",BA718-AR718)</f>
        <v/>
      </c>
      <c r="BC718" s="35" t="str">
        <f aca="false">IF(OR(BA718="",N(U718)=0),"",BA718-U718)</f>
        <v/>
      </c>
      <c r="BD718" s="36" t="s">
        <v>198</v>
      </c>
    </row>
    <row r="719" customFormat="false" ht="15" hidden="false" customHeight="false" outlineLevel="0" collapsed="false">
      <c r="A719" s="2" t="s">
        <v>1067</v>
      </c>
      <c r="B719" s="2" t="n">
        <v>479</v>
      </c>
      <c r="C719" s="2" t="s">
        <v>1447</v>
      </c>
      <c r="D719" s="2" t="s">
        <v>1445</v>
      </c>
      <c r="E719" s="2" t="s">
        <v>1446</v>
      </c>
      <c r="F719" s="27" t="n">
        <v>50300</v>
      </c>
      <c r="G719" s="2" t="s">
        <v>51</v>
      </c>
      <c r="H719" s="2" t="s">
        <v>58</v>
      </c>
      <c r="I719" s="2" t="s">
        <v>151</v>
      </c>
      <c r="J719" s="2" t="s">
        <v>145</v>
      </c>
      <c r="K719" s="2" t="n">
        <v>4</v>
      </c>
      <c r="L719" s="28" t="n">
        <v>25</v>
      </c>
      <c r="M719" s="29" t="n">
        <v>0.0535</v>
      </c>
      <c r="N719" s="28" t="n">
        <v>1.3375</v>
      </c>
      <c r="O719" s="28" t="n">
        <v>20.79</v>
      </c>
      <c r="P719" s="2" t="s">
        <v>146</v>
      </c>
      <c r="Q719" s="29" t="n">
        <v>0.08</v>
      </c>
      <c r="R719" s="30" t="n">
        <v>0.076</v>
      </c>
      <c r="S719" s="31" t="n">
        <v>17.5986842105263</v>
      </c>
      <c r="T719" s="30" t="n">
        <v>-0.153502442976127</v>
      </c>
      <c r="U719" s="30" t="n">
        <v>-0.0891686286423128</v>
      </c>
      <c r="V719" s="29" t="n">
        <v>0</v>
      </c>
      <c r="W719" s="29" t="n">
        <f aca="false">IF(N(Q719)=0,"",Q719+IF(I719="yes",Q719*Inputs!$B$10*Inputs!$B$9,0)+V719)</f>
        <v>0.076</v>
      </c>
      <c r="X719" s="28" t="n">
        <f aca="false">IF(OR(N(W719)&lt;=0,N(N719)=0,N(L719)=0),"",MIN(L719,N719/W719))</f>
        <v>17.5986842105263</v>
      </c>
      <c r="Y719" s="29" t="n">
        <f aca="false">IF(OR(X719="",N(O719)=0),"",X719/O719-1)</f>
        <v>-0.153502442976127</v>
      </c>
      <c r="Z719" s="29" t="n">
        <f aca="false">IF(OR(Y719="",N(O719)=0),"",Y719+N719/O719)</f>
        <v>-0.0891686286423128</v>
      </c>
      <c r="AA719" s="32" t="n">
        <f aca="false">IF(OR(Z719="",N(U719)=0),"",Z719-U719)</f>
        <v>0</v>
      </c>
      <c r="AB719" s="29" t="n">
        <f aca="false">IF(N(Q719)=0,"",Q719+IF(I719="yes",Q719*Inputs!$B$10*Inputs!$B$9,0)+IFERROR(INDEX(Inputs!$B$13:$B$15,MATCH(G719,Inputs!$A$13:$A$15,0)),0)+IFERROR(INDEX(Inputs!$B$18:$B$24,MATCH(H719,Inputs!$A$18:$A$24,0)),0))</f>
        <v>0.076</v>
      </c>
      <c r="AC719" s="28" t="n">
        <f aca="false">IF(OR(N(AB719)&lt;=0,N(N719)=0,N(L719)=0),"",MIN(L719,N719/AB719))</f>
        <v>17.5986842105263</v>
      </c>
      <c r="AD719" s="29" t="n">
        <f aca="false">IF(OR(AC719="",N(O719)=0),"",AC719/O719-1)</f>
        <v>-0.153502442976127</v>
      </c>
      <c r="AE719" s="29" t="n">
        <f aca="false">IF(OR(AD719="",N(O719)=0),"",AD719+N719/O719)</f>
        <v>-0.0891686286423128</v>
      </c>
      <c r="AF719" s="32" t="n">
        <f aca="false">IF(OR(AE719="",N(Z719)=0),"",AE719-Z719)</f>
        <v>0</v>
      </c>
      <c r="AG719" s="28" t="n">
        <f aca="false">IF(AND(N(M719)&gt;0,N(L719)&gt;0),M719*L719,N719)</f>
        <v>1.3375</v>
      </c>
      <c r="AH719" s="28" t="n">
        <f aca="false">IF(OR(N(AB719)&lt;=0,N(AG719)=0,N(L719)=0),"",MIN(L719,AG719/AB719))</f>
        <v>17.5986842105263</v>
      </c>
      <c r="AI719" s="29" t="n">
        <f aca="false">IF(OR(AH719="",N(O719)=0),"",AH719/O719-1)</f>
        <v>-0.153502442976127</v>
      </c>
      <c r="AJ719" s="29" t="n">
        <f aca="false">IF(OR(AI719="",N(O719)=0),"",AI719+AG719/O719)</f>
        <v>-0.0891686286423128</v>
      </c>
      <c r="AK719" s="32" t="n">
        <f aca="false">IF(OR(AJ719="",N(AE719)=0),"",AJ719-AE719)</f>
        <v>0</v>
      </c>
      <c r="AL719" s="33" t="n">
        <f aca="false">IF(N(F719)=0,"",INDEX(Inputs!$B$28:$B$32,IFERROR(MATCH(F719,Inputs!$A$28:$A$32,1),0)+1))</f>
        <v>0.075</v>
      </c>
      <c r="AM719" s="34"/>
      <c r="AN719" s="33" t="n">
        <f aca="false">IF(N(AM719)&gt;0,AM719,AL719)</f>
        <v>0.075</v>
      </c>
      <c r="AO719" s="29" t="n">
        <f aca="false">IF(N(AN719)=0,"",AN719+IF(I719="yes",AN719*Inputs!$B$10*Inputs!$B$9,0)+IFERROR(INDEX(Inputs!$B$13:$B$15,MATCH(G719,Inputs!$A$13:$A$15,0)),0)+IFERROR(INDEX(Inputs!$B$18:$B$24,MATCH(H719,Inputs!$A$18:$A$24,0)),0))</f>
        <v>0.07125</v>
      </c>
      <c r="AP719" s="28" t="n">
        <f aca="false">IF(OR(N(AO719)&lt;=0,N(AG719)=0,N(L719)=0),"",MIN(L719,AG719/AO719))</f>
        <v>18.7719298245614</v>
      </c>
      <c r="AQ719" s="29" t="n">
        <f aca="false">IF(OR(AP719="",N(O719)=0),"",AP719/O719-1)</f>
        <v>-0.0970692725078689</v>
      </c>
      <c r="AR719" s="29" t="n">
        <f aca="false">IF(OR(AQ719="",N(O719)=0),"",AQ719+AG719/O719)</f>
        <v>-0.0327354581740546</v>
      </c>
      <c r="AS719" s="32" t="n">
        <f aca="false">IF(OR(AR719="",N(AJ719)=0),"",AR719-AJ719)</f>
        <v>0.0564331704682582</v>
      </c>
      <c r="AT719" s="28" t="n">
        <v>25</v>
      </c>
      <c r="AU719" s="28" t="n">
        <v>1.34</v>
      </c>
      <c r="AV719" s="28" t="n">
        <f aca="false">IF(N(AT719)&gt;0,AT719,L719)</f>
        <v>25</v>
      </c>
      <c r="AW719" s="28" t="n">
        <f aca="false">IF(AND(N(M719)&gt;0,N(AV719)&gt;0),M719*AV719,IF(N(AU719)&gt;0,AU719,N719))</f>
        <v>1.3375</v>
      </c>
      <c r="AX719" s="29" t="n">
        <f aca="false">IF(N(AN719)=0,"",AN719+IF(I719="yes",AN719*Inputs!$B$10*Inputs!$B$9,0)+IFERROR(INDEX(Inputs!$B$13:$B$15,MATCH(G719,Inputs!$A$13:$A$15,0)),0)+IFERROR(INDEX(Inputs!$B$18:$B$24,MATCH(H719,Inputs!$A$18:$A$24,0)),0))</f>
        <v>0.07125</v>
      </c>
      <c r="AY719" s="28" t="n">
        <f aca="false">IF(OR(N(AX719)&lt;=0,N(AW719)=0,N(AV719)=0),"",MIN(AV719,AW719/AX719))</f>
        <v>18.7719298245614</v>
      </c>
      <c r="AZ719" s="29" t="n">
        <f aca="false">IF(OR(AY719="",N(O719)=0),"",AY719/O719-1)</f>
        <v>-0.0970692725078689</v>
      </c>
      <c r="BA719" s="29" t="n">
        <f aca="false">IF(OR(AZ719="",N(O719)=0),"",AZ719+AW719/O719)</f>
        <v>-0.0327354581740546</v>
      </c>
      <c r="BB719" s="32" t="n">
        <f aca="false">IF(OR(BA719="",N(AR719)=0),"",BA719-AR719)</f>
        <v>0</v>
      </c>
      <c r="BC719" s="35" t="n">
        <f aca="false">IF(OR(BA719="",N(U719)=0),"",BA719-U719)</f>
        <v>0.0564331704682582</v>
      </c>
      <c r="BD719" s="37"/>
    </row>
    <row r="720" customFormat="false" ht="15" hidden="false" customHeight="false" outlineLevel="0" collapsed="false">
      <c r="A720" s="2" t="s">
        <v>1067</v>
      </c>
      <c r="B720" s="2" t="n">
        <v>482</v>
      </c>
      <c r="C720" s="2" t="s">
        <v>1448</v>
      </c>
      <c r="D720" s="2" t="s">
        <v>1449</v>
      </c>
      <c r="E720" s="2" t="s">
        <v>143</v>
      </c>
      <c r="F720" s="27"/>
      <c r="G720" s="2" t="s">
        <v>52</v>
      </c>
      <c r="H720" s="2" t="s">
        <v>58</v>
      </c>
      <c r="I720" s="2" t="s">
        <v>144</v>
      </c>
      <c r="J720" s="2" t="s">
        <v>145</v>
      </c>
      <c r="K720" s="2" t="n">
        <v>4</v>
      </c>
      <c r="L720" s="28" t="n">
        <v>25</v>
      </c>
      <c r="M720" s="29" t="n">
        <v>0.09</v>
      </c>
      <c r="N720" s="28" t="n">
        <v>2.25</v>
      </c>
      <c r="O720" s="28" t="n">
        <v>25.45</v>
      </c>
      <c r="P720" s="2" t="s">
        <v>223</v>
      </c>
      <c r="Q720" s="29" t="n">
        <v>0</v>
      </c>
      <c r="R720" s="30" t="n">
        <v>0</v>
      </c>
      <c r="S720" s="31"/>
      <c r="T720" s="30"/>
      <c r="U720" s="30"/>
      <c r="V720" s="29" t="n">
        <v>-0.005</v>
      </c>
      <c r="W720" s="29" t="str">
        <f aca="false">IF(N(Q720)=0,"",Q720+IF(I720="yes",Q720*Inputs!$B$10*Inputs!$B$9,0)+V720)</f>
        <v/>
      </c>
      <c r="X720" s="28" t="str">
        <f aca="false">IF(OR(N(W720)&lt;=0,N(N720)=0,N(L720)=0),"",MIN(L720,N720/W720))</f>
        <v/>
      </c>
      <c r="Y720" s="29" t="str">
        <f aca="false">IF(OR(X720="",N(O720)=0),"",X720/O720-1)</f>
        <v/>
      </c>
      <c r="Z720" s="29" t="str">
        <f aca="false">IF(OR(Y720="",N(O720)=0),"",Y720+N720/O720)</f>
        <v/>
      </c>
      <c r="AA720" s="32" t="str">
        <f aca="false">IF(OR(Z720="",N(U720)=0),"",Z720-U720)</f>
        <v/>
      </c>
      <c r="AB720" s="29" t="str">
        <f aca="false">IF(N(Q720)=0,"",Q720+IF(I720="yes",Q720*Inputs!$B$10*Inputs!$B$9,0)+IFERROR(INDEX(Inputs!$B$13:$B$15,MATCH(G720,Inputs!$A$13:$A$15,0)),0)+IFERROR(INDEX(Inputs!$B$18:$B$24,MATCH(H720,Inputs!$A$18:$A$24,0)),0))</f>
        <v/>
      </c>
      <c r="AC720" s="28" t="str">
        <f aca="false">IF(OR(N(AB720)&lt;=0,N(N720)=0,N(L720)=0),"",MIN(L720,N720/AB720))</f>
        <v/>
      </c>
      <c r="AD720" s="29" t="str">
        <f aca="false">IF(OR(AC720="",N(O720)=0),"",AC720/O720-1)</f>
        <v/>
      </c>
      <c r="AE720" s="29" t="str">
        <f aca="false">IF(OR(AD720="",N(O720)=0),"",AD720+N720/O720)</f>
        <v/>
      </c>
      <c r="AF720" s="32" t="str">
        <f aca="false">IF(OR(AE720="",N(Z720)=0),"",AE720-Z720)</f>
        <v/>
      </c>
      <c r="AG720" s="28" t="n">
        <f aca="false">IF(AND(N(M720)&gt;0,N(L720)&gt;0),M720*L720,N720)</f>
        <v>2.25</v>
      </c>
      <c r="AH720" s="28" t="str">
        <f aca="false">IF(OR(N(AB720)&lt;=0,N(AG720)=0,N(L720)=0),"",MIN(L720,AG720/AB720))</f>
        <v/>
      </c>
      <c r="AI720" s="29" t="str">
        <f aca="false">IF(OR(AH720="",N(O720)=0),"",AH720/O720-1)</f>
        <v/>
      </c>
      <c r="AJ720" s="29" t="str">
        <f aca="false">IF(OR(AI720="",N(O720)=0),"",AI720+AG720/O720)</f>
        <v/>
      </c>
      <c r="AK720" s="32" t="str">
        <f aca="false">IF(OR(AJ720="",N(AE720)=0),"",AJ720-AE720)</f>
        <v/>
      </c>
      <c r="AL720" s="33" t="str">
        <f aca="false">IF(N(F720)=0,"",INDEX(Inputs!$B$28:$B$32,IFERROR(MATCH(F720,Inputs!$A$28:$A$32,1),0)+1))</f>
        <v/>
      </c>
      <c r="AM720" s="34"/>
      <c r="AN720" s="33" t="str">
        <f aca="false">IF(N(AM720)&gt;0,AM720,AL720)</f>
        <v/>
      </c>
      <c r="AO720" s="29" t="str">
        <f aca="false">IF(N(AN720)=0,"",AN720+IF(I720="yes",AN720*Inputs!$B$10*Inputs!$B$9,0)+IFERROR(INDEX(Inputs!$B$13:$B$15,MATCH(G720,Inputs!$A$13:$A$15,0)),0)+IFERROR(INDEX(Inputs!$B$18:$B$24,MATCH(H720,Inputs!$A$18:$A$24,0)),0))</f>
        <v/>
      </c>
      <c r="AP720" s="28" t="str">
        <f aca="false">IF(OR(N(AO720)&lt;=0,N(AG720)=0,N(L720)=0),"",MIN(L720,AG720/AO720))</f>
        <v/>
      </c>
      <c r="AQ720" s="29" t="str">
        <f aca="false">IF(OR(AP720="",N(O720)=0),"",AP720/O720-1)</f>
        <v/>
      </c>
      <c r="AR720" s="29" t="str">
        <f aca="false">IF(OR(AQ720="",N(O720)=0),"",AQ720+AG720/O720)</f>
        <v/>
      </c>
      <c r="AS720" s="32" t="str">
        <f aca="false">IF(OR(AR720="",N(AJ720)=0),"",AR720-AJ720)</f>
        <v/>
      </c>
      <c r="AT720" s="28" t="n">
        <v>25</v>
      </c>
      <c r="AU720" s="28" t="n">
        <v>2.25</v>
      </c>
      <c r="AV720" s="28" t="n">
        <f aca="false">IF(N(AT720)&gt;0,AT720,L720)</f>
        <v>25</v>
      </c>
      <c r="AW720" s="28" t="n">
        <f aca="false">IF(AND(N(M720)&gt;0,N(AV720)&gt;0),M720*AV720,IF(N(AU720)&gt;0,AU720,N720))</f>
        <v>2.25</v>
      </c>
      <c r="AX720" s="29" t="str">
        <f aca="false">IF(N(AN720)=0,"",AN720+IF(I720="yes",AN720*Inputs!$B$10*Inputs!$B$9,0)+IFERROR(INDEX(Inputs!$B$13:$B$15,MATCH(G720,Inputs!$A$13:$A$15,0)),0)+IFERROR(INDEX(Inputs!$B$18:$B$24,MATCH(H720,Inputs!$A$18:$A$24,0)),0))</f>
        <v/>
      </c>
      <c r="AY720" s="28" t="str">
        <f aca="false">IF(OR(N(AX720)&lt;=0,N(AW720)=0,N(AV720)=0),"",MIN(AV720,AW720/AX720))</f>
        <v/>
      </c>
      <c r="AZ720" s="29" t="str">
        <f aca="false">IF(OR(AY720="",N(O720)=0),"",AY720/O720-1)</f>
        <v/>
      </c>
      <c r="BA720" s="29" t="str">
        <f aca="false">IF(OR(AZ720="",N(O720)=0),"",AZ720+AW720/O720)</f>
        <v/>
      </c>
      <c r="BB720" s="32" t="str">
        <f aca="false">IF(OR(BA720="",N(AR720)=0),"",BA720-AR720)</f>
        <v/>
      </c>
      <c r="BC720" s="35" t="str">
        <f aca="false">IF(OR(BA720="",N(U720)=0),"",BA720-U720)</f>
        <v/>
      </c>
      <c r="BD720" s="36" t="s">
        <v>311</v>
      </c>
    </row>
    <row r="721" customFormat="false" ht="15" hidden="false" customHeight="false" outlineLevel="0" collapsed="false">
      <c r="A721" s="2" t="s">
        <v>1067</v>
      </c>
      <c r="B721" s="2" t="n">
        <v>486</v>
      </c>
      <c r="C721" s="2" t="s">
        <v>1450</v>
      </c>
      <c r="D721" s="2" t="s">
        <v>1451</v>
      </c>
      <c r="E721" s="2" t="s">
        <v>1452</v>
      </c>
      <c r="F721" s="27" t="n">
        <v>25000</v>
      </c>
      <c r="G721" s="2" t="s">
        <v>51</v>
      </c>
      <c r="H721" s="2" t="s">
        <v>58</v>
      </c>
      <c r="I721" s="2" t="s">
        <v>151</v>
      </c>
      <c r="J721" s="2" t="s">
        <v>145</v>
      </c>
      <c r="K721" s="2" t="n">
        <v>4</v>
      </c>
      <c r="L721" s="28" t="n">
        <v>25</v>
      </c>
      <c r="M721" s="29" t="n">
        <v>0.05625</v>
      </c>
      <c r="N721" s="28" t="n">
        <v>1.40625</v>
      </c>
      <c r="O721" s="28" t="n">
        <v>18.95</v>
      </c>
      <c r="P721" s="2" t="s">
        <v>146</v>
      </c>
      <c r="Q721" s="29" t="n">
        <v>0.08</v>
      </c>
      <c r="R721" s="30" t="n">
        <v>0.076</v>
      </c>
      <c r="S721" s="31" t="n">
        <v>18.5032894736842</v>
      </c>
      <c r="T721" s="30" t="n">
        <v>-0.0235731148451602</v>
      </c>
      <c r="U721" s="30" t="n">
        <v>0.0506353284266076</v>
      </c>
      <c r="V721" s="29" t="n">
        <v>0</v>
      </c>
      <c r="W721" s="29" t="n">
        <f aca="false">IF(N(Q721)=0,"",Q721+IF(I721="yes",Q721*Inputs!$B$10*Inputs!$B$9,0)+V721)</f>
        <v>0.076</v>
      </c>
      <c r="X721" s="28" t="n">
        <f aca="false">IF(OR(N(W721)&lt;=0,N(N721)=0,N(L721)=0),"",MIN(L721,N721/W721))</f>
        <v>18.5032894736842</v>
      </c>
      <c r="Y721" s="29" t="n">
        <f aca="false">IF(OR(X721="",N(O721)=0),"",X721/O721-1)</f>
        <v>-0.0235731148451602</v>
      </c>
      <c r="Z721" s="29" t="n">
        <f aca="false">IF(OR(Y721="",N(O721)=0),"",Y721+N721/O721)</f>
        <v>0.0506353284266076</v>
      </c>
      <c r="AA721" s="32" t="n">
        <f aca="false">IF(OR(Z721="",N(U721)=0),"",Z721-U721)</f>
        <v>0</v>
      </c>
      <c r="AB721" s="29" t="n">
        <f aca="false">IF(N(Q721)=0,"",Q721+IF(I721="yes",Q721*Inputs!$B$10*Inputs!$B$9,0)+IFERROR(INDEX(Inputs!$B$13:$B$15,MATCH(G721,Inputs!$A$13:$A$15,0)),0)+IFERROR(INDEX(Inputs!$B$18:$B$24,MATCH(H721,Inputs!$A$18:$A$24,0)),0))</f>
        <v>0.076</v>
      </c>
      <c r="AC721" s="28" t="n">
        <f aca="false">IF(OR(N(AB721)&lt;=0,N(N721)=0,N(L721)=0),"",MIN(L721,N721/AB721))</f>
        <v>18.5032894736842</v>
      </c>
      <c r="AD721" s="29" t="n">
        <f aca="false">IF(OR(AC721="",N(O721)=0),"",AC721/O721-1)</f>
        <v>-0.0235731148451602</v>
      </c>
      <c r="AE721" s="29" t="n">
        <f aca="false">IF(OR(AD721="",N(O721)=0),"",AD721+N721/O721)</f>
        <v>0.0506353284266076</v>
      </c>
      <c r="AF721" s="32" t="n">
        <f aca="false">IF(OR(AE721="",N(Z721)=0),"",AE721-Z721)</f>
        <v>0</v>
      </c>
      <c r="AG721" s="28" t="n">
        <f aca="false">IF(AND(N(M721)&gt;0,N(L721)&gt;0),M721*L721,N721)</f>
        <v>1.40625</v>
      </c>
      <c r="AH721" s="28" t="n">
        <f aca="false">IF(OR(N(AB721)&lt;=0,N(AG721)=0,N(L721)=0),"",MIN(L721,AG721/AB721))</f>
        <v>18.5032894736842</v>
      </c>
      <c r="AI721" s="29" t="n">
        <f aca="false">IF(OR(AH721="",N(O721)=0),"",AH721/O721-1)</f>
        <v>-0.0235731148451602</v>
      </c>
      <c r="AJ721" s="29" t="n">
        <f aca="false">IF(OR(AI721="",N(O721)=0),"",AI721+AG721/O721)</f>
        <v>0.0506353284266076</v>
      </c>
      <c r="AK721" s="32" t="n">
        <f aca="false">IF(OR(AJ721="",N(AE721)=0),"",AJ721-AE721)</f>
        <v>0</v>
      </c>
      <c r="AL721" s="33" t="n">
        <f aca="false">IF(N(F721)=0,"",INDEX(Inputs!$B$28:$B$32,IFERROR(MATCH(F721,Inputs!$A$28:$A$32,1),0)+1))</f>
        <v>0.075</v>
      </c>
      <c r="AM721" s="34"/>
      <c r="AN721" s="33" t="n">
        <f aca="false">IF(N(AM721)&gt;0,AM721,AL721)</f>
        <v>0.075</v>
      </c>
      <c r="AO721" s="29" t="n">
        <f aca="false">IF(N(AN721)=0,"",AN721+IF(I721="yes",AN721*Inputs!$B$10*Inputs!$B$9,0)+IFERROR(INDEX(Inputs!$B$13:$B$15,MATCH(G721,Inputs!$A$13:$A$15,0)),0)+IFERROR(INDEX(Inputs!$B$18:$B$24,MATCH(H721,Inputs!$A$18:$A$24,0)),0))</f>
        <v>0.07125</v>
      </c>
      <c r="AP721" s="28" t="n">
        <f aca="false">IF(OR(N(AO721)&lt;=0,N(AG721)=0,N(L721)=0),"",MIN(L721,AG721/AO721))</f>
        <v>19.7368421052632</v>
      </c>
      <c r="AQ721" s="29" t="n">
        <f aca="false">IF(OR(AP721="",N(O721)=0),"",AP721/O721-1)</f>
        <v>0.0415220108318291</v>
      </c>
      <c r="AR721" s="29" t="n">
        <f aca="false">IF(OR(AQ721="",N(O721)=0),"",AQ721+AG721/O721)</f>
        <v>0.115730454103597</v>
      </c>
      <c r="AS721" s="32" t="n">
        <f aca="false">IF(OR(AR721="",N(AJ721)=0),"",AR721-AJ721)</f>
        <v>0.0650951256769893</v>
      </c>
      <c r="AT721" s="28" t="n">
        <v>25</v>
      </c>
      <c r="AU721" s="28" t="n">
        <v>1.41</v>
      </c>
      <c r="AV721" s="28" t="n">
        <f aca="false">IF(N(AT721)&gt;0,AT721,L721)</f>
        <v>25</v>
      </c>
      <c r="AW721" s="28" t="n">
        <f aca="false">IF(AND(N(M721)&gt;0,N(AV721)&gt;0),M721*AV721,IF(N(AU721)&gt;0,AU721,N721))</f>
        <v>1.40625</v>
      </c>
      <c r="AX721" s="29" t="n">
        <f aca="false">IF(N(AN721)=0,"",AN721+IF(I721="yes",AN721*Inputs!$B$10*Inputs!$B$9,0)+IFERROR(INDEX(Inputs!$B$13:$B$15,MATCH(G721,Inputs!$A$13:$A$15,0)),0)+IFERROR(INDEX(Inputs!$B$18:$B$24,MATCH(H721,Inputs!$A$18:$A$24,0)),0))</f>
        <v>0.07125</v>
      </c>
      <c r="AY721" s="28" t="n">
        <f aca="false">IF(OR(N(AX721)&lt;=0,N(AW721)=0,N(AV721)=0),"",MIN(AV721,AW721/AX721))</f>
        <v>19.7368421052632</v>
      </c>
      <c r="AZ721" s="29" t="n">
        <f aca="false">IF(OR(AY721="",N(O721)=0),"",AY721/O721-1)</f>
        <v>0.0415220108318291</v>
      </c>
      <c r="BA721" s="29" t="n">
        <f aca="false">IF(OR(AZ721="",N(O721)=0),"",AZ721+AW721/O721)</f>
        <v>0.115730454103597</v>
      </c>
      <c r="BB721" s="32" t="n">
        <f aca="false">IF(OR(BA721="",N(AR721)=0),"",BA721-AR721)</f>
        <v>0</v>
      </c>
      <c r="BC721" s="35" t="n">
        <f aca="false">IF(OR(BA721="",N(U721)=0),"",BA721-U721)</f>
        <v>0.0650951256769893</v>
      </c>
      <c r="BD721" s="37"/>
    </row>
    <row r="722" customFormat="false" ht="15" hidden="false" customHeight="false" outlineLevel="0" collapsed="false">
      <c r="A722" s="2" t="s">
        <v>1453</v>
      </c>
      <c r="B722" s="2" t="n">
        <v>7</v>
      </c>
      <c r="C722" s="2" t="s">
        <v>1454</v>
      </c>
      <c r="D722" s="2" t="s">
        <v>1455</v>
      </c>
      <c r="E722" s="2" t="s">
        <v>1456</v>
      </c>
      <c r="F722" s="27" t="n">
        <v>172300</v>
      </c>
      <c r="G722" s="2" t="s">
        <v>54</v>
      </c>
      <c r="H722" s="2" t="s">
        <v>58</v>
      </c>
      <c r="I722" s="2" t="s">
        <v>144</v>
      </c>
      <c r="J722" s="2" t="s">
        <v>277</v>
      </c>
      <c r="K722" s="2" t="n">
        <v>2</v>
      </c>
      <c r="L722" s="28" t="n">
        <v>25</v>
      </c>
      <c r="M722" s="29" t="n">
        <v>0.07</v>
      </c>
      <c r="N722" s="28" t="n">
        <v>1.75</v>
      </c>
      <c r="O722" s="28" t="n">
        <v>21</v>
      </c>
      <c r="P722" s="2" t="s">
        <v>146</v>
      </c>
      <c r="Q722" s="29" t="n">
        <v>0.08</v>
      </c>
      <c r="R722" s="30" t="n">
        <v>0.08</v>
      </c>
      <c r="S722" s="31" t="n">
        <v>21.875</v>
      </c>
      <c r="T722" s="30" t="n">
        <v>0.0416666666666667</v>
      </c>
      <c r="U722" s="30" t="n">
        <v>0.125</v>
      </c>
      <c r="V722" s="29" t="n">
        <v>-0.005</v>
      </c>
      <c r="W722" s="29" t="n">
        <f aca="false">IF(N(Q722)=0,"",Q722+IF(I722="yes",Q722*Inputs!$B$10*Inputs!$B$9,0)+V722)</f>
        <v>0.075</v>
      </c>
      <c r="X722" s="28" t="n">
        <f aca="false">IF(OR(N(W722)&lt;=0,N(N722)=0,N(L722)=0),"",MIN(L722,N722/W722))</f>
        <v>23.3333333333333</v>
      </c>
      <c r="Y722" s="29" t="n">
        <f aca="false">IF(OR(X722="",N(O722)=0),"",X722/O722-1)</f>
        <v>0.111111111111111</v>
      </c>
      <c r="Z722" s="29" t="n">
        <f aca="false">IF(OR(Y722="",N(O722)=0),"",Y722+N722/O722)</f>
        <v>0.194444444444444</v>
      </c>
      <c r="AA722" s="32" t="n">
        <f aca="false">IF(OR(Z722="",N(U722)=0),"",Z722-U722)</f>
        <v>0.0694444444444444</v>
      </c>
      <c r="AB722" s="29" t="n">
        <f aca="false">IF(N(Q722)=0,"",Q722+IF(I722="yes",Q722*Inputs!$B$10*Inputs!$B$9,0)+IFERROR(INDEX(Inputs!$B$13:$B$15,MATCH(G722,Inputs!$A$13:$A$15,0)),0)+IFERROR(INDEX(Inputs!$B$18:$B$24,MATCH(H722,Inputs!$A$18:$A$24,0)),0))</f>
        <v>0.075</v>
      </c>
      <c r="AC722" s="28" t="n">
        <f aca="false">IF(OR(N(AB722)&lt;=0,N(N722)=0,N(L722)=0),"",MIN(L722,N722/AB722))</f>
        <v>23.3333333333333</v>
      </c>
      <c r="AD722" s="29" t="n">
        <f aca="false">IF(OR(AC722="",N(O722)=0),"",AC722/O722-1)</f>
        <v>0.111111111111111</v>
      </c>
      <c r="AE722" s="29" t="n">
        <f aca="false">IF(OR(AD722="",N(O722)=0),"",AD722+N722/O722)</f>
        <v>0.194444444444444</v>
      </c>
      <c r="AF722" s="32" t="n">
        <f aca="false">IF(OR(AE722="",N(Z722)=0),"",AE722-Z722)</f>
        <v>0</v>
      </c>
      <c r="AG722" s="28" t="n">
        <f aca="false">IF(AND(N(M722)&gt;0,N(L722)&gt;0),M722*L722,N722)</f>
        <v>1.75</v>
      </c>
      <c r="AH722" s="28" t="n">
        <f aca="false">IF(OR(N(AB722)&lt;=0,N(AG722)=0,N(L722)=0),"",MIN(L722,AG722/AB722))</f>
        <v>23.3333333333333</v>
      </c>
      <c r="AI722" s="29" t="n">
        <f aca="false">IF(OR(AH722="",N(O722)=0),"",AH722/O722-1)</f>
        <v>0.111111111111111</v>
      </c>
      <c r="AJ722" s="29" t="n">
        <f aca="false">IF(OR(AI722="",N(O722)=0),"",AI722+AG722/O722)</f>
        <v>0.194444444444445</v>
      </c>
      <c r="AK722" s="32" t="n">
        <f aca="false">IF(OR(AJ722="",N(AE722)=0),"",AJ722-AE722)</f>
        <v>0</v>
      </c>
      <c r="AL722" s="33" t="n">
        <f aca="false">IF(N(F722)=0,"",INDEX(Inputs!$B$28:$B$32,IFERROR(MATCH(F722,Inputs!$A$28:$A$32,1),0)+1))</f>
        <v>0.075</v>
      </c>
      <c r="AM722" s="34"/>
      <c r="AN722" s="33" t="n">
        <f aca="false">IF(N(AM722)&gt;0,AM722,AL722)</f>
        <v>0.075</v>
      </c>
      <c r="AO722" s="29" t="n">
        <f aca="false">IF(N(AN722)=0,"",AN722+IF(I722="yes",AN722*Inputs!$B$10*Inputs!$B$9,0)+IFERROR(INDEX(Inputs!$B$13:$B$15,MATCH(G722,Inputs!$A$13:$A$15,0)),0)+IFERROR(INDEX(Inputs!$B$18:$B$24,MATCH(H722,Inputs!$A$18:$A$24,0)),0))</f>
        <v>0.07</v>
      </c>
      <c r="AP722" s="28" t="n">
        <f aca="false">IF(OR(N(AO722)&lt;=0,N(AG722)=0,N(L722)=0),"",MIN(L722,AG722/AO722))</f>
        <v>25</v>
      </c>
      <c r="AQ722" s="29" t="n">
        <f aca="false">IF(OR(AP722="",N(O722)=0),"",AP722/O722-1)</f>
        <v>0.19047619047619</v>
      </c>
      <c r="AR722" s="29" t="n">
        <f aca="false">IF(OR(AQ722="",N(O722)=0),"",AQ722+AG722/O722)</f>
        <v>0.273809523809524</v>
      </c>
      <c r="AS722" s="32" t="n">
        <f aca="false">IF(OR(AR722="",N(AJ722)=0),"",AR722-AJ722)</f>
        <v>0.0793650793650793</v>
      </c>
      <c r="AT722" s="28" t="n">
        <v>25</v>
      </c>
      <c r="AU722" s="28" t="n">
        <v>1.75</v>
      </c>
      <c r="AV722" s="28" t="n">
        <f aca="false">IF(N(AT722)&gt;0,AT722,L722)</f>
        <v>25</v>
      </c>
      <c r="AW722" s="28" t="n">
        <f aca="false">IF(AND(N(M722)&gt;0,N(AV722)&gt;0),M722*AV722,IF(N(AU722)&gt;0,AU722,N722))</f>
        <v>1.75</v>
      </c>
      <c r="AX722" s="29" t="n">
        <f aca="false">IF(N(AN722)=0,"",AN722+IF(I722="yes",AN722*Inputs!$B$10*Inputs!$B$9,0)+IFERROR(INDEX(Inputs!$B$13:$B$15,MATCH(G722,Inputs!$A$13:$A$15,0)),0)+IFERROR(INDEX(Inputs!$B$18:$B$24,MATCH(H722,Inputs!$A$18:$A$24,0)),0))</f>
        <v>0.07</v>
      </c>
      <c r="AY722" s="28" t="n">
        <f aca="false">IF(OR(N(AX722)&lt;=0,N(AW722)=0,N(AV722)=0),"",MIN(AV722,AW722/AX722))</f>
        <v>25</v>
      </c>
      <c r="AZ722" s="29" t="n">
        <f aca="false">IF(OR(AY722="",N(O722)=0),"",AY722/O722-1)</f>
        <v>0.19047619047619</v>
      </c>
      <c r="BA722" s="29" t="n">
        <f aca="false">IF(OR(AZ722="",N(O722)=0),"",AZ722+AW722/O722)</f>
        <v>0.273809523809524</v>
      </c>
      <c r="BB722" s="32" t="n">
        <f aca="false">IF(OR(BA722="",N(AR722)=0),"",BA722-AR722)</f>
        <v>0</v>
      </c>
      <c r="BC722" s="35" t="n">
        <f aca="false">IF(OR(BA722="",N(U722)=0),"",BA722-U722)</f>
        <v>0.148809523809524</v>
      </c>
      <c r="BD722" s="37"/>
    </row>
    <row r="723" customFormat="false" ht="15" hidden="false" customHeight="false" outlineLevel="0" collapsed="false">
      <c r="A723" s="2" t="s">
        <v>1453</v>
      </c>
      <c r="B723" s="2" t="n">
        <v>8</v>
      </c>
      <c r="C723" s="2" t="s">
        <v>1457</v>
      </c>
      <c r="D723" s="2" t="s">
        <v>1455</v>
      </c>
      <c r="E723" s="2" t="s">
        <v>1456</v>
      </c>
      <c r="F723" s="27" t="n">
        <v>172300</v>
      </c>
      <c r="G723" s="2" t="s">
        <v>51</v>
      </c>
      <c r="H723" s="2" t="s">
        <v>58</v>
      </c>
      <c r="I723" s="2" t="s">
        <v>151</v>
      </c>
      <c r="J723" s="2" t="s">
        <v>145</v>
      </c>
      <c r="K723" s="2" t="n">
        <v>4</v>
      </c>
      <c r="L723" s="28" t="n">
        <v>25</v>
      </c>
      <c r="M723" s="29" t="n">
        <v>0.05</v>
      </c>
      <c r="N723" s="28" t="n">
        <v>1.25</v>
      </c>
      <c r="O723" s="28" t="n">
        <v>17.67</v>
      </c>
      <c r="P723" s="2" t="s">
        <v>146</v>
      </c>
      <c r="Q723" s="29" t="n">
        <v>0.08</v>
      </c>
      <c r="R723" s="30" t="n">
        <v>0.076</v>
      </c>
      <c r="S723" s="31" t="n">
        <v>16.4473684210526</v>
      </c>
      <c r="T723" s="30" t="n">
        <v>-0.0691925058827033</v>
      </c>
      <c r="U723" s="30" t="n">
        <v>0.00154886367021122</v>
      </c>
      <c r="V723" s="29" t="n">
        <v>0</v>
      </c>
      <c r="W723" s="29" t="n">
        <f aca="false">IF(N(Q723)=0,"",Q723+IF(I723="yes",Q723*Inputs!$B$10*Inputs!$B$9,0)+V723)</f>
        <v>0.076</v>
      </c>
      <c r="X723" s="28" t="n">
        <f aca="false">IF(OR(N(W723)&lt;=0,N(N723)=0,N(L723)=0),"",MIN(L723,N723/W723))</f>
        <v>16.4473684210526</v>
      </c>
      <c r="Y723" s="29" t="n">
        <f aca="false">IF(OR(X723="",N(O723)=0),"",X723/O723-1)</f>
        <v>-0.0691925058827033</v>
      </c>
      <c r="Z723" s="29" t="n">
        <f aca="false">IF(OR(Y723="",N(O723)=0),"",Y723+N723/O723)</f>
        <v>0.00154886367021122</v>
      </c>
      <c r="AA723" s="32" t="n">
        <f aca="false">IF(OR(Z723="",N(U723)=0),"",Z723-U723)</f>
        <v>0</v>
      </c>
      <c r="AB723" s="29" t="n">
        <f aca="false">IF(N(Q723)=0,"",Q723+IF(I723="yes",Q723*Inputs!$B$10*Inputs!$B$9,0)+IFERROR(INDEX(Inputs!$B$13:$B$15,MATCH(G723,Inputs!$A$13:$A$15,0)),0)+IFERROR(INDEX(Inputs!$B$18:$B$24,MATCH(H723,Inputs!$A$18:$A$24,0)),0))</f>
        <v>0.076</v>
      </c>
      <c r="AC723" s="28" t="n">
        <f aca="false">IF(OR(N(AB723)&lt;=0,N(N723)=0,N(L723)=0),"",MIN(L723,N723/AB723))</f>
        <v>16.4473684210526</v>
      </c>
      <c r="AD723" s="29" t="n">
        <f aca="false">IF(OR(AC723="",N(O723)=0),"",AC723/O723-1)</f>
        <v>-0.0691925058827033</v>
      </c>
      <c r="AE723" s="29" t="n">
        <f aca="false">IF(OR(AD723="",N(O723)=0),"",AD723+N723/O723)</f>
        <v>0.00154886367021122</v>
      </c>
      <c r="AF723" s="32" t="n">
        <f aca="false">IF(OR(AE723="",N(Z723)=0),"",AE723-Z723)</f>
        <v>0</v>
      </c>
      <c r="AG723" s="28" t="n">
        <f aca="false">IF(AND(N(M723)&gt;0,N(L723)&gt;0),M723*L723,N723)</f>
        <v>1.25</v>
      </c>
      <c r="AH723" s="28" t="n">
        <f aca="false">IF(OR(N(AB723)&lt;=0,N(AG723)=0,N(L723)=0),"",MIN(L723,AG723/AB723))</f>
        <v>16.4473684210526</v>
      </c>
      <c r="AI723" s="29" t="n">
        <f aca="false">IF(OR(AH723="",N(O723)=0),"",AH723/O723-1)</f>
        <v>-0.0691925058827033</v>
      </c>
      <c r="AJ723" s="29" t="n">
        <f aca="false">IF(OR(AI723="",N(O723)=0),"",AI723+AG723/O723)</f>
        <v>0.00154886367021122</v>
      </c>
      <c r="AK723" s="32" t="n">
        <f aca="false">IF(OR(AJ723="",N(AE723)=0),"",AJ723-AE723)</f>
        <v>0</v>
      </c>
      <c r="AL723" s="33" t="n">
        <f aca="false">IF(N(F723)=0,"",INDEX(Inputs!$B$28:$B$32,IFERROR(MATCH(F723,Inputs!$A$28:$A$32,1),0)+1))</f>
        <v>0.075</v>
      </c>
      <c r="AM723" s="34"/>
      <c r="AN723" s="33" t="n">
        <f aca="false">IF(N(AM723)&gt;0,AM723,AL723)</f>
        <v>0.075</v>
      </c>
      <c r="AO723" s="29" t="n">
        <f aca="false">IF(N(AN723)=0,"",AN723+IF(I723="yes",AN723*Inputs!$B$10*Inputs!$B$9,0)+IFERROR(INDEX(Inputs!$B$13:$B$15,MATCH(G723,Inputs!$A$13:$A$15,0)),0)+IFERROR(INDEX(Inputs!$B$18:$B$24,MATCH(H723,Inputs!$A$18:$A$24,0)),0))</f>
        <v>0.07125</v>
      </c>
      <c r="AP723" s="28" t="n">
        <f aca="false">IF(OR(N(AO723)&lt;=0,N(AG723)=0,N(L723)=0),"",MIN(L723,AG723/AO723))</f>
        <v>17.5438596491228</v>
      </c>
      <c r="AQ723" s="29" t="n">
        <f aca="false">IF(OR(AP723="",N(O723)=0),"",AP723/O723-1)</f>
        <v>-0.00713867294155024</v>
      </c>
      <c r="AR723" s="29" t="n">
        <f aca="false">IF(OR(AQ723="",N(O723)=0),"",AQ723+AG723/O723)</f>
        <v>0.0636026966113643</v>
      </c>
      <c r="AS723" s="32" t="n">
        <f aca="false">IF(OR(AR723="",N(AJ723)=0),"",AR723-AJ723)</f>
        <v>0.0620538329411531</v>
      </c>
      <c r="AT723" s="28" t="n">
        <v>25</v>
      </c>
      <c r="AU723" s="28" t="n">
        <v>1.25</v>
      </c>
      <c r="AV723" s="28" t="n">
        <f aca="false">IF(N(AT723)&gt;0,AT723,L723)</f>
        <v>25</v>
      </c>
      <c r="AW723" s="28" t="n">
        <f aca="false">IF(AND(N(M723)&gt;0,N(AV723)&gt;0),M723*AV723,IF(N(AU723)&gt;0,AU723,N723))</f>
        <v>1.25</v>
      </c>
      <c r="AX723" s="29" t="n">
        <f aca="false">IF(N(AN723)=0,"",AN723+IF(I723="yes",AN723*Inputs!$B$10*Inputs!$B$9,0)+IFERROR(INDEX(Inputs!$B$13:$B$15,MATCH(G723,Inputs!$A$13:$A$15,0)),0)+IFERROR(INDEX(Inputs!$B$18:$B$24,MATCH(H723,Inputs!$A$18:$A$24,0)),0))</f>
        <v>0.07125</v>
      </c>
      <c r="AY723" s="28" t="n">
        <f aca="false">IF(OR(N(AX723)&lt;=0,N(AW723)=0,N(AV723)=0),"",MIN(AV723,AW723/AX723))</f>
        <v>17.5438596491228</v>
      </c>
      <c r="AZ723" s="29" t="n">
        <f aca="false">IF(OR(AY723="",N(O723)=0),"",AY723/O723-1)</f>
        <v>-0.00713867294155024</v>
      </c>
      <c r="BA723" s="29" t="n">
        <f aca="false">IF(OR(AZ723="",N(O723)=0),"",AZ723+AW723/O723)</f>
        <v>0.0636026966113643</v>
      </c>
      <c r="BB723" s="32" t="n">
        <f aca="false">IF(OR(BA723="",N(AR723)=0),"",BA723-AR723)</f>
        <v>0</v>
      </c>
      <c r="BC723" s="35" t="n">
        <f aca="false">IF(OR(BA723="",N(U723)=0),"",BA723-U723)</f>
        <v>0.0620538329411531</v>
      </c>
      <c r="BD723" s="37"/>
    </row>
    <row r="724" customFormat="false" ht="15" hidden="false" customHeight="false" outlineLevel="0" collapsed="false">
      <c r="A724" s="2" t="s">
        <v>1453</v>
      </c>
      <c r="B724" s="2" t="n">
        <v>9</v>
      </c>
      <c r="C724" s="2" t="s">
        <v>1458</v>
      </c>
      <c r="D724" s="2" t="s">
        <v>1455</v>
      </c>
      <c r="E724" s="2" t="s">
        <v>1456</v>
      </c>
      <c r="F724" s="27" t="n">
        <v>172300</v>
      </c>
      <c r="G724" s="2" t="s">
        <v>51</v>
      </c>
      <c r="H724" s="2" t="s">
        <v>58</v>
      </c>
      <c r="I724" s="2" t="s">
        <v>151</v>
      </c>
      <c r="J724" s="2" t="s">
        <v>145</v>
      </c>
      <c r="K724" s="2" t="n">
        <v>4</v>
      </c>
      <c r="L724" s="28" t="n">
        <v>25</v>
      </c>
      <c r="M724" s="29" t="n">
        <v>0.0475</v>
      </c>
      <c r="N724" s="28" t="n">
        <v>1.1875</v>
      </c>
      <c r="O724" s="28" t="n">
        <v>16.82</v>
      </c>
      <c r="P724" s="2" t="s">
        <v>146</v>
      </c>
      <c r="Q724" s="29" t="n">
        <v>0.08</v>
      </c>
      <c r="R724" s="30" t="n">
        <v>0.076</v>
      </c>
      <c r="S724" s="31" t="n">
        <v>15.625</v>
      </c>
      <c r="T724" s="30" t="n">
        <v>-0.0710463733650416</v>
      </c>
      <c r="U724" s="30" t="n">
        <v>-0.000445897740784768</v>
      </c>
      <c r="V724" s="29" t="n">
        <v>0</v>
      </c>
      <c r="W724" s="29" t="n">
        <f aca="false">IF(N(Q724)=0,"",Q724+IF(I724="yes",Q724*Inputs!$B$10*Inputs!$B$9,0)+V724)</f>
        <v>0.076</v>
      </c>
      <c r="X724" s="28" t="n">
        <f aca="false">IF(OR(N(W724)&lt;=0,N(N724)=0,N(L724)=0),"",MIN(L724,N724/W724))</f>
        <v>15.625</v>
      </c>
      <c r="Y724" s="29" t="n">
        <f aca="false">IF(OR(X724="",N(O724)=0),"",X724/O724-1)</f>
        <v>-0.0710463733650416</v>
      </c>
      <c r="Z724" s="29" t="n">
        <f aca="false">IF(OR(Y724="",N(O724)=0),"",Y724+N724/O724)</f>
        <v>-0.000445897740784768</v>
      </c>
      <c r="AA724" s="32" t="n">
        <f aca="false">IF(OR(Z724="",N(U724)=0),"",Z724-U724)</f>
        <v>0</v>
      </c>
      <c r="AB724" s="29" t="n">
        <f aca="false">IF(N(Q724)=0,"",Q724+IF(I724="yes",Q724*Inputs!$B$10*Inputs!$B$9,0)+IFERROR(INDEX(Inputs!$B$13:$B$15,MATCH(G724,Inputs!$A$13:$A$15,0)),0)+IFERROR(INDEX(Inputs!$B$18:$B$24,MATCH(H724,Inputs!$A$18:$A$24,0)),0))</f>
        <v>0.076</v>
      </c>
      <c r="AC724" s="28" t="n">
        <f aca="false">IF(OR(N(AB724)&lt;=0,N(N724)=0,N(L724)=0),"",MIN(L724,N724/AB724))</f>
        <v>15.625</v>
      </c>
      <c r="AD724" s="29" t="n">
        <f aca="false">IF(OR(AC724="",N(O724)=0),"",AC724/O724-1)</f>
        <v>-0.0710463733650416</v>
      </c>
      <c r="AE724" s="29" t="n">
        <f aca="false">IF(OR(AD724="",N(O724)=0),"",AD724+N724/O724)</f>
        <v>-0.000445897740784768</v>
      </c>
      <c r="AF724" s="32" t="n">
        <f aca="false">IF(OR(AE724="",N(Z724)=0),"",AE724-Z724)</f>
        <v>0</v>
      </c>
      <c r="AG724" s="28" t="n">
        <f aca="false">IF(AND(N(M724)&gt;0,N(L724)&gt;0),M724*L724,N724)</f>
        <v>1.1875</v>
      </c>
      <c r="AH724" s="28" t="n">
        <f aca="false">IF(OR(N(AB724)&lt;=0,N(AG724)=0,N(L724)=0),"",MIN(L724,AG724/AB724))</f>
        <v>15.625</v>
      </c>
      <c r="AI724" s="29" t="n">
        <f aca="false">IF(OR(AH724="",N(O724)=0),"",AH724/O724-1)</f>
        <v>-0.0710463733650416</v>
      </c>
      <c r="AJ724" s="29" t="n">
        <f aca="false">IF(OR(AI724="",N(O724)=0),"",AI724+AG724/O724)</f>
        <v>-0.000445897740784768</v>
      </c>
      <c r="AK724" s="32" t="n">
        <f aca="false">IF(OR(AJ724="",N(AE724)=0),"",AJ724-AE724)</f>
        <v>0</v>
      </c>
      <c r="AL724" s="33" t="n">
        <f aca="false">IF(N(F724)=0,"",INDEX(Inputs!$B$28:$B$32,IFERROR(MATCH(F724,Inputs!$A$28:$A$32,1),0)+1))</f>
        <v>0.075</v>
      </c>
      <c r="AM724" s="34"/>
      <c r="AN724" s="33" t="n">
        <f aca="false">IF(N(AM724)&gt;0,AM724,AL724)</f>
        <v>0.075</v>
      </c>
      <c r="AO724" s="29" t="n">
        <f aca="false">IF(N(AN724)=0,"",AN724+IF(I724="yes",AN724*Inputs!$B$10*Inputs!$B$9,0)+IFERROR(INDEX(Inputs!$B$13:$B$15,MATCH(G724,Inputs!$A$13:$A$15,0)),0)+IFERROR(INDEX(Inputs!$B$18:$B$24,MATCH(H724,Inputs!$A$18:$A$24,0)),0))</f>
        <v>0.07125</v>
      </c>
      <c r="AP724" s="28" t="n">
        <f aca="false">IF(OR(N(AO724)&lt;=0,N(AG724)=0,N(L724)=0),"",MIN(L724,AG724/AO724))</f>
        <v>16.6666666666667</v>
      </c>
      <c r="AQ724" s="29" t="n">
        <f aca="false">IF(OR(AP724="",N(O724)=0),"",AP724/O724-1)</f>
        <v>-0.00911613158937763</v>
      </c>
      <c r="AR724" s="29" t="n">
        <f aca="false">IF(OR(AQ724="",N(O724)=0),"",AQ724+AG724/O724)</f>
        <v>0.0614843440348792</v>
      </c>
      <c r="AS724" s="32" t="n">
        <f aca="false">IF(OR(AR724="",N(AJ724)=0),"",AR724-AJ724)</f>
        <v>0.061930241775664</v>
      </c>
      <c r="AT724" s="28" t="n">
        <v>25</v>
      </c>
      <c r="AU724" s="28" t="n">
        <v>1.1875</v>
      </c>
      <c r="AV724" s="28" t="n">
        <f aca="false">IF(N(AT724)&gt;0,AT724,L724)</f>
        <v>25</v>
      </c>
      <c r="AW724" s="28" t="n">
        <f aca="false">IF(AND(N(M724)&gt;0,N(AV724)&gt;0),M724*AV724,IF(N(AU724)&gt;0,AU724,N724))</f>
        <v>1.1875</v>
      </c>
      <c r="AX724" s="29" t="n">
        <f aca="false">IF(N(AN724)=0,"",AN724+IF(I724="yes",AN724*Inputs!$B$10*Inputs!$B$9,0)+IFERROR(INDEX(Inputs!$B$13:$B$15,MATCH(G724,Inputs!$A$13:$A$15,0)),0)+IFERROR(INDEX(Inputs!$B$18:$B$24,MATCH(H724,Inputs!$A$18:$A$24,0)),0))</f>
        <v>0.07125</v>
      </c>
      <c r="AY724" s="28" t="n">
        <f aca="false">IF(OR(N(AX724)&lt;=0,N(AW724)=0,N(AV724)=0),"",MIN(AV724,AW724/AX724))</f>
        <v>16.6666666666667</v>
      </c>
      <c r="AZ724" s="29" t="n">
        <f aca="false">IF(OR(AY724="",N(O724)=0),"",AY724/O724-1)</f>
        <v>-0.00911613158937763</v>
      </c>
      <c r="BA724" s="29" t="n">
        <f aca="false">IF(OR(AZ724="",N(O724)=0),"",AZ724+AW724/O724)</f>
        <v>0.0614843440348792</v>
      </c>
      <c r="BB724" s="32" t="n">
        <f aca="false">IF(OR(BA724="",N(AR724)=0),"",BA724-AR724)</f>
        <v>0</v>
      </c>
      <c r="BC724" s="35" t="n">
        <f aca="false">IF(OR(BA724="",N(U724)=0),"",BA724-U724)</f>
        <v>0.061930241775664</v>
      </c>
      <c r="BD724" s="37"/>
    </row>
    <row r="725" customFormat="false" ht="15" hidden="false" customHeight="false" outlineLevel="0" collapsed="false">
      <c r="A725" s="2" t="s">
        <v>1453</v>
      </c>
      <c r="B725" s="2" t="n">
        <v>10</v>
      </c>
      <c r="C725" s="2" t="s">
        <v>1459</v>
      </c>
      <c r="D725" s="2" t="s">
        <v>1455</v>
      </c>
      <c r="E725" s="2" t="s">
        <v>1456</v>
      </c>
      <c r="F725" s="27" t="n">
        <v>172300</v>
      </c>
      <c r="G725" s="2" t="s">
        <v>52</v>
      </c>
      <c r="H725" s="2" t="s">
        <v>58</v>
      </c>
      <c r="I725" s="2" t="s">
        <v>144</v>
      </c>
      <c r="J725" s="2" t="s">
        <v>145</v>
      </c>
      <c r="K725" s="2" t="n">
        <v>4</v>
      </c>
      <c r="L725" s="28" t="n">
        <v>25</v>
      </c>
      <c r="M725" s="29" t="n">
        <v>0.05625</v>
      </c>
      <c r="N725" s="28" t="n">
        <v>1.40625</v>
      </c>
      <c r="O725" s="28" t="n">
        <v>0</v>
      </c>
      <c r="P725" s="2" t="s">
        <v>146</v>
      </c>
      <c r="Q725" s="29" t="n">
        <v>0.08</v>
      </c>
      <c r="R725" s="30" t="n">
        <v>0.075</v>
      </c>
      <c r="S725" s="31" t="n">
        <v>18.75</v>
      </c>
      <c r="T725" s="30"/>
      <c r="U725" s="30"/>
      <c r="V725" s="29" t="n">
        <v>-0.005</v>
      </c>
      <c r="W725" s="29" t="n">
        <f aca="false">IF(N(Q725)=0,"",Q725+IF(I725="yes",Q725*Inputs!$B$10*Inputs!$B$9,0)+V725)</f>
        <v>0.075</v>
      </c>
      <c r="X725" s="28" t="n">
        <f aca="false">IF(OR(N(W725)&lt;=0,N(N725)=0,N(L725)=0),"",MIN(L725,N725/W725))</f>
        <v>18.75</v>
      </c>
      <c r="Y725" s="29" t="str">
        <f aca="false">IF(OR(X725="",N(O725)=0),"",X725/O725-1)</f>
        <v/>
      </c>
      <c r="Z725" s="29" t="str">
        <f aca="false">IF(OR(Y725="",N(O725)=0),"",Y725+N725/O725)</f>
        <v/>
      </c>
      <c r="AA725" s="32" t="str">
        <f aca="false">IF(OR(Z725="",N(U725)=0),"",Z725-U725)</f>
        <v/>
      </c>
      <c r="AB725" s="29" t="n">
        <f aca="false">IF(N(Q725)=0,"",Q725+IF(I725="yes",Q725*Inputs!$B$10*Inputs!$B$9,0)+IFERROR(INDEX(Inputs!$B$13:$B$15,MATCH(G725,Inputs!$A$13:$A$15,0)),0)+IFERROR(INDEX(Inputs!$B$18:$B$24,MATCH(H725,Inputs!$A$18:$A$24,0)),0))</f>
        <v>0.075</v>
      </c>
      <c r="AC725" s="28" t="n">
        <f aca="false">IF(OR(N(AB725)&lt;=0,N(N725)=0,N(L725)=0),"",MIN(L725,N725/AB725))</f>
        <v>18.75</v>
      </c>
      <c r="AD725" s="29" t="str">
        <f aca="false">IF(OR(AC725="",N(O725)=0),"",AC725/O725-1)</f>
        <v/>
      </c>
      <c r="AE725" s="29" t="str">
        <f aca="false">IF(OR(AD725="",N(O725)=0),"",AD725+N725/O725)</f>
        <v/>
      </c>
      <c r="AF725" s="32" t="str">
        <f aca="false">IF(OR(AE725="",N(Z725)=0),"",AE725-Z725)</f>
        <v/>
      </c>
      <c r="AG725" s="28" t="n">
        <f aca="false">IF(AND(N(M725)&gt;0,N(L725)&gt;0),M725*L725,N725)</f>
        <v>1.40625</v>
      </c>
      <c r="AH725" s="28" t="n">
        <f aca="false">IF(OR(N(AB725)&lt;=0,N(AG725)=0,N(L725)=0),"",MIN(L725,AG725/AB725))</f>
        <v>18.75</v>
      </c>
      <c r="AI725" s="29" t="str">
        <f aca="false">IF(OR(AH725="",N(O725)=0),"",AH725/O725-1)</f>
        <v/>
      </c>
      <c r="AJ725" s="29" t="str">
        <f aca="false">IF(OR(AI725="",N(O725)=0),"",AI725+AG725/O725)</f>
        <v/>
      </c>
      <c r="AK725" s="32" t="str">
        <f aca="false">IF(OR(AJ725="",N(AE725)=0),"",AJ725-AE725)</f>
        <v/>
      </c>
      <c r="AL725" s="33" t="n">
        <f aca="false">IF(N(F725)=0,"",INDEX(Inputs!$B$28:$B$32,IFERROR(MATCH(F725,Inputs!$A$28:$A$32,1),0)+1))</f>
        <v>0.075</v>
      </c>
      <c r="AM725" s="34"/>
      <c r="AN725" s="33" t="n">
        <f aca="false">IF(N(AM725)&gt;0,AM725,AL725)</f>
        <v>0.075</v>
      </c>
      <c r="AO725" s="29" t="n">
        <f aca="false">IF(N(AN725)=0,"",AN725+IF(I725="yes",AN725*Inputs!$B$10*Inputs!$B$9,0)+IFERROR(INDEX(Inputs!$B$13:$B$15,MATCH(G725,Inputs!$A$13:$A$15,0)),0)+IFERROR(INDEX(Inputs!$B$18:$B$24,MATCH(H725,Inputs!$A$18:$A$24,0)),0))</f>
        <v>0.07</v>
      </c>
      <c r="AP725" s="28" t="n">
        <f aca="false">IF(OR(N(AO725)&lt;=0,N(AG725)=0,N(L725)=0),"",MIN(L725,AG725/AO725))</f>
        <v>20.0892857142857</v>
      </c>
      <c r="AQ725" s="29" t="str">
        <f aca="false">IF(OR(AP725="",N(O725)=0),"",AP725/O725-1)</f>
        <v/>
      </c>
      <c r="AR725" s="29" t="str">
        <f aca="false">IF(OR(AQ725="",N(O725)=0),"",AQ725+AG725/O725)</f>
        <v/>
      </c>
      <c r="AS725" s="32" t="str">
        <f aca="false">IF(OR(AR725="",N(AJ725)=0),"",AR725-AJ725)</f>
        <v/>
      </c>
      <c r="AT725" s="28"/>
      <c r="AU725" s="28"/>
      <c r="AV725" s="28" t="n">
        <f aca="false">IF(N(AT725)&gt;0,AT725,L725)</f>
        <v>25</v>
      </c>
      <c r="AW725" s="28" t="n">
        <f aca="false">IF(AND(N(M725)&gt;0,N(AV725)&gt;0),M725*AV725,IF(N(AU725)&gt;0,AU725,N725))</f>
        <v>1.40625</v>
      </c>
      <c r="AX725" s="29" t="n">
        <f aca="false">IF(N(AN725)=0,"",AN725+IF(I725="yes",AN725*Inputs!$B$10*Inputs!$B$9,0)+IFERROR(INDEX(Inputs!$B$13:$B$15,MATCH(G725,Inputs!$A$13:$A$15,0)),0)+IFERROR(INDEX(Inputs!$B$18:$B$24,MATCH(H725,Inputs!$A$18:$A$24,0)),0))</f>
        <v>0.07</v>
      </c>
      <c r="AY725" s="28" t="n">
        <f aca="false">IF(OR(N(AX725)&lt;=0,N(AW725)=0,N(AV725)=0),"",MIN(AV725,AW725/AX725))</f>
        <v>20.0892857142857</v>
      </c>
      <c r="AZ725" s="29" t="str">
        <f aca="false">IF(OR(AY725="",N(O725)=0),"",AY725/O725-1)</f>
        <v/>
      </c>
      <c r="BA725" s="29" t="str">
        <f aca="false">IF(OR(AZ725="",N(O725)=0),"",AZ725+AW725/O725)</f>
        <v/>
      </c>
      <c r="BB725" s="32" t="str">
        <f aca="false">IF(OR(BA725="",N(AR725)=0),"",BA725-AR725)</f>
        <v/>
      </c>
      <c r="BC725" s="35" t="str">
        <f aca="false">IF(OR(BA725="",N(U725)=0),"",BA725-U725)</f>
        <v/>
      </c>
      <c r="BD725" s="36" t="s">
        <v>198</v>
      </c>
    </row>
    <row r="726" customFormat="false" ht="15" hidden="false" customHeight="false" outlineLevel="0" collapsed="false">
      <c r="A726" s="2" t="s">
        <v>1453</v>
      </c>
      <c r="B726" s="2" t="n">
        <v>11</v>
      </c>
      <c r="C726" s="2" t="s">
        <v>1460</v>
      </c>
      <c r="D726" s="2" t="s">
        <v>1455</v>
      </c>
      <c r="E726" s="2" t="s">
        <v>1456</v>
      </c>
      <c r="F726" s="27" t="n">
        <v>172300</v>
      </c>
      <c r="G726" s="2" t="s">
        <v>52</v>
      </c>
      <c r="H726" s="2" t="s">
        <v>58</v>
      </c>
      <c r="I726" s="2" t="s">
        <v>144</v>
      </c>
      <c r="J726" s="2" t="s">
        <v>145</v>
      </c>
      <c r="K726" s="2" t="n">
        <v>4</v>
      </c>
      <c r="L726" s="28" t="n">
        <v>25</v>
      </c>
      <c r="M726" s="29" t="n">
        <v>0.0535</v>
      </c>
      <c r="N726" s="28" t="n">
        <v>1.3375</v>
      </c>
      <c r="O726" s="28" t="n">
        <v>19.46</v>
      </c>
      <c r="P726" s="2" t="s">
        <v>146</v>
      </c>
      <c r="Q726" s="29" t="n">
        <v>0.08</v>
      </c>
      <c r="R726" s="30" t="n">
        <v>0.075</v>
      </c>
      <c r="S726" s="31" t="n">
        <v>17.8333333333333</v>
      </c>
      <c r="T726" s="30" t="n">
        <v>-0.0835902706406304</v>
      </c>
      <c r="U726" s="30" t="n">
        <v>-0.0148595409386777</v>
      </c>
      <c r="V726" s="29" t="n">
        <v>-0.005</v>
      </c>
      <c r="W726" s="29" t="n">
        <f aca="false">IF(N(Q726)=0,"",Q726+IF(I726="yes",Q726*Inputs!$B$10*Inputs!$B$9,0)+V726)</f>
        <v>0.075</v>
      </c>
      <c r="X726" s="28" t="n">
        <f aca="false">IF(OR(N(W726)&lt;=0,N(N726)=0,N(L726)=0),"",MIN(L726,N726/W726))</f>
        <v>17.8333333333333</v>
      </c>
      <c r="Y726" s="29" t="n">
        <f aca="false">IF(OR(X726="",N(O726)=0),"",X726/O726-1)</f>
        <v>-0.0835902706406304</v>
      </c>
      <c r="Z726" s="29" t="n">
        <f aca="false">IF(OR(Y726="",N(O726)=0),"",Y726+N726/O726)</f>
        <v>-0.0148595409386777</v>
      </c>
      <c r="AA726" s="32" t="n">
        <f aca="false">IF(OR(Z726="",N(U726)=0),"",Z726-U726)</f>
        <v>0</v>
      </c>
      <c r="AB726" s="29" t="n">
        <f aca="false">IF(N(Q726)=0,"",Q726+IF(I726="yes",Q726*Inputs!$B$10*Inputs!$B$9,0)+IFERROR(INDEX(Inputs!$B$13:$B$15,MATCH(G726,Inputs!$A$13:$A$15,0)),0)+IFERROR(INDEX(Inputs!$B$18:$B$24,MATCH(H726,Inputs!$A$18:$A$24,0)),0))</f>
        <v>0.075</v>
      </c>
      <c r="AC726" s="28" t="n">
        <f aca="false">IF(OR(N(AB726)&lt;=0,N(N726)=0,N(L726)=0),"",MIN(L726,N726/AB726))</f>
        <v>17.8333333333333</v>
      </c>
      <c r="AD726" s="29" t="n">
        <f aca="false">IF(OR(AC726="",N(O726)=0),"",AC726/O726-1)</f>
        <v>-0.0835902706406304</v>
      </c>
      <c r="AE726" s="29" t="n">
        <f aca="false">IF(OR(AD726="",N(O726)=0),"",AD726+N726/O726)</f>
        <v>-0.0148595409386777</v>
      </c>
      <c r="AF726" s="32" t="n">
        <f aca="false">IF(OR(AE726="",N(Z726)=0),"",AE726-Z726)</f>
        <v>0</v>
      </c>
      <c r="AG726" s="28" t="n">
        <f aca="false">IF(AND(N(M726)&gt;0,N(L726)&gt;0),M726*L726,N726)</f>
        <v>1.3375</v>
      </c>
      <c r="AH726" s="28" t="n">
        <f aca="false">IF(OR(N(AB726)&lt;=0,N(AG726)=0,N(L726)=0),"",MIN(L726,AG726/AB726))</f>
        <v>17.8333333333333</v>
      </c>
      <c r="AI726" s="29" t="n">
        <f aca="false">IF(OR(AH726="",N(O726)=0),"",AH726/O726-1)</f>
        <v>-0.0835902706406304</v>
      </c>
      <c r="AJ726" s="29" t="n">
        <f aca="false">IF(OR(AI726="",N(O726)=0),"",AI726+AG726/O726)</f>
        <v>-0.0148595409386777</v>
      </c>
      <c r="AK726" s="32" t="n">
        <f aca="false">IF(OR(AJ726="",N(AE726)=0),"",AJ726-AE726)</f>
        <v>0</v>
      </c>
      <c r="AL726" s="33" t="n">
        <f aca="false">IF(N(F726)=0,"",INDEX(Inputs!$B$28:$B$32,IFERROR(MATCH(F726,Inputs!$A$28:$A$32,1),0)+1))</f>
        <v>0.075</v>
      </c>
      <c r="AM726" s="34"/>
      <c r="AN726" s="33" t="n">
        <f aca="false">IF(N(AM726)&gt;0,AM726,AL726)</f>
        <v>0.075</v>
      </c>
      <c r="AO726" s="29" t="n">
        <f aca="false">IF(N(AN726)=0,"",AN726+IF(I726="yes",AN726*Inputs!$B$10*Inputs!$B$9,0)+IFERROR(INDEX(Inputs!$B$13:$B$15,MATCH(G726,Inputs!$A$13:$A$15,0)),0)+IFERROR(INDEX(Inputs!$B$18:$B$24,MATCH(H726,Inputs!$A$18:$A$24,0)),0))</f>
        <v>0.07</v>
      </c>
      <c r="AP726" s="28" t="n">
        <f aca="false">IF(OR(N(AO726)&lt;=0,N(AG726)=0,N(L726)=0),"",MIN(L726,AG726/AO726))</f>
        <v>19.1071428571429</v>
      </c>
      <c r="AQ726" s="29" t="n">
        <f aca="false">IF(OR(AP726="",N(O726)=0),"",AP726/O726-1)</f>
        <v>-0.0181324328292468</v>
      </c>
      <c r="AR726" s="29" t="n">
        <f aca="false">IF(OR(AQ726="",N(O726)=0),"",AQ726+AG726/O726)</f>
        <v>0.0505982968727059</v>
      </c>
      <c r="AS726" s="32" t="n">
        <f aca="false">IF(OR(AR726="",N(AJ726)=0),"",AR726-AJ726)</f>
        <v>0.0654578378113836</v>
      </c>
      <c r="AT726" s="28" t="n">
        <v>25</v>
      </c>
      <c r="AU726" s="28" t="n">
        <v>1.34</v>
      </c>
      <c r="AV726" s="28" t="n">
        <f aca="false">IF(N(AT726)&gt;0,AT726,L726)</f>
        <v>25</v>
      </c>
      <c r="AW726" s="28" t="n">
        <f aca="false">IF(AND(N(M726)&gt;0,N(AV726)&gt;0),M726*AV726,IF(N(AU726)&gt;0,AU726,N726))</f>
        <v>1.3375</v>
      </c>
      <c r="AX726" s="29" t="n">
        <f aca="false">IF(N(AN726)=0,"",AN726+IF(I726="yes",AN726*Inputs!$B$10*Inputs!$B$9,0)+IFERROR(INDEX(Inputs!$B$13:$B$15,MATCH(G726,Inputs!$A$13:$A$15,0)),0)+IFERROR(INDEX(Inputs!$B$18:$B$24,MATCH(H726,Inputs!$A$18:$A$24,0)),0))</f>
        <v>0.07</v>
      </c>
      <c r="AY726" s="28" t="n">
        <f aca="false">IF(OR(N(AX726)&lt;=0,N(AW726)=0,N(AV726)=0),"",MIN(AV726,AW726/AX726))</f>
        <v>19.1071428571429</v>
      </c>
      <c r="AZ726" s="29" t="n">
        <f aca="false">IF(OR(AY726="",N(O726)=0),"",AY726/O726-1)</f>
        <v>-0.0181324328292468</v>
      </c>
      <c r="BA726" s="29" t="n">
        <f aca="false">IF(OR(AZ726="",N(O726)=0),"",AZ726+AW726/O726)</f>
        <v>0.0505982968727059</v>
      </c>
      <c r="BB726" s="32" t="n">
        <f aca="false">IF(OR(BA726="",N(AR726)=0),"",BA726-AR726)</f>
        <v>0</v>
      </c>
      <c r="BC726" s="35" t="n">
        <f aca="false">IF(OR(BA726="",N(U726)=0),"",BA726-U726)</f>
        <v>0.0654578378113836</v>
      </c>
      <c r="BD726" s="37"/>
    </row>
    <row r="727" customFormat="false" ht="15" hidden="false" customHeight="false" outlineLevel="0" collapsed="false">
      <c r="A727" s="2" t="s">
        <v>1453</v>
      </c>
      <c r="B727" s="2" t="n">
        <v>14</v>
      </c>
      <c r="C727" s="2" t="s">
        <v>1461</v>
      </c>
      <c r="D727" s="2" t="s">
        <v>1462</v>
      </c>
      <c r="E727" s="2" t="s">
        <v>143</v>
      </c>
      <c r="F727" s="27"/>
      <c r="G727" s="2" t="s">
        <v>51</v>
      </c>
      <c r="H727" s="2" t="s">
        <v>58</v>
      </c>
      <c r="I727" s="2" t="s">
        <v>151</v>
      </c>
      <c r="J727" s="2" t="s">
        <v>145</v>
      </c>
      <c r="K727" s="2" t="n">
        <v>4</v>
      </c>
      <c r="L727" s="28" t="n">
        <v>25</v>
      </c>
      <c r="M727" s="29" t="n">
        <v>0.07125</v>
      </c>
      <c r="N727" s="28" t="n">
        <v>1.78125</v>
      </c>
      <c r="O727" s="28" t="n">
        <v>0</v>
      </c>
      <c r="P727" s="2" t="s">
        <v>146</v>
      </c>
      <c r="Q727" s="29" t="n">
        <v>0</v>
      </c>
      <c r="R727" s="30" t="n">
        <v>0</v>
      </c>
      <c r="S727" s="31"/>
      <c r="T727" s="30"/>
      <c r="U727" s="30"/>
      <c r="V727" s="29" t="n">
        <v>0</v>
      </c>
      <c r="W727" s="29" t="str">
        <f aca="false">IF(N(Q727)=0,"",Q727+IF(I727="yes",Q727*Inputs!$B$10*Inputs!$B$9,0)+V727)</f>
        <v/>
      </c>
      <c r="X727" s="28" t="str">
        <f aca="false">IF(OR(N(W727)&lt;=0,N(N727)=0,N(L727)=0),"",MIN(L727,N727/W727))</f>
        <v/>
      </c>
      <c r="Y727" s="29" t="str">
        <f aca="false">IF(OR(X727="",N(O727)=0),"",X727/O727-1)</f>
        <v/>
      </c>
      <c r="Z727" s="29" t="str">
        <f aca="false">IF(OR(Y727="",N(O727)=0),"",Y727+N727/O727)</f>
        <v/>
      </c>
      <c r="AA727" s="32" t="str">
        <f aca="false">IF(OR(Z727="",N(U727)=0),"",Z727-U727)</f>
        <v/>
      </c>
      <c r="AB727" s="29" t="str">
        <f aca="false">IF(N(Q727)=0,"",Q727+IF(I727="yes",Q727*Inputs!$B$10*Inputs!$B$9,0)+IFERROR(INDEX(Inputs!$B$13:$B$15,MATCH(G727,Inputs!$A$13:$A$15,0)),0)+IFERROR(INDEX(Inputs!$B$18:$B$24,MATCH(H727,Inputs!$A$18:$A$24,0)),0))</f>
        <v/>
      </c>
      <c r="AC727" s="28" t="str">
        <f aca="false">IF(OR(N(AB727)&lt;=0,N(N727)=0,N(L727)=0),"",MIN(L727,N727/AB727))</f>
        <v/>
      </c>
      <c r="AD727" s="29" t="str">
        <f aca="false">IF(OR(AC727="",N(O727)=0),"",AC727/O727-1)</f>
        <v/>
      </c>
      <c r="AE727" s="29" t="str">
        <f aca="false">IF(OR(AD727="",N(O727)=0),"",AD727+N727/O727)</f>
        <v/>
      </c>
      <c r="AF727" s="32" t="str">
        <f aca="false">IF(OR(AE727="",N(Z727)=0),"",AE727-Z727)</f>
        <v/>
      </c>
      <c r="AG727" s="28" t="n">
        <f aca="false">IF(AND(N(M727)&gt;0,N(L727)&gt;0),M727*L727,N727)</f>
        <v>1.78125</v>
      </c>
      <c r="AH727" s="28" t="str">
        <f aca="false">IF(OR(N(AB727)&lt;=0,N(AG727)=0,N(L727)=0),"",MIN(L727,AG727/AB727))</f>
        <v/>
      </c>
      <c r="AI727" s="29" t="str">
        <f aca="false">IF(OR(AH727="",N(O727)=0),"",AH727/O727-1)</f>
        <v/>
      </c>
      <c r="AJ727" s="29" t="str">
        <f aca="false">IF(OR(AI727="",N(O727)=0),"",AI727+AG727/O727)</f>
        <v/>
      </c>
      <c r="AK727" s="32" t="str">
        <f aca="false">IF(OR(AJ727="",N(AE727)=0),"",AJ727-AE727)</f>
        <v/>
      </c>
      <c r="AL727" s="33" t="str">
        <f aca="false">IF(N(F727)=0,"",INDEX(Inputs!$B$28:$B$32,IFERROR(MATCH(F727,Inputs!$A$28:$A$32,1),0)+1))</f>
        <v/>
      </c>
      <c r="AM727" s="34"/>
      <c r="AN727" s="33" t="str">
        <f aca="false">IF(N(AM727)&gt;0,AM727,AL727)</f>
        <v/>
      </c>
      <c r="AO727" s="29" t="str">
        <f aca="false">IF(N(AN727)=0,"",AN727+IF(I727="yes",AN727*Inputs!$B$10*Inputs!$B$9,0)+IFERROR(INDEX(Inputs!$B$13:$B$15,MATCH(G727,Inputs!$A$13:$A$15,0)),0)+IFERROR(INDEX(Inputs!$B$18:$B$24,MATCH(H727,Inputs!$A$18:$A$24,0)),0))</f>
        <v/>
      </c>
      <c r="AP727" s="28" t="str">
        <f aca="false">IF(OR(N(AO727)&lt;=0,N(AG727)=0,N(L727)=0),"",MIN(L727,AG727/AO727))</f>
        <v/>
      </c>
      <c r="AQ727" s="29" t="str">
        <f aca="false">IF(OR(AP727="",N(O727)=0),"",AP727/O727-1)</f>
        <v/>
      </c>
      <c r="AR727" s="29" t="str">
        <f aca="false">IF(OR(AQ727="",N(O727)=0),"",AQ727+AG727/O727)</f>
        <v/>
      </c>
      <c r="AS727" s="32" t="str">
        <f aca="false">IF(OR(AR727="",N(AJ727)=0),"",AR727-AJ727)</f>
        <v/>
      </c>
      <c r="AT727" s="28" t="n">
        <v>25</v>
      </c>
      <c r="AU727" s="28" t="n">
        <v>1.78125</v>
      </c>
      <c r="AV727" s="28" t="n">
        <f aca="false">IF(N(AT727)&gt;0,AT727,L727)</f>
        <v>25</v>
      </c>
      <c r="AW727" s="28" t="n">
        <f aca="false">IF(AND(N(M727)&gt;0,N(AV727)&gt;0),M727*AV727,IF(N(AU727)&gt;0,AU727,N727))</f>
        <v>1.78125</v>
      </c>
      <c r="AX727" s="29" t="str">
        <f aca="false">IF(N(AN727)=0,"",AN727+IF(I727="yes",AN727*Inputs!$B$10*Inputs!$B$9,0)+IFERROR(INDEX(Inputs!$B$13:$B$15,MATCH(G727,Inputs!$A$13:$A$15,0)),0)+IFERROR(INDEX(Inputs!$B$18:$B$24,MATCH(H727,Inputs!$A$18:$A$24,0)),0))</f>
        <v/>
      </c>
      <c r="AY727" s="28" t="str">
        <f aca="false">IF(OR(N(AX727)&lt;=0,N(AW727)=0,N(AV727)=0),"",MIN(AV727,AW727/AX727))</f>
        <v/>
      </c>
      <c r="AZ727" s="29" t="str">
        <f aca="false">IF(OR(AY727="",N(O727)=0),"",AY727/O727-1)</f>
        <v/>
      </c>
      <c r="BA727" s="29" t="str">
        <f aca="false">IF(OR(AZ727="",N(O727)=0),"",AZ727+AW727/O727)</f>
        <v/>
      </c>
      <c r="BB727" s="32" t="str">
        <f aca="false">IF(OR(BA727="",N(AR727)=0),"",BA727-AR727)</f>
        <v/>
      </c>
      <c r="BC727" s="35" t="str">
        <f aca="false">IF(OR(BA727="",N(U727)=0),"",BA727-U727)</f>
        <v/>
      </c>
      <c r="BD727" s="36" t="s">
        <v>302</v>
      </c>
    </row>
    <row r="728" customFormat="false" ht="15" hidden="false" customHeight="false" outlineLevel="0" collapsed="false">
      <c r="A728" s="2" t="s">
        <v>1453</v>
      </c>
      <c r="B728" s="2" t="n">
        <v>18</v>
      </c>
      <c r="C728" s="2" t="s">
        <v>1463</v>
      </c>
      <c r="D728" s="2" t="s">
        <v>1464</v>
      </c>
      <c r="E728" s="2" t="s">
        <v>1465</v>
      </c>
      <c r="F728" s="27" t="n">
        <v>4300</v>
      </c>
      <c r="G728" s="2" t="s">
        <v>51</v>
      </c>
      <c r="H728" s="2" t="s">
        <v>58</v>
      </c>
      <c r="I728" s="2" t="s">
        <v>151</v>
      </c>
      <c r="J728" s="2" t="s">
        <v>145</v>
      </c>
      <c r="K728" s="2" t="n">
        <v>4</v>
      </c>
      <c r="L728" s="28" t="n">
        <v>25</v>
      </c>
      <c r="M728" s="29" t="n">
        <v>0.0575</v>
      </c>
      <c r="N728" s="28" t="n">
        <v>1.4375</v>
      </c>
      <c r="O728" s="28" t="n">
        <v>20.66</v>
      </c>
      <c r="P728" s="2" t="s">
        <v>146</v>
      </c>
      <c r="Q728" s="29" t="n">
        <v>0.08</v>
      </c>
      <c r="R728" s="30" t="n">
        <v>0.076</v>
      </c>
      <c r="S728" s="31" t="n">
        <v>18.9144736842105</v>
      </c>
      <c r="T728" s="30" t="n">
        <v>-0.0844882050236918</v>
      </c>
      <c r="U728" s="30" t="n">
        <v>-0.0149093086054924</v>
      </c>
      <c r="V728" s="29" t="n">
        <v>0</v>
      </c>
      <c r="W728" s="29" t="n">
        <f aca="false">IF(N(Q728)=0,"",Q728+IF(I728="yes",Q728*Inputs!$B$10*Inputs!$B$9,0)+V728)</f>
        <v>0.076</v>
      </c>
      <c r="X728" s="28" t="n">
        <f aca="false">IF(OR(N(W728)&lt;=0,N(N728)=0,N(L728)=0),"",MIN(L728,N728/W728))</f>
        <v>18.9144736842105</v>
      </c>
      <c r="Y728" s="29" t="n">
        <f aca="false">IF(OR(X728="",N(O728)=0),"",X728/O728-1)</f>
        <v>-0.0844882050236918</v>
      </c>
      <c r="Z728" s="29" t="n">
        <f aca="false">IF(OR(Y728="",N(O728)=0),"",Y728+N728/O728)</f>
        <v>-0.0149093086054924</v>
      </c>
      <c r="AA728" s="32" t="n">
        <f aca="false">IF(OR(Z728="",N(U728)=0),"",Z728-U728)</f>
        <v>0</v>
      </c>
      <c r="AB728" s="29" t="n">
        <f aca="false">IF(N(Q728)=0,"",Q728+IF(I728="yes",Q728*Inputs!$B$10*Inputs!$B$9,0)+IFERROR(INDEX(Inputs!$B$13:$B$15,MATCH(G728,Inputs!$A$13:$A$15,0)),0)+IFERROR(INDEX(Inputs!$B$18:$B$24,MATCH(H728,Inputs!$A$18:$A$24,0)),0))</f>
        <v>0.076</v>
      </c>
      <c r="AC728" s="28" t="n">
        <f aca="false">IF(OR(N(AB728)&lt;=0,N(N728)=0,N(L728)=0),"",MIN(L728,N728/AB728))</f>
        <v>18.9144736842105</v>
      </c>
      <c r="AD728" s="29" t="n">
        <f aca="false">IF(OR(AC728="",N(O728)=0),"",AC728/O728-1)</f>
        <v>-0.0844882050236918</v>
      </c>
      <c r="AE728" s="29" t="n">
        <f aca="false">IF(OR(AD728="",N(O728)=0),"",AD728+N728/O728)</f>
        <v>-0.0149093086054924</v>
      </c>
      <c r="AF728" s="32" t="n">
        <f aca="false">IF(OR(AE728="",N(Z728)=0),"",AE728-Z728)</f>
        <v>0</v>
      </c>
      <c r="AG728" s="28" t="n">
        <f aca="false">IF(AND(N(M728)&gt;0,N(L728)&gt;0),M728*L728,N728)</f>
        <v>1.4375</v>
      </c>
      <c r="AH728" s="28" t="n">
        <f aca="false">IF(OR(N(AB728)&lt;=0,N(AG728)=0,N(L728)=0),"",MIN(L728,AG728/AB728))</f>
        <v>18.9144736842105</v>
      </c>
      <c r="AI728" s="29" t="n">
        <f aca="false">IF(OR(AH728="",N(O728)=0),"",AH728/O728-1)</f>
        <v>-0.0844882050236918</v>
      </c>
      <c r="AJ728" s="29" t="n">
        <f aca="false">IF(OR(AI728="",N(O728)=0),"",AI728+AG728/O728)</f>
        <v>-0.0149093086054924</v>
      </c>
      <c r="AK728" s="32" t="n">
        <f aca="false">IF(OR(AJ728="",N(AE728)=0),"",AJ728-AE728)</f>
        <v>0</v>
      </c>
      <c r="AL728" s="33" t="n">
        <f aca="false">IF(N(F728)=0,"",INDEX(Inputs!$B$28:$B$32,IFERROR(MATCH(F728,Inputs!$A$28:$A$32,1),0)+1))</f>
        <v>0.085</v>
      </c>
      <c r="AM728" s="34"/>
      <c r="AN728" s="33" t="n">
        <f aca="false">IF(N(AM728)&gt;0,AM728,AL728)</f>
        <v>0.085</v>
      </c>
      <c r="AO728" s="29" t="n">
        <f aca="false">IF(N(AN728)=0,"",AN728+IF(I728="yes",AN728*Inputs!$B$10*Inputs!$B$9,0)+IFERROR(INDEX(Inputs!$B$13:$B$15,MATCH(G728,Inputs!$A$13:$A$15,0)),0)+IFERROR(INDEX(Inputs!$B$18:$B$24,MATCH(H728,Inputs!$A$18:$A$24,0)),0))</f>
        <v>0.08075</v>
      </c>
      <c r="AP728" s="28" t="n">
        <f aca="false">IF(OR(N(AO728)&lt;=0,N(AG728)=0,N(L728)=0),"",MIN(L728,AG728/AO728))</f>
        <v>17.8018575851393</v>
      </c>
      <c r="AQ728" s="29" t="n">
        <f aca="false">IF(OR(AP728="",N(O728)=0),"",AP728/O728-1)</f>
        <v>-0.138341840022298</v>
      </c>
      <c r="AR728" s="29" t="n">
        <f aca="false">IF(OR(AQ728="",N(O728)=0),"",AQ728+AG728/O728)</f>
        <v>-0.0687629436040989</v>
      </c>
      <c r="AS728" s="32" t="n">
        <f aca="false">IF(OR(AR728="",N(AJ728)=0),"",AR728-AJ728)</f>
        <v>-0.0538536349986065</v>
      </c>
      <c r="AT728" s="28" t="n">
        <v>25</v>
      </c>
      <c r="AU728" s="28" t="n">
        <v>1.4375</v>
      </c>
      <c r="AV728" s="28" t="n">
        <f aca="false">IF(N(AT728)&gt;0,AT728,L728)</f>
        <v>25</v>
      </c>
      <c r="AW728" s="28" t="n">
        <f aca="false">IF(AND(N(M728)&gt;0,N(AV728)&gt;0),M728*AV728,IF(N(AU728)&gt;0,AU728,N728))</f>
        <v>1.4375</v>
      </c>
      <c r="AX728" s="29" t="n">
        <f aca="false">IF(N(AN728)=0,"",AN728+IF(I728="yes",AN728*Inputs!$B$10*Inputs!$B$9,0)+IFERROR(INDEX(Inputs!$B$13:$B$15,MATCH(G728,Inputs!$A$13:$A$15,0)),0)+IFERROR(INDEX(Inputs!$B$18:$B$24,MATCH(H728,Inputs!$A$18:$A$24,0)),0))</f>
        <v>0.08075</v>
      </c>
      <c r="AY728" s="28" t="n">
        <f aca="false">IF(OR(N(AX728)&lt;=0,N(AW728)=0,N(AV728)=0),"",MIN(AV728,AW728/AX728))</f>
        <v>17.8018575851393</v>
      </c>
      <c r="AZ728" s="29" t="n">
        <f aca="false">IF(OR(AY728="",N(O728)=0),"",AY728/O728-1)</f>
        <v>-0.138341840022298</v>
      </c>
      <c r="BA728" s="29" t="n">
        <f aca="false">IF(OR(AZ728="",N(O728)=0),"",AZ728+AW728/O728)</f>
        <v>-0.0687629436040989</v>
      </c>
      <c r="BB728" s="32" t="n">
        <f aca="false">IF(OR(BA728="",N(AR728)=0),"",BA728-AR728)</f>
        <v>0</v>
      </c>
      <c r="BC728" s="35" t="n">
        <f aca="false">IF(OR(BA728="",N(U728)=0),"",BA728-U728)</f>
        <v>-0.0538536349986065</v>
      </c>
      <c r="BD728" s="37"/>
    </row>
    <row r="729" customFormat="false" ht="15" hidden="false" customHeight="false" outlineLevel="0" collapsed="false">
      <c r="A729" s="2" t="s">
        <v>1453</v>
      </c>
      <c r="B729" s="2" t="n">
        <v>22</v>
      </c>
      <c r="C729" s="2" t="s">
        <v>1466</v>
      </c>
      <c r="D729" s="2" t="s">
        <v>1467</v>
      </c>
      <c r="E729" s="2" t="s">
        <v>1468</v>
      </c>
      <c r="F729" s="27" t="n">
        <v>3700</v>
      </c>
      <c r="G729" s="2" t="s">
        <v>51</v>
      </c>
      <c r="H729" s="2" t="s">
        <v>58</v>
      </c>
      <c r="I729" s="2" t="s">
        <v>151</v>
      </c>
      <c r="J729" s="2" t="s">
        <v>145</v>
      </c>
      <c r="K729" s="2" t="n">
        <v>4</v>
      </c>
      <c r="L729" s="28" t="n">
        <v>25</v>
      </c>
      <c r="M729" s="29" t="n">
        <v>0.06625</v>
      </c>
      <c r="N729" s="28" t="n">
        <v>1.65625</v>
      </c>
      <c r="O729" s="28" t="n">
        <v>20.67</v>
      </c>
      <c r="P729" s="2" t="s">
        <v>146</v>
      </c>
      <c r="Q729" s="29" t="n">
        <v>0.08</v>
      </c>
      <c r="R729" s="30" t="n">
        <v>0.076</v>
      </c>
      <c r="S729" s="31" t="n">
        <v>21.7927631578947</v>
      </c>
      <c r="T729" s="30" t="n">
        <v>0.0543184885290147</v>
      </c>
      <c r="U729" s="30" t="n">
        <v>0.13444669365722</v>
      </c>
      <c r="V729" s="29" t="n">
        <v>0</v>
      </c>
      <c r="W729" s="29" t="n">
        <f aca="false">IF(N(Q729)=0,"",Q729+IF(I729="yes",Q729*Inputs!$B$10*Inputs!$B$9,0)+V729)</f>
        <v>0.076</v>
      </c>
      <c r="X729" s="28" t="n">
        <f aca="false">IF(OR(N(W729)&lt;=0,N(N729)=0,N(L729)=0),"",MIN(L729,N729/W729))</f>
        <v>21.7927631578947</v>
      </c>
      <c r="Y729" s="29" t="n">
        <f aca="false">IF(OR(X729="",N(O729)=0),"",X729/O729-1)</f>
        <v>0.0543184885290147</v>
      </c>
      <c r="Z729" s="29" t="n">
        <f aca="false">IF(OR(Y729="",N(O729)=0),"",Y729+N729/O729)</f>
        <v>0.13444669365722</v>
      </c>
      <c r="AA729" s="32" t="n">
        <f aca="false">IF(OR(Z729="",N(U729)=0),"",Z729-U729)</f>
        <v>0</v>
      </c>
      <c r="AB729" s="29" t="n">
        <f aca="false">IF(N(Q729)=0,"",Q729+IF(I729="yes",Q729*Inputs!$B$10*Inputs!$B$9,0)+IFERROR(INDEX(Inputs!$B$13:$B$15,MATCH(G729,Inputs!$A$13:$A$15,0)),0)+IFERROR(INDEX(Inputs!$B$18:$B$24,MATCH(H729,Inputs!$A$18:$A$24,0)),0))</f>
        <v>0.076</v>
      </c>
      <c r="AC729" s="28" t="n">
        <f aca="false">IF(OR(N(AB729)&lt;=0,N(N729)=0,N(L729)=0),"",MIN(L729,N729/AB729))</f>
        <v>21.7927631578947</v>
      </c>
      <c r="AD729" s="29" t="n">
        <f aca="false">IF(OR(AC729="",N(O729)=0),"",AC729/O729-1)</f>
        <v>0.0543184885290147</v>
      </c>
      <c r="AE729" s="29" t="n">
        <f aca="false">IF(OR(AD729="",N(O729)=0),"",AD729+N729/O729)</f>
        <v>0.13444669365722</v>
      </c>
      <c r="AF729" s="32" t="n">
        <f aca="false">IF(OR(AE729="",N(Z729)=0),"",AE729-Z729)</f>
        <v>0</v>
      </c>
      <c r="AG729" s="28" t="n">
        <f aca="false">IF(AND(N(M729)&gt;0,N(L729)&gt;0),M729*L729,N729)</f>
        <v>1.65625</v>
      </c>
      <c r="AH729" s="28" t="n">
        <f aca="false">IF(OR(N(AB729)&lt;=0,N(AG729)=0,N(L729)=0),"",MIN(L729,AG729/AB729))</f>
        <v>21.7927631578947</v>
      </c>
      <c r="AI729" s="29" t="n">
        <f aca="false">IF(OR(AH729="",N(O729)=0),"",AH729/O729-1)</f>
        <v>0.0543184885290147</v>
      </c>
      <c r="AJ729" s="29" t="n">
        <f aca="false">IF(OR(AI729="",N(O729)=0),"",AI729+AG729/O729)</f>
        <v>0.13444669365722</v>
      </c>
      <c r="AK729" s="32" t="n">
        <f aca="false">IF(OR(AJ729="",N(AE729)=0),"",AJ729-AE729)</f>
        <v>0</v>
      </c>
      <c r="AL729" s="33" t="n">
        <f aca="false">IF(N(F729)=0,"",INDEX(Inputs!$B$28:$B$32,IFERROR(MATCH(F729,Inputs!$A$28:$A$32,1),0)+1))</f>
        <v>0.085</v>
      </c>
      <c r="AM729" s="34"/>
      <c r="AN729" s="33" t="n">
        <f aca="false">IF(N(AM729)&gt;0,AM729,AL729)</f>
        <v>0.085</v>
      </c>
      <c r="AO729" s="29" t="n">
        <f aca="false">IF(N(AN729)=0,"",AN729+IF(I729="yes",AN729*Inputs!$B$10*Inputs!$B$9,0)+IFERROR(INDEX(Inputs!$B$13:$B$15,MATCH(G729,Inputs!$A$13:$A$15,0)),0)+IFERROR(INDEX(Inputs!$B$18:$B$24,MATCH(H729,Inputs!$A$18:$A$24,0)),0))</f>
        <v>0.08075</v>
      </c>
      <c r="AP729" s="28" t="n">
        <f aca="false">IF(OR(N(AO729)&lt;=0,N(AG729)=0,N(L729)=0),"",MIN(L729,AG729/AO729))</f>
        <v>20.5108359133127</v>
      </c>
      <c r="AQ729" s="29" t="n">
        <f aca="false">IF(OR(AP729="",N(O729)=0),"",AP729/O729-1)</f>
        <v>-0.00770024609033904</v>
      </c>
      <c r="AR729" s="29" t="n">
        <f aca="false">IF(OR(AQ729="",N(O729)=0),"",AQ729+AG729/O729)</f>
        <v>0.0724279590378661</v>
      </c>
      <c r="AS729" s="32" t="n">
        <f aca="false">IF(OR(AR729="",N(AJ729)=0),"",AR729-AJ729)</f>
        <v>-0.0620187346193537</v>
      </c>
      <c r="AT729" s="28" t="n">
        <v>25</v>
      </c>
      <c r="AU729" s="28" t="n">
        <v>1.65625</v>
      </c>
      <c r="AV729" s="28" t="n">
        <f aca="false">IF(N(AT729)&gt;0,AT729,L729)</f>
        <v>25</v>
      </c>
      <c r="AW729" s="28" t="n">
        <f aca="false">IF(AND(N(M729)&gt;0,N(AV729)&gt;0),M729*AV729,IF(N(AU729)&gt;0,AU729,N729))</f>
        <v>1.65625</v>
      </c>
      <c r="AX729" s="29" t="n">
        <f aca="false">IF(N(AN729)=0,"",AN729+IF(I729="yes",AN729*Inputs!$B$10*Inputs!$B$9,0)+IFERROR(INDEX(Inputs!$B$13:$B$15,MATCH(G729,Inputs!$A$13:$A$15,0)),0)+IFERROR(INDEX(Inputs!$B$18:$B$24,MATCH(H729,Inputs!$A$18:$A$24,0)),0))</f>
        <v>0.08075</v>
      </c>
      <c r="AY729" s="28" t="n">
        <f aca="false">IF(OR(N(AX729)&lt;=0,N(AW729)=0,N(AV729)=0),"",MIN(AV729,AW729/AX729))</f>
        <v>20.5108359133127</v>
      </c>
      <c r="AZ729" s="29" t="n">
        <f aca="false">IF(OR(AY729="",N(O729)=0),"",AY729/O729-1)</f>
        <v>-0.00770024609033904</v>
      </c>
      <c r="BA729" s="29" t="n">
        <f aca="false">IF(OR(AZ729="",N(O729)=0),"",AZ729+AW729/O729)</f>
        <v>0.0724279590378661</v>
      </c>
      <c r="BB729" s="32" t="n">
        <f aca="false">IF(OR(BA729="",N(AR729)=0),"",BA729-AR729)</f>
        <v>0</v>
      </c>
      <c r="BC729" s="35" t="n">
        <f aca="false">IF(OR(BA729="",N(U729)=0),"",BA729-U729)</f>
        <v>-0.0620187346193537</v>
      </c>
      <c r="BD729" s="37"/>
    </row>
    <row r="730" customFormat="false" ht="15" hidden="false" customHeight="false" outlineLevel="0" collapsed="false">
      <c r="A730" s="2" t="s">
        <v>1453</v>
      </c>
      <c r="B730" s="2" t="n">
        <v>23</v>
      </c>
      <c r="C730" s="2" t="s">
        <v>1469</v>
      </c>
      <c r="D730" s="2" t="s">
        <v>1467</v>
      </c>
      <c r="E730" s="2" t="s">
        <v>1468</v>
      </c>
      <c r="F730" s="27" t="n">
        <v>3700</v>
      </c>
      <c r="G730" s="2" t="s">
        <v>51</v>
      </c>
      <c r="H730" s="2" t="s">
        <v>58</v>
      </c>
      <c r="I730" s="2" t="s">
        <v>151</v>
      </c>
      <c r="J730" s="2" t="s">
        <v>145</v>
      </c>
      <c r="K730" s="2" t="n">
        <v>4</v>
      </c>
      <c r="L730" s="28" t="n">
        <v>25</v>
      </c>
      <c r="M730" s="29" t="n">
        <v>0.06</v>
      </c>
      <c r="N730" s="28" t="n">
        <v>1.5</v>
      </c>
      <c r="O730" s="28" t="n">
        <v>18.99</v>
      </c>
      <c r="P730" s="2" t="s">
        <v>146</v>
      </c>
      <c r="Q730" s="29" t="n">
        <v>0.08</v>
      </c>
      <c r="R730" s="30" t="n">
        <v>0.076</v>
      </c>
      <c r="S730" s="31" t="n">
        <v>19.7368421052632</v>
      </c>
      <c r="T730" s="30" t="n">
        <v>0.039328178265569</v>
      </c>
      <c r="U730" s="30" t="n">
        <v>0.118317119813752</v>
      </c>
      <c r="V730" s="29" t="n">
        <v>0</v>
      </c>
      <c r="W730" s="29" t="n">
        <f aca="false">IF(N(Q730)=0,"",Q730+IF(I730="yes",Q730*Inputs!$B$10*Inputs!$B$9,0)+V730)</f>
        <v>0.076</v>
      </c>
      <c r="X730" s="28" t="n">
        <f aca="false">IF(OR(N(W730)&lt;=0,N(N730)=0,N(L730)=0),"",MIN(L730,N730/W730))</f>
        <v>19.7368421052632</v>
      </c>
      <c r="Y730" s="29" t="n">
        <f aca="false">IF(OR(X730="",N(O730)=0),"",X730/O730-1)</f>
        <v>0.0393281782655692</v>
      </c>
      <c r="Z730" s="29" t="n">
        <f aca="false">IF(OR(Y730="",N(O730)=0),"",Y730+N730/O730)</f>
        <v>0.118317119813752</v>
      </c>
      <c r="AA730" s="32" t="n">
        <f aca="false">IF(OR(Z730="",N(U730)=0),"",Z730-U730)</f>
        <v>0</v>
      </c>
      <c r="AB730" s="29" t="n">
        <f aca="false">IF(N(Q730)=0,"",Q730+IF(I730="yes",Q730*Inputs!$B$10*Inputs!$B$9,0)+IFERROR(INDEX(Inputs!$B$13:$B$15,MATCH(G730,Inputs!$A$13:$A$15,0)),0)+IFERROR(INDEX(Inputs!$B$18:$B$24,MATCH(H730,Inputs!$A$18:$A$24,0)),0))</f>
        <v>0.076</v>
      </c>
      <c r="AC730" s="28" t="n">
        <f aca="false">IF(OR(N(AB730)&lt;=0,N(N730)=0,N(L730)=0),"",MIN(L730,N730/AB730))</f>
        <v>19.7368421052632</v>
      </c>
      <c r="AD730" s="29" t="n">
        <f aca="false">IF(OR(AC730="",N(O730)=0),"",AC730/O730-1)</f>
        <v>0.0393281782655692</v>
      </c>
      <c r="AE730" s="29" t="n">
        <f aca="false">IF(OR(AD730="",N(O730)=0),"",AD730+N730/O730)</f>
        <v>0.118317119813752</v>
      </c>
      <c r="AF730" s="32" t="n">
        <f aca="false">IF(OR(AE730="",N(Z730)=0),"",AE730-Z730)</f>
        <v>0</v>
      </c>
      <c r="AG730" s="28" t="n">
        <f aca="false">IF(AND(N(M730)&gt;0,N(L730)&gt;0),M730*L730,N730)</f>
        <v>1.5</v>
      </c>
      <c r="AH730" s="28" t="n">
        <f aca="false">IF(OR(N(AB730)&lt;=0,N(AG730)=0,N(L730)=0),"",MIN(L730,AG730/AB730))</f>
        <v>19.7368421052632</v>
      </c>
      <c r="AI730" s="29" t="n">
        <f aca="false">IF(OR(AH730="",N(O730)=0),"",AH730/O730-1)</f>
        <v>0.0393281782655692</v>
      </c>
      <c r="AJ730" s="29" t="n">
        <f aca="false">IF(OR(AI730="",N(O730)=0),"",AI730+AG730/O730)</f>
        <v>0.118317119813752</v>
      </c>
      <c r="AK730" s="32" t="n">
        <f aca="false">IF(OR(AJ730="",N(AE730)=0),"",AJ730-AE730)</f>
        <v>0</v>
      </c>
      <c r="AL730" s="33" t="n">
        <f aca="false">IF(N(F730)=0,"",INDEX(Inputs!$B$28:$B$32,IFERROR(MATCH(F730,Inputs!$A$28:$A$32,1),0)+1))</f>
        <v>0.085</v>
      </c>
      <c r="AM730" s="34"/>
      <c r="AN730" s="33" t="n">
        <f aca="false">IF(N(AM730)&gt;0,AM730,AL730)</f>
        <v>0.085</v>
      </c>
      <c r="AO730" s="29" t="n">
        <f aca="false">IF(N(AN730)=0,"",AN730+IF(I730="yes",AN730*Inputs!$B$10*Inputs!$B$9,0)+IFERROR(INDEX(Inputs!$B$13:$B$15,MATCH(G730,Inputs!$A$13:$A$15,0)),0)+IFERROR(INDEX(Inputs!$B$18:$B$24,MATCH(H730,Inputs!$A$18:$A$24,0)),0))</f>
        <v>0.08075</v>
      </c>
      <c r="AP730" s="28" t="n">
        <f aca="false">IF(OR(N(AO730)&lt;=0,N(AG730)=0,N(L730)=0),"",MIN(L730,AG730/AO730))</f>
        <v>18.5758513931889</v>
      </c>
      <c r="AQ730" s="29" t="n">
        <f aca="false">IF(OR(AP730="",N(O730)=0),"",AP730/O730-1)</f>
        <v>-0.0218087733971114</v>
      </c>
      <c r="AR730" s="29" t="n">
        <f aca="false">IF(OR(AQ730="",N(O730)=0),"",AQ730+AG730/O730)</f>
        <v>0.0571801681510719</v>
      </c>
      <c r="AS730" s="32" t="n">
        <f aca="false">IF(OR(AR730="",N(AJ730)=0),"",AR730-AJ730)</f>
        <v>-0.0611369516626806</v>
      </c>
      <c r="AT730" s="28" t="n">
        <v>25</v>
      </c>
      <c r="AU730" s="28" t="n">
        <v>1.5</v>
      </c>
      <c r="AV730" s="28" t="n">
        <f aca="false">IF(N(AT730)&gt;0,AT730,L730)</f>
        <v>25</v>
      </c>
      <c r="AW730" s="28" t="n">
        <f aca="false">IF(AND(N(M730)&gt;0,N(AV730)&gt;0),M730*AV730,IF(N(AU730)&gt;0,AU730,N730))</f>
        <v>1.5</v>
      </c>
      <c r="AX730" s="29" t="n">
        <f aca="false">IF(N(AN730)=0,"",AN730+IF(I730="yes",AN730*Inputs!$B$10*Inputs!$B$9,0)+IFERROR(INDEX(Inputs!$B$13:$B$15,MATCH(G730,Inputs!$A$13:$A$15,0)),0)+IFERROR(INDEX(Inputs!$B$18:$B$24,MATCH(H730,Inputs!$A$18:$A$24,0)),0))</f>
        <v>0.08075</v>
      </c>
      <c r="AY730" s="28" t="n">
        <f aca="false">IF(OR(N(AX730)&lt;=0,N(AW730)=0,N(AV730)=0),"",MIN(AV730,AW730/AX730))</f>
        <v>18.5758513931889</v>
      </c>
      <c r="AZ730" s="29" t="n">
        <f aca="false">IF(OR(AY730="",N(O730)=0),"",AY730/O730-1)</f>
        <v>-0.0218087733971114</v>
      </c>
      <c r="BA730" s="29" t="n">
        <f aca="false">IF(OR(AZ730="",N(O730)=0),"",AZ730+AW730/O730)</f>
        <v>0.0571801681510719</v>
      </c>
      <c r="BB730" s="32" t="n">
        <f aca="false">IF(OR(BA730="",N(AR730)=0),"",BA730-AR730)</f>
        <v>0</v>
      </c>
      <c r="BC730" s="35" t="n">
        <f aca="false">IF(OR(BA730="",N(U730)=0),"",BA730-U730)</f>
        <v>-0.0611369516626804</v>
      </c>
      <c r="BD730" s="37"/>
    </row>
    <row r="731" customFormat="false" ht="15" hidden="false" customHeight="false" outlineLevel="0" collapsed="false">
      <c r="A731" s="2" t="s">
        <v>1453</v>
      </c>
      <c r="B731" s="2" t="n">
        <v>26</v>
      </c>
      <c r="C731" s="2" t="s">
        <v>1470</v>
      </c>
      <c r="D731" s="2" t="s">
        <v>1470</v>
      </c>
      <c r="E731" s="2" t="s">
        <v>143</v>
      </c>
      <c r="F731" s="27"/>
      <c r="G731" s="2" t="s">
        <v>51</v>
      </c>
      <c r="H731" s="2" t="s">
        <v>59</v>
      </c>
      <c r="I731" s="2" t="s">
        <v>151</v>
      </c>
      <c r="J731" s="2" t="s">
        <v>145</v>
      </c>
      <c r="K731" s="2" t="n">
        <v>4</v>
      </c>
      <c r="L731" s="28" t="n">
        <v>10</v>
      </c>
      <c r="M731" s="29" t="n">
        <v>0.09</v>
      </c>
      <c r="N731" s="28" t="n">
        <v>0.9</v>
      </c>
      <c r="O731" s="28" t="n">
        <v>0</v>
      </c>
      <c r="P731" s="2" t="s">
        <v>146</v>
      </c>
      <c r="Q731" s="29" t="n">
        <v>0</v>
      </c>
      <c r="R731" s="30" t="n">
        <v>0</v>
      </c>
      <c r="S731" s="31"/>
      <c r="T731" s="30"/>
      <c r="U731" s="30"/>
      <c r="V731" s="29" t="n">
        <v>0</v>
      </c>
      <c r="W731" s="29" t="str">
        <f aca="false">IF(N(Q731)=0,"",Q731+IF(I731="yes",Q731*Inputs!$B$10*Inputs!$B$9,0)+V731)</f>
        <v/>
      </c>
      <c r="X731" s="28" t="str">
        <f aca="false">IF(OR(N(W731)&lt;=0,N(N731)=0,N(L731)=0),"",MIN(L731,N731/W731))</f>
        <v/>
      </c>
      <c r="Y731" s="29" t="str">
        <f aca="false">IF(OR(X731="",N(O731)=0),"",X731/O731-1)</f>
        <v/>
      </c>
      <c r="Z731" s="29" t="str">
        <f aca="false">IF(OR(Y731="",N(O731)=0),"",Y731+N731/O731)</f>
        <v/>
      </c>
      <c r="AA731" s="32" t="str">
        <f aca="false">IF(OR(Z731="",N(U731)=0),"",Z731-U731)</f>
        <v/>
      </c>
      <c r="AB731" s="29" t="str">
        <f aca="false">IF(N(Q731)=0,"",Q731+IF(I731="yes",Q731*Inputs!$B$10*Inputs!$B$9,0)+IFERROR(INDEX(Inputs!$B$13:$B$15,MATCH(G731,Inputs!$A$13:$A$15,0)),0)+IFERROR(INDEX(Inputs!$B$18:$B$24,MATCH(H731,Inputs!$A$18:$A$24,0)),0))</f>
        <v/>
      </c>
      <c r="AC731" s="28" t="str">
        <f aca="false">IF(OR(N(AB731)&lt;=0,N(N731)=0,N(L731)=0),"",MIN(L731,N731/AB731))</f>
        <v/>
      </c>
      <c r="AD731" s="29" t="str">
        <f aca="false">IF(OR(AC731="",N(O731)=0),"",AC731/O731-1)</f>
        <v/>
      </c>
      <c r="AE731" s="29" t="str">
        <f aca="false">IF(OR(AD731="",N(O731)=0),"",AD731+N731/O731)</f>
        <v/>
      </c>
      <c r="AF731" s="32" t="str">
        <f aca="false">IF(OR(AE731="",N(Z731)=0),"",AE731-Z731)</f>
        <v/>
      </c>
      <c r="AG731" s="28" t="n">
        <f aca="false">IF(AND(N(M731)&gt;0,N(L731)&gt;0),M731*L731,N731)</f>
        <v>0.9</v>
      </c>
      <c r="AH731" s="28" t="str">
        <f aca="false">IF(OR(N(AB731)&lt;=0,N(AG731)=0,N(L731)=0),"",MIN(L731,AG731/AB731))</f>
        <v/>
      </c>
      <c r="AI731" s="29" t="str">
        <f aca="false">IF(OR(AH731="",N(O731)=0),"",AH731/O731-1)</f>
        <v/>
      </c>
      <c r="AJ731" s="29" t="str">
        <f aca="false">IF(OR(AI731="",N(O731)=0),"",AI731+AG731/O731)</f>
        <v/>
      </c>
      <c r="AK731" s="32" t="str">
        <f aca="false">IF(OR(AJ731="",N(AE731)=0),"",AJ731-AE731)</f>
        <v/>
      </c>
      <c r="AL731" s="33" t="str">
        <f aca="false">IF(N(F731)=0,"",INDEX(Inputs!$B$28:$B$32,IFERROR(MATCH(F731,Inputs!$A$28:$A$32,1),0)+1))</f>
        <v/>
      </c>
      <c r="AM731" s="34"/>
      <c r="AN731" s="33" t="str">
        <f aca="false">IF(N(AM731)&gt;0,AM731,AL731)</f>
        <v/>
      </c>
      <c r="AO731" s="29" t="str">
        <f aca="false">IF(N(AN731)=0,"",AN731+IF(I731="yes",AN731*Inputs!$B$10*Inputs!$B$9,0)+IFERROR(INDEX(Inputs!$B$13:$B$15,MATCH(G731,Inputs!$A$13:$A$15,0)),0)+IFERROR(INDEX(Inputs!$B$18:$B$24,MATCH(H731,Inputs!$A$18:$A$24,0)),0))</f>
        <v/>
      </c>
      <c r="AP731" s="28" t="str">
        <f aca="false">IF(OR(N(AO731)&lt;=0,N(AG731)=0,N(L731)=0),"",MIN(L731,AG731/AO731))</f>
        <v/>
      </c>
      <c r="AQ731" s="29" t="str">
        <f aca="false">IF(OR(AP731="",N(O731)=0),"",AP731/O731-1)</f>
        <v/>
      </c>
      <c r="AR731" s="29" t="str">
        <f aca="false">IF(OR(AQ731="",N(O731)=0),"",AQ731+AG731/O731)</f>
        <v/>
      </c>
      <c r="AS731" s="32" t="str">
        <f aca="false">IF(OR(AR731="",N(AJ731)=0),"",AR731-AJ731)</f>
        <v/>
      </c>
      <c r="AT731" s="28" t="n">
        <v>10</v>
      </c>
      <c r="AU731" s="28" t="n">
        <v>0.9</v>
      </c>
      <c r="AV731" s="28" t="n">
        <f aca="false">IF(N(AT731)&gt;0,AT731,L731)</f>
        <v>10</v>
      </c>
      <c r="AW731" s="28" t="n">
        <f aca="false">IF(AND(N(M731)&gt;0,N(AV731)&gt;0),M731*AV731,IF(N(AU731)&gt;0,AU731,N731))</f>
        <v>0.9</v>
      </c>
      <c r="AX731" s="29" t="str">
        <f aca="false">IF(N(AN731)=0,"",AN731+IF(I731="yes",AN731*Inputs!$B$10*Inputs!$B$9,0)+IFERROR(INDEX(Inputs!$B$13:$B$15,MATCH(G731,Inputs!$A$13:$A$15,0)),0)+IFERROR(INDEX(Inputs!$B$18:$B$24,MATCH(H731,Inputs!$A$18:$A$24,0)),0))</f>
        <v/>
      </c>
      <c r="AY731" s="28" t="str">
        <f aca="false">IF(OR(N(AX731)&lt;=0,N(AW731)=0,N(AV731)=0),"",MIN(AV731,AW731/AX731))</f>
        <v/>
      </c>
      <c r="AZ731" s="29" t="str">
        <f aca="false">IF(OR(AY731="",N(O731)=0),"",AY731/O731-1)</f>
        <v/>
      </c>
      <c r="BA731" s="29" t="str">
        <f aca="false">IF(OR(AZ731="",N(O731)=0),"",AZ731+AW731/O731)</f>
        <v/>
      </c>
      <c r="BB731" s="32" t="str">
        <f aca="false">IF(OR(BA731="",N(AR731)=0),"",BA731-AR731)</f>
        <v/>
      </c>
      <c r="BC731" s="35" t="str">
        <f aca="false">IF(OR(BA731="",N(U731)=0),"",BA731-U731)</f>
        <v/>
      </c>
      <c r="BD731" s="36" t="s">
        <v>302</v>
      </c>
    </row>
    <row r="732" customFormat="false" ht="15" hidden="false" customHeight="false" outlineLevel="0" collapsed="false">
      <c r="A732" s="2" t="s">
        <v>1453</v>
      </c>
      <c r="B732" s="2" t="n">
        <v>30</v>
      </c>
      <c r="C732" s="2" t="s">
        <v>1471</v>
      </c>
      <c r="D732" s="2" t="s">
        <v>1472</v>
      </c>
      <c r="E732" s="2" t="s">
        <v>143</v>
      </c>
      <c r="F732" s="27"/>
      <c r="G732" s="2" t="s">
        <v>52</v>
      </c>
      <c r="H732" s="2" t="s">
        <v>58</v>
      </c>
      <c r="I732" s="2" t="s">
        <v>144</v>
      </c>
      <c r="J732" s="2" t="s">
        <v>145</v>
      </c>
      <c r="K732" s="2" t="n">
        <v>4</v>
      </c>
      <c r="L732" s="28" t="n">
        <v>25</v>
      </c>
      <c r="M732" s="29" t="n">
        <v>0.0825</v>
      </c>
      <c r="N732" s="28" t="n">
        <v>2.0625</v>
      </c>
      <c r="O732" s="28" t="n">
        <v>0</v>
      </c>
      <c r="P732" s="2" t="s">
        <v>223</v>
      </c>
      <c r="Q732" s="29" t="n">
        <v>0</v>
      </c>
      <c r="R732" s="30" t="n">
        <v>0</v>
      </c>
      <c r="S732" s="31"/>
      <c r="T732" s="30"/>
      <c r="U732" s="30"/>
      <c r="V732" s="29" t="n">
        <v>-0.005</v>
      </c>
      <c r="W732" s="29" t="str">
        <f aca="false">IF(N(Q732)=0,"",Q732+IF(I732="yes",Q732*Inputs!$B$10*Inputs!$B$9,0)+V732)</f>
        <v/>
      </c>
      <c r="X732" s="28" t="str">
        <f aca="false">IF(OR(N(W732)&lt;=0,N(N732)=0,N(L732)=0),"",MIN(L732,N732/W732))</f>
        <v/>
      </c>
      <c r="Y732" s="29" t="str">
        <f aca="false">IF(OR(X732="",N(O732)=0),"",X732/O732-1)</f>
        <v/>
      </c>
      <c r="Z732" s="29" t="str">
        <f aca="false">IF(OR(Y732="",N(O732)=0),"",Y732+N732/O732)</f>
        <v/>
      </c>
      <c r="AA732" s="32" t="str">
        <f aca="false">IF(OR(Z732="",N(U732)=0),"",Z732-U732)</f>
        <v/>
      </c>
      <c r="AB732" s="29" t="str">
        <f aca="false">IF(N(Q732)=0,"",Q732+IF(I732="yes",Q732*Inputs!$B$10*Inputs!$B$9,0)+IFERROR(INDEX(Inputs!$B$13:$B$15,MATCH(G732,Inputs!$A$13:$A$15,0)),0)+IFERROR(INDEX(Inputs!$B$18:$B$24,MATCH(H732,Inputs!$A$18:$A$24,0)),0))</f>
        <v/>
      </c>
      <c r="AC732" s="28" t="str">
        <f aca="false">IF(OR(N(AB732)&lt;=0,N(N732)=0,N(L732)=0),"",MIN(L732,N732/AB732))</f>
        <v/>
      </c>
      <c r="AD732" s="29" t="str">
        <f aca="false">IF(OR(AC732="",N(O732)=0),"",AC732/O732-1)</f>
        <v/>
      </c>
      <c r="AE732" s="29" t="str">
        <f aca="false">IF(OR(AD732="",N(O732)=0),"",AD732+N732/O732)</f>
        <v/>
      </c>
      <c r="AF732" s="32" t="str">
        <f aca="false">IF(OR(AE732="",N(Z732)=0),"",AE732-Z732)</f>
        <v/>
      </c>
      <c r="AG732" s="28" t="n">
        <f aca="false">IF(AND(N(M732)&gt;0,N(L732)&gt;0),M732*L732,N732)</f>
        <v>2.0625</v>
      </c>
      <c r="AH732" s="28" t="str">
        <f aca="false">IF(OR(N(AB732)&lt;=0,N(AG732)=0,N(L732)=0),"",MIN(L732,AG732/AB732))</f>
        <v/>
      </c>
      <c r="AI732" s="29" t="str">
        <f aca="false">IF(OR(AH732="",N(O732)=0),"",AH732/O732-1)</f>
        <v/>
      </c>
      <c r="AJ732" s="29" t="str">
        <f aca="false">IF(OR(AI732="",N(O732)=0),"",AI732+AG732/O732)</f>
        <v/>
      </c>
      <c r="AK732" s="32" t="str">
        <f aca="false">IF(OR(AJ732="",N(AE732)=0),"",AJ732-AE732)</f>
        <v/>
      </c>
      <c r="AL732" s="33" t="str">
        <f aca="false">IF(N(F732)=0,"",INDEX(Inputs!$B$28:$B$32,IFERROR(MATCH(F732,Inputs!$A$28:$A$32,1),0)+1))</f>
        <v/>
      </c>
      <c r="AM732" s="34"/>
      <c r="AN732" s="33" t="str">
        <f aca="false">IF(N(AM732)&gt;0,AM732,AL732)</f>
        <v/>
      </c>
      <c r="AO732" s="29" t="str">
        <f aca="false">IF(N(AN732)=0,"",AN732+IF(I732="yes",AN732*Inputs!$B$10*Inputs!$B$9,0)+IFERROR(INDEX(Inputs!$B$13:$B$15,MATCH(G732,Inputs!$A$13:$A$15,0)),0)+IFERROR(INDEX(Inputs!$B$18:$B$24,MATCH(H732,Inputs!$A$18:$A$24,0)),0))</f>
        <v/>
      </c>
      <c r="AP732" s="28" t="str">
        <f aca="false">IF(OR(N(AO732)&lt;=0,N(AG732)=0,N(L732)=0),"",MIN(L732,AG732/AO732))</f>
        <v/>
      </c>
      <c r="AQ732" s="29" t="str">
        <f aca="false">IF(OR(AP732="",N(O732)=0),"",AP732/O732-1)</f>
        <v/>
      </c>
      <c r="AR732" s="29" t="str">
        <f aca="false">IF(OR(AQ732="",N(O732)=0),"",AQ732+AG732/O732)</f>
        <v/>
      </c>
      <c r="AS732" s="32" t="str">
        <f aca="false">IF(OR(AR732="",N(AJ732)=0),"",AR732-AJ732)</f>
        <v/>
      </c>
      <c r="AT732" s="28"/>
      <c r="AU732" s="28"/>
      <c r="AV732" s="28" t="n">
        <f aca="false">IF(N(AT732)&gt;0,AT732,L732)</f>
        <v>25</v>
      </c>
      <c r="AW732" s="28" t="n">
        <f aca="false">IF(AND(N(M732)&gt;0,N(AV732)&gt;0),M732*AV732,IF(N(AU732)&gt;0,AU732,N732))</f>
        <v>2.0625</v>
      </c>
      <c r="AX732" s="29" t="str">
        <f aca="false">IF(N(AN732)=0,"",AN732+IF(I732="yes",AN732*Inputs!$B$10*Inputs!$B$9,0)+IFERROR(INDEX(Inputs!$B$13:$B$15,MATCH(G732,Inputs!$A$13:$A$15,0)),0)+IFERROR(INDEX(Inputs!$B$18:$B$24,MATCH(H732,Inputs!$A$18:$A$24,0)),0))</f>
        <v/>
      </c>
      <c r="AY732" s="28" t="str">
        <f aca="false">IF(OR(N(AX732)&lt;=0,N(AW732)=0,N(AV732)=0),"",MIN(AV732,AW732/AX732))</f>
        <v/>
      </c>
      <c r="AZ732" s="29" t="str">
        <f aca="false">IF(OR(AY732="",N(O732)=0),"",AY732/O732-1)</f>
        <v/>
      </c>
      <c r="BA732" s="29" t="str">
        <f aca="false">IF(OR(AZ732="",N(O732)=0),"",AZ732+AW732/O732)</f>
        <v/>
      </c>
      <c r="BB732" s="32" t="str">
        <f aca="false">IF(OR(BA732="",N(AR732)=0),"",BA732-AR732)</f>
        <v/>
      </c>
      <c r="BC732" s="35" t="str">
        <f aca="false">IF(OR(BA732="",N(U732)=0),"",BA732-U732)</f>
        <v/>
      </c>
      <c r="BD732" s="36" t="s">
        <v>328</v>
      </c>
    </row>
    <row r="733" customFormat="false" ht="15" hidden="false" customHeight="false" outlineLevel="0" collapsed="false">
      <c r="A733" s="2" t="s">
        <v>1453</v>
      </c>
      <c r="B733" s="2" t="n">
        <v>34</v>
      </c>
      <c r="C733" s="2" t="s">
        <v>1473</v>
      </c>
      <c r="D733" s="2" t="s">
        <v>1474</v>
      </c>
      <c r="E733" s="2" t="s">
        <v>1475</v>
      </c>
      <c r="F733" s="27"/>
      <c r="G733" s="2" t="s">
        <v>51</v>
      </c>
      <c r="H733" s="2" t="s">
        <v>58</v>
      </c>
      <c r="I733" s="2" t="s">
        <v>151</v>
      </c>
      <c r="J733" s="2" t="s">
        <v>145</v>
      </c>
      <c r="K733" s="2" t="n">
        <v>4</v>
      </c>
      <c r="L733" s="28" t="n">
        <v>25</v>
      </c>
      <c r="M733" s="29" t="n">
        <v>0.09</v>
      </c>
      <c r="N733" s="28" t="n">
        <v>2.25</v>
      </c>
      <c r="O733" s="28" t="n">
        <v>0</v>
      </c>
      <c r="P733" s="2" t="s">
        <v>1476</v>
      </c>
      <c r="Q733" s="29" t="n">
        <v>0</v>
      </c>
      <c r="R733" s="30"/>
      <c r="S733" s="31"/>
      <c r="T733" s="30"/>
      <c r="U733" s="30"/>
      <c r="V733" s="29" t="n">
        <v>0</v>
      </c>
      <c r="W733" s="29" t="str">
        <f aca="false">IF(N(Q733)=0,"",Q733+IF(I733="yes",Q733*Inputs!$B$10*Inputs!$B$9,0)+V733)</f>
        <v/>
      </c>
      <c r="X733" s="28" t="str">
        <f aca="false">IF(OR(N(W733)&lt;=0,N(N733)=0,N(L733)=0),"",MIN(L733,N733/W733))</f>
        <v/>
      </c>
      <c r="Y733" s="29" t="str">
        <f aca="false">IF(OR(X733="",N(O733)=0),"",X733/O733-1)</f>
        <v/>
      </c>
      <c r="Z733" s="29" t="str">
        <f aca="false">IF(OR(Y733="",N(O733)=0),"",Y733+N733/O733)</f>
        <v/>
      </c>
      <c r="AA733" s="32" t="str">
        <f aca="false">IF(OR(Z733="",N(U733)=0),"",Z733-U733)</f>
        <v/>
      </c>
      <c r="AB733" s="29" t="str">
        <f aca="false">IF(N(Q733)=0,"",Q733+IF(I733="yes",Q733*Inputs!$B$10*Inputs!$B$9,0)+IFERROR(INDEX(Inputs!$B$13:$B$15,MATCH(G733,Inputs!$A$13:$A$15,0)),0)+IFERROR(INDEX(Inputs!$B$18:$B$24,MATCH(H733,Inputs!$A$18:$A$24,0)),0))</f>
        <v/>
      </c>
      <c r="AC733" s="28" t="str">
        <f aca="false">IF(OR(N(AB733)&lt;=0,N(N733)=0,N(L733)=0),"",MIN(L733,N733/AB733))</f>
        <v/>
      </c>
      <c r="AD733" s="29" t="str">
        <f aca="false">IF(OR(AC733="",N(O733)=0),"",AC733/O733-1)</f>
        <v/>
      </c>
      <c r="AE733" s="29" t="str">
        <f aca="false">IF(OR(AD733="",N(O733)=0),"",AD733+N733/O733)</f>
        <v/>
      </c>
      <c r="AF733" s="32" t="str">
        <f aca="false">IF(OR(AE733="",N(Z733)=0),"",AE733-Z733)</f>
        <v/>
      </c>
      <c r="AG733" s="28" t="n">
        <f aca="false">IF(AND(N(M733)&gt;0,N(L733)&gt;0),M733*L733,N733)</f>
        <v>2.25</v>
      </c>
      <c r="AH733" s="28" t="str">
        <f aca="false">IF(OR(N(AB733)&lt;=0,N(AG733)=0,N(L733)=0),"",MIN(L733,AG733/AB733))</f>
        <v/>
      </c>
      <c r="AI733" s="29" t="str">
        <f aca="false">IF(OR(AH733="",N(O733)=0),"",AH733/O733-1)</f>
        <v/>
      </c>
      <c r="AJ733" s="29" t="str">
        <f aca="false">IF(OR(AI733="",N(O733)=0),"",AI733+AG733/O733)</f>
        <v/>
      </c>
      <c r="AK733" s="32" t="str">
        <f aca="false">IF(OR(AJ733="",N(AE733)=0),"",AJ733-AE733)</f>
        <v/>
      </c>
      <c r="AL733" s="33" t="str">
        <f aca="false">IF(N(F733)=0,"",INDEX(Inputs!$B$28:$B$32,IFERROR(MATCH(F733,Inputs!$A$28:$A$32,1),0)+1))</f>
        <v/>
      </c>
      <c r="AM733" s="34"/>
      <c r="AN733" s="33" t="str">
        <f aca="false">IF(N(AM733)&gt;0,AM733,AL733)</f>
        <v/>
      </c>
      <c r="AO733" s="29" t="str">
        <f aca="false">IF(N(AN733)=0,"",AN733+IF(I733="yes",AN733*Inputs!$B$10*Inputs!$B$9,0)+IFERROR(INDEX(Inputs!$B$13:$B$15,MATCH(G733,Inputs!$A$13:$A$15,0)),0)+IFERROR(INDEX(Inputs!$B$18:$B$24,MATCH(H733,Inputs!$A$18:$A$24,0)),0))</f>
        <v/>
      </c>
      <c r="AP733" s="28" t="str">
        <f aca="false">IF(OR(N(AO733)&lt;=0,N(AG733)=0,N(L733)=0),"",MIN(L733,AG733/AO733))</f>
        <v/>
      </c>
      <c r="AQ733" s="29" t="str">
        <f aca="false">IF(OR(AP733="",N(O733)=0),"",AP733/O733-1)</f>
        <v/>
      </c>
      <c r="AR733" s="29" t="str">
        <f aca="false">IF(OR(AQ733="",N(O733)=0),"",AQ733+AG733/O733)</f>
        <v/>
      </c>
      <c r="AS733" s="32" t="str">
        <f aca="false">IF(OR(AR733="",N(AJ733)=0),"",AR733-AJ733)</f>
        <v/>
      </c>
      <c r="AT733" s="28" t="n">
        <v>25</v>
      </c>
      <c r="AU733" s="28" t="n">
        <v>2.25</v>
      </c>
      <c r="AV733" s="28" t="n">
        <f aca="false">IF(N(AT733)&gt;0,AT733,L733)</f>
        <v>25</v>
      </c>
      <c r="AW733" s="28" t="n">
        <f aca="false">IF(AND(N(M733)&gt;0,N(AV733)&gt;0),M733*AV733,IF(N(AU733)&gt;0,AU733,N733))</f>
        <v>2.25</v>
      </c>
      <c r="AX733" s="29" t="str">
        <f aca="false">IF(N(AN733)=0,"",AN733+IF(I733="yes",AN733*Inputs!$B$10*Inputs!$B$9,0)+IFERROR(INDEX(Inputs!$B$13:$B$15,MATCH(G733,Inputs!$A$13:$A$15,0)),0)+IFERROR(INDEX(Inputs!$B$18:$B$24,MATCH(H733,Inputs!$A$18:$A$24,0)),0))</f>
        <v/>
      </c>
      <c r="AY733" s="28" t="str">
        <f aca="false">IF(OR(N(AX733)&lt;=0,N(AW733)=0,N(AV733)=0),"",MIN(AV733,AW733/AX733))</f>
        <v/>
      </c>
      <c r="AZ733" s="29" t="str">
        <f aca="false">IF(OR(AY733="",N(O733)=0),"",AY733/O733-1)</f>
        <v/>
      </c>
      <c r="BA733" s="29" t="str">
        <f aca="false">IF(OR(AZ733="",N(O733)=0),"",AZ733+AW733/O733)</f>
        <v/>
      </c>
      <c r="BB733" s="32" t="str">
        <f aca="false">IF(OR(BA733="",N(AR733)=0),"",BA733-AR733)</f>
        <v/>
      </c>
      <c r="BC733" s="35" t="str">
        <f aca="false">IF(OR(BA733="",N(U733)=0),"",BA733-U733)</f>
        <v/>
      </c>
      <c r="BD733" s="36" t="s">
        <v>1477</v>
      </c>
    </row>
    <row r="734" customFormat="false" ht="15" hidden="false" customHeight="false" outlineLevel="0" collapsed="false">
      <c r="A734" s="2" t="s">
        <v>1453</v>
      </c>
      <c r="B734" s="2" t="n">
        <v>38</v>
      </c>
      <c r="C734" s="2" t="s">
        <v>1478</v>
      </c>
      <c r="D734" s="2" t="s">
        <v>1474</v>
      </c>
      <c r="E734" s="2" t="s">
        <v>1475</v>
      </c>
      <c r="F734" s="27"/>
      <c r="G734" s="2" t="s">
        <v>52</v>
      </c>
      <c r="H734" s="2" t="s">
        <v>58</v>
      </c>
      <c r="I734" s="2" t="s">
        <v>144</v>
      </c>
      <c r="J734" s="2" t="s">
        <v>145</v>
      </c>
      <c r="K734" s="2" t="n">
        <v>4</v>
      </c>
      <c r="L734" s="28" t="n">
        <v>25</v>
      </c>
      <c r="M734" s="29" t="n">
        <v>0.06</v>
      </c>
      <c r="N734" s="28" t="n">
        <v>1.5</v>
      </c>
      <c r="O734" s="28"/>
      <c r="P734" s="2" t="s">
        <v>146</v>
      </c>
      <c r="Q734" s="29" t="n">
        <v>0.1</v>
      </c>
      <c r="R734" s="30" t="n">
        <v>0.095</v>
      </c>
      <c r="S734" s="31" t="n">
        <v>15.7894736842105</v>
      </c>
      <c r="T734" s="30"/>
      <c r="U734" s="30"/>
      <c r="V734" s="29" t="n">
        <v>-0.005</v>
      </c>
      <c r="W734" s="29" t="n">
        <f aca="false">IF(N(Q734)=0,"",Q734+IF(I734="yes",Q734*Inputs!$B$10*Inputs!$B$9,0)+V734)</f>
        <v>0.095</v>
      </c>
      <c r="X734" s="28" t="n">
        <f aca="false">IF(OR(N(W734)&lt;=0,N(N734)=0,N(L734)=0),"",MIN(L734,N734/W734))</f>
        <v>15.7894736842105</v>
      </c>
      <c r="Y734" s="29" t="str">
        <f aca="false">IF(OR(X734="",N(O734)=0),"",X734/O734-1)</f>
        <v/>
      </c>
      <c r="Z734" s="29" t="str">
        <f aca="false">IF(OR(Y734="",N(O734)=0),"",Y734+N734/O734)</f>
        <v/>
      </c>
      <c r="AA734" s="32" t="str">
        <f aca="false">IF(OR(Z734="",N(U734)=0),"",Z734-U734)</f>
        <v/>
      </c>
      <c r="AB734" s="29" t="n">
        <f aca="false">IF(N(Q734)=0,"",Q734+IF(I734="yes",Q734*Inputs!$B$10*Inputs!$B$9,0)+IFERROR(INDEX(Inputs!$B$13:$B$15,MATCH(G734,Inputs!$A$13:$A$15,0)),0)+IFERROR(INDEX(Inputs!$B$18:$B$24,MATCH(H734,Inputs!$A$18:$A$24,0)),0))</f>
        <v>0.095</v>
      </c>
      <c r="AC734" s="28" t="n">
        <f aca="false">IF(OR(N(AB734)&lt;=0,N(N734)=0,N(L734)=0),"",MIN(L734,N734/AB734))</f>
        <v>15.7894736842105</v>
      </c>
      <c r="AD734" s="29" t="str">
        <f aca="false">IF(OR(AC734="",N(O734)=0),"",AC734/O734-1)</f>
        <v/>
      </c>
      <c r="AE734" s="29" t="str">
        <f aca="false">IF(OR(AD734="",N(O734)=0),"",AD734+N734/O734)</f>
        <v/>
      </c>
      <c r="AF734" s="32" t="str">
        <f aca="false">IF(OR(AE734="",N(Z734)=0),"",AE734-Z734)</f>
        <v/>
      </c>
      <c r="AG734" s="28" t="n">
        <f aca="false">IF(AND(N(M734)&gt;0,N(L734)&gt;0),M734*L734,N734)</f>
        <v>1.5</v>
      </c>
      <c r="AH734" s="28" t="n">
        <f aca="false">IF(OR(N(AB734)&lt;=0,N(AG734)=0,N(L734)=0),"",MIN(L734,AG734/AB734))</f>
        <v>15.7894736842105</v>
      </c>
      <c r="AI734" s="29" t="str">
        <f aca="false">IF(OR(AH734="",N(O734)=0),"",AH734/O734-1)</f>
        <v/>
      </c>
      <c r="AJ734" s="29" t="str">
        <f aca="false">IF(OR(AI734="",N(O734)=0),"",AI734+AG734/O734)</f>
        <v/>
      </c>
      <c r="AK734" s="32" t="str">
        <f aca="false">IF(OR(AJ734="",N(AE734)=0),"",AJ734-AE734)</f>
        <v/>
      </c>
      <c r="AL734" s="33" t="str">
        <f aca="false">IF(N(F734)=0,"",INDEX(Inputs!$B$28:$B$32,IFERROR(MATCH(F734,Inputs!$A$28:$A$32,1),0)+1))</f>
        <v/>
      </c>
      <c r="AM734" s="34"/>
      <c r="AN734" s="33" t="str">
        <f aca="false">IF(N(AM734)&gt;0,AM734,AL734)</f>
        <v/>
      </c>
      <c r="AO734" s="29" t="str">
        <f aca="false">IF(N(AN734)=0,"",AN734+IF(I734="yes",AN734*Inputs!$B$10*Inputs!$B$9,0)+IFERROR(INDEX(Inputs!$B$13:$B$15,MATCH(G734,Inputs!$A$13:$A$15,0)),0)+IFERROR(INDEX(Inputs!$B$18:$B$24,MATCH(H734,Inputs!$A$18:$A$24,0)),0))</f>
        <v/>
      </c>
      <c r="AP734" s="28" t="str">
        <f aca="false">IF(OR(N(AO734)&lt;=0,N(AG734)=0,N(L734)=0),"",MIN(L734,AG734/AO734))</f>
        <v/>
      </c>
      <c r="AQ734" s="29" t="str">
        <f aca="false">IF(OR(AP734="",N(O734)=0),"",AP734/O734-1)</f>
        <v/>
      </c>
      <c r="AR734" s="29" t="str">
        <f aca="false">IF(OR(AQ734="",N(O734)=0),"",AQ734+AG734/O734)</f>
        <v/>
      </c>
      <c r="AS734" s="32" t="str">
        <f aca="false">IF(OR(AR734="",N(AJ734)=0),"",AR734-AJ734)</f>
        <v/>
      </c>
      <c r="AT734" s="28" t="n">
        <v>25</v>
      </c>
      <c r="AU734" s="28" t="n">
        <v>1.5</v>
      </c>
      <c r="AV734" s="28" t="n">
        <f aca="false">IF(N(AT734)&gt;0,AT734,L734)</f>
        <v>25</v>
      </c>
      <c r="AW734" s="28" t="n">
        <f aca="false">IF(AND(N(M734)&gt;0,N(AV734)&gt;0),M734*AV734,IF(N(AU734)&gt;0,AU734,N734))</f>
        <v>1.5</v>
      </c>
      <c r="AX734" s="29" t="str">
        <f aca="false">IF(N(AN734)=0,"",AN734+IF(I734="yes",AN734*Inputs!$B$10*Inputs!$B$9,0)+IFERROR(INDEX(Inputs!$B$13:$B$15,MATCH(G734,Inputs!$A$13:$A$15,0)),0)+IFERROR(INDEX(Inputs!$B$18:$B$24,MATCH(H734,Inputs!$A$18:$A$24,0)),0))</f>
        <v/>
      </c>
      <c r="AY734" s="28" t="str">
        <f aca="false">IF(OR(N(AX734)&lt;=0,N(AW734)=0,N(AV734)=0),"",MIN(AV734,AW734/AX734))</f>
        <v/>
      </c>
      <c r="AZ734" s="29" t="str">
        <f aca="false">IF(OR(AY734="",N(O734)=0),"",AY734/O734-1)</f>
        <v/>
      </c>
      <c r="BA734" s="29" t="str">
        <f aca="false">IF(OR(AZ734="",N(O734)=0),"",AZ734+AW734/O734)</f>
        <v/>
      </c>
      <c r="BB734" s="32" t="str">
        <f aca="false">IF(OR(BA734="",N(AR734)=0),"",BA734-AR734)</f>
        <v/>
      </c>
      <c r="BC734" s="35" t="str">
        <f aca="false">IF(OR(BA734="",N(U734)=0),"",BA734-U734)</f>
        <v/>
      </c>
      <c r="BD734" s="36" t="s">
        <v>299</v>
      </c>
    </row>
    <row r="735" customFormat="false" ht="15" hidden="false" customHeight="false" outlineLevel="0" collapsed="false">
      <c r="A735" s="2" t="s">
        <v>1453</v>
      </c>
      <c r="B735" s="2" t="n">
        <v>42</v>
      </c>
      <c r="C735" s="2" t="s">
        <v>1479</v>
      </c>
      <c r="D735" s="2" t="s">
        <v>1480</v>
      </c>
      <c r="E735" s="2" t="s">
        <v>1481</v>
      </c>
      <c r="F735" s="27" t="n">
        <v>61400</v>
      </c>
      <c r="G735" s="2" t="s">
        <v>51</v>
      </c>
      <c r="H735" s="2" t="s">
        <v>58</v>
      </c>
      <c r="I735" s="2" t="s">
        <v>151</v>
      </c>
      <c r="J735" s="2" t="s">
        <v>145</v>
      </c>
      <c r="K735" s="2" t="n">
        <v>4</v>
      </c>
      <c r="L735" s="28" t="n">
        <v>25</v>
      </c>
      <c r="M735" s="29" t="n">
        <v>0.0525</v>
      </c>
      <c r="N735" s="28" t="n">
        <v>1.3125</v>
      </c>
      <c r="O735" s="28" t="n">
        <v>19.44</v>
      </c>
      <c r="P735" s="2" t="s">
        <v>146</v>
      </c>
      <c r="Q735" s="29" t="n">
        <v>0.08</v>
      </c>
      <c r="R735" s="30" t="n">
        <v>0.076</v>
      </c>
      <c r="S735" s="31" t="n">
        <v>17.2697368421053</v>
      </c>
      <c r="T735" s="30" t="n">
        <v>-0.111639051332034</v>
      </c>
      <c r="U735" s="30" t="n">
        <v>-0.0441236192332684</v>
      </c>
      <c r="V735" s="29" t="n">
        <v>0</v>
      </c>
      <c r="W735" s="29" t="n">
        <f aca="false">IF(N(Q735)=0,"",Q735+IF(I735="yes",Q735*Inputs!$B$10*Inputs!$B$9,0)+V735)</f>
        <v>0.076</v>
      </c>
      <c r="X735" s="28" t="n">
        <f aca="false">IF(OR(N(W735)&lt;=0,N(N735)=0,N(L735)=0),"",MIN(L735,N735/W735))</f>
        <v>17.2697368421053</v>
      </c>
      <c r="Y735" s="29" t="n">
        <f aca="false">IF(OR(X735="",N(O735)=0),"",X735/O735-1)</f>
        <v>-0.111639051332034</v>
      </c>
      <c r="Z735" s="29" t="n">
        <f aca="false">IF(OR(Y735="",N(O735)=0),"",Y735+N735/O735)</f>
        <v>-0.0441236192332684</v>
      </c>
      <c r="AA735" s="32" t="n">
        <f aca="false">IF(OR(Z735="",N(U735)=0),"",Z735-U735)</f>
        <v>0</v>
      </c>
      <c r="AB735" s="29" t="n">
        <f aca="false">IF(N(Q735)=0,"",Q735+IF(I735="yes",Q735*Inputs!$B$10*Inputs!$B$9,0)+IFERROR(INDEX(Inputs!$B$13:$B$15,MATCH(G735,Inputs!$A$13:$A$15,0)),0)+IFERROR(INDEX(Inputs!$B$18:$B$24,MATCH(H735,Inputs!$A$18:$A$24,0)),0))</f>
        <v>0.076</v>
      </c>
      <c r="AC735" s="28" t="n">
        <f aca="false">IF(OR(N(AB735)&lt;=0,N(N735)=0,N(L735)=0),"",MIN(L735,N735/AB735))</f>
        <v>17.2697368421053</v>
      </c>
      <c r="AD735" s="29" t="n">
        <f aca="false">IF(OR(AC735="",N(O735)=0),"",AC735/O735-1)</f>
        <v>-0.111639051332034</v>
      </c>
      <c r="AE735" s="29" t="n">
        <f aca="false">IF(OR(AD735="",N(O735)=0),"",AD735+N735/O735)</f>
        <v>-0.0441236192332684</v>
      </c>
      <c r="AF735" s="32" t="n">
        <f aca="false">IF(OR(AE735="",N(Z735)=0),"",AE735-Z735)</f>
        <v>0</v>
      </c>
      <c r="AG735" s="28" t="n">
        <f aca="false">IF(AND(N(M735)&gt;0,N(L735)&gt;0),M735*L735,N735)</f>
        <v>1.3125</v>
      </c>
      <c r="AH735" s="28" t="n">
        <f aca="false">IF(OR(N(AB735)&lt;=0,N(AG735)=0,N(L735)=0),"",MIN(L735,AG735/AB735))</f>
        <v>17.2697368421053</v>
      </c>
      <c r="AI735" s="29" t="n">
        <f aca="false">IF(OR(AH735="",N(O735)=0),"",AH735/O735-1)</f>
        <v>-0.111639051332034</v>
      </c>
      <c r="AJ735" s="29" t="n">
        <f aca="false">IF(OR(AI735="",N(O735)=0),"",AI735+AG735/O735)</f>
        <v>-0.0441236192332684</v>
      </c>
      <c r="AK735" s="32" t="n">
        <f aca="false">IF(OR(AJ735="",N(AE735)=0),"",AJ735-AE735)</f>
        <v>0</v>
      </c>
      <c r="AL735" s="33" t="n">
        <f aca="false">IF(N(F735)=0,"",INDEX(Inputs!$B$28:$B$32,IFERROR(MATCH(F735,Inputs!$A$28:$A$32,1),0)+1))</f>
        <v>0.075</v>
      </c>
      <c r="AM735" s="34"/>
      <c r="AN735" s="33" t="n">
        <f aca="false">IF(N(AM735)&gt;0,AM735,AL735)</f>
        <v>0.075</v>
      </c>
      <c r="AO735" s="29" t="n">
        <f aca="false">IF(N(AN735)=0,"",AN735+IF(I735="yes",AN735*Inputs!$B$10*Inputs!$B$9,0)+IFERROR(INDEX(Inputs!$B$13:$B$15,MATCH(G735,Inputs!$A$13:$A$15,0)),0)+IFERROR(INDEX(Inputs!$B$18:$B$24,MATCH(H735,Inputs!$A$18:$A$24,0)),0))</f>
        <v>0.07125</v>
      </c>
      <c r="AP735" s="28" t="n">
        <f aca="false">IF(OR(N(AO735)&lt;=0,N(AG735)=0,N(L735)=0),"",MIN(L735,AG735/AO735))</f>
        <v>18.421052631579</v>
      </c>
      <c r="AQ735" s="29" t="n">
        <f aca="false">IF(OR(AP735="",N(O735)=0),"",AP735/O735-1)</f>
        <v>-0.0524149880875027</v>
      </c>
      <c r="AR735" s="29" t="n">
        <f aca="false">IF(OR(AQ735="",N(O735)=0),"",AQ735+AG735/O735)</f>
        <v>0.0151004440112628</v>
      </c>
      <c r="AS735" s="32" t="n">
        <f aca="false">IF(OR(AR735="",N(AJ735)=0),"",AR735-AJ735)</f>
        <v>0.0592240632445311</v>
      </c>
      <c r="AT735" s="28" t="n">
        <v>25</v>
      </c>
      <c r="AU735" s="28" t="n">
        <v>1.3125</v>
      </c>
      <c r="AV735" s="28" t="n">
        <f aca="false">IF(N(AT735)&gt;0,AT735,L735)</f>
        <v>25</v>
      </c>
      <c r="AW735" s="28" t="n">
        <f aca="false">IF(AND(N(M735)&gt;0,N(AV735)&gt;0),M735*AV735,IF(N(AU735)&gt;0,AU735,N735))</f>
        <v>1.3125</v>
      </c>
      <c r="AX735" s="29" t="n">
        <f aca="false">IF(N(AN735)=0,"",AN735+IF(I735="yes",AN735*Inputs!$B$10*Inputs!$B$9,0)+IFERROR(INDEX(Inputs!$B$13:$B$15,MATCH(G735,Inputs!$A$13:$A$15,0)),0)+IFERROR(INDEX(Inputs!$B$18:$B$24,MATCH(H735,Inputs!$A$18:$A$24,0)),0))</f>
        <v>0.07125</v>
      </c>
      <c r="AY735" s="28" t="n">
        <f aca="false">IF(OR(N(AX735)&lt;=0,N(AW735)=0,N(AV735)=0),"",MIN(AV735,AW735/AX735))</f>
        <v>18.421052631579</v>
      </c>
      <c r="AZ735" s="29" t="n">
        <f aca="false">IF(OR(AY735="",N(O735)=0),"",AY735/O735-1)</f>
        <v>-0.0524149880875027</v>
      </c>
      <c r="BA735" s="29" t="n">
        <f aca="false">IF(OR(AZ735="",N(O735)=0),"",AZ735+AW735/O735)</f>
        <v>0.0151004440112628</v>
      </c>
      <c r="BB735" s="32" t="n">
        <f aca="false">IF(OR(BA735="",N(AR735)=0),"",BA735-AR735)</f>
        <v>0</v>
      </c>
      <c r="BC735" s="35" t="n">
        <f aca="false">IF(OR(BA735="",N(U735)=0),"",BA735-U735)</f>
        <v>0.0592240632445311</v>
      </c>
      <c r="BD735" s="37"/>
    </row>
    <row r="736" customFormat="false" ht="15" hidden="false" customHeight="false" outlineLevel="0" collapsed="false">
      <c r="A736" s="2" t="s">
        <v>1453</v>
      </c>
      <c r="B736" s="2" t="n">
        <v>43</v>
      </c>
      <c r="C736" s="2" t="s">
        <v>1482</v>
      </c>
      <c r="D736" s="2" t="s">
        <v>1480</v>
      </c>
      <c r="E736" s="2" t="s">
        <v>1481</v>
      </c>
      <c r="F736" s="27" t="n">
        <v>61400</v>
      </c>
      <c r="G736" s="2" t="s">
        <v>51</v>
      </c>
      <c r="H736" s="2" t="s">
        <v>58</v>
      </c>
      <c r="I736" s="2" t="s">
        <v>151</v>
      </c>
      <c r="J736" s="2" t="s">
        <v>145</v>
      </c>
      <c r="K736" s="2" t="n">
        <v>4</v>
      </c>
      <c r="L736" s="28" t="n">
        <v>25</v>
      </c>
      <c r="M736" s="29" t="n">
        <v>0.0475</v>
      </c>
      <c r="N736" s="28" t="n">
        <v>1.1875</v>
      </c>
      <c r="O736" s="28" t="n">
        <v>17.46</v>
      </c>
      <c r="P736" s="2" t="s">
        <v>146</v>
      </c>
      <c r="Q736" s="29" t="n">
        <v>0.08</v>
      </c>
      <c r="R736" s="30" t="n">
        <v>0.076</v>
      </c>
      <c r="S736" s="31" t="n">
        <v>15.625</v>
      </c>
      <c r="T736" s="30" t="n">
        <v>-0.105097365406644</v>
      </c>
      <c r="U736" s="30" t="n">
        <v>-0.0370847651775488</v>
      </c>
      <c r="V736" s="29" t="n">
        <v>0</v>
      </c>
      <c r="W736" s="29" t="n">
        <f aca="false">IF(N(Q736)=0,"",Q736+IF(I736="yes",Q736*Inputs!$B$10*Inputs!$B$9,0)+V736)</f>
        <v>0.076</v>
      </c>
      <c r="X736" s="28" t="n">
        <f aca="false">IF(OR(N(W736)&lt;=0,N(N736)=0,N(L736)=0),"",MIN(L736,N736/W736))</f>
        <v>15.625</v>
      </c>
      <c r="Y736" s="29" t="n">
        <f aca="false">IF(OR(X736="",N(O736)=0),"",X736/O736-1)</f>
        <v>-0.105097365406644</v>
      </c>
      <c r="Z736" s="29" t="n">
        <f aca="false">IF(OR(Y736="",N(O736)=0),"",Y736+N736/O736)</f>
        <v>-0.0370847651775488</v>
      </c>
      <c r="AA736" s="32" t="n">
        <f aca="false">IF(OR(Z736="",N(U736)=0),"",Z736-U736)</f>
        <v>0</v>
      </c>
      <c r="AB736" s="29" t="n">
        <f aca="false">IF(N(Q736)=0,"",Q736+IF(I736="yes",Q736*Inputs!$B$10*Inputs!$B$9,0)+IFERROR(INDEX(Inputs!$B$13:$B$15,MATCH(G736,Inputs!$A$13:$A$15,0)),0)+IFERROR(INDEX(Inputs!$B$18:$B$24,MATCH(H736,Inputs!$A$18:$A$24,0)),0))</f>
        <v>0.076</v>
      </c>
      <c r="AC736" s="28" t="n">
        <f aca="false">IF(OR(N(AB736)&lt;=0,N(N736)=0,N(L736)=0),"",MIN(L736,N736/AB736))</f>
        <v>15.625</v>
      </c>
      <c r="AD736" s="29" t="n">
        <f aca="false">IF(OR(AC736="",N(O736)=0),"",AC736/O736-1)</f>
        <v>-0.105097365406644</v>
      </c>
      <c r="AE736" s="29" t="n">
        <f aca="false">IF(OR(AD736="",N(O736)=0),"",AD736+N736/O736)</f>
        <v>-0.0370847651775488</v>
      </c>
      <c r="AF736" s="32" t="n">
        <f aca="false">IF(OR(AE736="",N(Z736)=0),"",AE736-Z736)</f>
        <v>0</v>
      </c>
      <c r="AG736" s="28" t="n">
        <f aca="false">IF(AND(N(M736)&gt;0,N(L736)&gt;0),M736*L736,N736)</f>
        <v>1.1875</v>
      </c>
      <c r="AH736" s="28" t="n">
        <f aca="false">IF(OR(N(AB736)&lt;=0,N(AG736)=0,N(L736)=0),"",MIN(L736,AG736/AB736))</f>
        <v>15.625</v>
      </c>
      <c r="AI736" s="29" t="n">
        <f aca="false">IF(OR(AH736="",N(O736)=0),"",AH736/O736-1)</f>
        <v>-0.105097365406644</v>
      </c>
      <c r="AJ736" s="29" t="n">
        <f aca="false">IF(OR(AI736="",N(O736)=0),"",AI736+AG736/O736)</f>
        <v>-0.0370847651775488</v>
      </c>
      <c r="AK736" s="32" t="n">
        <f aca="false">IF(OR(AJ736="",N(AE736)=0),"",AJ736-AE736)</f>
        <v>0</v>
      </c>
      <c r="AL736" s="33" t="n">
        <f aca="false">IF(N(F736)=0,"",INDEX(Inputs!$B$28:$B$32,IFERROR(MATCH(F736,Inputs!$A$28:$A$32,1),0)+1))</f>
        <v>0.075</v>
      </c>
      <c r="AM736" s="34"/>
      <c r="AN736" s="33" t="n">
        <f aca="false">IF(N(AM736)&gt;0,AM736,AL736)</f>
        <v>0.075</v>
      </c>
      <c r="AO736" s="29" t="n">
        <f aca="false">IF(N(AN736)=0,"",AN736+IF(I736="yes",AN736*Inputs!$B$10*Inputs!$B$9,0)+IFERROR(INDEX(Inputs!$B$13:$B$15,MATCH(G736,Inputs!$A$13:$A$15,0)),0)+IFERROR(INDEX(Inputs!$B$18:$B$24,MATCH(H736,Inputs!$A$18:$A$24,0)),0))</f>
        <v>0.07125</v>
      </c>
      <c r="AP736" s="28" t="n">
        <f aca="false">IF(OR(N(AO736)&lt;=0,N(AG736)=0,N(L736)=0),"",MIN(L736,AG736/AO736))</f>
        <v>16.6666666666667</v>
      </c>
      <c r="AQ736" s="29" t="n">
        <f aca="false">IF(OR(AP736="",N(O736)=0),"",AP736/O736-1)</f>
        <v>-0.0454371897670867</v>
      </c>
      <c r="AR736" s="29" t="n">
        <f aca="false">IF(OR(AQ736="",N(O736)=0),"",AQ736+AG736/O736)</f>
        <v>0.0225754104620084</v>
      </c>
      <c r="AS736" s="32" t="n">
        <f aca="false">IF(OR(AR736="",N(AJ736)=0),"",AR736-AJ736)</f>
        <v>0.0596601756395572</v>
      </c>
      <c r="AT736" s="28" t="n">
        <v>25</v>
      </c>
      <c r="AU736" s="28" t="n">
        <v>1.1875</v>
      </c>
      <c r="AV736" s="28" t="n">
        <f aca="false">IF(N(AT736)&gt;0,AT736,L736)</f>
        <v>25</v>
      </c>
      <c r="AW736" s="28" t="n">
        <f aca="false">IF(AND(N(M736)&gt;0,N(AV736)&gt;0),M736*AV736,IF(N(AU736)&gt;0,AU736,N736))</f>
        <v>1.1875</v>
      </c>
      <c r="AX736" s="29" t="n">
        <f aca="false">IF(N(AN736)=0,"",AN736+IF(I736="yes",AN736*Inputs!$B$10*Inputs!$B$9,0)+IFERROR(INDEX(Inputs!$B$13:$B$15,MATCH(G736,Inputs!$A$13:$A$15,0)),0)+IFERROR(INDEX(Inputs!$B$18:$B$24,MATCH(H736,Inputs!$A$18:$A$24,0)),0))</f>
        <v>0.07125</v>
      </c>
      <c r="AY736" s="28" t="n">
        <f aca="false">IF(OR(N(AX736)&lt;=0,N(AW736)=0,N(AV736)=0),"",MIN(AV736,AW736/AX736))</f>
        <v>16.6666666666667</v>
      </c>
      <c r="AZ736" s="29" t="n">
        <f aca="false">IF(OR(AY736="",N(O736)=0),"",AY736/O736-1)</f>
        <v>-0.0454371897670867</v>
      </c>
      <c r="BA736" s="29" t="n">
        <f aca="false">IF(OR(AZ736="",N(O736)=0),"",AZ736+AW736/O736)</f>
        <v>0.0225754104620084</v>
      </c>
      <c r="BB736" s="32" t="n">
        <f aca="false">IF(OR(BA736="",N(AR736)=0),"",BA736-AR736)</f>
        <v>0</v>
      </c>
      <c r="BC736" s="35" t="n">
        <f aca="false">IF(OR(BA736="",N(U736)=0),"",BA736-U736)</f>
        <v>0.0596601756395572</v>
      </c>
      <c r="BD736" s="37"/>
    </row>
    <row r="737" customFormat="false" ht="15" hidden="false" customHeight="false" outlineLevel="0" collapsed="false">
      <c r="A737" s="2" t="s">
        <v>1453</v>
      </c>
      <c r="B737" s="2" t="n">
        <v>46</v>
      </c>
      <c r="C737" s="2" t="s">
        <v>1483</v>
      </c>
      <c r="D737" s="2" t="s">
        <v>1483</v>
      </c>
      <c r="E737" s="2" t="s">
        <v>143</v>
      </c>
      <c r="F737" s="27"/>
      <c r="G737" s="2" t="s">
        <v>52</v>
      </c>
      <c r="H737" s="2" t="s">
        <v>58</v>
      </c>
      <c r="I737" s="2" t="s">
        <v>144</v>
      </c>
      <c r="J737" s="2" t="s">
        <v>145</v>
      </c>
      <c r="K737" s="2" t="n">
        <v>4</v>
      </c>
      <c r="L737" s="28" t="n">
        <v>25</v>
      </c>
      <c r="M737" s="29" t="n">
        <v>0.07</v>
      </c>
      <c r="N737" s="28" t="n">
        <v>1.75</v>
      </c>
      <c r="O737" s="28" t="n">
        <v>0</v>
      </c>
      <c r="P737" s="2" t="s">
        <v>146</v>
      </c>
      <c r="Q737" s="29" t="n">
        <v>0</v>
      </c>
      <c r="R737" s="30" t="n">
        <v>-0.005</v>
      </c>
      <c r="S737" s="31" t="n">
        <v>-350</v>
      </c>
      <c r="T737" s="30"/>
      <c r="U737" s="30"/>
      <c r="V737" s="29" t="n">
        <v>-0.005</v>
      </c>
      <c r="W737" s="29" t="str">
        <f aca="false">IF(N(Q737)=0,"",Q737+IF(I737="yes",Q737*Inputs!$B$10*Inputs!$B$9,0)+V737)</f>
        <v/>
      </c>
      <c r="X737" s="28" t="str">
        <f aca="false">IF(OR(N(W737)&lt;=0,N(N737)=0,N(L737)=0),"",MIN(L737,N737/W737))</f>
        <v/>
      </c>
      <c r="Y737" s="29" t="str">
        <f aca="false">IF(OR(X737="",N(O737)=0),"",X737/O737-1)</f>
        <v/>
      </c>
      <c r="Z737" s="29" t="str">
        <f aca="false">IF(OR(Y737="",N(O737)=0),"",Y737+N737/O737)</f>
        <v/>
      </c>
      <c r="AA737" s="32" t="str">
        <f aca="false">IF(OR(Z737="",N(U737)=0),"",Z737-U737)</f>
        <v/>
      </c>
      <c r="AB737" s="29" t="str">
        <f aca="false">IF(N(Q737)=0,"",Q737+IF(I737="yes",Q737*Inputs!$B$10*Inputs!$B$9,0)+IFERROR(INDEX(Inputs!$B$13:$B$15,MATCH(G737,Inputs!$A$13:$A$15,0)),0)+IFERROR(INDEX(Inputs!$B$18:$B$24,MATCH(H737,Inputs!$A$18:$A$24,0)),0))</f>
        <v/>
      </c>
      <c r="AC737" s="28" t="str">
        <f aca="false">IF(OR(N(AB737)&lt;=0,N(N737)=0,N(L737)=0),"",MIN(L737,N737/AB737))</f>
        <v/>
      </c>
      <c r="AD737" s="29" t="str">
        <f aca="false">IF(OR(AC737="",N(O737)=0),"",AC737/O737-1)</f>
        <v/>
      </c>
      <c r="AE737" s="29" t="str">
        <f aca="false">IF(OR(AD737="",N(O737)=0),"",AD737+N737/O737)</f>
        <v/>
      </c>
      <c r="AF737" s="32" t="str">
        <f aca="false">IF(OR(AE737="",N(Z737)=0),"",AE737-Z737)</f>
        <v/>
      </c>
      <c r="AG737" s="28" t="n">
        <f aca="false">IF(AND(N(M737)&gt;0,N(L737)&gt;0),M737*L737,N737)</f>
        <v>1.75</v>
      </c>
      <c r="AH737" s="28" t="str">
        <f aca="false">IF(OR(N(AB737)&lt;=0,N(AG737)=0,N(L737)=0),"",MIN(L737,AG737/AB737))</f>
        <v/>
      </c>
      <c r="AI737" s="29" t="str">
        <f aca="false">IF(OR(AH737="",N(O737)=0),"",AH737/O737-1)</f>
        <v/>
      </c>
      <c r="AJ737" s="29" t="str">
        <f aca="false">IF(OR(AI737="",N(O737)=0),"",AI737+AG737/O737)</f>
        <v/>
      </c>
      <c r="AK737" s="32" t="str">
        <f aca="false">IF(OR(AJ737="",N(AE737)=0),"",AJ737-AE737)</f>
        <v/>
      </c>
      <c r="AL737" s="33" t="str">
        <f aca="false">IF(N(F737)=0,"",INDEX(Inputs!$B$28:$B$32,IFERROR(MATCH(F737,Inputs!$A$28:$A$32,1),0)+1))</f>
        <v/>
      </c>
      <c r="AM737" s="34"/>
      <c r="AN737" s="33" t="str">
        <f aca="false">IF(N(AM737)&gt;0,AM737,AL737)</f>
        <v/>
      </c>
      <c r="AO737" s="29" t="str">
        <f aca="false">IF(N(AN737)=0,"",AN737+IF(I737="yes",AN737*Inputs!$B$10*Inputs!$B$9,0)+IFERROR(INDEX(Inputs!$B$13:$B$15,MATCH(G737,Inputs!$A$13:$A$15,0)),0)+IFERROR(INDEX(Inputs!$B$18:$B$24,MATCH(H737,Inputs!$A$18:$A$24,0)),0))</f>
        <v/>
      </c>
      <c r="AP737" s="28" t="str">
        <f aca="false">IF(OR(N(AO737)&lt;=0,N(AG737)=0,N(L737)=0),"",MIN(L737,AG737/AO737))</f>
        <v/>
      </c>
      <c r="AQ737" s="29" t="str">
        <f aca="false">IF(OR(AP737="",N(O737)=0),"",AP737/O737-1)</f>
        <v/>
      </c>
      <c r="AR737" s="29" t="str">
        <f aca="false">IF(OR(AQ737="",N(O737)=0),"",AQ737+AG737/O737)</f>
        <v/>
      </c>
      <c r="AS737" s="32" t="str">
        <f aca="false">IF(OR(AR737="",N(AJ737)=0),"",AR737-AJ737)</f>
        <v/>
      </c>
      <c r="AT737" s="28" t="n">
        <v>25</v>
      </c>
      <c r="AU737" s="28" t="n">
        <v>1.75</v>
      </c>
      <c r="AV737" s="28" t="n">
        <f aca="false">IF(N(AT737)&gt;0,AT737,L737)</f>
        <v>25</v>
      </c>
      <c r="AW737" s="28" t="n">
        <f aca="false">IF(AND(N(M737)&gt;0,N(AV737)&gt;0),M737*AV737,IF(N(AU737)&gt;0,AU737,N737))</f>
        <v>1.75</v>
      </c>
      <c r="AX737" s="29" t="str">
        <f aca="false">IF(N(AN737)=0,"",AN737+IF(I737="yes",AN737*Inputs!$B$10*Inputs!$B$9,0)+IFERROR(INDEX(Inputs!$B$13:$B$15,MATCH(G737,Inputs!$A$13:$A$15,0)),0)+IFERROR(INDEX(Inputs!$B$18:$B$24,MATCH(H737,Inputs!$A$18:$A$24,0)),0))</f>
        <v/>
      </c>
      <c r="AY737" s="28" t="str">
        <f aca="false">IF(OR(N(AX737)&lt;=0,N(AW737)=0,N(AV737)=0),"",MIN(AV737,AW737/AX737))</f>
        <v/>
      </c>
      <c r="AZ737" s="29" t="str">
        <f aca="false">IF(OR(AY737="",N(O737)=0),"",AY737/O737-1)</f>
        <v/>
      </c>
      <c r="BA737" s="29" t="str">
        <f aca="false">IF(OR(AZ737="",N(O737)=0),"",AZ737+AW737/O737)</f>
        <v/>
      </c>
      <c r="BB737" s="32" t="str">
        <f aca="false">IF(OR(BA737="",N(AR737)=0),"",BA737-AR737)</f>
        <v/>
      </c>
      <c r="BC737" s="35" t="str">
        <f aca="false">IF(OR(BA737="",N(U737)=0),"",BA737-U737)</f>
        <v/>
      </c>
      <c r="BD737" s="36" t="s">
        <v>302</v>
      </c>
    </row>
    <row r="738" customFormat="false" ht="15" hidden="false" customHeight="false" outlineLevel="0" collapsed="false">
      <c r="A738" s="2" t="s">
        <v>1453</v>
      </c>
      <c r="B738" s="2" t="n">
        <v>50</v>
      </c>
      <c r="C738" s="2" t="s">
        <v>1484</v>
      </c>
      <c r="D738" s="2" t="s">
        <v>1485</v>
      </c>
      <c r="E738" s="2" t="s">
        <v>143</v>
      </c>
      <c r="F738" s="27"/>
      <c r="G738" s="2" t="s">
        <v>51</v>
      </c>
      <c r="H738" s="2" t="s">
        <v>58</v>
      </c>
      <c r="I738" s="2" t="s">
        <v>151</v>
      </c>
      <c r="J738" s="2" t="s">
        <v>145</v>
      </c>
      <c r="K738" s="2" t="n">
        <v>4</v>
      </c>
      <c r="L738" s="28" t="n">
        <v>25</v>
      </c>
      <c r="M738" s="29" t="n">
        <v>0.0625</v>
      </c>
      <c r="N738" s="28" t="n">
        <v>1.5625</v>
      </c>
      <c r="O738" s="28" t="n">
        <v>0</v>
      </c>
      <c r="P738" s="2" t="s">
        <v>146</v>
      </c>
      <c r="Q738" s="29" t="n">
        <v>0</v>
      </c>
      <c r="R738" s="30" t="n">
        <v>0</v>
      </c>
      <c r="S738" s="31"/>
      <c r="T738" s="30"/>
      <c r="U738" s="30"/>
      <c r="V738" s="29" t="n">
        <v>0</v>
      </c>
      <c r="W738" s="29" t="str">
        <f aca="false">IF(N(Q738)=0,"",Q738+IF(I738="yes",Q738*Inputs!$B$10*Inputs!$B$9,0)+V738)</f>
        <v/>
      </c>
      <c r="X738" s="28" t="str">
        <f aca="false">IF(OR(N(W738)&lt;=0,N(N738)=0,N(L738)=0),"",MIN(L738,N738/W738))</f>
        <v/>
      </c>
      <c r="Y738" s="29" t="str">
        <f aca="false">IF(OR(X738="",N(O738)=0),"",X738/O738-1)</f>
        <v/>
      </c>
      <c r="Z738" s="29" t="str">
        <f aca="false">IF(OR(Y738="",N(O738)=0),"",Y738+N738/O738)</f>
        <v/>
      </c>
      <c r="AA738" s="32" t="str">
        <f aca="false">IF(OR(Z738="",N(U738)=0),"",Z738-U738)</f>
        <v/>
      </c>
      <c r="AB738" s="29" t="str">
        <f aca="false">IF(N(Q738)=0,"",Q738+IF(I738="yes",Q738*Inputs!$B$10*Inputs!$B$9,0)+IFERROR(INDEX(Inputs!$B$13:$B$15,MATCH(G738,Inputs!$A$13:$A$15,0)),0)+IFERROR(INDEX(Inputs!$B$18:$B$24,MATCH(H738,Inputs!$A$18:$A$24,0)),0))</f>
        <v/>
      </c>
      <c r="AC738" s="28" t="str">
        <f aca="false">IF(OR(N(AB738)&lt;=0,N(N738)=0,N(L738)=0),"",MIN(L738,N738/AB738))</f>
        <v/>
      </c>
      <c r="AD738" s="29" t="str">
        <f aca="false">IF(OR(AC738="",N(O738)=0),"",AC738/O738-1)</f>
        <v/>
      </c>
      <c r="AE738" s="29" t="str">
        <f aca="false">IF(OR(AD738="",N(O738)=0),"",AD738+N738/O738)</f>
        <v/>
      </c>
      <c r="AF738" s="32" t="str">
        <f aca="false">IF(OR(AE738="",N(Z738)=0),"",AE738-Z738)</f>
        <v/>
      </c>
      <c r="AG738" s="28" t="n">
        <f aca="false">IF(AND(N(M738)&gt;0,N(L738)&gt;0),M738*L738,N738)</f>
        <v>1.5625</v>
      </c>
      <c r="AH738" s="28" t="str">
        <f aca="false">IF(OR(N(AB738)&lt;=0,N(AG738)=0,N(L738)=0),"",MIN(L738,AG738/AB738))</f>
        <v/>
      </c>
      <c r="AI738" s="29" t="str">
        <f aca="false">IF(OR(AH738="",N(O738)=0),"",AH738/O738-1)</f>
        <v/>
      </c>
      <c r="AJ738" s="29" t="str">
        <f aca="false">IF(OR(AI738="",N(O738)=0),"",AI738+AG738/O738)</f>
        <v/>
      </c>
      <c r="AK738" s="32" t="str">
        <f aca="false">IF(OR(AJ738="",N(AE738)=0),"",AJ738-AE738)</f>
        <v/>
      </c>
      <c r="AL738" s="33" t="str">
        <f aca="false">IF(N(F738)=0,"",INDEX(Inputs!$B$28:$B$32,IFERROR(MATCH(F738,Inputs!$A$28:$A$32,1),0)+1))</f>
        <v/>
      </c>
      <c r="AM738" s="34"/>
      <c r="AN738" s="33" t="str">
        <f aca="false">IF(N(AM738)&gt;0,AM738,AL738)</f>
        <v/>
      </c>
      <c r="AO738" s="29" t="str">
        <f aca="false">IF(N(AN738)=0,"",AN738+IF(I738="yes",AN738*Inputs!$B$10*Inputs!$B$9,0)+IFERROR(INDEX(Inputs!$B$13:$B$15,MATCH(G738,Inputs!$A$13:$A$15,0)),0)+IFERROR(INDEX(Inputs!$B$18:$B$24,MATCH(H738,Inputs!$A$18:$A$24,0)),0))</f>
        <v/>
      </c>
      <c r="AP738" s="28" t="str">
        <f aca="false">IF(OR(N(AO738)&lt;=0,N(AG738)=0,N(L738)=0),"",MIN(L738,AG738/AO738))</f>
        <v/>
      </c>
      <c r="AQ738" s="29" t="str">
        <f aca="false">IF(OR(AP738="",N(O738)=0),"",AP738/O738-1)</f>
        <v/>
      </c>
      <c r="AR738" s="29" t="str">
        <f aca="false">IF(OR(AQ738="",N(O738)=0),"",AQ738+AG738/O738)</f>
        <v/>
      </c>
      <c r="AS738" s="32" t="str">
        <f aca="false">IF(OR(AR738="",N(AJ738)=0),"",AR738-AJ738)</f>
        <v/>
      </c>
      <c r="AT738" s="28"/>
      <c r="AU738" s="28"/>
      <c r="AV738" s="28" t="n">
        <f aca="false">IF(N(AT738)&gt;0,AT738,L738)</f>
        <v>25</v>
      </c>
      <c r="AW738" s="28" t="n">
        <f aca="false">IF(AND(N(M738)&gt;0,N(AV738)&gt;0),M738*AV738,IF(N(AU738)&gt;0,AU738,N738))</f>
        <v>1.5625</v>
      </c>
      <c r="AX738" s="29" t="str">
        <f aca="false">IF(N(AN738)=0,"",AN738+IF(I738="yes",AN738*Inputs!$B$10*Inputs!$B$9,0)+IFERROR(INDEX(Inputs!$B$13:$B$15,MATCH(G738,Inputs!$A$13:$A$15,0)),0)+IFERROR(INDEX(Inputs!$B$18:$B$24,MATCH(H738,Inputs!$A$18:$A$24,0)),0))</f>
        <v/>
      </c>
      <c r="AY738" s="28" t="str">
        <f aca="false">IF(OR(N(AX738)&lt;=0,N(AW738)=0,N(AV738)=0),"",MIN(AV738,AW738/AX738))</f>
        <v/>
      </c>
      <c r="AZ738" s="29" t="str">
        <f aca="false">IF(OR(AY738="",N(O738)=0),"",AY738/O738-1)</f>
        <v/>
      </c>
      <c r="BA738" s="29" t="str">
        <f aca="false">IF(OR(AZ738="",N(O738)=0),"",AZ738+AW738/O738)</f>
        <v/>
      </c>
      <c r="BB738" s="32" t="str">
        <f aca="false">IF(OR(BA738="",N(AR738)=0),"",BA738-AR738)</f>
        <v/>
      </c>
      <c r="BC738" s="35" t="str">
        <f aca="false">IF(OR(BA738="",N(U738)=0),"",BA738-U738)</f>
        <v/>
      </c>
      <c r="BD738" s="36" t="s">
        <v>147</v>
      </c>
    </row>
    <row r="739" customFormat="false" ht="15" hidden="false" customHeight="false" outlineLevel="0" collapsed="false">
      <c r="A739" s="2" t="s">
        <v>1453</v>
      </c>
      <c r="B739" s="2" t="n">
        <v>54</v>
      </c>
      <c r="C739" s="2" t="s">
        <v>1486</v>
      </c>
      <c r="D739" s="2" t="s">
        <v>1487</v>
      </c>
      <c r="E739" s="2" t="s">
        <v>143</v>
      </c>
      <c r="F739" s="27"/>
      <c r="G739" s="2" t="s">
        <v>51</v>
      </c>
      <c r="H739" s="2" t="s">
        <v>58</v>
      </c>
      <c r="I739" s="2" t="s">
        <v>151</v>
      </c>
      <c r="J739" s="2" t="s">
        <v>145</v>
      </c>
      <c r="K739" s="2" t="n">
        <v>4</v>
      </c>
      <c r="L739" s="28" t="n">
        <v>25</v>
      </c>
      <c r="M739" s="29" t="n">
        <v>0.09</v>
      </c>
      <c r="N739" s="28" t="n">
        <v>2.25</v>
      </c>
      <c r="O739" s="28" t="n">
        <v>25.74</v>
      </c>
      <c r="P739" s="2" t="s">
        <v>146</v>
      </c>
      <c r="Q739" s="29" t="n">
        <v>0</v>
      </c>
      <c r="R739" s="30" t="n">
        <v>0</v>
      </c>
      <c r="S739" s="31"/>
      <c r="T739" s="30"/>
      <c r="U739" s="30"/>
      <c r="V739" s="29" t="n">
        <v>0</v>
      </c>
      <c r="W739" s="29" t="str">
        <f aca="false">IF(N(Q739)=0,"",Q739+IF(I739="yes",Q739*Inputs!$B$10*Inputs!$B$9,0)+V739)</f>
        <v/>
      </c>
      <c r="X739" s="28" t="str">
        <f aca="false">IF(OR(N(W739)&lt;=0,N(N739)=0,N(L739)=0),"",MIN(L739,N739/W739))</f>
        <v/>
      </c>
      <c r="Y739" s="29" t="str">
        <f aca="false">IF(OR(X739="",N(O739)=0),"",X739/O739-1)</f>
        <v/>
      </c>
      <c r="Z739" s="29" t="str">
        <f aca="false">IF(OR(Y739="",N(O739)=0),"",Y739+N739/O739)</f>
        <v/>
      </c>
      <c r="AA739" s="32" t="str">
        <f aca="false">IF(OR(Z739="",N(U739)=0),"",Z739-U739)</f>
        <v/>
      </c>
      <c r="AB739" s="29" t="str">
        <f aca="false">IF(N(Q739)=0,"",Q739+IF(I739="yes",Q739*Inputs!$B$10*Inputs!$B$9,0)+IFERROR(INDEX(Inputs!$B$13:$B$15,MATCH(G739,Inputs!$A$13:$A$15,0)),0)+IFERROR(INDEX(Inputs!$B$18:$B$24,MATCH(H739,Inputs!$A$18:$A$24,0)),0))</f>
        <v/>
      </c>
      <c r="AC739" s="28" t="str">
        <f aca="false">IF(OR(N(AB739)&lt;=0,N(N739)=0,N(L739)=0),"",MIN(L739,N739/AB739))</f>
        <v/>
      </c>
      <c r="AD739" s="29" t="str">
        <f aca="false">IF(OR(AC739="",N(O739)=0),"",AC739/O739-1)</f>
        <v/>
      </c>
      <c r="AE739" s="29" t="str">
        <f aca="false">IF(OR(AD739="",N(O739)=0),"",AD739+N739/O739)</f>
        <v/>
      </c>
      <c r="AF739" s="32" t="str">
        <f aca="false">IF(OR(AE739="",N(Z739)=0),"",AE739-Z739)</f>
        <v/>
      </c>
      <c r="AG739" s="28" t="n">
        <f aca="false">IF(AND(N(M739)&gt;0,N(L739)&gt;0),M739*L739,N739)</f>
        <v>2.25</v>
      </c>
      <c r="AH739" s="28" t="str">
        <f aca="false">IF(OR(N(AB739)&lt;=0,N(AG739)=0,N(L739)=0),"",MIN(L739,AG739/AB739))</f>
        <v/>
      </c>
      <c r="AI739" s="29" t="str">
        <f aca="false">IF(OR(AH739="",N(O739)=0),"",AH739/O739-1)</f>
        <v/>
      </c>
      <c r="AJ739" s="29" t="str">
        <f aca="false">IF(OR(AI739="",N(O739)=0),"",AI739+AG739/O739)</f>
        <v/>
      </c>
      <c r="AK739" s="32" t="str">
        <f aca="false">IF(OR(AJ739="",N(AE739)=0),"",AJ739-AE739)</f>
        <v/>
      </c>
      <c r="AL739" s="33" t="str">
        <f aca="false">IF(N(F739)=0,"",INDEX(Inputs!$B$28:$B$32,IFERROR(MATCH(F739,Inputs!$A$28:$A$32,1),0)+1))</f>
        <v/>
      </c>
      <c r="AM739" s="34"/>
      <c r="AN739" s="33" t="str">
        <f aca="false">IF(N(AM739)&gt;0,AM739,AL739)</f>
        <v/>
      </c>
      <c r="AO739" s="29" t="str">
        <f aca="false">IF(N(AN739)=0,"",AN739+IF(I739="yes",AN739*Inputs!$B$10*Inputs!$B$9,0)+IFERROR(INDEX(Inputs!$B$13:$B$15,MATCH(G739,Inputs!$A$13:$A$15,0)),0)+IFERROR(INDEX(Inputs!$B$18:$B$24,MATCH(H739,Inputs!$A$18:$A$24,0)),0))</f>
        <v/>
      </c>
      <c r="AP739" s="28" t="str">
        <f aca="false">IF(OR(N(AO739)&lt;=0,N(AG739)=0,N(L739)=0),"",MIN(L739,AG739/AO739))</f>
        <v/>
      </c>
      <c r="AQ739" s="29" t="str">
        <f aca="false">IF(OR(AP739="",N(O739)=0),"",AP739/O739-1)</f>
        <v/>
      </c>
      <c r="AR739" s="29" t="str">
        <f aca="false">IF(OR(AQ739="",N(O739)=0),"",AQ739+AG739/O739)</f>
        <v/>
      </c>
      <c r="AS739" s="32" t="str">
        <f aca="false">IF(OR(AR739="",N(AJ739)=0),"",AR739-AJ739)</f>
        <v/>
      </c>
      <c r="AT739" s="28" t="n">
        <v>25</v>
      </c>
      <c r="AU739" s="28" t="n">
        <v>2.25</v>
      </c>
      <c r="AV739" s="28" t="n">
        <f aca="false">IF(N(AT739)&gt;0,AT739,L739)</f>
        <v>25</v>
      </c>
      <c r="AW739" s="28" t="n">
        <f aca="false">IF(AND(N(M739)&gt;0,N(AV739)&gt;0),M739*AV739,IF(N(AU739)&gt;0,AU739,N739))</f>
        <v>2.25</v>
      </c>
      <c r="AX739" s="29" t="str">
        <f aca="false">IF(N(AN739)=0,"",AN739+IF(I739="yes",AN739*Inputs!$B$10*Inputs!$B$9,0)+IFERROR(INDEX(Inputs!$B$13:$B$15,MATCH(G739,Inputs!$A$13:$A$15,0)),0)+IFERROR(INDEX(Inputs!$B$18:$B$24,MATCH(H739,Inputs!$A$18:$A$24,0)),0))</f>
        <v/>
      </c>
      <c r="AY739" s="28" t="str">
        <f aca="false">IF(OR(N(AX739)&lt;=0,N(AW739)=0,N(AV739)=0),"",MIN(AV739,AW739/AX739))</f>
        <v/>
      </c>
      <c r="AZ739" s="29" t="str">
        <f aca="false">IF(OR(AY739="",N(O739)=0),"",AY739/O739-1)</f>
        <v/>
      </c>
      <c r="BA739" s="29" t="str">
        <f aca="false">IF(OR(AZ739="",N(O739)=0),"",AZ739+AW739/O739)</f>
        <v/>
      </c>
      <c r="BB739" s="32" t="str">
        <f aca="false">IF(OR(BA739="",N(AR739)=0),"",BA739-AR739)</f>
        <v/>
      </c>
      <c r="BC739" s="35" t="str">
        <f aca="false">IF(OR(BA739="",N(U739)=0),"",BA739-U739)</f>
        <v/>
      </c>
      <c r="BD739" s="36" t="s">
        <v>231</v>
      </c>
    </row>
    <row r="740" customFormat="false" ht="15" hidden="false" customHeight="false" outlineLevel="0" collapsed="false">
      <c r="A740" s="2" t="s">
        <v>1453</v>
      </c>
      <c r="B740" s="2" t="n">
        <v>55</v>
      </c>
      <c r="C740" s="2" t="s">
        <v>1488</v>
      </c>
      <c r="D740" s="2" t="s">
        <v>1487</v>
      </c>
      <c r="E740" s="2" t="s">
        <v>143</v>
      </c>
      <c r="F740" s="27"/>
      <c r="G740" s="2" t="s">
        <v>51</v>
      </c>
      <c r="H740" s="2" t="s">
        <v>59</v>
      </c>
      <c r="I740" s="2" t="s">
        <v>151</v>
      </c>
      <c r="J740" s="2" t="s">
        <v>145</v>
      </c>
      <c r="K740" s="2" t="n">
        <v>4</v>
      </c>
      <c r="L740" s="28" t="n">
        <v>25</v>
      </c>
      <c r="M740" s="29" t="n">
        <v>0.085</v>
      </c>
      <c r="N740" s="28" t="n">
        <v>2.125</v>
      </c>
      <c r="O740" s="28" t="n">
        <v>25.83</v>
      </c>
      <c r="P740" s="2" t="s">
        <v>146</v>
      </c>
      <c r="Q740" s="29" t="n">
        <v>0</v>
      </c>
      <c r="R740" s="30" t="n">
        <v>0</v>
      </c>
      <c r="S740" s="31"/>
      <c r="T740" s="30"/>
      <c r="U740" s="30"/>
      <c r="V740" s="29" t="n">
        <v>0</v>
      </c>
      <c r="W740" s="29" t="str">
        <f aca="false">IF(N(Q740)=0,"",Q740+IF(I740="yes",Q740*Inputs!$B$10*Inputs!$B$9,0)+V740)</f>
        <v/>
      </c>
      <c r="X740" s="28" t="str">
        <f aca="false">IF(OR(N(W740)&lt;=0,N(N740)=0,N(L740)=0),"",MIN(L740,N740/W740))</f>
        <v/>
      </c>
      <c r="Y740" s="29" t="str">
        <f aca="false">IF(OR(X740="",N(O740)=0),"",X740/O740-1)</f>
        <v/>
      </c>
      <c r="Z740" s="29" t="str">
        <f aca="false">IF(OR(Y740="",N(O740)=0),"",Y740+N740/O740)</f>
        <v/>
      </c>
      <c r="AA740" s="32" t="str">
        <f aca="false">IF(OR(Z740="",N(U740)=0),"",Z740-U740)</f>
        <v/>
      </c>
      <c r="AB740" s="29" t="str">
        <f aca="false">IF(N(Q740)=0,"",Q740+IF(I740="yes",Q740*Inputs!$B$10*Inputs!$B$9,0)+IFERROR(INDEX(Inputs!$B$13:$B$15,MATCH(G740,Inputs!$A$13:$A$15,0)),0)+IFERROR(INDEX(Inputs!$B$18:$B$24,MATCH(H740,Inputs!$A$18:$A$24,0)),0))</f>
        <v/>
      </c>
      <c r="AC740" s="28" t="str">
        <f aca="false">IF(OR(N(AB740)&lt;=0,N(N740)=0,N(L740)=0),"",MIN(L740,N740/AB740))</f>
        <v/>
      </c>
      <c r="AD740" s="29" t="str">
        <f aca="false">IF(OR(AC740="",N(O740)=0),"",AC740/O740-1)</f>
        <v/>
      </c>
      <c r="AE740" s="29" t="str">
        <f aca="false">IF(OR(AD740="",N(O740)=0),"",AD740+N740/O740)</f>
        <v/>
      </c>
      <c r="AF740" s="32" t="str">
        <f aca="false">IF(OR(AE740="",N(Z740)=0),"",AE740-Z740)</f>
        <v/>
      </c>
      <c r="AG740" s="28" t="n">
        <f aca="false">IF(AND(N(M740)&gt;0,N(L740)&gt;0),M740*L740,N740)</f>
        <v>2.125</v>
      </c>
      <c r="AH740" s="28" t="str">
        <f aca="false">IF(OR(N(AB740)&lt;=0,N(AG740)=0,N(L740)=0),"",MIN(L740,AG740/AB740))</f>
        <v/>
      </c>
      <c r="AI740" s="29" t="str">
        <f aca="false">IF(OR(AH740="",N(O740)=0),"",AH740/O740-1)</f>
        <v/>
      </c>
      <c r="AJ740" s="29" t="str">
        <f aca="false">IF(OR(AI740="",N(O740)=0),"",AI740+AG740/O740)</f>
        <v/>
      </c>
      <c r="AK740" s="32" t="str">
        <f aca="false">IF(OR(AJ740="",N(AE740)=0),"",AJ740-AE740)</f>
        <v/>
      </c>
      <c r="AL740" s="33" t="str">
        <f aca="false">IF(N(F740)=0,"",INDEX(Inputs!$B$28:$B$32,IFERROR(MATCH(F740,Inputs!$A$28:$A$32,1),0)+1))</f>
        <v/>
      </c>
      <c r="AM740" s="34"/>
      <c r="AN740" s="33" t="str">
        <f aca="false">IF(N(AM740)&gt;0,AM740,AL740)</f>
        <v/>
      </c>
      <c r="AO740" s="29" t="str">
        <f aca="false">IF(N(AN740)=0,"",AN740+IF(I740="yes",AN740*Inputs!$B$10*Inputs!$B$9,0)+IFERROR(INDEX(Inputs!$B$13:$B$15,MATCH(G740,Inputs!$A$13:$A$15,0)),0)+IFERROR(INDEX(Inputs!$B$18:$B$24,MATCH(H740,Inputs!$A$18:$A$24,0)),0))</f>
        <v/>
      </c>
      <c r="AP740" s="28" t="str">
        <f aca="false">IF(OR(N(AO740)&lt;=0,N(AG740)=0,N(L740)=0),"",MIN(L740,AG740/AO740))</f>
        <v/>
      </c>
      <c r="AQ740" s="29" t="str">
        <f aca="false">IF(OR(AP740="",N(O740)=0),"",AP740/O740-1)</f>
        <v/>
      </c>
      <c r="AR740" s="29" t="str">
        <f aca="false">IF(OR(AQ740="",N(O740)=0),"",AQ740+AG740/O740)</f>
        <v/>
      </c>
      <c r="AS740" s="32" t="str">
        <f aca="false">IF(OR(AR740="",N(AJ740)=0),"",AR740-AJ740)</f>
        <v/>
      </c>
      <c r="AT740" s="28" t="n">
        <v>25</v>
      </c>
      <c r="AU740" s="28" t="n">
        <v>2.13</v>
      </c>
      <c r="AV740" s="28" t="n">
        <f aca="false">IF(N(AT740)&gt;0,AT740,L740)</f>
        <v>25</v>
      </c>
      <c r="AW740" s="28" t="n">
        <f aca="false">IF(AND(N(M740)&gt;0,N(AV740)&gt;0),M740*AV740,IF(N(AU740)&gt;0,AU740,N740))</f>
        <v>2.125</v>
      </c>
      <c r="AX740" s="29" t="str">
        <f aca="false">IF(N(AN740)=0,"",AN740+IF(I740="yes",AN740*Inputs!$B$10*Inputs!$B$9,0)+IFERROR(INDEX(Inputs!$B$13:$B$15,MATCH(G740,Inputs!$A$13:$A$15,0)),0)+IFERROR(INDEX(Inputs!$B$18:$B$24,MATCH(H740,Inputs!$A$18:$A$24,0)),0))</f>
        <v/>
      </c>
      <c r="AY740" s="28" t="str">
        <f aca="false">IF(OR(N(AX740)&lt;=0,N(AW740)=0,N(AV740)=0),"",MIN(AV740,AW740/AX740))</f>
        <v/>
      </c>
      <c r="AZ740" s="29" t="str">
        <f aca="false">IF(OR(AY740="",N(O740)=0),"",AY740/O740-1)</f>
        <v/>
      </c>
      <c r="BA740" s="29" t="str">
        <f aca="false">IF(OR(AZ740="",N(O740)=0),"",AZ740+AW740/O740)</f>
        <v/>
      </c>
      <c r="BB740" s="32" t="str">
        <f aca="false">IF(OR(BA740="",N(AR740)=0),"",BA740-AR740)</f>
        <v/>
      </c>
      <c r="BC740" s="35" t="str">
        <f aca="false">IF(OR(BA740="",N(U740)=0),"",BA740-U740)</f>
        <v/>
      </c>
      <c r="BD740" s="36" t="s">
        <v>231</v>
      </c>
    </row>
    <row r="741" customFormat="false" ht="15" hidden="false" customHeight="false" outlineLevel="0" collapsed="false">
      <c r="A741" s="2" t="s">
        <v>1453</v>
      </c>
      <c r="B741" s="2" t="n">
        <v>58</v>
      </c>
      <c r="C741" s="2" t="s">
        <v>1489</v>
      </c>
      <c r="D741" s="2" t="s">
        <v>1490</v>
      </c>
      <c r="E741" s="2" t="s">
        <v>143</v>
      </c>
      <c r="F741" s="27"/>
      <c r="G741" s="2" t="s">
        <v>51</v>
      </c>
      <c r="H741" s="2" t="s">
        <v>59</v>
      </c>
      <c r="I741" s="2" t="s">
        <v>151</v>
      </c>
      <c r="J741" s="2" t="s">
        <v>145</v>
      </c>
      <c r="K741" s="2" t="n">
        <v>4</v>
      </c>
      <c r="L741" s="28" t="n">
        <v>25</v>
      </c>
      <c r="M741" s="29" t="n">
        <v>0.0925</v>
      </c>
      <c r="N741" s="28" t="n">
        <v>2.3125</v>
      </c>
      <c r="O741" s="28" t="n">
        <v>0</v>
      </c>
      <c r="P741" s="2" t="s">
        <v>146</v>
      </c>
      <c r="Q741" s="29" t="n">
        <v>0</v>
      </c>
      <c r="R741" s="30" t="n">
        <v>0</v>
      </c>
      <c r="S741" s="31"/>
      <c r="T741" s="30"/>
      <c r="U741" s="30"/>
      <c r="V741" s="29" t="n">
        <v>0</v>
      </c>
      <c r="W741" s="29" t="str">
        <f aca="false">IF(N(Q741)=0,"",Q741+IF(I741="yes",Q741*Inputs!$B$10*Inputs!$B$9,0)+V741)</f>
        <v/>
      </c>
      <c r="X741" s="28" t="str">
        <f aca="false">IF(OR(N(W741)&lt;=0,N(N741)=0,N(L741)=0),"",MIN(L741,N741/W741))</f>
        <v/>
      </c>
      <c r="Y741" s="29" t="str">
        <f aca="false">IF(OR(X741="",N(O741)=0),"",X741/O741-1)</f>
        <v/>
      </c>
      <c r="Z741" s="29" t="str">
        <f aca="false">IF(OR(Y741="",N(O741)=0),"",Y741+N741/O741)</f>
        <v/>
      </c>
      <c r="AA741" s="32" t="str">
        <f aca="false">IF(OR(Z741="",N(U741)=0),"",Z741-U741)</f>
        <v/>
      </c>
      <c r="AB741" s="29" t="str">
        <f aca="false">IF(N(Q741)=0,"",Q741+IF(I741="yes",Q741*Inputs!$B$10*Inputs!$B$9,0)+IFERROR(INDEX(Inputs!$B$13:$B$15,MATCH(G741,Inputs!$A$13:$A$15,0)),0)+IFERROR(INDEX(Inputs!$B$18:$B$24,MATCH(H741,Inputs!$A$18:$A$24,0)),0))</f>
        <v/>
      </c>
      <c r="AC741" s="28" t="str">
        <f aca="false">IF(OR(N(AB741)&lt;=0,N(N741)=0,N(L741)=0),"",MIN(L741,N741/AB741))</f>
        <v/>
      </c>
      <c r="AD741" s="29" t="str">
        <f aca="false">IF(OR(AC741="",N(O741)=0),"",AC741/O741-1)</f>
        <v/>
      </c>
      <c r="AE741" s="29" t="str">
        <f aca="false">IF(OR(AD741="",N(O741)=0),"",AD741+N741/O741)</f>
        <v/>
      </c>
      <c r="AF741" s="32" t="str">
        <f aca="false">IF(OR(AE741="",N(Z741)=0),"",AE741-Z741)</f>
        <v/>
      </c>
      <c r="AG741" s="28" t="n">
        <f aca="false">IF(AND(N(M741)&gt;0,N(L741)&gt;0),M741*L741,N741)</f>
        <v>2.3125</v>
      </c>
      <c r="AH741" s="28" t="str">
        <f aca="false">IF(OR(N(AB741)&lt;=0,N(AG741)=0,N(L741)=0),"",MIN(L741,AG741/AB741))</f>
        <v/>
      </c>
      <c r="AI741" s="29" t="str">
        <f aca="false">IF(OR(AH741="",N(O741)=0),"",AH741/O741-1)</f>
        <v/>
      </c>
      <c r="AJ741" s="29" t="str">
        <f aca="false">IF(OR(AI741="",N(O741)=0),"",AI741+AG741/O741)</f>
        <v/>
      </c>
      <c r="AK741" s="32" t="str">
        <f aca="false">IF(OR(AJ741="",N(AE741)=0),"",AJ741-AE741)</f>
        <v/>
      </c>
      <c r="AL741" s="33" t="str">
        <f aca="false">IF(N(F741)=0,"",INDEX(Inputs!$B$28:$B$32,IFERROR(MATCH(F741,Inputs!$A$28:$A$32,1),0)+1))</f>
        <v/>
      </c>
      <c r="AM741" s="34"/>
      <c r="AN741" s="33" t="str">
        <f aca="false">IF(N(AM741)&gt;0,AM741,AL741)</f>
        <v/>
      </c>
      <c r="AO741" s="29" t="str">
        <f aca="false">IF(N(AN741)=0,"",AN741+IF(I741="yes",AN741*Inputs!$B$10*Inputs!$B$9,0)+IFERROR(INDEX(Inputs!$B$13:$B$15,MATCH(G741,Inputs!$A$13:$A$15,0)),0)+IFERROR(INDEX(Inputs!$B$18:$B$24,MATCH(H741,Inputs!$A$18:$A$24,0)),0))</f>
        <v/>
      </c>
      <c r="AP741" s="28" t="str">
        <f aca="false">IF(OR(N(AO741)&lt;=0,N(AG741)=0,N(L741)=0),"",MIN(L741,AG741/AO741))</f>
        <v/>
      </c>
      <c r="AQ741" s="29" t="str">
        <f aca="false">IF(OR(AP741="",N(O741)=0),"",AP741/O741-1)</f>
        <v/>
      </c>
      <c r="AR741" s="29" t="str">
        <f aca="false">IF(OR(AQ741="",N(O741)=0),"",AQ741+AG741/O741)</f>
        <v/>
      </c>
      <c r="AS741" s="32" t="str">
        <f aca="false">IF(OR(AR741="",N(AJ741)=0),"",AR741-AJ741)</f>
        <v/>
      </c>
      <c r="AT741" s="28"/>
      <c r="AU741" s="28"/>
      <c r="AV741" s="28" t="n">
        <f aca="false">IF(N(AT741)&gt;0,AT741,L741)</f>
        <v>25</v>
      </c>
      <c r="AW741" s="28" t="n">
        <f aca="false">IF(AND(N(M741)&gt;0,N(AV741)&gt;0),M741*AV741,IF(N(AU741)&gt;0,AU741,N741))</f>
        <v>2.3125</v>
      </c>
      <c r="AX741" s="29" t="str">
        <f aca="false">IF(N(AN741)=0,"",AN741+IF(I741="yes",AN741*Inputs!$B$10*Inputs!$B$9,0)+IFERROR(INDEX(Inputs!$B$13:$B$15,MATCH(G741,Inputs!$A$13:$A$15,0)),0)+IFERROR(INDEX(Inputs!$B$18:$B$24,MATCH(H741,Inputs!$A$18:$A$24,0)),0))</f>
        <v/>
      </c>
      <c r="AY741" s="28" t="str">
        <f aca="false">IF(OR(N(AX741)&lt;=0,N(AW741)=0,N(AV741)=0),"",MIN(AV741,AW741/AX741))</f>
        <v/>
      </c>
      <c r="AZ741" s="29" t="str">
        <f aca="false">IF(OR(AY741="",N(O741)=0),"",AY741/O741-1)</f>
        <v/>
      </c>
      <c r="BA741" s="29" t="str">
        <f aca="false">IF(OR(AZ741="",N(O741)=0),"",AZ741+AW741/O741)</f>
        <v/>
      </c>
      <c r="BB741" s="32" t="str">
        <f aca="false">IF(OR(BA741="",N(AR741)=0),"",BA741-AR741)</f>
        <v/>
      </c>
      <c r="BC741" s="35" t="str">
        <f aca="false">IF(OR(BA741="",N(U741)=0),"",BA741-U741)</f>
        <v/>
      </c>
      <c r="BD741" s="36" t="s">
        <v>147</v>
      </c>
    </row>
    <row r="742" customFormat="false" ht="15" hidden="false" customHeight="false" outlineLevel="0" collapsed="false">
      <c r="A742" s="2" t="s">
        <v>1453</v>
      </c>
      <c r="B742" s="2" t="n">
        <v>59</v>
      </c>
      <c r="C742" s="2" t="s">
        <v>1491</v>
      </c>
      <c r="D742" s="2" t="s">
        <v>1490</v>
      </c>
      <c r="E742" s="2" t="s">
        <v>143</v>
      </c>
      <c r="F742" s="27"/>
      <c r="G742" s="2" t="s">
        <v>51</v>
      </c>
      <c r="H742" s="2" t="s">
        <v>59</v>
      </c>
      <c r="I742" s="2" t="s">
        <v>151</v>
      </c>
      <c r="J742" s="2" t="s">
        <v>145</v>
      </c>
      <c r="K742" s="2" t="n">
        <v>4</v>
      </c>
      <c r="L742" s="28" t="n">
        <v>25</v>
      </c>
      <c r="M742" s="29" t="n">
        <v>0.095</v>
      </c>
      <c r="N742" s="28" t="n">
        <v>2.375</v>
      </c>
      <c r="O742" s="28" t="n">
        <v>0</v>
      </c>
      <c r="P742" s="2" t="s">
        <v>146</v>
      </c>
      <c r="Q742" s="29" t="n">
        <v>0</v>
      </c>
      <c r="R742" s="30" t="n">
        <v>0</v>
      </c>
      <c r="S742" s="31"/>
      <c r="T742" s="30"/>
      <c r="U742" s="30"/>
      <c r="V742" s="29" t="n">
        <v>0</v>
      </c>
      <c r="W742" s="29" t="str">
        <f aca="false">IF(N(Q742)=0,"",Q742+IF(I742="yes",Q742*Inputs!$B$10*Inputs!$B$9,0)+V742)</f>
        <v/>
      </c>
      <c r="X742" s="28" t="str">
        <f aca="false">IF(OR(N(W742)&lt;=0,N(N742)=0,N(L742)=0),"",MIN(L742,N742/W742))</f>
        <v/>
      </c>
      <c r="Y742" s="29" t="str">
        <f aca="false">IF(OR(X742="",N(O742)=0),"",X742/O742-1)</f>
        <v/>
      </c>
      <c r="Z742" s="29" t="str">
        <f aca="false">IF(OR(Y742="",N(O742)=0),"",Y742+N742/O742)</f>
        <v/>
      </c>
      <c r="AA742" s="32" t="str">
        <f aca="false">IF(OR(Z742="",N(U742)=0),"",Z742-U742)</f>
        <v/>
      </c>
      <c r="AB742" s="29" t="str">
        <f aca="false">IF(N(Q742)=0,"",Q742+IF(I742="yes",Q742*Inputs!$B$10*Inputs!$B$9,0)+IFERROR(INDEX(Inputs!$B$13:$B$15,MATCH(G742,Inputs!$A$13:$A$15,0)),0)+IFERROR(INDEX(Inputs!$B$18:$B$24,MATCH(H742,Inputs!$A$18:$A$24,0)),0))</f>
        <v/>
      </c>
      <c r="AC742" s="28" t="str">
        <f aca="false">IF(OR(N(AB742)&lt;=0,N(N742)=0,N(L742)=0),"",MIN(L742,N742/AB742))</f>
        <v/>
      </c>
      <c r="AD742" s="29" t="str">
        <f aca="false">IF(OR(AC742="",N(O742)=0),"",AC742/O742-1)</f>
        <v/>
      </c>
      <c r="AE742" s="29" t="str">
        <f aca="false">IF(OR(AD742="",N(O742)=0),"",AD742+N742/O742)</f>
        <v/>
      </c>
      <c r="AF742" s="32" t="str">
        <f aca="false">IF(OR(AE742="",N(Z742)=0),"",AE742-Z742)</f>
        <v/>
      </c>
      <c r="AG742" s="28" t="n">
        <f aca="false">IF(AND(N(M742)&gt;0,N(L742)&gt;0),M742*L742,N742)</f>
        <v>2.375</v>
      </c>
      <c r="AH742" s="28" t="str">
        <f aca="false">IF(OR(N(AB742)&lt;=0,N(AG742)=0,N(L742)=0),"",MIN(L742,AG742/AB742))</f>
        <v/>
      </c>
      <c r="AI742" s="29" t="str">
        <f aca="false">IF(OR(AH742="",N(O742)=0),"",AH742/O742-1)</f>
        <v/>
      </c>
      <c r="AJ742" s="29" t="str">
        <f aca="false">IF(OR(AI742="",N(O742)=0),"",AI742+AG742/O742)</f>
        <v/>
      </c>
      <c r="AK742" s="32" t="str">
        <f aca="false">IF(OR(AJ742="",N(AE742)=0),"",AJ742-AE742)</f>
        <v/>
      </c>
      <c r="AL742" s="33" t="str">
        <f aca="false">IF(N(F742)=0,"",INDEX(Inputs!$B$28:$B$32,IFERROR(MATCH(F742,Inputs!$A$28:$A$32,1),0)+1))</f>
        <v/>
      </c>
      <c r="AM742" s="34"/>
      <c r="AN742" s="33" t="str">
        <f aca="false">IF(N(AM742)&gt;0,AM742,AL742)</f>
        <v/>
      </c>
      <c r="AO742" s="29" t="str">
        <f aca="false">IF(N(AN742)=0,"",AN742+IF(I742="yes",AN742*Inputs!$B$10*Inputs!$B$9,0)+IFERROR(INDEX(Inputs!$B$13:$B$15,MATCH(G742,Inputs!$A$13:$A$15,0)),0)+IFERROR(INDEX(Inputs!$B$18:$B$24,MATCH(H742,Inputs!$A$18:$A$24,0)),0))</f>
        <v/>
      </c>
      <c r="AP742" s="28" t="str">
        <f aca="false">IF(OR(N(AO742)&lt;=0,N(AG742)=0,N(L742)=0),"",MIN(L742,AG742/AO742))</f>
        <v/>
      </c>
      <c r="AQ742" s="29" t="str">
        <f aca="false">IF(OR(AP742="",N(O742)=0),"",AP742/O742-1)</f>
        <v/>
      </c>
      <c r="AR742" s="29" t="str">
        <f aca="false">IF(OR(AQ742="",N(O742)=0),"",AQ742+AG742/O742)</f>
        <v/>
      </c>
      <c r="AS742" s="32" t="str">
        <f aca="false">IF(OR(AR742="",N(AJ742)=0),"",AR742-AJ742)</f>
        <v/>
      </c>
      <c r="AT742" s="28"/>
      <c r="AU742" s="28"/>
      <c r="AV742" s="28" t="n">
        <f aca="false">IF(N(AT742)&gt;0,AT742,L742)</f>
        <v>25</v>
      </c>
      <c r="AW742" s="28" t="n">
        <f aca="false">IF(AND(N(M742)&gt;0,N(AV742)&gt;0),M742*AV742,IF(N(AU742)&gt;0,AU742,N742))</f>
        <v>2.375</v>
      </c>
      <c r="AX742" s="29" t="str">
        <f aca="false">IF(N(AN742)=0,"",AN742+IF(I742="yes",AN742*Inputs!$B$10*Inputs!$B$9,0)+IFERROR(INDEX(Inputs!$B$13:$B$15,MATCH(G742,Inputs!$A$13:$A$15,0)),0)+IFERROR(INDEX(Inputs!$B$18:$B$24,MATCH(H742,Inputs!$A$18:$A$24,0)),0))</f>
        <v/>
      </c>
      <c r="AY742" s="28" t="str">
        <f aca="false">IF(OR(N(AX742)&lt;=0,N(AW742)=0,N(AV742)=0),"",MIN(AV742,AW742/AX742))</f>
        <v/>
      </c>
      <c r="AZ742" s="29" t="str">
        <f aca="false">IF(OR(AY742="",N(O742)=0),"",AY742/O742-1)</f>
        <v/>
      </c>
      <c r="BA742" s="29" t="str">
        <f aca="false">IF(OR(AZ742="",N(O742)=0),"",AZ742+AW742/O742)</f>
        <v/>
      </c>
      <c r="BB742" s="32" t="str">
        <f aca="false">IF(OR(BA742="",N(AR742)=0),"",BA742-AR742)</f>
        <v/>
      </c>
      <c r="BC742" s="35" t="str">
        <f aca="false">IF(OR(BA742="",N(U742)=0),"",BA742-U742)</f>
        <v/>
      </c>
      <c r="BD742" s="36" t="s">
        <v>147</v>
      </c>
    </row>
    <row r="743" customFormat="false" ht="15" hidden="false" customHeight="false" outlineLevel="0" collapsed="false">
      <c r="A743" s="2" t="s">
        <v>1453</v>
      </c>
      <c r="B743" s="2" t="n">
        <v>62</v>
      </c>
      <c r="C743" s="2" t="s">
        <v>1492</v>
      </c>
      <c r="D743" s="2" t="s">
        <v>1493</v>
      </c>
      <c r="E743" s="2" t="s">
        <v>1494</v>
      </c>
      <c r="F743" s="27" t="n">
        <v>1700</v>
      </c>
      <c r="G743" s="2" t="s">
        <v>52</v>
      </c>
      <c r="H743" s="2" t="s">
        <v>58</v>
      </c>
      <c r="I743" s="2" t="s">
        <v>144</v>
      </c>
      <c r="J743" s="2" t="s">
        <v>145</v>
      </c>
      <c r="K743" s="2" t="n">
        <v>4</v>
      </c>
      <c r="L743" s="28" t="n">
        <v>25</v>
      </c>
      <c r="M743" s="29" t="n">
        <v>0.07</v>
      </c>
      <c r="N743" s="28" t="n">
        <v>1.75</v>
      </c>
      <c r="O743" s="28" t="n">
        <v>0</v>
      </c>
      <c r="P743" s="2" t="s">
        <v>223</v>
      </c>
      <c r="Q743" s="29" t="n">
        <v>0.085</v>
      </c>
      <c r="R743" s="30" t="n">
        <v>0.085</v>
      </c>
      <c r="S743" s="31" t="n">
        <v>20.5882352941177</v>
      </c>
      <c r="T743" s="30"/>
      <c r="U743" s="30"/>
      <c r="V743" s="29" t="n">
        <v>-0.005</v>
      </c>
      <c r="W743" s="29" t="n">
        <f aca="false">IF(N(Q743)=0,"",Q743+IF(I743="yes",Q743*Inputs!$B$10*Inputs!$B$9,0)+V743)</f>
        <v>0.08</v>
      </c>
      <c r="X743" s="28" t="n">
        <f aca="false">IF(OR(N(W743)&lt;=0,N(N743)=0,N(L743)=0),"",MIN(L743,N743/W743))</f>
        <v>21.875</v>
      </c>
      <c r="Y743" s="29" t="str">
        <f aca="false">IF(OR(X743="",N(O743)=0),"",X743/O743-1)</f>
        <v/>
      </c>
      <c r="Z743" s="29" t="str">
        <f aca="false">IF(OR(Y743="",N(O743)=0),"",Y743+N743/O743)</f>
        <v/>
      </c>
      <c r="AA743" s="32" t="str">
        <f aca="false">IF(OR(Z743="",N(U743)=0),"",Z743-U743)</f>
        <v/>
      </c>
      <c r="AB743" s="29" t="n">
        <f aca="false">IF(N(Q743)=0,"",Q743+IF(I743="yes",Q743*Inputs!$B$10*Inputs!$B$9,0)+IFERROR(INDEX(Inputs!$B$13:$B$15,MATCH(G743,Inputs!$A$13:$A$15,0)),0)+IFERROR(INDEX(Inputs!$B$18:$B$24,MATCH(H743,Inputs!$A$18:$A$24,0)),0))</f>
        <v>0.08</v>
      </c>
      <c r="AC743" s="28" t="n">
        <f aca="false">IF(OR(N(AB743)&lt;=0,N(N743)=0,N(L743)=0),"",MIN(L743,N743/AB743))</f>
        <v>21.875</v>
      </c>
      <c r="AD743" s="29" t="str">
        <f aca="false">IF(OR(AC743="",N(O743)=0),"",AC743/O743-1)</f>
        <v/>
      </c>
      <c r="AE743" s="29" t="str">
        <f aca="false">IF(OR(AD743="",N(O743)=0),"",AD743+N743/O743)</f>
        <v/>
      </c>
      <c r="AF743" s="32" t="str">
        <f aca="false">IF(OR(AE743="",N(Z743)=0),"",AE743-Z743)</f>
        <v/>
      </c>
      <c r="AG743" s="28" t="n">
        <f aca="false">IF(AND(N(M743)&gt;0,N(L743)&gt;0),M743*L743,N743)</f>
        <v>1.75</v>
      </c>
      <c r="AH743" s="28" t="n">
        <f aca="false">IF(OR(N(AB743)&lt;=0,N(AG743)=0,N(L743)=0),"",MIN(L743,AG743/AB743))</f>
        <v>21.875</v>
      </c>
      <c r="AI743" s="29" t="str">
        <f aca="false">IF(OR(AH743="",N(O743)=0),"",AH743/O743-1)</f>
        <v/>
      </c>
      <c r="AJ743" s="29" t="str">
        <f aca="false">IF(OR(AI743="",N(O743)=0),"",AI743+AG743/O743)</f>
        <v/>
      </c>
      <c r="AK743" s="32" t="str">
        <f aca="false">IF(OR(AJ743="",N(AE743)=0),"",AJ743-AE743)</f>
        <v/>
      </c>
      <c r="AL743" s="33" t="n">
        <f aca="false">IF(N(F743)=0,"",INDEX(Inputs!$B$28:$B$32,IFERROR(MATCH(F743,Inputs!$A$28:$A$32,1),0)+1))</f>
        <v>0.085</v>
      </c>
      <c r="AM743" s="34"/>
      <c r="AN743" s="33" t="n">
        <f aca="false">IF(N(AM743)&gt;0,AM743,AL743)</f>
        <v>0.085</v>
      </c>
      <c r="AO743" s="29" t="n">
        <f aca="false">IF(N(AN743)=0,"",AN743+IF(I743="yes",AN743*Inputs!$B$10*Inputs!$B$9,0)+IFERROR(INDEX(Inputs!$B$13:$B$15,MATCH(G743,Inputs!$A$13:$A$15,0)),0)+IFERROR(INDEX(Inputs!$B$18:$B$24,MATCH(H743,Inputs!$A$18:$A$24,0)),0))</f>
        <v>0.08</v>
      </c>
      <c r="AP743" s="28" t="n">
        <f aca="false">IF(OR(N(AO743)&lt;=0,N(AG743)=0,N(L743)=0),"",MIN(L743,AG743/AO743))</f>
        <v>21.875</v>
      </c>
      <c r="AQ743" s="29" t="str">
        <f aca="false">IF(OR(AP743="",N(O743)=0),"",AP743/O743-1)</f>
        <v/>
      </c>
      <c r="AR743" s="29" t="str">
        <f aca="false">IF(OR(AQ743="",N(O743)=0),"",AQ743+AG743/O743)</f>
        <v/>
      </c>
      <c r="AS743" s="32" t="str">
        <f aca="false">IF(OR(AR743="",N(AJ743)=0),"",AR743-AJ743)</f>
        <v/>
      </c>
      <c r="AT743" s="28"/>
      <c r="AU743" s="28"/>
      <c r="AV743" s="28" t="n">
        <f aca="false">IF(N(AT743)&gt;0,AT743,L743)</f>
        <v>25</v>
      </c>
      <c r="AW743" s="28" t="n">
        <f aca="false">IF(AND(N(M743)&gt;0,N(AV743)&gt;0),M743*AV743,IF(N(AU743)&gt;0,AU743,N743))</f>
        <v>1.75</v>
      </c>
      <c r="AX743" s="29" t="n">
        <f aca="false">IF(N(AN743)=0,"",AN743+IF(I743="yes",AN743*Inputs!$B$10*Inputs!$B$9,0)+IFERROR(INDEX(Inputs!$B$13:$B$15,MATCH(G743,Inputs!$A$13:$A$15,0)),0)+IFERROR(INDEX(Inputs!$B$18:$B$24,MATCH(H743,Inputs!$A$18:$A$24,0)),0))</f>
        <v>0.08</v>
      </c>
      <c r="AY743" s="28" t="n">
        <f aca="false">IF(OR(N(AX743)&lt;=0,N(AW743)=0,N(AV743)=0),"",MIN(AV743,AW743/AX743))</f>
        <v>21.875</v>
      </c>
      <c r="AZ743" s="29" t="str">
        <f aca="false">IF(OR(AY743="",N(O743)=0),"",AY743/O743-1)</f>
        <v/>
      </c>
      <c r="BA743" s="29" t="str">
        <f aca="false">IF(OR(AZ743="",N(O743)=0),"",AZ743+AW743/O743)</f>
        <v/>
      </c>
      <c r="BB743" s="32" t="str">
        <f aca="false">IF(OR(BA743="",N(AR743)=0),"",BA743-AR743)</f>
        <v/>
      </c>
      <c r="BC743" s="35" t="str">
        <f aca="false">IF(OR(BA743="",N(U743)=0),"",BA743-U743)</f>
        <v/>
      </c>
      <c r="BD743" s="36" t="s">
        <v>508</v>
      </c>
    </row>
    <row r="744" customFormat="false" ht="15" hidden="false" customHeight="false" outlineLevel="0" collapsed="false">
      <c r="A744" s="2" t="s">
        <v>1453</v>
      </c>
      <c r="B744" s="2" t="n">
        <v>66</v>
      </c>
      <c r="C744" s="2" t="s">
        <v>1495</v>
      </c>
      <c r="D744" s="2" t="s">
        <v>1496</v>
      </c>
      <c r="E744" s="2" t="s">
        <v>143</v>
      </c>
      <c r="F744" s="27"/>
      <c r="G744" s="2" t="s">
        <v>51</v>
      </c>
      <c r="H744" s="2" t="s">
        <v>58</v>
      </c>
      <c r="I744" s="2" t="s">
        <v>151</v>
      </c>
      <c r="J744" s="2" t="s">
        <v>145</v>
      </c>
      <c r="K744" s="2" t="n">
        <v>4</v>
      </c>
      <c r="L744" s="28" t="n">
        <v>25</v>
      </c>
      <c r="M744" s="29" t="n">
        <v>0.085</v>
      </c>
      <c r="N744" s="28" t="n">
        <v>2.125</v>
      </c>
      <c r="O744" s="28" t="n">
        <v>26.02</v>
      </c>
      <c r="P744" s="2" t="s">
        <v>146</v>
      </c>
      <c r="Q744" s="29" t="n">
        <v>0</v>
      </c>
      <c r="R744" s="30" t="n">
        <v>0</v>
      </c>
      <c r="S744" s="31"/>
      <c r="T744" s="30"/>
      <c r="U744" s="30"/>
      <c r="V744" s="29" t="n">
        <v>0</v>
      </c>
      <c r="W744" s="29" t="str">
        <f aca="false">IF(N(Q744)=0,"",Q744+IF(I744="yes",Q744*Inputs!$B$10*Inputs!$B$9,0)+V744)</f>
        <v/>
      </c>
      <c r="X744" s="28" t="str">
        <f aca="false">IF(OR(N(W744)&lt;=0,N(N744)=0,N(L744)=0),"",MIN(L744,N744/W744))</f>
        <v/>
      </c>
      <c r="Y744" s="29" t="str">
        <f aca="false">IF(OR(X744="",N(O744)=0),"",X744/O744-1)</f>
        <v/>
      </c>
      <c r="Z744" s="29" t="str">
        <f aca="false">IF(OR(Y744="",N(O744)=0),"",Y744+N744/O744)</f>
        <v/>
      </c>
      <c r="AA744" s="32" t="str">
        <f aca="false">IF(OR(Z744="",N(U744)=0),"",Z744-U744)</f>
        <v/>
      </c>
      <c r="AB744" s="29" t="str">
        <f aca="false">IF(N(Q744)=0,"",Q744+IF(I744="yes",Q744*Inputs!$B$10*Inputs!$B$9,0)+IFERROR(INDEX(Inputs!$B$13:$B$15,MATCH(G744,Inputs!$A$13:$A$15,0)),0)+IFERROR(INDEX(Inputs!$B$18:$B$24,MATCH(H744,Inputs!$A$18:$A$24,0)),0))</f>
        <v/>
      </c>
      <c r="AC744" s="28" t="str">
        <f aca="false">IF(OR(N(AB744)&lt;=0,N(N744)=0,N(L744)=0),"",MIN(L744,N744/AB744))</f>
        <v/>
      </c>
      <c r="AD744" s="29" t="str">
        <f aca="false">IF(OR(AC744="",N(O744)=0),"",AC744/O744-1)</f>
        <v/>
      </c>
      <c r="AE744" s="29" t="str">
        <f aca="false">IF(OR(AD744="",N(O744)=0),"",AD744+N744/O744)</f>
        <v/>
      </c>
      <c r="AF744" s="32" t="str">
        <f aca="false">IF(OR(AE744="",N(Z744)=0),"",AE744-Z744)</f>
        <v/>
      </c>
      <c r="AG744" s="28" t="n">
        <f aca="false">IF(AND(N(M744)&gt;0,N(L744)&gt;0),M744*L744,N744)</f>
        <v>2.125</v>
      </c>
      <c r="AH744" s="28" t="str">
        <f aca="false">IF(OR(N(AB744)&lt;=0,N(AG744)=0,N(L744)=0),"",MIN(L744,AG744/AB744))</f>
        <v/>
      </c>
      <c r="AI744" s="29" t="str">
        <f aca="false">IF(OR(AH744="",N(O744)=0),"",AH744/O744-1)</f>
        <v/>
      </c>
      <c r="AJ744" s="29" t="str">
        <f aca="false">IF(OR(AI744="",N(O744)=0),"",AI744+AG744/O744)</f>
        <v/>
      </c>
      <c r="AK744" s="32" t="str">
        <f aca="false">IF(OR(AJ744="",N(AE744)=0),"",AJ744-AE744)</f>
        <v/>
      </c>
      <c r="AL744" s="33" t="str">
        <f aca="false">IF(N(F744)=0,"",INDEX(Inputs!$B$28:$B$32,IFERROR(MATCH(F744,Inputs!$A$28:$A$32,1),0)+1))</f>
        <v/>
      </c>
      <c r="AM744" s="34"/>
      <c r="AN744" s="33" t="str">
        <f aca="false">IF(N(AM744)&gt;0,AM744,AL744)</f>
        <v/>
      </c>
      <c r="AO744" s="29" t="str">
        <f aca="false">IF(N(AN744)=0,"",AN744+IF(I744="yes",AN744*Inputs!$B$10*Inputs!$B$9,0)+IFERROR(INDEX(Inputs!$B$13:$B$15,MATCH(G744,Inputs!$A$13:$A$15,0)),0)+IFERROR(INDEX(Inputs!$B$18:$B$24,MATCH(H744,Inputs!$A$18:$A$24,0)),0))</f>
        <v/>
      </c>
      <c r="AP744" s="28" t="str">
        <f aca="false">IF(OR(N(AO744)&lt;=0,N(AG744)=0,N(L744)=0),"",MIN(L744,AG744/AO744))</f>
        <v/>
      </c>
      <c r="AQ744" s="29" t="str">
        <f aca="false">IF(OR(AP744="",N(O744)=0),"",AP744/O744-1)</f>
        <v/>
      </c>
      <c r="AR744" s="29" t="str">
        <f aca="false">IF(OR(AQ744="",N(O744)=0),"",AQ744+AG744/O744)</f>
        <v/>
      </c>
      <c r="AS744" s="32" t="str">
        <f aca="false">IF(OR(AR744="",N(AJ744)=0),"",AR744-AJ744)</f>
        <v/>
      </c>
      <c r="AT744" s="28" t="n">
        <v>25</v>
      </c>
      <c r="AU744" s="28" t="n">
        <v>2.13</v>
      </c>
      <c r="AV744" s="28" t="n">
        <f aca="false">IF(N(AT744)&gt;0,AT744,L744)</f>
        <v>25</v>
      </c>
      <c r="AW744" s="28" t="n">
        <f aca="false">IF(AND(N(M744)&gt;0,N(AV744)&gt;0),M744*AV744,IF(N(AU744)&gt;0,AU744,N744))</f>
        <v>2.125</v>
      </c>
      <c r="AX744" s="29" t="str">
        <f aca="false">IF(N(AN744)=0,"",AN744+IF(I744="yes",AN744*Inputs!$B$10*Inputs!$B$9,0)+IFERROR(INDEX(Inputs!$B$13:$B$15,MATCH(G744,Inputs!$A$13:$A$15,0)),0)+IFERROR(INDEX(Inputs!$B$18:$B$24,MATCH(H744,Inputs!$A$18:$A$24,0)),0))</f>
        <v/>
      </c>
      <c r="AY744" s="28" t="str">
        <f aca="false">IF(OR(N(AX744)&lt;=0,N(AW744)=0,N(AV744)=0),"",MIN(AV744,AW744/AX744))</f>
        <v/>
      </c>
      <c r="AZ744" s="29" t="str">
        <f aca="false">IF(OR(AY744="",N(O744)=0),"",AY744/O744-1)</f>
        <v/>
      </c>
      <c r="BA744" s="29" t="str">
        <f aca="false">IF(OR(AZ744="",N(O744)=0),"",AZ744+AW744/O744)</f>
        <v/>
      </c>
      <c r="BB744" s="32" t="str">
        <f aca="false">IF(OR(BA744="",N(AR744)=0),"",BA744-AR744)</f>
        <v/>
      </c>
      <c r="BC744" s="35" t="str">
        <f aca="false">IF(OR(BA744="",N(U744)=0),"",BA744-U744)</f>
        <v/>
      </c>
      <c r="BD744" s="36" t="s">
        <v>231</v>
      </c>
    </row>
    <row r="745" customFormat="false" ht="15" hidden="false" customHeight="false" outlineLevel="0" collapsed="false">
      <c r="A745" s="2" t="s">
        <v>1453</v>
      </c>
      <c r="B745" s="2" t="n">
        <v>67</v>
      </c>
      <c r="C745" s="2" t="s">
        <v>1497</v>
      </c>
      <c r="D745" s="2" t="s">
        <v>1496</v>
      </c>
      <c r="E745" s="2" t="s">
        <v>143</v>
      </c>
      <c r="F745" s="27"/>
      <c r="G745" s="2" t="s">
        <v>51</v>
      </c>
      <c r="H745" s="2" t="s">
        <v>58</v>
      </c>
      <c r="I745" s="2" t="s">
        <v>151</v>
      </c>
      <c r="J745" s="2" t="s">
        <v>145</v>
      </c>
      <c r="K745" s="2" t="n">
        <v>4</v>
      </c>
      <c r="L745" s="28" t="n">
        <v>25</v>
      </c>
      <c r="M745" s="29" t="n">
        <v>0.08</v>
      </c>
      <c r="N745" s="28" t="n">
        <v>2</v>
      </c>
      <c r="O745" s="28" t="n">
        <v>25.6</v>
      </c>
      <c r="P745" s="2" t="s">
        <v>146</v>
      </c>
      <c r="Q745" s="29" t="n">
        <v>0</v>
      </c>
      <c r="R745" s="30" t="n">
        <v>0</v>
      </c>
      <c r="S745" s="31"/>
      <c r="T745" s="30"/>
      <c r="U745" s="30"/>
      <c r="V745" s="29" t="n">
        <v>0</v>
      </c>
      <c r="W745" s="29" t="str">
        <f aca="false">IF(N(Q745)=0,"",Q745+IF(I745="yes",Q745*Inputs!$B$10*Inputs!$B$9,0)+V745)</f>
        <v/>
      </c>
      <c r="X745" s="28" t="str">
        <f aca="false">IF(OR(N(W745)&lt;=0,N(N745)=0,N(L745)=0),"",MIN(L745,N745/W745))</f>
        <v/>
      </c>
      <c r="Y745" s="29" t="str">
        <f aca="false">IF(OR(X745="",N(O745)=0),"",X745/O745-1)</f>
        <v/>
      </c>
      <c r="Z745" s="29" t="str">
        <f aca="false">IF(OR(Y745="",N(O745)=0),"",Y745+N745/O745)</f>
        <v/>
      </c>
      <c r="AA745" s="32" t="str">
        <f aca="false">IF(OR(Z745="",N(U745)=0),"",Z745-U745)</f>
        <v/>
      </c>
      <c r="AB745" s="29" t="str">
        <f aca="false">IF(N(Q745)=0,"",Q745+IF(I745="yes",Q745*Inputs!$B$10*Inputs!$B$9,0)+IFERROR(INDEX(Inputs!$B$13:$B$15,MATCH(G745,Inputs!$A$13:$A$15,0)),0)+IFERROR(INDEX(Inputs!$B$18:$B$24,MATCH(H745,Inputs!$A$18:$A$24,0)),0))</f>
        <v/>
      </c>
      <c r="AC745" s="28" t="str">
        <f aca="false">IF(OR(N(AB745)&lt;=0,N(N745)=0,N(L745)=0),"",MIN(L745,N745/AB745))</f>
        <v/>
      </c>
      <c r="AD745" s="29" t="str">
        <f aca="false">IF(OR(AC745="",N(O745)=0),"",AC745/O745-1)</f>
        <v/>
      </c>
      <c r="AE745" s="29" t="str">
        <f aca="false">IF(OR(AD745="",N(O745)=0),"",AD745+N745/O745)</f>
        <v/>
      </c>
      <c r="AF745" s="32" t="str">
        <f aca="false">IF(OR(AE745="",N(Z745)=0),"",AE745-Z745)</f>
        <v/>
      </c>
      <c r="AG745" s="28" t="n">
        <f aca="false">IF(AND(N(M745)&gt;0,N(L745)&gt;0),M745*L745,N745)</f>
        <v>2</v>
      </c>
      <c r="AH745" s="28" t="str">
        <f aca="false">IF(OR(N(AB745)&lt;=0,N(AG745)=0,N(L745)=0),"",MIN(L745,AG745/AB745))</f>
        <v/>
      </c>
      <c r="AI745" s="29" t="str">
        <f aca="false">IF(OR(AH745="",N(O745)=0),"",AH745/O745-1)</f>
        <v/>
      </c>
      <c r="AJ745" s="29" t="str">
        <f aca="false">IF(OR(AI745="",N(O745)=0),"",AI745+AG745/O745)</f>
        <v/>
      </c>
      <c r="AK745" s="32" t="str">
        <f aca="false">IF(OR(AJ745="",N(AE745)=0),"",AJ745-AE745)</f>
        <v/>
      </c>
      <c r="AL745" s="33" t="str">
        <f aca="false">IF(N(F745)=0,"",INDEX(Inputs!$B$28:$B$32,IFERROR(MATCH(F745,Inputs!$A$28:$A$32,1),0)+1))</f>
        <v/>
      </c>
      <c r="AM745" s="34"/>
      <c r="AN745" s="33" t="str">
        <f aca="false">IF(N(AM745)&gt;0,AM745,AL745)</f>
        <v/>
      </c>
      <c r="AO745" s="29" t="str">
        <f aca="false">IF(N(AN745)=0,"",AN745+IF(I745="yes",AN745*Inputs!$B$10*Inputs!$B$9,0)+IFERROR(INDEX(Inputs!$B$13:$B$15,MATCH(G745,Inputs!$A$13:$A$15,0)),0)+IFERROR(INDEX(Inputs!$B$18:$B$24,MATCH(H745,Inputs!$A$18:$A$24,0)),0))</f>
        <v/>
      </c>
      <c r="AP745" s="28" t="str">
        <f aca="false">IF(OR(N(AO745)&lt;=0,N(AG745)=0,N(L745)=0),"",MIN(L745,AG745/AO745))</f>
        <v/>
      </c>
      <c r="AQ745" s="29" t="str">
        <f aca="false">IF(OR(AP745="",N(O745)=0),"",AP745/O745-1)</f>
        <v/>
      </c>
      <c r="AR745" s="29" t="str">
        <f aca="false">IF(OR(AQ745="",N(O745)=0),"",AQ745+AG745/O745)</f>
        <v/>
      </c>
      <c r="AS745" s="32" t="str">
        <f aca="false">IF(OR(AR745="",N(AJ745)=0),"",AR745-AJ745)</f>
        <v/>
      </c>
      <c r="AT745" s="28" t="n">
        <v>25</v>
      </c>
      <c r="AU745" s="28" t="n">
        <v>2</v>
      </c>
      <c r="AV745" s="28" t="n">
        <f aca="false">IF(N(AT745)&gt;0,AT745,L745)</f>
        <v>25</v>
      </c>
      <c r="AW745" s="28" t="n">
        <f aca="false">IF(AND(N(M745)&gt;0,N(AV745)&gt;0),M745*AV745,IF(N(AU745)&gt;0,AU745,N745))</f>
        <v>2</v>
      </c>
      <c r="AX745" s="29" t="str">
        <f aca="false">IF(N(AN745)=0,"",AN745+IF(I745="yes",AN745*Inputs!$B$10*Inputs!$B$9,0)+IFERROR(INDEX(Inputs!$B$13:$B$15,MATCH(G745,Inputs!$A$13:$A$15,0)),0)+IFERROR(INDEX(Inputs!$B$18:$B$24,MATCH(H745,Inputs!$A$18:$A$24,0)),0))</f>
        <v/>
      </c>
      <c r="AY745" s="28" t="str">
        <f aca="false">IF(OR(N(AX745)&lt;=0,N(AW745)=0,N(AV745)=0),"",MIN(AV745,AW745/AX745))</f>
        <v/>
      </c>
      <c r="AZ745" s="29" t="str">
        <f aca="false">IF(OR(AY745="",N(O745)=0),"",AY745/O745-1)</f>
        <v/>
      </c>
      <c r="BA745" s="29" t="str">
        <f aca="false">IF(OR(AZ745="",N(O745)=0),"",AZ745+AW745/O745)</f>
        <v/>
      </c>
      <c r="BB745" s="32" t="str">
        <f aca="false">IF(OR(BA745="",N(AR745)=0),"",BA745-AR745)</f>
        <v/>
      </c>
      <c r="BC745" s="35" t="str">
        <f aca="false">IF(OR(BA745="",N(U745)=0),"",BA745-U745)</f>
        <v/>
      </c>
      <c r="BD745" s="36" t="s">
        <v>231</v>
      </c>
    </row>
    <row r="746" customFormat="false" ht="15" hidden="false" customHeight="false" outlineLevel="0" collapsed="false">
      <c r="A746" s="2" t="s">
        <v>1453</v>
      </c>
      <c r="B746" s="2" t="n">
        <v>68</v>
      </c>
      <c r="C746" s="2" t="s">
        <v>1498</v>
      </c>
      <c r="D746" s="2" t="s">
        <v>1496</v>
      </c>
      <c r="E746" s="2" t="s">
        <v>143</v>
      </c>
      <c r="F746" s="27"/>
      <c r="G746" s="2" t="s">
        <v>51</v>
      </c>
      <c r="H746" s="2" t="s">
        <v>58</v>
      </c>
      <c r="I746" s="2" t="s">
        <v>151</v>
      </c>
      <c r="J746" s="2" t="s">
        <v>145</v>
      </c>
      <c r="K746" s="2" t="n">
        <v>4</v>
      </c>
      <c r="L746" s="28" t="n">
        <v>25</v>
      </c>
      <c r="M746" s="29" t="n">
        <v>0.07375</v>
      </c>
      <c r="N746" s="28" t="n">
        <v>1.84375</v>
      </c>
      <c r="O746" s="28" t="n">
        <v>25.1</v>
      </c>
      <c r="P746" s="2" t="s">
        <v>146</v>
      </c>
      <c r="Q746" s="29" t="n">
        <v>0</v>
      </c>
      <c r="R746" s="30" t="n">
        <v>0</v>
      </c>
      <c r="S746" s="31"/>
      <c r="T746" s="30"/>
      <c r="U746" s="30"/>
      <c r="V746" s="29" t="n">
        <v>0</v>
      </c>
      <c r="W746" s="29" t="str">
        <f aca="false">IF(N(Q746)=0,"",Q746+IF(I746="yes",Q746*Inputs!$B$10*Inputs!$B$9,0)+V746)</f>
        <v/>
      </c>
      <c r="X746" s="28" t="str">
        <f aca="false">IF(OR(N(W746)&lt;=0,N(N746)=0,N(L746)=0),"",MIN(L746,N746/W746))</f>
        <v/>
      </c>
      <c r="Y746" s="29" t="str">
        <f aca="false">IF(OR(X746="",N(O746)=0),"",X746/O746-1)</f>
        <v/>
      </c>
      <c r="Z746" s="29" t="str">
        <f aca="false">IF(OR(Y746="",N(O746)=0),"",Y746+N746/O746)</f>
        <v/>
      </c>
      <c r="AA746" s="32" t="str">
        <f aca="false">IF(OR(Z746="",N(U746)=0),"",Z746-U746)</f>
        <v/>
      </c>
      <c r="AB746" s="29" t="str">
        <f aca="false">IF(N(Q746)=0,"",Q746+IF(I746="yes",Q746*Inputs!$B$10*Inputs!$B$9,0)+IFERROR(INDEX(Inputs!$B$13:$B$15,MATCH(G746,Inputs!$A$13:$A$15,0)),0)+IFERROR(INDEX(Inputs!$B$18:$B$24,MATCH(H746,Inputs!$A$18:$A$24,0)),0))</f>
        <v/>
      </c>
      <c r="AC746" s="28" t="str">
        <f aca="false">IF(OR(N(AB746)&lt;=0,N(N746)=0,N(L746)=0),"",MIN(L746,N746/AB746))</f>
        <v/>
      </c>
      <c r="AD746" s="29" t="str">
        <f aca="false">IF(OR(AC746="",N(O746)=0),"",AC746/O746-1)</f>
        <v/>
      </c>
      <c r="AE746" s="29" t="str">
        <f aca="false">IF(OR(AD746="",N(O746)=0),"",AD746+N746/O746)</f>
        <v/>
      </c>
      <c r="AF746" s="32" t="str">
        <f aca="false">IF(OR(AE746="",N(Z746)=0),"",AE746-Z746)</f>
        <v/>
      </c>
      <c r="AG746" s="28" t="n">
        <f aca="false">IF(AND(N(M746)&gt;0,N(L746)&gt;0),M746*L746,N746)</f>
        <v>1.84375</v>
      </c>
      <c r="AH746" s="28" t="str">
        <f aca="false">IF(OR(N(AB746)&lt;=0,N(AG746)=0,N(L746)=0),"",MIN(L746,AG746/AB746))</f>
        <v/>
      </c>
      <c r="AI746" s="29" t="str">
        <f aca="false">IF(OR(AH746="",N(O746)=0),"",AH746/O746-1)</f>
        <v/>
      </c>
      <c r="AJ746" s="29" t="str">
        <f aca="false">IF(OR(AI746="",N(O746)=0),"",AI746+AG746/O746)</f>
        <v/>
      </c>
      <c r="AK746" s="32" t="str">
        <f aca="false">IF(OR(AJ746="",N(AE746)=0),"",AJ746-AE746)</f>
        <v/>
      </c>
      <c r="AL746" s="33" t="str">
        <f aca="false">IF(N(F746)=0,"",INDEX(Inputs!$B$28:$B$32,IFERROR(MATCH(F746,Inputs!$A$28:$A$32,1),0)+1))</f>
        <v/>
      </c>
      <c r="AM746" s="34"/>
      <c r="AN746" s="33" t="str">
        <f aca="false">IF(N(AM746)&gt;0,AM746,AL746)</f>
        <v/>
      </c>
      <c r="AO746" s="29" t="str">
        <f aca="false">IF(N(AN746)=0,"",AN746+IF(I746="yes",AN746*Inputs!$B$10*Inputs!$B$9,0)+IFERROR(INDEX(Inputs!$B$13:$B$15,MATCH(G746,Inputs!$A$13:$A$15,0)),0)+IFERROR(INDEX(Inputs!$B$18:$B$24,MATCH(H746,Inputs!$A$18:$A$24,0)),0))</f>
        <v/>
      </c>
      <c r="AP746" s="28" t="str">
        <f aca="false">IF(OR(N(AO746)&lt;=0,N(AG746)=0,N(L746)=0),"",MIN(L746,AG746/AO746))</f>
        <v/>
      </c>
      <c r="AQ746" s="29" t="str">
        <f aca="false">IF(OR(AP746="",N(O746)=0),"",AP746/O746-1)</f>
        <v/>
      </c>
      <c r="AR746" s="29" t="str">
        <f aca="false">IF(OR(AQ746="",N(O746)=0),"",AQ746+AG746/O746)</f>
        <v/>
      </c>
      <c r="AS746" s="32" t="str">
        <f aca="false">IF(OR(AR746="",N(AJ746)=0),"",AR746-AJ746)</f>
        <v/>
      </c>
      <c r="AT746" s="28" t="n">
        <v>25</v>
      </c>
      <c r="AU746" s="28" t="n">
        <v>1.84</v>
      </c>
      <c r="AV746" s="28" t="n">
        <f aca="false">IF(N(AT746)&gt;0,AT746,L746)</f>
        <v>25</v>
      </c>
      <c r="AW746" s="28" t="n">
        <f aca="false">IF(AND(N(M746)&gt;0,N(AV746)&gt;0),M746*AV746,IF(N(AU746)&gt;0,AU746,N746))</f>
        <v>1.84375</v>
      </c>
      <c r="AX746" s="29" t="str">
        <f aca="false">IF(N(AN746)=0,"",AN746+IF(I746="yes",AN746*Inputs!$B$10*Inputs!$B$9,0)+IFERROR(INDEX(Inputs!$B$13:$B$15,MATCH(G746,Inputs!$A$13:$A$15,0)),0)+IFERROR(INDEX(Inputs!$B$18:$B$24,MATCH(H746,Inputs!$A$18:$A$24,0)),0))</f>
        <v/>
      </c>
      <c r="AY746" s="28" t="str">
        <f aca="false">IF(OR(N(AX746)&lt;=0,N(AW746)=0,N(AV746)=0),"",MIN(AV746,AW746/AX746))</f>
        <v/>
      </c>
      <c r="AZ746" s="29" t="str">
        <f aca="false">IF(OR(AY746="",N(O746)=0),"",AY746/O746-1)</f>
        <v/>
      </c>
      <c r="BA746" s="29" t="str">
        <f aca="false">IF(OR(AZ746="",N(O746)=0),"",AZ746+AW746/O746)</f>
        <v/>
      </c>
      <c r="BB746" s="32" t="str">
        <f aca="false">IF(OR(BA746="",N(AR746)=0),"",BA746-AR746)</f>
        <v/>
      </c>
      <c r="BC746" s="35" t="str">
        <f aca="false">IF(OR(BA746="",N(U746)=0),"",BA746-U746)</f>
        <v/>
      </c>
      <c r="BD746" s="36" t="s">
        <v>231</v>
      </c>
    </row>
    <row r="747" customFormat="false" ht="15" hidden="false" customHeight="false" outlineLevel="0" collapsed="false">
      <c r="A747" s="2" t="s">
        <v>1453</v>
      </c>
      <c r="B747" s="2" t="n">
        <v>69</v>
      </c>
      <c r="C747" s="2" t="s">
        <v>1499</v>
      </c>
      <c r="D747" s="2" t="s">
        <v>1496</v>
      </c>
      <c r="E747" s="2" t="s">
        <v>143</v>
      </c>
      <c r="F747" s="27"/>
      <c r="G747" s="2" t="s">
        <v>51</v>
      </c>
      <c r="H747" s="2" t="s">
        <v>58</v>
      </c>
      <c r="I747" s="2" t="s">
        <v>151</v>
      </c>
      <c r="J747" s="2" t="s">
        <v>145</v>
      </c>
      <c r="K747" s="2" t="n">
        <v>4</v>
      </c>
      <c r="L747" s="28" t="n">
        <v>25</v>
      </c>
      <c r="M747" s="29" t="n">
        <v>0.06875</v>
      </c>
      <c r="N747" s="28" t="n">
        <v>1.71875</v>
      </c>
      <c r="O747" s="28" t="n">
        <v>22.92</v>
      </c>
      <c r="P747" s="2" t="s">
        <v>146</v>
      </c>
      <c r="Q747" s="29" t="n">
        <v>0</v>
      </c>
      <c r="R747" s="30" t="n">
        <v>0</v>
      </c>
      <c r="S747" s="31"/>
      <c r="T747" s="30"/>
      <c r="U747" s="30"/>
      <c r="V747" s="29" t="n">
        <v>0</v>
      </c>
      <c r="W747" s="29" t="str">
        <f aca="false">IF(N(Q747)=0,"",Q747+IF(I747="yes",Q747*Inputs!$B$10*Inputs!$B$9,0)+V747)</f>
        <v/>
      </c>
      <c r="X747" s="28" t="str">
        <f aca="false">IF(OR(N(W747)&lt;=0,N(N747)=0,N(L747)=0),"",MIN(L747,N747/W747))</f>
        <v/>
      </c>
      <c r="Y747" s="29" t="str">
        <f aca="false">IF(OR(X747="",N(O747)=0),"",X747/O747-1)</f>
        <v/>
      </c>
      <c r="Z747" s="29" t="str">
        <f aca="false">IF(OR(Y747="",N(O747)=0),"",Y747+N747/O747)</f>
        <v/>
      </c>
      <c r="AA747" s="32" t="str">
        <f aca="false">IF(OR(Z747="",N(U747)=0),"",Z747-U747)</f>
        <v/>
      </c>
      <c r="AB747" s="29" t="str">
        <f aca="false">IF(N(Q747)=0,"",Q747+IF(I747="yes",Q747*Inputs!$B$10*Inputs!$B$9,0)+IFERROR(INDEX(Inputs!$B$13:$B$15,MATCH(G747,Inputs!$A$13:$A$15,0)),0)+IFERROR(INDEX(Inputs!$B$18:$B$24,MATCH(H747,Inputs!$A$18:$A$24,0)),0))</f>
        <v/>
      </c>
      <c r="AC747" s="28" t="str">
        <f aca="false">IF(OR(N(AB747)&lt;=0,N(N747)=0,N(L747)=0),"",MIN(L747,N747/AB747))</f>
        <v/>
      </c>
      <c r="AD747" s="29" t="str">
        <f aca="false">IF(OR(AC747="",N(O747)=0),"",AC747/O747-1)</f>
        <v/>
      </c>
      <c r="AE747" s="29" t="str">
        <f aca="false">IF(OR(AD747="",N(O747)=0),"",AD747+N747/O747)</f>
        <v/>
      </c>
      <c r="AF747" s="32" t="str">
        <f aca="false">IF(OR(AE747="",N(Z747)=0),"",AE747-Z747)</f>
        <v/>
      </c>
      <c r="AG747" s="28" t="n">
        <f aca="false">IF(AND(N(M747)&gt;0,N(L747)&gt;0),M747*L747,N747)</f>
        <v>1.71875</v>
      </c>
      <c r="AH747" s="28" t="str">
        <f aca="false">IF(OR(N(AB747)&lt;=0,N(AG747)=0,N(L747)=0),"",MIN(L747,AG747/AB747))</f>
        <v/>
      </c>
      <c r="AI747" s="29" t="str">
        <f aca="false">IF(OR(AH747="",N(O747)=0),"",AH747/O747-1)</f>
        <v/>
      </c>
      <c r="AJ747" s="29" t="str">
        <f aca="false">IF(OR(AI747="",N(O747)=0),"",AI747+AG747/O747)</f>
        <v/>
      </c>
      <c r="AK747" s="32" t="str">
        <f aca="false">IF(OR(AJ747="",N(AE747)=0),"",AJ747-AE747)</f>
        <v/>
      </c>
      <c r="AL747" s="33" t="str">
        <f aca="false">IF(N(F747)=0,"",INDEX(Inputs!$B$28:$B$32,IFERROR(MATCH(F747,Inputs!$A$28:$A$32,1),0)+1))</f>
        <v/>
      </c>
      <c r="AM747" s="34"/>
      <c r="AN747" s="33" t="str">
        <f aca="false">IF(N(AM747)&gt;0,AM747,AL747)</f>
        <v/>
      </c>
      <c r="AO747" s="29" t="str">
        <f aca="false">IF(N(AN747)=0,"",AN747+IF(I747="yes",AN747*Inputs!$B$10*Inputs!$B$9,0)+IFERROR(INDEX(Inputs!$B$13:$B$15,MATCH(G747,Inputs!$A$13:$A$15,0)),0)+IFERROR(INDEX(Inputs!$B$18:$B$24,MATCH(H747,Inputs!$A$18:$A$24,0)),0))</f>
        <v/>
      </c>
      <c r="AP747" s="28" t="str">
        <f aca="false">IF(OR(N(AO747)&lt;=0,N(AG747)=0,N(L747)=0),"",MIN(L747,AG747/AO747))</f>
        <v/>
      </c>
      <c r="AQ747" s="29" t="str">
        <f aca="false">IF(OR(AP747="",N(O747)=0),"",AP747/O747-1)</f>
        <v/>
      </c>
      <c r="AR747" s="29" t="str">
        <f aca="false">IF(OR(AQ747="",N(O747)=0),"",AQ747+AG747/O747)</f>
        <v/>
      </c>
      <c r="AS747" s="32" t="str">
        <f aca="false">IF(OR(AR747="",N(AJ747)=0),"",AR747-AJ747)</f>
        <v/>
      </c>
      <c r="AT747" s="28" t="n">
        <v>25</v>
      </c>
      <c r="AU747" s="28" t="n">
        <v>1.71875</v>
      </c>
      <c r="AV747" s="28" t="n">
        <f aca="false">IF(N(AT747)&gt;0,AT747,L747)</f>
        <v>25</v>
      </c>
      <c r="AW747" s="28" t="n">
        <f aca="false">IF(AND(N(M747)&gt;0,N(AV747)&gt;0),M747*AV747,IF(N(AU747)&gt;0,AU747,N747))</f>
        <v>1.71875</v>
      </c>
      <c r="AX747" s="29" t="str">
        <f aca="false">IF(N(AN747)=0,"",AN747+IF(I747="yes",AN747*Inputs!$B$10*Inputs!$B$9,0)+IFERROR(INDEX(Inputs!$B$13:$B$15,MATCH(G747,Inputs!$A$13:$A$15,0)),0)+IFERROR(INDEX(Inputs!$B$18:$B$24,MATCH(H747,Inputs!$A$18:$A$24,0)),0))</f>
        <v/>
      </c>
      <c r="AY747" s="28" t="str">
        <f aca="false">IF(OR(N(AX747)&lt;=0,N(AW747)=0,N(AV747)=0),"",MIN(AV747,AW747/AX747))</f>
        <v/>
      </c>
      <c r="AZ747" s="29" t="str">
        <f aca="false">IF(OR(AY747="",N(O747)=0),"",AY747/O747-1)</f>
        <v/>
      </c>
      <c r="BA747" s="29" t="str">
        <f aca="false">IF(OR(AZ747="",N(O747)=0),"",AZ747+AW747/O747)</f>
        <v/>
      </c>
      <c r="BB747" s="32" t="str">
        <f aca="false">IF(OR(BA747="",N(AR747)=0),"",BA747-AR747)</f>
        <v/>
      </c>
      <c r="BC747" s="35" t="str">
        <f aca="false">IF(OR(BA747="",N(U747)=0),"",BA747-U747)</f>
        <v/>
      </c>
      <c r="BD747" s="36" t="s">
        <v>231</v>
      </c>
    </row>
    <row r="748" customFormat="false" ht="15" hidden="false" customHeight="false" outlineLevel="0" collapsed="false">
      <c r="A748" s="2" t="s">
        <v>1453</v>
      </c>
      <c r="B748" s="2" t="n">
        <v>70</v>
      </c>
      <c r="C748" s="2" t="s">
        <v>1500</v>
      </c>
      <c r="D748" s="2" t="s">
        <v>1496</v>
      </c>
      <c r="E748" s="2" t="s">
        <v>143</v>
      </c>
      <c r="F748" s="27"/>
      <c r="G748" s="2" t="s">
        <v>51</v>
      </c>
      <c r="H748" s="2" t="s">
        <v>58</v>
      </c>
      <c r="I748" s="2" t="s">
        <v>151</v>
      </c>
      <c r="J748" s="2" t="s">
        <v>145</v>
      </c>
      <c r="K748" s="2" t="n">
        <v>4</v>
      </c>
      <c r="L748" s="28" t="n">
        <v>25</v>
      </c>
      <c r="M748" s="29" t="n">
        <v>0.0575</v>
      </c>
      <c r="N748" s="28" t="n">
        <v>1.4375</v>
      </c>
      <c r="O748" s="28" t="n">
        <v>18.78</v>
      </c>
      <c r="P748" s="2" t="s">
        <v>146</v>
      </c>
      <c r="Q748" s="29" t="n">
        <v>0</v>
      </c>
      <c r="R748" s="30" t="n">
        <v>0</v>
      </c>
      <c r="S748" s="31"/>
      <c r="T748" s="30"/>
      <c r="U748" s="30"/>
      <c r="V748" s="29" t="n">
        <v>0</v>
      </c>
      <c r="W748" s="29" t="str">
        <f aca="false">IF(N(Q748)=0,"",Q748+IF(I748="yes",Q748*Inputs!$B$10*Inputs!$B$9,0)+V748)</f>
        <v/>
      </c>
      <c r="X748" s="28" t="str">
        <f aca="false">IF(OR(N(W748)&lt;=0,N(N748)=0,N(L748)=0),"",MIN(L748,N748/W748))</f>
        <v/>
      </c>
      <c r="Y748" s="29" t="str">
        <f aca="false">IF(OR(X748="",N(O748)=0),"",X748/O748-1)</f>
        <v/>
      </c>
      <c r="Z748" s="29" t="str">
        <f aca="false">IF(OR(Y748="",N(O748)=0),"",Y748+N748/O748)</f>
        <v/>
      </c>
      <c r="AA748" s="32" t="str">
        <f aca="false">IF(OR(Z748="",N(U748)=0),"",Z748-U748)</f>
        <v/>
      </c>
      <c r="AB748" s="29" t="str">
        <f aca="false">IF(N(Q748)=0,"",Q748+IF(I748="yes",Q748*Inputs!$B$10*Inputs!$B$9,0)+IFERROR(INDEX(Inputs!$B$13:$B$15,MATCH(G748,Inputs!$A$13:$A$15,0)),0)+IFERROR(INDEX(Inputs!$B$18:$B$24,MATCH(H748,Inputs!$A$18:$A$24,0)),0))</f>
        <v/>
      </c>
      <c r="AC748" s="28" t="str">
        <f aca="false">IF(OR(N(AB748)&lt;=0,N(N748)=0,N(L748)=0),"",MIN(L748,N748/AB748))</f>
        <v/>
      </c>
      <c r="AD748" s="29" t="str">
        <f aca="false">IF(OR(AC748="",N(O748)=0),"",AC748/O748-1)</f>
        <v/>
      </c>
      <c r="AE748" s="29" t="str">
        <f aca="false">IF(OR(AD748="",N(O748)=0),"",AD748+N748/O748)</f>
        <v/>
      </c>
      <c r="AF748" s="32" t="str">
        <f aca="false">IF(OR(AE748="",N(Z748)=0),"",AE748-Z748)</f>
        <v/>
      </c>
      <c r="AG748" s="28" t="n">
        <f aca="false">IF(AND(N(M748)&gt;0,N(L748)&gt;0),M748*L748,N748)</f>
        <v>1.4375</v>
      </c>
      <c r="AH748" s="28" t="str">
        <f aca="false">IF(OR(N(AB748)&lt;=0,N(AG748)=0,N(L748)=0),"",MIN(L748,AG748/AB748))</f>
        <v/>
      </c>
      <c r="AI748" s="29" t="str">
        <f aca="false">IF(OR(AH748="",N(O748)=0),"",AH748/O748-1)</f>
        <v/>
      </c>
      <c r="AJ748" s="29" t="str">
        <f aca="false">IF(OR(AI748="",N(O748)=0),"",AI748+AG748/O748)</f>
        <v/>
      </c>
      <c r="AK748" s="32" t="str">
        <f aca="false">IF(OR(AJ748="",N(AE748)=0),"",AJ748-AE748)</f>
        <v/>
      </c>
      <c r="AL748" s="33" t="str">
        <f aca="false">IF(N(F748)=0,"",INDEX(Inputs!$B$28:$B$32,IFERROR(MATCH(F748,Inputs!$A$28:$A$32,1),0)+1))</f>
        <v/>
      </c>
      <c r="AM748" s="34"/>
      <c r="AN748" s="33" t="str">
        <f aca="false">IF(N(AM748)&gt;0,AM748,AL748)</f>
        <v/>
      </c>
      <c r="AO748" s="29" t="str">
        <f aca="false">IF(N(AN748)=0,"",AN748+IF(I748="yes",AN748*Inputs!$B$10*Inputs!$B$9,0)+IFERROR(INDEX(Inputs!$B$13:$B$15,MATCH(G748,Inputs!$A$13:$A$15,0)),0)+IFERROR(INDEX(Inputs!$B$18:$B$24,MATCH(H748,Inputs!$A$18:$A$24,0)),0))</f>
        <v/>
      </c>
      <c r="AP748" s="28" t="str">
        <f aca="false">IF(OR(N(AO748)&lt;=0,N(AG748)=0,N(L748)=0),"",MIN(L748,AG748/AO748))</f>
        <v/>
      </c>
      <c r="AQ748" s="29" t="str">
        <f aca="false">IF(OR(AP748="",N(O748)=0),"",AP748/O748-1)</f>
        <v/>
      </c>
      <c r="AR748" s="29" t="str">
        <f aca="false">IF(OR(AQ748="",N(O748)=0),"",AQ748+AG748/O748)</f>
        <v/>
      </c>
      <c r="AS748" s="32" t="str">
        <f aca="false">IF(OR(AR748="",N(AJ748)=0),"",AR748-AJ748)</f>
        <v/>
      </c>
      <c r="AT748" s="28" t="n">
        <v>25</v>
      </c>
      <c r="AU748" s="28" t="n">
        <v>1.4375</v>
      </c>
      <c r="AV748" s="28" t="n">
        <f aca="false">IF(N(AT748)&gt;0,AT748,L748)</f>
        <v>25</v>
      </c>
      <c r="AW748" s="28" t="n">
        <f aca="false">IF(AND(N(M748)&gt;0,N(AV748)&gt;0),M748*AV748,IF(N(AU748)&gt;0,AU748,N748))</f>
        <v>1.4375</v>
      </c>
      <c r="AX748" s="29" t="str">
        <f aca="false">IF(N(AN748)=0,"",AN748+IF(I748="yes",AN748*Inputs!$B$10*Inputs!$B$9,0)+IFERROR(INDEX(Inputs!$B$13:$B$15,MATCH(G748,Inputs!$A$13:$A$15,0)),0)+IFERROR(INDEX(Inputs!$B$18:$B$24,MATCH(H748,Inputs!$A$18:$A$24,0)),0))</f>
        <v/>
      </c>
      <c r="AY748" s="28" t="str">
        <f aca="false">IF(OR(N(AX748)&lt;=0,N(AW748)=0,N(AV748)=0),"",MIN(AV748,AW748/AX748))</f>
        <v/>
      </c>
      <c r="AZ748" s="29" t="str">
        <f aca="false">IF(OR(AY748="",N(O748)=0),"",AY748/O748-1)</f>
        <v/>
      </c>
      <c r="BA748" s="29" t="str">
        <f aca="false">IF(OR(AZ748="",N(O748)=0),"",AZ748+AW748/O748)</f>
        <v/>
      </c>
      <c r="BB748" s="32" t="str">
        <f aca="false">IF(OR(BA748="",N(AR748)=0),"",BA748-AR748)</f>
        <v/>
      </c>
      <c r="BC748" s="35" t="str">
        <f aca="false">IF(OR(BA748="",N(U748)=0),"",BA748-U748)</f>
        <v/>
      </c>
      <c r="BD748" s="36" t="s">
        <v>231</v>
      </c>
    </row>
    <row r="749" customFormat="false" ht="15" hidden="false" customHeight="false" outlineLevel="0" collapsed="false">
      <c r="A749" s="2" t="s">
        <v>1453</v>
      </c>
      <c r="B749" s="2" t="n">
        <v>73</v>
      </c>
      <c r="C749" s="2" t="s">
        <v>1501</v>
      </c>
      <c r="D749" s="2" t="s">
        <v>1502</v>
      </c>
      <c r="E749" s="2" t="s">
        <v>1503</v>
      </c>
      <c r="F749" s="27" t="n">
        <v>603</v>
      </c>
      <c r="G749" s="2" t="s">
        <v>51</v>
      </c>
      <c r="H749" s="2" t="s">
        <v>58</v>
      </c>
      <c r="I749" s="2" t="s">
        <v>144</v>
      </c>
      <c r="J749" s="2" t="s">
        <v>145</v>
      </c>
      <c r="K749" s="2" t="n">
        <v>4</v>
      </c>
      <c r="L749" s="28" t="n">
        <v>25</v>
      </c>
      <c r="M749" s="29" t="n">
        <v>0.0625</v>
      </c>
      <c r="N749" s="28" t="n">
        <v>1.5625</v>
      </c>
      <c r="O749" s="28" t="n">
        <v>18.64</v>
      </c>
      <c r="P749" s="2" t="s">
        <v>146</v>
      </c>
      <c r="Q749" s="29" t="n">
        <v>0.1</v>
      </c>
      <c r="R749" s="30" t="n">
        <v>0.1</v>
      </c>
      <c r="S749" s="31" t="n">
        <v>15.625</v>
      </c>
      <c r="T749" s="30" t="n">
        <v>-0.161748927038627</v>
      </c>
      <c r="U749" s="30" t="n">
        <v>-0.0779238197424893</v>
      </c>
      <c r="V749" s="29" t="n">
        <v>0</v>
      </c>
      <c r="W749" s="29" t="n">
        <f aca="false">IF(N(Q749)=0,"",Q749+IF(I749="yes",Q749*Inputs!$B$10*Inputs!$B$9,0)+V749)</f>
        <v>0.1</v>
      </c>
      <c r="X749" s="28" t="n">
        <f aca="false">IF(OR(N(W749)&lt;=0,N(N749)=0,N(L749)=0),"",MIN(L749,N749/W749))</f>
        <v>15.625</v>
      </c>
      <c r="Y749" s="29" t="n">
        <f aca="false">IF(OR(X749="",N(O749)=0),"",X749/O749-1)</f>
        <v>-0.161748927038627</v>
      </c>
      <c r="Z749" s="29" t="n">
        <f aca="false">IF(OR(Y749="",N(O749)=0),"",Y749+N749/O749)</f>
        <v>-0.0779238197424893</v>
      </c>
      <c r="AA749" s="32" t="n">
        <f aca="false">IF(OR(Z749="",N(U749)=0),"",Z749-U749)</f>
        <v>0</v>
      </c>
      <c r="AB749" s="29" t="n">
        <f aca="false">IF(N(Q749)=0,"",Q749+IF(I749="yes",Q749*Inputs!$B$10*Inputs!$B$9,0)+IFERROR(INDEX(Inputs!$B$13:$B$15,MATCH(G749,Inputs!$A$13:$A$15,0)),0)+IFERROR(INDEX(Inputs!$B$18:$B$24,MATCH(H749,Inputs!$A$18:$A$24,0)),0))</f>
        <v>0.1</v>
      </c>
      <c r="AC749" s="28" t="n">
        <f aca="false">IF(OR(N(AB749)&lt;=0,N(N749)=0,N(L749)=0),"",MIN(L749,N749/AB749))</f>
        <v>15.625</v>
      </c>
      <c r="AD749" s="29" t="n">
        <f aca="false">IF(OR(AC749="",N(O749)=0),"",AC749/O749-1)</f>
        <v>-0.161748927038627</v>
      </c>
      <c r="AE749" s="29" t="n">
        <f aca="false">IF(OR(AD749="",N(O749)=0),"",AD749+N749/O749)</f>
        <v>-0.0779238197424893</v>
      </c>
      <c r="AF749" s="32" t="n">
        <f aca="false">IF(OR(AE749="",N(Z749)=0),"",AE749-Z749)</f>
        <v>0</v>
      </c>
      <c r="AG749" s="28" t="n">
        <f aca="false">IF(AND(N(M749)&gt;0,N(L749)&gt;0),M749*L749,N749)</f>
        <v>1.5625</v>
      </c>
      <c r="AH749" s="28" t="n">
        <f aca="false">IF(OR(N(AB749)&lt;=0,N(AG749)=0,N(L749)=0),"",MIN(L749,AG749/AB749))</f>
        <v>15.625</v>
      </c>
      <c r="AI749" s="29" t="n">
        <f aca="false">IF(OR(AH749="",N(O749)=0),"",AH749/O749-1)</f>
        <v>-0.161748927038627</v>
      </c>
      <c r="AJ749" s="29" t="n">
        <f aca="false">IF(OR(AI749="",N(O749)=0),"",AI749+AG749/O749)</f>
        <v>-0.0779238197424893</v>
      </c>
      <c r="AK749" s="32" t="n">
        <f aca="false">IF(OR(AJ749="",N(AE749)=0),"",AJ749-AE749)</f>
        <v>0</v>
      </c>
      <c r="AL749" s="33" t="n">
        <f aca="false">IF(N(F749)=0,"",INDEX(Inputs!$B$28:$B$32,IFERROR(MATCH(F749,Inputs!$A$28:$A$32,1),0)+1))</f>
        <v>0.09</v>
      </c>
      <c r="AM749" s="34"/>
      <c r="AN749" s="33" t="n">
        <f aca="false">IF(N(AM749)&gt;0,AM749,AL749)</f>
        <v>0.09</v>
      </c>
      <c r="AO749" s="29" t="n">
        <f aca="false">IF(N(AN749)=0,"",AN749+IF(I749="yes",AN749*Inputs!$B$10*Inputs!$B$9,0)+IFERROR(INDEX(Inputs!$B$13:$B$15,MATCH(G749,Inputs!$A$13:$A$15,0)),0)+IFERROR(INDEX(Inputs!$B$18:$B$24,MATCH(H749,Inputs!$A$18:$A$24,0)),0))</f>
        <v>0.09</v>
      </c>
      <c r="AP749" s="28" t="n">
        <f aca="false">IF(OR(N(AO749)&lt;=0,N(AG749)=0,N(L749)=0),"",MIN(L749,AG749/AO749))</f>
        <v>17.3611111111111</v>
      </c>
      <c r="AQ749" s="29" t="n">
        <f aca="false">IF(OR(AP749="",N(O749)=0),"",AP749/O749-1)</f>
        <v>-0.0686099189318074</v>
      </c>
      <c r="AR749" s="29" t="n">
        <f aca="false">IF(OR(AQ749="",N(O749)=0),"",AQ749+AG749/O749)</f>
        <v>0.01521518836433</v>
      </c>
      <c r="AS749" s="32" t="n">
        <f aca="false">IF(OR(AR749="",N(AJ749)=0),"",AR749-AJ749)</f>
        <v>0.0931390081068193</v>
      </c>
      <c r="AT749" s="28" t="n">
        <v>25</v>
      </c>
      <c r="AU749" s="28" t="n">
        <v>1.5625</v>
      </c>
      <c r="AV749" s="28" t="n">
        <f aca="false">IF(N(AT749)&gt;0,AT749,L749)</f>
        <v>25</v>
      </c>
      <c r="AW749" s="28" t="n">
        <f aca="false">IF(AND(N(M749)&gt;0,N(AV749)&gt;0),M749*AV749,IF(N(AU749)&gt;0,AU749,N749))</f>
        <v>1.5625</v>
      </c>
      <c r="AX749" s="29" t="n">
        <f aca="false">IF(N(AN749)=0,"",AN749+IF(I749="yes",AN749*Inputs!$B$10*Inputs!$B$9,0)+IFERROR(INDEX(Inputs!$B$13:$B$15,MATCH(G749,Inputs!$A$13:$A$15,0)),0)+IFERROR(INDEX(Inputs!$B$18:$B$24,MATCH(H749,Inputs!$A$18:$A$24,0)),0))</f>
        <v>0.09</v>
      </c>
      <c r="AY749" s="28" t="n">
        <f aca="false">IF(OR(N(AX749)&lt;=0,N(AW749)=0,N(AV749)=0),"",MIN(AV749,AW749/AX749))</f>
        <v>17.3611111111111</v>
      </c>
      <c r="AZ749" s="29" t="n">
        <f aca="false">IF(OR(AY749="",N(O749)=0),"",AY749/O749-1)</f>
        <v>-0.0686099189318074</v>
      </c>
      <c r="BA749" s="29" t="n">
        <f aca="false">IF(OR(AZ749="",N(O749)=0),"",AZ749+AW749/O749)</f>
        <v>0.01521518836433</v>
      </c>
      <c r="BB749" s="32" t="n">
        <f aca="false">IF(OR(BA749="",N(AR749)=0),"",BA749-AR749)</f>
        <v>0</v>
      </c>
      <c r="BC749" s="35" t="n">
        <f aca="false">IF(OR(BA749="",N(U749)=0),"",BA749-U749)</f>
        <v>0.0931390081068193</v>
      </c>
      <c r="BD749" s="37"/>
    </row>
    <row r="750" customFormat="false" ht="15" hidden="false" customHeight="false" outlineLevel="0" collapsed="false">
      <c r="A750" s="2" t="s">
        <v>1453</v>
      </c>
      <c r="B750" s="2" t="n">
        <v>77</v>
      </c>
      <c r="C750" s="2" t="s">
        <v>1504</v>
      </c>
      <c r="D750" s="2" t="s">
        <v>1505</v>
      </c>
      <c r="E750" s="2" t="s">
        <v>1506</v>
      </c>
      <c r="F750" s="27" t="n">
        <v>1300</v>
      </c>
      <c r="G750" s="2" t="s">
        <v>51</v>
      </c>
      <c r="H750" s="2" t="s">
        <v>59</v>
      </c>
      <c r="I750" s="2" t="s">
        <v>144</v>
      </c>
      <c r="J750" s="2" t="s">
        <v>145</v>
      </c>
      <c r="K750" s="2" t="n">
        <v>4</v>
      </c>
      <c r="L750" s="28" t="n">
        <v>25</v>
      </c>
      <c r="M750" s="29" t="n">
        <v>0.08125</v>
      </c>
      <c r="N750" s="28" t="n">
        <v>2.03125</v>
      </c>
      <c r="O750" s="28" t="n">
        <v>25.17</v>
      </c>
      <c r="P750" s="2" t="s">
        <v>146</v>
      </c>
      <c r="Q750" s="29" t="n">
        <v>0.09</v>
      </c>
      <c r="R750" s="30" t="n">
        <v>0.09</v>
      </c>
      <c r="S750" s="31" t="n">
        <v>22.5694444444444</v>
      </c>
      <c r="T750" s="30" t="n">
        <v>-0.103319648611663</v>
      </c>
      <c r="U750" s="30" t="n">
        <v>-0.0226184169867127</v>
      </c>
      <c r="V750" s="29" t="n">
        <v>0</v>
      </c>
      <c r="W750" s="29" t="n">
        <f aca="false">IF(N(Q750)=0,"",Q750+IF(I750="yes",Q750*Inputs!$B$10*Inputs!$B$9,0)+V750)</f>
        <v>0.09</v>
      </c>
      <c r="X750" s="28" t="n">
        <f aca="false">IF(OR(N(W750)&lt;=0,N(N750)=0,N(L750)=0),"",MIN(L750,N750/W750))</f>
        <v>22.5694444444444</v>
      </c>
      <c r="Y750" s="29" t="n">
        <f aca="false">IF(OR(X750="",N(O750)=0),"",X750/O750-1)</f>
        <v>-0.103319648611663</v>
      </c>
      <c r="Z750" s="29" t="n">
        <f aca="false">IF(OR(Y750="",N(O750)=0),"",Y750+N750/O750)</f>
        <v>-0.0226184169867127</v>
      </c>
      <c r="AA750" s="32" t="n">
        <f aca="false">IF(OR(Z750="",N(U750)=0),"",Z750-U750)</f>
        <v>0</v>
      </c>
      <c r="AB750" s="29" t="n">
        <f aca="false">IF(N(Q750)=0,"",Q750+IF(I750="yes",Q750*Inputs!$B$10*Inputs!$B$9,0)+IFERROR(INDEX(Inputs!$B$13:$B$15,MATCH(G750,Inputs!$A$13:$A$15,0)),0)+IFERROR(INDEX(Inputs!$B$18:$B$24,MATCH(H750,Inputs!$A$18:$A$24,0)),0))</f>
        <v>0.09</v>
      </c>
      <c r="AC750" s="28" t="n">
        <f aca="false">IF(OR(N(AB750)&lt;=0,N(N750)=0,N(L750)=0),"",MIN(L750,N750/AB750))</f>
        <v>22.5694444444444</v>
      </c>
      <c r="AD750" s="29" t="n">
        <f aca="false">IF(OR(AC750="",N(O750)=0),"",AC750/O750-1)</f>
        <v>-0.103319648611663</v>
      </c>
      <c r="AE750" s="29" t="n">
        <f aca="false">IF(OR(AD750="",N(O750)=0),"",AD750+N750/O750)</f>
        <v>-0.0226184169867127</v>
      </c>
      <c r="AF750" s="32" t="n">
        <f aca="false">IF(OR(AE750="",N(Z750)=0),"",AE750-Z750)</f>
        <v>0</v>
      </c>
      <c r="AG750" s="28" t="n">
        <f aca="false">IF(AND(N(M750)&gt;0,N(L750)&gt;0),M750*L750,N750)</f>
        <v>2.03125</v>
      </c>
      <c r="AH750" s="28" t="n">
        <f aca="false">IF(OR(N(AB750)&lt;=0,N(AG750)=0,N(L750)=0),"",MIN(L750,AG750/AB750))</f>
        <v>22.5694444444444</v>
      </c>
      <c r="AI750" s="29" t="n">
        <f aca="false">IF(OR(AH750="",N(O750)=0),"",AH750/O750-1)</f>
        <v>-0.103319648611663</v>
      </c>
      <c r="AJ750" s="29" t="n">
        <f aca="false">IF(OR(AI750="",N(O750)=0),"",AI750+AG750/O750)</f>
        <v>-0.0226184169867127</v>
      </c>
      <c r="AK750" s="32" t="n">
        <f aca="false">IF(OR(AJ750="",N(AE750)=0),"",AJ750-AE750)</f>
        <v>0</v>
      </c>
      <c r="AL750" s="33" t="n">
        <f aca="false">IF(N(F750)=0,"",INDEX(Inputs!$B$28:$B$32,IFERROR(MATCH(F750,Inputs!$A$28:$A$32,1),0)+1))</f>
        <v>0.085</v>
      </c>
      <c r="AM750" s="34"/>
      <c r="AN750" s="33" t="n">
        <f aca="false">IF(N(AM750)&gt;0,AM750,AL750)</f>
        <v>0.085</v>
      </c>
      <c r="AO750" s="29" t="n">
        <f aca="false">IF(N(AN750)=0,"",AN750+IF(I750="yes",AN750*Inputs!$B$10*Inputs!$B$9,0)+IFERROR(INDEX(Inputs!$B$13:$B$15,MATCH(G750,Inputs!$A$13:$A$15,0)),0)+IFERROR(INDEX(Inputs!$B$18:$B$24,MATCH(H750,Inputs!$A$18:$A$24,0)),0))</f>
        <v>0.085</v>
      </c>
      <c r="AP750" s="28" t="n">
        <f aca="false">IF(OR(N(AO750)&lt;=0,N(AG750)=0,N(L750)=0),"",MIN(L750,AG750/AO750))</f>
        <v>23.8970588235294</v>
      </c>
      <c r="AQ750" s="29" t="n">
        <f aca="false">IF(OR(AP750="",N(O750)=0),"",AP750/O750-1)</f>
        <v>-0.0505737455888197</v>
      </c>
      <c r="AR750" s="29" t="n">
        <f aca="false">IF(OR(AQ750="",N(O750)=0),"",AQ750+AG750/O750)</f>
        <v>0.0301274860361307</v>
      </c>
      <c r="AS750" s="32" t="n">
        <f aca="false">IF(OR(AR750="",N(AJ750)=0),"",AR750-AJ750)</f>
        <v>0.0527459030228433</v>
      </c>
      <c r="AT750" s="28" t="n">
        <v>25</v>
      </c>
      <c r="AU750" s="28" t="n">
        <v>2.03</v>
      </c>
      <c r="AV750" s="28" t="n">
        <f aca="false">IF(N(AT750)&gt;0,AT750,L750)</f>
        <v>25</v>
      </c>
      <c r="AW750" s="28" t="n">
        <f aca="false">IF(AND(N(M750)&gt;0,N(AV750)&gt;0),M750*AV750,IF(N(AU750)&gt;0,AU750,N750))</f>
        <v>2.03125</v>
      </c>
      <c r="AX750" s="29" t="n">
        <f aca="false">IF(N(AN750)=0,"",AN750+IF(I750="yes",AN750*Inputs!$B$10*Inputs!$B$9,0)+IFERROR(INDEX(Inputs!$B$13:$B$15,MATCH(G750,Inputs!$A$13:$A$15,0)),0)+IFERROR(INDEX(Inputs!$B$18:$B$24,MATCH(H750,Inputs!$A$18:$A$24,0)),0))</f>
        <v>0.085</v>
      </c>
      <c r="AY750" s="28" t="n">
        <f aca="false">IF(OR(N(AX750)&lt;=0,N(AW750)=0,N(AV750)=0),"",MIN(AV750,AW750/AX750))</f>
        <v>23.8970588235294</v>
      </c>
      <c r="AZ750" s="29" t="n">
        <f aca="false">IF(OR(AY750="",N(O750)=0),"",AY750/O750-1)</f>
        <v>-0.0505737455888197</v>
      </c>
      <c r="BA750" s="29" t="n">
        <f aca="false">IF(OR(AZ750="",N(O750)=0),"",AZ750+AW750/O750)</f>
        <v>0.0301274860361307</v>
      </c>
      <c r="BB750" s="32" t="n">
        <f aca="false">IF(OR(BA750="",N(AR750)=0),"",BA750-AR750)</f>
        <v>0</v>
      </c>
      <c r="BC750" s="35" t="n">
        <f aca="false">IF(OR(BA750="",N(U750)=0),"",BA750-U750)</f>
        <v>0.0527459030228433</v>
      </c>
      <c r="BD750" s="37"/>
    </row>
    <row r="751" customFormat="false" ht="15" hidden="false" customHeight="false" outlineLevel="0" collapsed="false">
      <c r="A751" s="2" t="s">
        <v>1453</v>
      </c>
      <c r="B751" s="2" t="n">
        <v>78</v>
      </c>
      <c r="C751" s="2" t="s">
        <v>1507</v>
      </c>
      <c r="D751" s="2" t="s">
        <v>1505</v>
      </c>
      <c r="E751" s="2" t="s">
        <v>1506</v>
      </c>
      <c r="F751" s="27" t="n">
        <v>1300</v>
      </c>
      <c r="G751" s="2" t="s">
        <v>51</v>
      </c>
      <c r="H751" s="2" t="s">
        <v>59</v>
      </c>
      <c r="I751" s="2" t="s">
        <v>144</v>
      </c>
      <c r="J751" s="2" t="s">
        <v>145</v>
      </c>
      <c r="K751" s="2" t="n">
        <v>4</v>
      </c>
      <c r="L751" s="28" t="n">
        <v>25</v>
      </c>
      <c r="M751" s="29" t="n">
        <v>0.07625</v>
      </c>
      <c r="N751" s="28" t="n">
        <v>1.90625</v>
      </c>
      <c r="O751" s="28" t="n">
        <v>25.13</v>
      </c>
      <c r="P751" s="2" t="s">
        <v>146</v>
      </c>
      <c r="Q751" s="29" t="n">
        <v>0.09</v>
      </c>
      <c r="R751" s="30" t="n">
        <v>0.09</v>
      </c>
      <c r="S751" s="31" t="n">
        <v>21.1805555555556</v>
      </c>
      <c r="T751" s="30" t="n">
        <v>-0.157160542954415</v>
      </c>
      <c r="U751" s="30" t="n">
        <v>-0.0813049918203122</v>
      </c>
      <c r="V751" s="29" t="n">
        <v>0</v>
      </c>
      <c r="W751" s="29" t="n">
        <f aca="false">IF(N(Q751)=0,"",Q751+IF(I751="yes",Q751*Inputs!$B$10*Inputs!$B$9,0)+V751)</f>
        <v>0.09</v>
      </c>
      <c r="X751" s="28" t="n">
        <f aca="false">IF(OR(N(W751)&lt;=0,N(N751)=0,N(L751)=0),"",MIN(L751,N751/W751))</f>
        <v>21.1805555555556</v>
      </c>
      <c r="Y751" s="29" t="n">
        <f aca="false">IF(OR(X751="",N(O751)=0),"",X751/O751-1)</f>
        <v>-0.157160542954415</v>
      </c>
      <c r="Z751" s="29" t="n">
        <f aca="false">IF(OR(Y751="",N(O751)=0),"",Y751+N751/O751)</f>
        <v>-0.0813049918203122</v>
      </c>
      <c r="AA751" s="32" t="n">
        <f aca="false">IF(OR(Z751="",N(U751)=0),"",Z751-U751)</f>
        <v>0</v>
      </c>
      <c r="AB751" s="29" t="n">
        <f aca="false">IF(N(Q751)=0,"",Q751+IF(I751="yes",Q751*Inputs!$B$10*Inputs!$B$9,0)+IFERROR(INDEX(Inputs!$B$13:$B$15,MATCH(G751,Inputs!$A$13:$A$15,0)),0)+IFERROR(INDEX(Inputs!$B$18:$B$24,MATCH(H751,Inputs!$A$18:$A$24,0)),0))</f>
        <v>0.09</v>
      </c>
      <c r="AC751" s="28" t="n">
        <f aca="false">IF(OR(N(AB751)&lt;=0,N(N751)=0,N(L751)=0),"",MIN(L751,N751/AB751))</f>
        <v>21.1805555555556</v>
      </c>
      <c r="AD751" s="29" t="n">
        <f aca="false">IF(OR(AC751="",N(O751)=0),"",AC751/O751-1)</f>
        <v>-0.157160542954415</v>
      </c>
      <c r="AE751" s="29" t="n">
        <f aca="false">IF(OR(AD751="",N(O751)=0),"",AD751+N751/O751)</f>
        <v>-0.0813049918203122</v>
      </c>
      <c r="AF751" s="32" t="n">
        <f aca="false">IF(OR(AE751="",N(Z751)=0),"",AE751-Z751)</f>
        <v>0</v>
      </c>
      <c r="AG751" s="28" t="n">
        <f aca="false">IF(AND(N(M751)&gt;0,N(L751)&gt;0),M751*L751,N751)</f>
        <v>1.90625</v>
      </c>
      <c r="AH751" s="28" t="n">
        <f aca="false">IF(OR(N(AB751)&lt;=0,N(AG751)=0,N(L751)=0),"",MIN(L751,AG751/AB751))</f>
        <v>21.1805555555556</v>
      </c>
      <c r="AI751" s="29" t="n">
        <f aca="false">IF(OR(AH751="",N(O751)=0),"",AH751/O751-1)</f>
        <v>-0.157160542954415</v>
      </c>
      <c r="AJ751" s="29" t="n">
        <f aca="false">IF(OR(AI751="",N(O751)=0),"",AI751+AG751/O751)</f>
        <v>-0.0813049918203122</v>
      </c>
      <c r="AK751" s="32" t="n">
        <f aca="false">IF(OR(AJ751="",N(AE751)=0),"",AJ751-AE751)</f>
        <v>0</v>
      </c>
      <c r="AL751" s="33" t="n">
        <f aca="false">IF(N(F751)=0,"",INDEX(Inputs!$B$28:$B$32,IFERROR(MATCH(F751,Inputs!$A$28:$A$32,1),0)+1))</f>
        <v>0.085</v>
      </c>
      <c r="AM751" s="34"/>
      <c r="AN751" s="33" t="n">
        <f aca="false">IF(N(AM751)&gt;0,AM751,AL751)</f>
        <v>0.085</v>
      </c>
      <c r="AO751" s="29" t="n">
        <f aca="false">IF(N(AN751)=0,"",AN751+IF(I751="yes",AN751*Inputs!$B$10*Inputs!$B$9,0)+IFERROR(INDEX(Inputs!$B$13:$B$15,MATCH(G751,Inputs!$A$13:$A$15,0)),0)+IFERROR(INDEX(Inputs!$B$18:$B$24,MATCH(H751,Inputs!$A$18:$A$24,0)),0))</f>
        <v>0.085</v>
      </c>
      <c r="AP751" s="28" t="n">
        <f aca="false">IF(OR(N(AO751)&lt;=0,N(AG751)=0,N(L751)=0),"",MIN(L751,AG751/AO751))</f>
        <v>22.4264705882353</v>
      </c>
      <c r="AQ751" s="29" t="n">
        <f aca="false">IF(OR(AP751="",N(O751)=0),"",AP751/O751-1)</f>
        <v>-0.107581751363498</v>
      </c>
      <c r="AR751" s="29" t="n">
        <f aca="false">IF(OR(AQ751="",N(O751)=0),"",AQ751+AG751/O751)</f>
        <v>-0.0317262002293953</v>
      </c>
      <c r="AS751" s="32" t="n">
        <f aca="false">IF(OR(AR751="",N(AJ751)=0),"",AR751-AJ751)</f>
        <v>0.0495787915909168</v>
      </c>
      <c r="AT751" s="28" t="n">
        <v>25</v>
      </c>
      <c r="AU751" s="28" t="n">
        <v>1.91</v>
      </c>
      <c r="AV751" s="28" t="n">
        <f aca="false">IF(N(AT751)&gt;0,AT751,L751)</f>
        <v>25</v>
      </c>
      <c r="AW751" s="28" t="n">
        <f aca="false">IF(AND(N(M751)&gt;0,N(AV751)&gt;0),M751*AV751,IF(N(AU751)&gt;0,AU751,N751))</f>
        <v>1.90625</v>
      </c>
      <c r="AX751" s="29" t="n">
        <f aca="false">IF(N(AN751)=0,"",AN751+IF(I751="yes",AN751*Inputs!$B$10*Inputs!$B$9,0)+IFERROR(INDEX(Inputs!$B$13:$B$15,MATCH(G751,Inputs!$A$13:$A$15,0)),0)+IFERROR(INDEX(Inputs!$B$18:$B$24,MATCH(H751,Inputs!$A$18:$A$24,0)),0))</f>
        <v>0.085</v>
      </c>
      <c r="AY751" s="28" t="n">
        <f aca="false">IF(OR(N(AX751)&lt;=0,N(AW751)=0,N(AV751)=0),"",MIN(AV751,AW751/AX751))</f>
        <v>22.4264705882353</v>
      </c>
      <c r="AZ751" s="29" t="n">
        <f aca="false">IF(OR(AY751="",N(O751)=0),"",AY751/O751-1)</f>
        <v>-0.107581751363498</v>
      </c>
      <c r="BA751" s="29" t="n">
        <f aca="false">IF(OR(AZ751="",N(O751)=0),"",AZ751+AW751/O751)</f>
        <v>-0.0317262002293953</v>
      </c>
      <c r="BB751" s="32" t="n">
        <f aca="false">IF(OR(BA751="",N(AR751)=0),"",BA751-AR751)</f>
        <v>0</v>
      </c>
      <c r="BC751" s="35" t="n">
        <f aca="false">IF(OR(BA751="",N(U751)=0),"",BA751-U751)</f>
        <v>0.0495787915909168</v>
      </c>
      <c r="BD751" s="37"/>
    </row>
    <row r="752" customFormat="false" ht="15" hidden="false" customHeight="false" outlineLevel="0" collapsed="false">
      <c r="A752" s="2" t="s">
        <v>1453</v>
      </c>
      <c r="B752" s="2" t="n">
        <v>79</v>
      </c>
      <c r="C752" s="2" t="s">
        <v>1508</v>
      </c>
      <c r="D752" s="2" t="s">
        <v>1505</v>
      </c>
      <c r="E752" s="2" t="s">
        <v>1506</v>
      </c>
      <c r="F752" s="27" t="n">
        <v>1300</v>
      </c>
      <c r="G752" s="2" t="s">
        <v>51</v>
      </c>
      <c r="H752" s="2" t="s">
        <v>59</v>
      </c>
      <c r="I752" s="2" t="s">
        <v>144</v>
      </c>
      <c r="J752" s="2" t="s">
        <v>145</v>
      </c>
      <c r="K752" s="2" t="n">
        <v>4</v>
      </c>
      <c r="L752" s="28" t="n">
        <v>25</v>
      </c>
      <c r="M752" s="29" t="n">
        <v>0.0725</v>
      </c>
      <c r="N752" s="28" t="n">
        <v>1.8125</v>
      </c>
      <c r="O752" s="28" t="n">
        <v>25.21</v>
      </c>
      <c r="P752" s="2" t="s">
        <v>146</v>
      </c>
      <c r="Q752" s="29" t="n">
        <v>0.09</v>
      </c>
      <c r="R752" s="30" t="n">
        <v>0.09</v>
      </c>
      <c r="S752" s="31" t="n">
        <v>20.1388888888889</v>
      </c>
      <c r="T752" s="30" t="n">
        <v>-0.20115474458989</v>
      </c>
      <c r="U752" s="30" t="n">
        <v>-0.12925867160298</v>
      </c>
      <c r="V752" s="29" t="n">
        <v>0</v>
      </c>
      <c r="W752" s="29" t="n">
        <f aca="false">IF(N(Q752)=0,"",Q752+IF(I752="yes",Q752*Inputs!$B$10*Inputs!$B$9,0)+V752)</f>
        <v>0.09</v>
      </c>
      <c r="X752" s="28" t="n">
        <f aca="false">IF(OR(N(W752)&lt;=0,N(N752)=0,N(L752)=0),"",MIN(L752,N752/W752))</f>
        <v>20.1388888888889</v>
      </c>
      <c r="Y752" s="29" t="n">
        <f aca="false">IF(OR(X752="",N(O752)=0),"",X752/O752-1)</f>
        <v>-0.20115474458989</v>
      </c>
      <c r="Z752" s="29" t="n">
        <f aca="false">IF(OR(Y752="",N(O752)=0),"",Y752+N752/O752)</f>
        <v>-0.12925867160298</v>
      </c>
      <c r="AA752" s="32" t="n">
        <f aca="false">IF(OR(Z752="",N(U752)=0),"",Z752-U752)</f>
        <v>0</v>
      </c>
      <c r="AB752" s="29" t="n">
        <f aca="false">IF(N(Q752)=0,"",Q752+IF(I752="yes",Q752*Inputs!$B$10*Inputs!$B$9,0)+IFERROR(INDEX(Inputs!$B$13:$B$15,MATCH(G752,Inputs!$A$13:$A$15,0)),0)+IFERROR(INDEX(Inputs!$B$18:$B$24,MATCH(H752,Inputs!$A$18:$A$24,0)),0))</f>
        <v>0.09</v>
      </c>
      <c r="AC752" s="28" t="n">
        <f aca="false">IF(OR(N(AB752)&lt;=0,N(N752)=0,N(L752)=0),"",MIN(L752,N752/AB752))</f>
        <v>20.1388888888889</v>
      </c>
      <c r="AD752" s="29" t="n">
        <f aca="false">IF(OR(AC752="",N(O752)=0),"",AC752/O752-1)</f>
        <v>-0.20115474458989</v>
      </c>
      <c r="AE752" s="29" t="n">
        <f aca="false">IF(OR(AD752="",N(O752)=0),"",AD752+N752/O752)</f>
        <v>-0.12925867160298</v>
      </c>
      <c r="AF752" s="32" t="n">
        <f aca="false">IF(OR(AE752="",N(Z752)=0),"",AE752-Z752)</f>
        <v>0</v>
      </c>
      <c r="AG752" s="28" t="n">
        <f aca="false">IF(AND(N(M752)&gt;0,N(L752)&gt;0),M752*L752,N752)</f>
        <v>1.8125</v>
      </c>
      <c r="AH752" s="28" t="n">
        <f aca="false">IF(OR(N(AB752)&lt;=0,N(AG752)=0,N(L752)=0),"",MIN(L752,AG752/AB752))</f>
        <v>20.1388888888889</v>
      </c>
      <c r="AI752" s="29" t="n">
        <f aca="false">IF(OR(AH752="",N(O752)=0),"",AH752/O752-1)</f>
        <v>-0.20115474458989</v>
      </c>
      <c r="AJ752" s="29" t="n">
        <f aca="false">IF(OR(AI752="",N(O752)=0),"",AI752+AG752/O752)</f>
        <v>-0.12925867160298</v>
      </c>
      <c r="AK752" s="32" t="n">
        <f aca="false">IF(OR(AJ752="",N(AE752)=0),"",AJ752-AE752)</f>
        <v>0</v>
      </c>
      <c r="AL752" s="33" t="n">
        <f aca="false">IF(N(F752)=0,"",INDEX(Inputs!$B$28:$B$32,IFERROR(MATCH(F752,Inputs!$A$28:$A$32,1),0)+1))</f>
        <v>0.085</v>
      </c>
      <c r="AM752" s="34"/>
      <c r="AN752" s="33" t="n">
        <f aca="false">IF(N(AM752)&gt;0,AM752,AL752)</f>
        <v>0.085</v>
      </c>
      <c r="AO752" s="29" t="n">
        <f aca="false">IF(N(AN752)=0,"",AN752+IF(I752="yes",AN752*Inputs!$B$10*Inputs!$B$9,0)+IFERROR(INDEX(Inputs!$B$13:$B$15,MATCH(G752,Inputs!$A$13:$A$15,0)),0)+IFERROR(INDEX(Inputs!$B$18:$B$24,MATCH(H752,Inputs!$A$18:$A$24,0)),0))</f>
        <v>0.085</v>
      </c>
      <c r="AP752" s="28" t="n">
        <f aca="false">IF(OR(N(AO752)&lt;=0,N(AG752)=0,N(L752)=0),"",MIN(L752,AG752/AO752))</f>
        <v>21.3235294117647</v>
      </c>
      <c r="AQ752" s="29" t="n">
        <f aca="false">IF(OR(AP752="",N(O752)=0),"",AP752/O752-1)</f>
        <v>-0.154163847212824</v>
      </c>
      <c r="AR752" s="29" t="n">
        <f aca="false">IF(OR(AQ752="",N(O752)=0),"",AQ752+AG752/O752)</f>
        <v>-0.0822677742259142</v>
      </c>
      <c r="AS752" s="32" t="n">
        <f aca="false">IF(OR(AR752="",N(AJ752)=0),"",AR752-AJ752)</f>
        <v>0.0469908973770654</v>
      </c>
      <c r="AT752" s="28" t="n">
        <v>25</v>
      </c>
      <c r="AU752" s="28" t="n">
        <v>1.81</v>
      </c>
      <c r="AV752" s="28" t="n">
        <f aca="false">IF(N(AT752)&gt;0,AT752,L752)</f>
        <v>25</v>
      </c>
      <c r="AW752" s="28" t="n">
        <f aca="false">IF(AND(N(M752)&gt;0,N(AV752)&gt;0),M752*AV752,IF(N(AU752)&gt;0,AU752,N752))</f>
        <v>1.8125</v>
      </c>
      <c r="AX752" s="29" t="n">
        <f aca="false">IF(N(AN752)=0,"",AN752+IF(I752="yes",AN752*Inputs!$B$10*Inputs!$B$9,0)+IFERROR(INDEX(Inputs!$B$13:$B$15,MATCH(G752,Inputs!$A$13:$A$15,0)),0)+IFERROR(INDEX(Inputs!$B$18:$B$24,MATCH(H752,Inputs!$A$18:$A$24,0)),0))</f>
        <v>0.085</v>
      </c>
      <c r="AY752" s="28" t="n">
        <f aca="false">IF(OR(N(AX752)&lt;=0,N(AW752)=0,N(AV752)=0),"",MIN(AV752,AW752/AX752))</f>
        <v>21.3235294117647</v>
      </c>
      <c r="AZ752" s="29" t="n">
        <f aca="false">IF(OR(AY752="",N(O752)=0),"",AY752/O752-1)</f>
        <v>-0.154163847212824</v>
      </c>
      <c r="BA752" s="29" t="n">
        <f aca="false">IF(OR(AZ752="",N(O752)=0),"",AZ752+AW752/O752)</f>
        <v>-0.0822677742259142</v>
      </c>
      <c r="BB752" s="32" t="n">
        <f aca="false">IF(OR(BA752="",N(AR752)=0),"",BA752-AR752)</f>
        <v>0</v>
      </c>
      <c r="BC752" s="35" t="n">
        <f aca="false">IF(OR(BA752="",N(U752)=0),"",BA752-U752)</f>
        <v>0.0469908973770654</v>
      </c>
      <c r="BD752" s="37"/>
    </row>
    <row r="753" customFormat="false" ht="15" hidden="false" customHeight="false" outlineLevel="0" collapsed="false">
      <c r="A753" s="2" t="s">
        <v>1453</v>
      </c>
      <c r="B753" s="2" t="n">
        <v>82</v>
      </c>
      <c r="C753" s="2" t="s">
        <v>1509</v>
      </c>
      <c r="D753" s="2" t="s">
        <v>1510</v>
      </c>
      <c r="E753" s="2" t="s">
        <v>1511</v>
      </c>
      <c r="F753" s="27" t="n">
        <v>1900</v>
      </c>
      <c r="G753" s="2" t="s">
        <v>51</v>
      </c>
      <c r="H753" s="2" t="s">
        <v>58</v>
      </c>
      <c r="I753" s="2" t="s">
        <v>151</v>
      </c>
      <c r="J753" s="2" t="s">
        <v>145</v>
      </c>
      <c r="K753" s="2" t="n">
        <v>4</v>
      </c>
      <c r="L753" s="28" t="n">
        <v>25</v>
      </c>
      <c r="M753" s="29" t="n">
        <v>0.1</v>
      </c>
      <c r="N753" s="28" t="n">
        <v>2.5</v>
      </c>
      <c r="O753" s="28" t="n">
        <v>41.77</v>
      </c>
      <c r="P753" s="2" t="s">
        <v>146</v>
      </c>
      <c r="Q753" s="29" t="n">
        <v>0.08</v>
      </c>
      <c r="R753" s="30" t="n">
        <v>0.076</v>
      </c>
      <c r="S753" s="31" t="n">
        <v>25</v>
      </c>
      <c r="T753" s="30" t="n">
        <v>-0.401484318889155</v>
      </c>
      <c r="U753" s="30" t="n">
        <v>-0.34163275077807</v>
      </c>
      <c r="V753" s="29" t="n">
        <v>0</v>
      </c>
      <c r="W753" s="29" t="n">
        <f aca="false">IF(N(Q753)=0,"",Q753+IF(I753="yes",Q753*Inputs!$B$10*Inputs!$B$9,0)+V753)</f>
        <v>0.076</v>
      </c>
      <c r="X753" s="28" t="n">
        <f aca="false">IF(OR(N(W753)&lt;=0,N(N753)=0,N(L753)=0),"",MIN(L753,N753/W753))</f>
        <v>25</v>
      </c>
      <c r="Y753" s="29" t="n">
        <f aca="false">IF(OR(X753="",N(O753)=0),"",X753/O753-1)</f>
        <v>-0.401484318889155</v>
      </c>
      <c r="Z753" s="29" t="n">
        <f aca="false">IF(OR(Y753="",N(O753)=0),"",Y753+N753/O753)</f>
        <v>-0.34163275077807</v>
      </c>
      <c r="AA753" s="32" t="n">
        <f aca="false">IF(OR(Z753="",N(U753)=0),"",Z753-U753)</f>
        <v>0</v>
      </c>
      <c r="AB753" s="29" t="n">
        <f aca="false">IF(N(Q753)=0,"",Q753+IF(I753="yes",Q753*Inputs!$B$10*Inputs!$B$9,0)+IFERROR(INDEX(Inputs!$B$13:$B$15,MATCH(G753,Inputs!$A$13:$A$15,0)),0)+IFERROR(INDEX(Inputs!$B$18:$B$24,MATCH(H753,Inputs!$A$18:$A$24,0)),0))</f>
        <v>0.076</v>
      </c>
      <c r="AC753" s="28" t="n">
        <f aca="false">IF(OR(N(AB753)&lt;=0,N(N753)=0,N(L753)=0),"",MIN(L753,N753/AB753))</f>
        <v>25</v>
      </c>
      <c r="AD753" s="29" t="n">
        <f aca="false">IF(OR(AC753="",N(O753)=0),"",AC753/O753-1)</f>
        <v>-0.401484318889155</v>
      </c>
      <c r="AE753" s="29" t="n">
        <f aca="false">IF(OR(AD753="",N(O753)=0),"",AD753+N753/O753)</f>
        <v>-0.34163275077807</v>
      </c>
      <c r="AF753" s="32" t="n">
        <f aca="false">IF(OR(AE753="",N(Z753)=0),"",AE753-Z753)</f>
        <v>0</v>
      </c>
      <c r="AG753" s="28" t="n">
        <f aca="false">IF(AND(N(M753)&gt;0,N(L753)&gt;0),M753*L753,N753)</f>
        <v>2.5</v>
      </c>
      <c r="AH753" s="28" t="n">
        <f aca="false">IF(OR(N(AB753)&lt;=0,N(AG753)=0,N(L753)=0),"",MIN(L753,AG753/AB753))</f>
        <v>25</v>
      </c>
      <c r="AI753" s="29" t="n">
        <f aca="false">IF(OR(AH753="",N(O753)=0),"",AH753/O753-1)</f>
        <v>-0.401484318889155</v>
      </c>
      <c r="AJ753" s="29" t="n">
        <f aca="false">IF(OR(AI753="",N(O753)=0),"",AI753+AG753/O753)</f>
        <v>-0.34163275077807</v>
      </c>
      <c r="AK753" s="32" t="n">
        <f aca="false">IF(OR(AJ753="",N(AE753)=0),"",AJ753-AE753)</f>
        <v>0</v>
      </c>
      <c r="AL753" s="33" t="n">
        <f aca="false">IF(N(F753)=0,"",INDEX(Inputs!$B$28:$B$32,IFERROR(MATCH(F753,Inputs!$A$28:$A$32,1),0)+1))</f>
        <v>0.085</v>
      </c>
      <c r="AM753" s="34"/>
      <c r="AN753" s="33" t="n">
        <f aca="false">IF(N(AM753)&gt;0,AM753,AL753)</f>
        <v>0.085</v>
      </c>
      <c r="AO753" s="29" t="n">
        <f aca="false">IF(N(AN753)=0,"",AN753+IF(I753="yes",AN753*Inputs!$B$10*Inputs!$B$9,0)+IFERROR(INDEX(Inputs!$B$13:$B$15,MATCH(G753,Inputs!$A$13:$A$15,0)),0)+IFERROR(INDEX(Inputs!$B$18:$B$24,MATCH(H753,Inputs!$A$18:$A$24,0)),0))</f>
        <v>0.08075</v>
      </c>
      <c r="AP753" s="28" t="n">
        <f aca="false">IF(OR(N(AO753)&lt;=0,N(AG753)=0,N(L753)=0),"",MIN(L753,AG753/AO753))</f>
        <v>25</v>
      </c>
      <c r="AQ753" s="29" t="n">
        <f aca="false">IF(OR(AP753="",N(O753)=0),"",AP753/O753-1)</f>
        <v>-0.401484318889155</v>
      </c>
      <c r="AR753" s="29" t="n">
        <f aca="false">IF(OR(AQ753="",N(O753)=0),"",AQ753+AG753/O753)</f>
        <v>-0.34163275077807</v>
      </c>
      <c r="AS753" s="32" t="n">
        <f aca="false">IF(OR(AR753="",N(AJ753)=0),"",AR753-AJ753)</f>
        <v>0</v>
      </c>
      <c r="AT753" s="28" t="n">
        <v>50</v>
      </c>
      <c r="AU753" s="28" t="n">
        <v>2.5</v>
      </c>
      <c r="AV753" s="28" t="n">
        <f aca="false">IF(N(AT753)&gt;0,AT753,L753)</f>
        <v>50</v>
      </c>
      <c r="AW753" s="28" t="n">
        <f aca="false">IF(AND(N(M753)&gt;0,N(AV753)&gt;0),M753*AV753,IF(N(AU753)&gt;0,AU753,N753))</f>
        <v>5</v>
      </c>
      <c r="AX753" s="29" t="n">
        <f aca="false">IF(N(AN753)=0,"",AN753+IF(I753="yes",AN753*Inputs!$B$10*Inputs!$B$9,0)+IFERROR(INDEX(Inputs!$B$13:$B$15,MATCH(G753,Inputs!$A$13:$A$15,0)),0)+IFERROR(INDEX(Inputs!$B$18:$B$24,MATCH(H753,Inputs!$A$18:$A$24,0)),0))</f>
        <v>0.08075</v>
      </c>
      <c r="AY753" s="28" t="n">
        <f aca="false">IF(OR(N(AX753)&lt;=0,N(AW753)=0,N(AV753)=0),"",MIN(AV753,AW753/AX753))</f>
        <v>50</v>
      </c>
      <c r="AZ753" s="29" t="n">
        <f aca="false">IF(OR(AY753="",N(O753)=0),"",AY753/O753-1)</f>
        <v>0.19703136222169</v>
      </c>
      <c r="BA753" s="29" t="n">
        <f aca="false">IF(OR(AZ753="",N(O753)=0),"",AZ753+AW753/O753)</f>
        <v>0.316734498443859</v>
      </c>
      <c r="BB753" s="32" t="n">
        <f aca="false">IF(OR(BA753="",N(AR753)=0),"",BA753-AR753)</f>
        <v>0.65836724922193</v>
      </c>
      <c r="BC753" s="35" t="n">
        <f aca="false">IF(OR(BA753="",N(U753)=0),"",BA753-U753)</f>
        <v>0.65836724922193</v>
      </c>
      <c r="BD753" s="36" t="s">
        <v>172</v>
      </c>
    </row>
    <row r="754" customFormat="false" ht="15" hidden="false" customHeight="false" outlineLevel="0" collapsed="false">
      <c r="A754" s="2" t="s">
        <v>1453</v>
      </c>
      <c r="B754" s="2" t="n">
        <v>88</v>
      </c>
      <c r="C754" s="2" t="s">
        <v>1512</v>
      </c>
      <c r="D754" s="2" t="s">
        <v>1513</v>
      </c>
      <c r="E754" s="2" t="s">
        <v>143</v>
      </c>
      <c r="F754" s="27"/>
      <c r="G754" s="2" t="s">
        <v>51</v>
      </c>
      <c r="H754" s="2" t="s">
        <v>58</v>
      </c>
      <c r="I754" s="2" t="s">
        <v>151</v>
      </c>
      <c r="J754" s="2" t="s">
        <v>145</v>
      </c>
      <c r="K754" s="2" t="n">
        <v>4</v>
      </c>
      <c r="L754" s="28" t="n">
        <v>25</v>
      </c>
      <c r="M754" s="29" t="n">
        <v>0.06875</v>
      </c>
      <c r="N754" s="28" t="n">
        <v>1.71875</v>
      </c>
      <c r="O754" s="28" t="n">
        <v>0</v>
      </c>
      <c r="P754" s="2" t="s">
        <v>146</v>
      </c>
      <c r="Q754" s="29" t="n">
        <v>0</v>
      </c>
      <c r="R754" s="30" t="n">
        <v>0</v>
      </c>
      <c r="S754" s="31"/>
      <c r="T754" s="30"/>
      <c r="U754" s="30"/>
      <c r="V754" s="29" t="n">
        <v>0</v>
      </c>
      <c r="W754" s="29" t="str">
        <f aca="false">IF(N(Q754)=0,"",Q754+IF(I754="yes",Q754*Inputs!$B$10*Inputs!$B$9,0)+V754)</f>
        <v/>
      </c>
      <c r="X754" s="28" t="str">
        <f aca="false">IF(OR(N(W754)&lt;=0,N(N754)=0,N(L754)=0),"",MIN(L754,N754/W754))</f>
        <v/>
      </c>
      <c r="Y754" s="29" t="str">
        <f aca="false">IF(OR(X754="",N(O754)=0),"",X754/O754-1)</f>
        <v/>
      </c>
      <c r="Z754" s="29" t="str">
        <f aca="false">IF(OR(Y754="",N(O754)=0),"",Y754+N754/O754)</f>
        <v/>
      </c>
      <c r="AA754" s="32" t="str">
        <f aca="false">IF(OR(Z754="",N(U754)=0),"",Z754-U754)</f>
        <v/>
      </c>
      <c r="AB754" s="29" t="str">
        <f aca="false">IF(N(Q754)=0,"",Q754+IF(I754="yes",Q754*Inputs!$B$10*Inputs!$B$9,0)+IFERROR(INDEX(Inputs!$B$13:$B$15,MATCH(G754,Inputs!$A$13:$A$15,0)),0)+IFERROR(INDEX(Inputs!$B$18:$B$24,MATCH(H754,Inputs!$A$18:$A$24,0)),0))</f>
        <v/>
      </c>
      <c r="AC754" s="28" t="str">
        <f aca="false">IF(OR(N(AB754)&lt;=0,N(N754)=0,N(L754)=0),"",MIN(L754,N754/AB754))</f>
        <v/>
      </c>
      <c r="AD754" s="29" t="str">
        <f aca="false">IF(OR(AC754="",N(O754)=0),"",AC754/O754-1)</f>
        <v/>
      </c>
      <c r="AE754" s="29" t="str">
        <f aca="false">IF(OR(AD754="",N(O754)=0),"",AD754+N754/O754)</f>
        <v/>
      </c>
      <c r="AF754" s="32" t="str">
        <f aca="false">IF(OR(AE754="",N(Z754)=0),"",AE754-Z754)</f>
        <v/>
      </c>
      <c r="AG754" s="28" t="n">
        <f aca="false">IF(AND(N(M754)&gt;0,N(L754)&gt;0),M754*L754,N754)</f>
        <v>1.71875</v>
      </c>
      <c r="AH754" s="28" t="str">
        <f aca="false">IF(OR(N(AB754)&lt;=0,N(AG754)=0,N(L754)=0),"",MIN(L754,AG754/AB754))</f>
        <v/>
      </c>
      <c r="AI754" s="29" t="str">
        <f aca="false">IF(OR(AH754="",N(O754)=0),"",AH754/O754-1)</f>
        <v/>
      </c>
      <c r="AJ754" s="29" t="str">
        <f aca="false">IF(OR(AI754="",N(O754)=0),"",AI754+AG754/O754)</f>
        <v/>
      </c>
      <c r="AK754" s="32" t="str">
        <f aca="false">IF(OR(AJ754="",N(AE754)=0),"",AJ754-AE754)</f>
        <v/>
      </c>
      <c r="AL754" s="33" t="str">
        <f aca="false">IF(N(F754)=0,"",INDEX(Inputs!$B$28:$B$32,IFERROR(MATCH(F754,Inputs!$A$28:$A$32,1),0)+1))</f>
        <v/>
      </c>
      <c r="AM754" s="34"/>
      <c r="AN754" s="33" t="str">
        <f aca="false">IF(N(AM754)&gt;0,AM754,AL754)</f>
        <v/>
      </c>
      <c r="AO754" s="29" t="str">
        <f aca="false">IF(N(AN754)=0,"",AN754+IF(I754="yes",AN754*Inputs!$B$10*Inputs!$B$9,0)+IFERROR(INDEX(Inputs!$B$13:$B$15,MATCH(G754,Inputs!$A$13:$A$15,0)),0)+IFERROR(INDEX(Inputs!$B$18:$B$24,MATCH(H754,Inputs!$A$18:$A$24,0)),0))</f>
        <v/>
      </c>
      <c r="AP754" s="28" t="str">
        <f aca="false">IF(OR(N(AO754)&lt;=0,N(AG754)=0,N(L754)=0),"",MIN(L754,AG754/AO754))</f>
        <v/>
      </c>
      <c r="AQ754" s="29" t="str">
        <f aca="false">IF(OR(AP754="",N(O754)=0),"",AP754/O754-1)</f>
        <v/>
      </c>
      <c r="AR754" s="29" t="str">
        <f aca="false">IF(OR(AQ754="",N(O754)=0),"",AQ754+AG754/O754)</f>
        <v/>
      </c>
      <c r="AS754" s="32" t="str">
        <f aca="false">IF(OR(AR754="",N(AJ754)=0),"",AR754-AJ754)</f>
        <v/>
      </c>
      <c r="AT754" s="28"/>
      <c r="AU754" s="28"/>
      <c r="AV754" s="28" t="n">
        <f aca="false">IF(N(AT754)&gt;0,AT754,L754)</f>
        <v>25</v>
      </c>
      <c r="AW754" s="28" t="n">
        <f aca="false">IF(AND(N(M754)&gt;0,N(AV754)&gt;0),M754*AV754,IF(N(AU754)&gt;0,AU754,N754))</f>
        <v>1.71875</v>
      </c>
      <c r="AX754" s="29" t="str">
        <f aca="false">IF(N(AN754)=0,"",AN754+IF(I754="yes",AN754*Inputs!$B$10*Inputs!$B$9,0)+IFERROR(INDEX(Inputs!$B$13:$B$15,MATCH(G754,Inputs!$A$13:$A$15,0)),0)+IFERROR(INDEX(Inputs!$B$18:$B$24,MATCH(H754,Inputs!$A$18:$A$24,0)),0))</f>
        <v/>
      </c>
      <c r="AY754" s="28" t="str">
        <f aca="false">IF(OR(N(AX754)&lt;=0,N(AW754)=0,N(AV754)=0),"",MIN(AV754,AW754/AX754))</f>
        <v/>
      </c>
      <c r="AZ754" s="29" t="str">
        <f aca="false">IF(OR(AY754="",N(O754)=0),"",AY754/O754-1)</f>
        <v/>
      </c>
      <c r="BA754" s="29" t="str">
        <f aca="false">IF(OR(AZ754="",N(O754)=0),"",AZ754+AW754/O754)</f>
        <v/>
      </c>
      <c r="BB754" s="32" t="str">
        <f aca="false">IF(OR(BA754="",N(AR754)=0),"",BA754-AR754)</f>
        <v/>
      </c>
      <c r="BC754" s="35" t="str">
        <f aca="false">IF(OR(BA754="",N(U754)=0),"",BA754-U754)</f>
        <v/>
      </c>
      <c r="BD754" s="36" t="s">
        <v>147</v>
      </c>
    </row>
    <row r="755" customFormat="false" ht="15" hidden="false" customHeight="false" outlineLevel="0" collapsed="false">
      <c r="A755" s="2" t="s">
        <v>1453</v>
      </c>
      <c r="B755" s="2" t="n">
        <v>92</v>
      </c>
      <c r="C755" s="2" t="s">
        <v>1514</v>
      </c>
      <c r="D755" s="2" t="s">
        <v>1515</v>
      </c>
      <c r="E755" s="2" t="s">
        <v>1516</v>
      </c>
      <c r="F755" s="27" t="n">
        <v>8100</v>
      </c>
      <c r="G755" s="2" t="s">
        <v>51</v>
      </c>
      <c r="H755" s="2" t="s">
        <v>64</v>
      </c>
      <c r="I755" s="2" t="s">
        <v>151</v>
      </c>
      <c r="J755" s="2" t="s">
        <v>145</v>
      </c>
      <c r="K755" s="2" t="n">
        <v>4</v>
      </c>
      <c r="L755" s="28" t="n">
        <v>100</v>
      </c>
      <c r="M755" s="29" t="n">
        <v>0.0725</v>
      </c>
      <c r="N755" s="28" t="n">
        <v>7.25</v>
      </c>
      <c r="O755" s="28" t="n">
        <v>0</v>
      </c>
      <c r="P755" s="2" t="s">
        <v>146</v>
      </c>
      <c r="Q755" s="29" t="n">
        <v>0.08</v>
      </c>
      <c r="R755" s="30" t="n">
        <v>0.076</v>
      </c>
      <c r="S755" s="31" t="n">
        <v>95.3947368421053</v>
      </c>
      <c r="T755" s="30"/>
      <c r="U755" s="30"/>
      <c r="V755" s="29" t="n">
        <v>0</v>
      </c>
      <c r="W755" s="29" t="n">
        <f aca="false">IF(N(Q755)=0,"",Q755+IF(I755="yes",Q755*Inputs!$B$10*Inputs!$B$9,0)+V755)</f>
        <v>0.076</v>
      </c>
      <c r="X755" s="28" t="n">
        <f aca="false">IF(OR(N(W755)&lt;=0,N(N755)=0,N(L755)=0),"",MIN(L755,N755/W755))</f>
        <v>95.3947368421053</v>
      </c>
      <c r="Y755" s="29" t="str">
        <f aca="false">IF(OR(X755="",N(O755)=0),"",X755/O755-1)</f>
        <v/>
      </c>
      <c r="Z755" s="29" t="str">
        <f aca="false">IF(OR(Y755="",N(O755)=0),"",Y755+N755/O755)</f>
        <v/>
      </c>
      <c r="AA755" s="32" t="str">
        <f aca="false">IF(OR(Z755="",N(U755)=0),"",Z755-U755)</f>
        <v/>
      </c>
      <c r="AB755" s="29" t="n">
        <f aca="false">IF(N(Q755)=0,"",Q755+IF(I755="yes",Q755*Inputs!$B$10*Inputs!$B$9,0)+IFERROR(INDEX(Inputs!$B$13:$B$15,MATCH(G755,Inputs!$A$13:$A$15,0)),0)+IFERROR(INDEX(Inputs!$B$18:$B$24,MATCH(H755,Inputs!$A$18:$A$24,0)),0))</f>
        <v>0.076</v>
      </c>
      <c r="AC755" s="28" t="n">
        <f aca="false">IF(OR(N(AB755)&lt;=0,N(N755)=0,N(L755)=0),"",MIN(L755,N755/AB755))</f>
        <v>95.3947368421053</v>
      </c>
      <c r="AD755" s="29" t="str">
        <f aca="false">IF(OR(AC755="",N(O755)=0),"",AC755/O755-1)</f>
        <v/>
      </c>
      <c r="AE755" s="29" t="str">
        <f aca="false">IF(OR(AD755="",N(O755)=0),"",AD755+N755/O755)</f>
        <v/>
      </c>
      <c r="AF755" s="32" t="str">
        <f aca="false">IF(OR(AE755="",N(Z755)=0),"",AE755-Z755)</f>
        <v/>
      </c>
      <c r="AG755" s="28" t="n">
        <f aca="false">IF(AND(N(M755)&gt;0,N(L755)&gt;0),M755*L755,N755)</f>
        <v>7.25</v>
      </c>
      <c r="AH755" s="28" t="n">
        <f aca="false">IF(OR(N(AB755)&lt;=0,N(AG755)=0,N(L755)=0),"",MIN(L755,AG755/AB755))</f>
        <v>95.3947368421053</v>
      </c>
      <c r="AI755" s="29" t="str">
        <f aca="false">IF(OR(AH755="",N(O755)=0),"",AH755/O755-1)</f>
        <v/>
      </c>
      <c r="AJ755" s="29" t="str">
        <f aca="false">IF(OR(AI755="",N(O755)=0),"",AI755+AG755/O755)</f>
        <v/>
      </c>
      <c r="AK755" s="32" t="str">
        <f aca="false">IF(OR(AJ755="",N(AE755)=0),"",AJ755-AE755)</f>
        <v/>
      </c>
      <c r="AL755" s="33" t="n">
        <f aca="false">IF(N(F755)=0,"",INDEX(Inputs!$B$28:$B$32,IFERROR(MATCH(F755,Inputs!$A$28:$A$32,1),0)+1))</f>
        <v>0.08</v>
      </c>
      <c r="AM755" s="34"/>
      <c r="AN755" s="33" t="n">
        <f aca="false">IF(N(AM755)&gt;0,AM755,AL755)</f>
        <v>0.08</v>
      </c>
      <c r="AO755" s="29" t="n">
        <f aca="false">IF(N(AN755)=0,"",AN755+IF(I755="yes",AN755*Inputs!$B$10*Inputs!$B$9,0)+IFERROR(INDEX(Inputs!$B$13:$B$15,MATCH(G755,Inputs!$A$13:$A$15,0)),0)+IFERROR(INDEX(Inputs!$B$18:$B$24,MATCH(H755,Inputs!$A$18:$A$24,0)),0))</f>
        <v>0.076</v>
      </c>
      <c r="AP755" s="28" t="n">
        <f aca="false">IF(OR(N(AO755)&lt;=0,N(AG755)=0,N(L755)=0),"",MIN(L755,AG755/AO755))</f>
        <v>95.3947368421053</v>
      </c>
      <c r="AQ755" s="29" t="str">
        <f aca="false">IF(OR(AP755="",N(O755)=0),"",AP755/O755-1)</f>
        <v/>
      </c>
      <c r="AR755" s="29" t="str">
        <f aca="false">IF(OR(AQ755="",N(O755)=0),"",AQ755+AG755/O755)</f>
        <v/>
      </c>
      <c r="AS755" s="32" t="str">
        <f aca="false">IF(OR(AR755="",N(AJ755)=0),"",AR755-AJ755)</f>
        <v/>
      </c>
      <c r="AT755" s="28"/>
      <c r="AU755" s="28"/>
      <c r="AV755" s="28" t="n">
        <f aca="false">IF(N(AT755)&gt;0,AT755,L755)</f>
        <v>100</v>
      </c>
      <c r="AW755" s="28" t="n">
        <f aca="false">IF(AND(N(M755)&gt;0,N(AV755)&gt;0),M755*AV755,IF(N(AU755)&gt;0,AU755,N755))</f>
        <v>7.25</v>
      </c>
      <c r="AX755" s="29" t="n">
        <f aca="false">IF(N(AN755)=0,"",AN755+IF(I755="yes",AN755*Inputs!$B$10*Inputs!$B$9,0)+IFERROR(INDEX(Inputs!$B$13:$B$15,MATCH(G755,Inputs!$A$13:$A$15,0)),0)+IFERROR(INDEX(Inputs!$B$18:$B$24,MATCH(H755,Inputs!$A$18:$A$24,0)),0))</f>
        <v>0.076</v>
      </c>
      <c r="AY755" s="28" t="n">
        <f aca="false">IF(OR(N(AX755)&lt;=0,N(AW755)=0,N(AV755)=0),"",MIN(AV755,AW755/AX755))</f>
        <v>95.3947368421053</v>
      </c>
      <c r="AZ755" s="29" t="str">
        <f aca="false">IF(OR(AY755="",N(O755)=0),"",AY755/O755-1)</f>
        <v/>
      </c>
      <c r="BA755" s="29" t="str">
        <f aca="false">IF(OR(AZ755="",N(O755)=0),"",AZ755+AW755/O755)</f>
        <v/>
      </c>
      <c r="BB755" s="32" t="str">
        <f aca="false">IF(OR(BA755="",N(AR755)=0),"",BA755-AR755)</f>
        <v/>
      </c>
      <c r="BC755" s="35" t="str">
        <f aca="false">IF(OR(BA755="",N(U755)=0),"",BA755-U755)</f>
        <v/>
      </c>
      <c r="BD755" s="36" t="s">
        <v>198</v>
      </c>
    </row>
    <row r="756" customFormat="false" ht="15" hidden="false" customHeight="false" outlineLevel="0" collapsed="false">
      <c r="A756" s="2" t="s">
        <v>1453</v>
      </c>
      <c r="B756" s="2" t="n">
        <v>96</v>
      </c>
      <c r="C756" s="2" t="s">
        <v>1517</v>
      </c>
      <c r="D756" s="2" t="s">
        <v>1518</v>
      </c>
      <c r="E756" s="2" t="s">
        <v>1519</v>
      </c>
      <c r="F756" s="27" t="n">
        <v>1400</v>
      </c>
      <c r="G756" s="2" t="s">
        <v>51</v>
      </c>
      <c r="H756" s="2" t="s">
        <v>58</v>
      </c>
      <c r="I756" s="2" t="s">
        <v>144</v>
      </c>
      <c r="J756" s="2" t="s">
        <v>145</v>
      </c>
      <c r="K756" s="2" t="n">
        <v>4</v>
      </c>
      <c r="L756" s="28" t="n">
        <v>25</v>
      </c>
      <c r="M756" s="29" t="n">
        <v>0.06375</v>
      </c>
      <c r="N756" s="28" t="n">
        <v>1.59375</v>
      </c>
      <c r="O756" s="28" t="n">
        <v>21.8</v>
      </c>
      <c r="P756" s="2" t="s">
        <v>146</v>
      </c>
      <c r="Q756" s="29" t="n">
        <v>0.085</v>
      </c>
      <c r="R756" s="30" t="n">
        <v>0.085</v>
      </c>
      <c r="S756" s="31" t="n">
        <v>18.75</v>
      </c>
      <c r="T756" s="30" t="n">
        <v>-0.139908256880734</v>
      </c>
      <c r="U756" s="30" t="n">
        <v>-0.0668004587155963</v>
      </c>
      <c r="V756" s="29" t="n">
        <v>0</v>
      </c>
      <c r="W756" s="29" t="n">
        <f aca="false">IF(N(Q756)=0,"",Q756+IF(I756="yes",Q756*Inputs!$B$10*Inputs!$B$9,0)+V756)</f>
        <v>0.085</v>
      </c>
      <c r="X756" s="28" t="n">
        <f aca="false">IF(OR(N(W756)&lt;=0,N(N756)=0,N(L756)=0),"",MIN(L756,N756/W756))</f>
        <v>18.75</v>
      </c>
      <c r="Y756" s="29" t="n">
        <f aca="false">IF(OR(X756="",N(O756)=0),"",X756/O756-1)</f>
        <v>-0.139908256880734</v>
      </c>
      <c r="Z756" s="29" t="n">
        <f aca="false">IF(OR(Y756="",N(O756)=0),"",Y756+N756/O756)</f>
        <v>-0.0668004587155963</v>
      </c>
      <c r="AA756" s="32" t="n">
        <f aca="false">IF(OR(Z756="",N(U756)=0),"",Z756-U756)</f>
        <v>0</v>
      </c>
      <c r="AB756" s="29" t="n">
        <f aca="false">IF(N(Q756)=0,"",Q756+IF(I756="yes",Q756*Inputs!$B$10*Inputs!$B$9,0)+IFERROR(INDEX(Inputs!$B$13:$B$15,MATCH(G756,Inputs!$A$13:$A$15,0)),0)+IFERROR(INDEX(Inputs!$B$18:$B$24,MATCH(H756,Inputs!$A$18:$A$24,0)),0))</f>
        <v>0.085</v>
      </c>
      <c r="AC756" s="28" t="n">
        <f aca="false">IF(OR(N(AB756)&lt;=0,N(N756)=0,N(L756)=0),"",MIN(L756,N756/AB756))</f>
        <v>18.75</v>
      </c>
      <c r="AD756" s="29" t="n">
        <f aca="false">IF(OR(AC756="",N(O756)=0),"",AC756/O756-1)</f>
        <v>-0.139908256880734</v>
      </c>
      <c r="AE756" s="29" t="n">
        <f aca="false">IF(OR(AD756="",N(O756)=0),"",AD756+N756/O756)</f>
        <v>-0.0668004587155963</v>
      </c>
      <c r="AF756" s="32" t="n">
        <f aca="false">IF(OR(AE756="",N(Z756)=0),"",AE756-Z756)</f>
        <v>0</v>
      </c>
      <c r="AG756" s="28" t="n">
        <f aca="false">IF(AND(N(M756)&gt;0,N(L756)&gt;0),M756*L756,N756)</f>
        <v>1.59375</v>
      </c>
      <c r="AH756" s="28" t="n">
        <f aca="false">IF(OR(N(AB756)&lt;=0,N(AG756)=0,N(L756)=0),"",MIN(L756,AG756/AB756))</f>
        <v>18.75</v>
      </c>
      <c r="AI756" s="29" t="n">
        <f aca="false">IF(OR(AH756="",N(O756)=0),"",AH756/O756-1)</f>
        <v>-0.139908256880734</v>
      </c>
      <c r="AJ756" s="29" t="n">
        <f aca="false">IF(OR(AI756="",N(O756)=0),"",AI756+AG756/O756)</f>
        <v>-0.0668004587155963</v>
      </c>
      <c r="AK756" s="32" t="n">
        <f aca="false">IF(OR(AJ756="",N(AE756)=0),"",AJ756-AE756)</f>
        <v>0</v>
      </c>
      <c r="AL756" s="33" t="n">
        <f aca="false">IF(N(F756)=0,"",INDEX(Inputs!$B$28:$B$32,IFERROR(MATCH(F756,Inputs!$A$28:$A$32,1),0)+1))</f>
        <v>0.085</v>
      </c>
      <c r="AM756" s="34"/>
      <c r="AN756" s="33" t="n">
        <f aca="false">IF(N(AM756)&gt;0,AM756,AL756)</f>
        <v>0.085</v>
      </c>
      <c r="AO756" s="29" t="n">
        <f aca="false">IF(N(AN756)=0,"",AN756+IF(I756="yes",AN756*Inputs!$B$10*Inputs!$B$9,0)+IFERROR(INDEX(Inputs!$B$13:$B$15,MATCH(G756,Inputs!$A$13:$A$15,0)),0)+IFERROR(INDEX(Inputs!$B$18:$B$24,MATCH(H756,Inputs!$A$18:$A$24,0)),0))</f>
        <v>0.085</v>
      </c>
      <c r="AP756" s="28" t="n">
        <f aca="false">IF(OR(N(AO756)&lt;=0,N(AG756)=0,N(L756)=0),"",MIN(L756,AG756/AO756))</f>
        <v>18.75</v>
      </c>
      <c r="AQ756" s="29" t="n">
        <f aca="false">IF(OR(AP756="",N(O756)=0),"",AP756/O756-1)</f>
        <v>-0.139908256880734</v>
      </c>
      <c r="AR756" s="29" t="n">
        <f aca="false">IF(OR(AQ756="",N(O756)=0),"",AQ756+AG756/O756)</f>
        <v>-0.0668004587155963</v>
      </c>
      <c r="AS756" s="32" t="n">
        <f aca="false">IF(OR(AR756="",N(AJ756)=0),"",AR756-AJ756)</f>
        <v>0</v>
      </c>
      <c r="AT756" s="28" t="n">
        <v>25</v>
      </c>
      <c r="AU756" s="28" t="n">
        <v>1.59</v>
      </c>
      <c r="AV756" s="28" t="n">
        <f aca="false">IF(N(AT756)&gt;0,AT756,L756)</f>
        <v>25</v>
      </c>
      <c r="AW756" s="28" t="n">
        <f aca="false">IF(AND(N(M756)&gt;0,N(AV756)&gt;0),M756*AV756,IF(N(AU756)&gt;0,AU756,N756))</f>
        <v>1.59375</v>
      </c>
      <c r="AX756" s="29" t="n">
        <f aca="false">IF(N(AN756)=0,"",AN756+IF(I756="yes",AN756*Inputs!$B$10*Inputs!$B$9,0)+IFERROR(INDEX(Inputs!$B$13:$B$15,MATCH(G756,Inputs!$A$13:$A$15,0)),0)+IFERROR(INDEX(Inputs!$B$18:$B$24,MATCH(H756,Inputs!$A$18:$A$24,0)),0))</f>
        <v>0.085</v>
      </c>
      <c r="AY756" s="28" t="n">
        <f aca="false">IF(OR(N(AX756)&lt;=0,N(AW756)=0,N(AV756)=0),"",MIN(AV756,AW756/AX756))</f>
        <v>18.75</v>
      </c>
      <c r="AZ756" s="29" t="n">
        <f aca="false">IF(OR(AY756="",N(O756)=0),"",AY756/O756-1)</f>
        <v>-0.139908256880734</v>
      </c>
      <c r="BA756" s="29" t="n">
        <f aca="false">IF(OR(AZ756="",N(O756)=0),"",AZ756+AW756/O756)</f>
        <v>-0.0668004587155963</v>
      </c>
      <c r="BB756" s="32" t="n">
        <f aca="false">IF(OR(BA756="",N(AR756)=0),"",BA756-AR756)</f>
        <v>0</v>
      </c>
      <c r="BC756" s="35" t="n">
        <f aca="false">IF(OR(BA756="",N(U756)=0),"",BA756-U756)</f>
        <v>0</v>
      </c>
      <c r="BD756" s="37"/>
    </row>
    <row r="757" customFormat="false" ht="15" hidden="false" customHeight="false" outlineLevel="0" collapsed="false">
      <c r="A757" s="2" t="s">
        <v>1453</v>
      </c>
      <c r="B757" s="2" t="n">
        <v>100</v>
      </c>
      <c r="C757" s="2" t="s">
        <v>1520</v>
      </c>
      <c r="D757" s="2" t="s">
        <v>1521</v>
      </c>
      <c r="E757" s="2" t="s">
        <v>1522</v>
      </c>
      <c r="F757" s="27" t="n">
        <v>13800</v>
      </c>
      <c r="G757" s="2" t="s">
        <v>52</v>
      </c>
      <c r="H757" s="2" t="s">
        <v>58</v>
      </c>
      <c r="I757" s="2" t="s">
        <v>144</v>
      </c>
      <c r="J757" s="2" t="s">
        <v>145</v>
      </c>
      <c r="K757" s="2" t="n">
        <v>4</v>
      </c>
      <c r="L757" s="28" t="n">
        <v>25</v>
      </c>
      <c r="M757" s="29" t="n">
        <v>0.0625</v>
      </c>
      <c r="N757" s="28" t="n">
        <v>1.5625</v>
      </c>
      <c r="O757" s="28" t="n">
        <v>21.34</v>
      </c>
      <c r="P757" s="2" t="s">
        <v>146</v>
      </c>
      <c r="Q757" s="29" t="n">
        <v>0.08</v>
      </c>
      <c r="R757" s="30" t="n">
        <v>0.075</v>
      </c>
      <c r="S757" s="31" t="n">
        <v>20.8333333333333</v>
      </c>
      <c r="T757" s="30" t="n">
        <v>-0.0237425804436112</v>
      </c>
      <c r="U757" s="30" t="n">
        <v>0.0494767260231179</v>
      </c>
      <c r="V757" s="29" t="n">
        <v>-0.005</v>
      </c>
      <c r="W757" s="29" t="n">
        <f aca="false">IF(N(Q757)=0,"",Q757+IF(I757="yes",Q757*Inputs!$B$10*Inputs!$B$9,0)+V757)</f>
        <v>0.075</v>
      </c>
      <c r="X757" s="28" t="n">
        <f aca="false">IF(OR(N(W757)&lt;=0,N(N757)=0,N(L757)=0),"",MIN(L757,N757/W757))</f>
        <v>20.8333333333333</v>
      </c>
      <c r="Y757" s="29" t="n">
        <f aca="false">IF(OR(X757="",N(O757)=0),"",X757/O757-1)</f>
        <v>-0.0237425804436112</v>
      </c>
      <c r="Z757" s="29" t="n">
        <f aca="false">IF(OR(Y757="",N(O757)=0),"",Y757+N757/O757)</f>
        <v>0.0494767260231179</v>
      </c>
      <c r="AA757" s="32" t="n">
        <f aca="false">IF(OR(Z757="",N(U757)=0),"",Z757-U757)</f>
        <v>0</v>
      </c>
      <c r="AB757" s="29" t="n">
        <f aca="false">IF(N(Q757)=0,"",Q757+IF(I757="yes",Q757*Inputs!$B$10*Inputs!$B$9,0)+IFERROR(INDEX(Inputs!$B$13:$B$15,MATCH(G757,Inputs!$A$13:$A$15,0)),0)+IFERROR(INDEX(Inputs!$B$18:$B$24,MATCH(H757,Inputs!$A$18:$A$24,0)),0))</f>
        <v>0.075</v>
      </c>
      <c r="AC757" s="28" t="n">
        <f aca="false">IF(OR(N(AB757)&lt;=0,N(N757)=0,N(L757)=0),"",MIN(L757,N757/AB757))</f>
        <v>20.8333333333333</v>
      </c>
      <c r="AD757" s="29" t="n">
        <f aca="false">IF(OR(AC757="",N(O757)=0),"",AC757/O757-1)</f>
        <v>-0.0237425804436112</v>
      </c>
      <c r="AE757" s="29" t="n">
        <f aca="false">IF(OR(AD757="",N(O757)=0),"",AD757+N757/O757)</f>
        <v>0.0494767260231179</v>
      </c>
      <c r="AF757" s="32" t="n">
        <f aca="false">IF(OR(AE757="",N(Z757)=0),"",AE757-Z757)</f>
        <v>0</v>
      </c>
      <c r="AG757" s="28" t="n">
        <f aca="false">IF(AND(N(M757)&gt;0,N(L757)&gt;0),M757*L757,N757)</f>
        <v>1.5625</v>
      </c>
      <c r="AH757" s="28" t="n">
        <f aca="false">IF(OR(N(AB757)&lt;=0,N(AG757)=0,N(L757)=0),"",MIN(L757,AG757/AB757))</f>
        <v>20.8333333333333</v>
      </c>
      <c r="AI757" s="29" t="n">
        <f aca="false">IF(OR(AH757="",N(O757)=0),"",AH757/O757-1)</f>
        <v>-0.0237425804436112</v>
      </c>
      <c r="AJ757" s="29" t="n">
        <f aca="false">IF(OR(AI757="",N(O757)=0),"",AI757+AG757/O757)</f>
        <v>0.0494767260231179</v>
      </c>
      <c r="AK757" s="32" t="n">
        <f aca="false">IF(OR(AJ757="",N(AE757)=0),"",AJ757-AE757)</f>
        <v>0</v>
      </c>
      <c r="AL757" s="33" t="n">
        <f aca="false">IF(N(F757)=0,"",INDEX(Inputs!$B$28:$B$32,IFERROR(MATCH(F757,Inputs!$A$28:$A$32,1),0)+1))</f>
        <v>0.08</v>
      </c>
      <c r="AM757" s="34"/>
      <c r="AN757" s="33" t="n">
        <f aca="false">IF(N(AM757)&gt;0,AM757,AL757)</f>
        <v>0.08</v>
      </c>
      <c r="AO757" s="29" t="n">
        <f aca="false">IF(N(AN757)=0,"",AN757+IF(I757="yes",AN757*Inputs!$B$10*Inputs!$B$9,0)+IFERROR(INDEX(Inputs!$B$13:$B$15,MATCH(G757,Inputs!$A$13:$A$15,0)),0)+IFERROR(INDEX(Inputs!$B$18:$B$24,MATCH(H757,Inputs!$A$18:$A$24,0)),0))</f>
        <v>0.075</v>
      </c>
      <c r="AP757" s="28" t="n">
        <f aca="false">IF(OR(N(AO757)&lt;=0,N(AG757)=0,N(L757)=0),"",MIN(L757,AG757/AO757))</f>
        <v>20.8333333333333</v>
      </c>
      <c r="AQ757" s="29" t="n">
        <f aca="false">IF(OR(AP757="",N(O757)=0),"",AP757/O757-1)</f>
        <v>-0.0237425804436112</v>
      </c>
      <c r="AR757" s="29" t="n">
        <f aca="false">IF(OR(AQ757="",N(O757)=0),"",AQ757+AG757/O757)</f>
        <v>0.0494767260231179</v>
      </c>
      <c r="AS757" s="32" t="n">
        <f aca="false">IF(OR(AR757="",N(AJ757)=0),"",AR757-AJ757)</f>
        <v>0</v>
      </c>
      <c r="AT757" s="28" t="n">
        <v>25</v>
      </c>
      <c r="AU757" s="28" t="n">
        <v>1.56</v>
      </c>
      <c r="AV757" s="28" t="n">
        <f aca="false">IF(N(AT757)&gt;0,AT757,L757)</f>
        <v>25</v>
      </c>
      <c r="AW757" s="28" t="n">
        <f aca="false">IF(AND(N(M757)&gt;0,N(AV757)&gt;0),M757*AV757,IF(N(AU757)&gt;0,AU757,N757))</f>
        <v>1.5625</v>
      </c>
      <c r="AX757" s="29" t="n">
        <f aca="false">IF(N(AN757)=0,"",AN757+IF(I757="yes",AN757*Inputs!$B$10*Inputs!$B$9,0)+IFERROR(INDEX(Inputs!$B$13:$B$15,MATCH(G757,Inputs!$A$13:$A$15,0)),0)+IFERROR(INDEX(Inputs!$B$18:$B$24,MATCH(H757,Inputs!$A$18:$A$24,0)),0))</f>
        <v>0.075</v>
      </c>
      <c r="AY757" s="28" t="n">
        <f aca="false">IF(OR(N(AX757)&lt;=0,N(AW757)=0,N(AV757)=0),"",MIN(AV757,AW757/AX757))</f>
        <v>20.8333333333333</v>
      </c>
      <c r="AZ757" s="29" t="n">
        <f aca="false">IF(OR(AY757="",N(O757)=0),"",AY757/O757-1)</f>
        <v>-0.0237425804436112</v>
      </c>
      <c r="BA757" s="29" t="n">
        <f aca="false">IF(OR(AZ757="",N(O757)=0),"",AZ757+AW757/O757)</f>
        <v>0.0494767260231179</v>
      </c>
      <c r="BB757" s="32" t="n">
        <f aca="false">IF(OR(BA757="",N(AR757)=0),"",BA757-AR757)</f>
        <v>0</v>
      </c>
      <c r="BC757" s="35" t="n">
        <f aca="false">IF(OR(BA757="",N(U757)=0),"",BA757-U757)</f>
        <v>0</v>
      </c>
      <c r="BD757" s="37"/>
    </row>
    <row r="758" customFormat="false" ht="15" hidden="false" customHeight="false" outlineLevel="0" collapsed="false">
      <c r="A758" s="2" t="s">
        <v>1453</v>
      </c>
      <c r="B758" s="2" t="n">
        <v>104</v>
      </c>
      <c r="C758" s="2" t="s">
        <v>1523</v>
      </c>
      <c r="D758" s="2" t="s">
        <v>1524</v>
      </c>
      <c r="E758" s="2" t="s">
        <v>1525</v>
      </c>
      <c r="F758" s="27" t="n">
        <v>96300</v>
      </c>
      <c r="G758" s="2" t="s">
        <v>51</v>
      </c>
      <c r="H758" s="2" t="s">
        <v>58</v>
      </c>
      <c r="I758" s="2" t="s">
        <v>151</v>
      </c>
      <c r="J758" s="2" t="s">
        <v>145</v>
      </c>
      <c r="K758" s="2" t="n">
        <v>4</v>
      </c>
      <c r="L758" s="28" t="n">
        <v>1000</v>
      </c>
      <c r="M758" s="29" t="n">
        <v>0.035</v>
      </c>
      <c r="N758" s="28" t="n">
        <v>35</v>
      </c>
      <c r="O758" s="28" t="n">
        <v>770</v>
      </c>
      <c r="P758" s="2" t="s">
        <v>146</v>
      </c>
      <c r="Q758" s="29" t="n">
        <v>0.08</v>
      </c>
      <c r="R758" s="30" t="n">
        <v>0.076</v>
      </c>
      <c r="S758" s="31" t="n">
        <v>460.526315789474</v>
      </c>
      <c r="T758" s="30" t="n">
        <v>-0.401913875598086</v>
      </c>
      <c r="U758" s="30" t="n">
        <v>-0.356459330143541</v>
      </c>
      <c r="V758" s="29" t="n">
        <v>0</v>
      </c>
      <c r="W758" s="29" t="n">
        <f aca="false">IF(N(Q758)=0,"",Q758+IF(I758="yes",Q758*Inputs!$B$10*Inputs!$B$9,0)+V758)</f>
        <v>0.076</v>
      </c>
      <c r="X758" s="28" t="n">
        <f aca="false">IF(OR(N(W758)&lt;=0,N(N758)=0,N(L758)=0),"",MIN(L758,N758/W758))</f>
        <v>460.526315789474</v>
      </c>
      <c r="Y758" s="29" t="n">
        <f aca="false">IF(OR(X758="",N(O758)=0),"",X758/O758-1)</f>
        <v>-0.401913875598086</v>
      </c>
      <c r="Z758" s="29" t="n">
        <f aca="false">IF(OR(Y758="",N(O758)=0),"",Y758+N758/O758)</f>
        <v>-0.356459330143541</v>
      </c>
      <c r="AA758" s="32" t="n">
        <f aca="false">IF(OR(Z758="",N(U758)=0),"",Z758-U758)</f>
        <v>0</v>
      </c>
      <c r="AB758" s="29" t="n">
        <f aca="false">IF(N(Q758)=0,"",Q758+IF(I758="yes",Q758*Inputs!$B$10*Inputs!$B$9,0)+IFERROR(INDEX(Inputs!$B$13:$B$15,MATCH(G758,Inputs!$A$13:$A$15,0)),0)+IFERROR(INDEX(Inputs!$B$18:$B$24,MATCH(H758,Inputs!$A$18:$A$24,0)),0))</f>
        <v>0.076</v>
      </c>
      <c r="AC758" s="28" t="n">
        <f aca="false">IF(OR(N(AB758)&lt;=0,N(N758)=0,N(L758)=0),"",MIN(L758,N758/AB758))</f>
        <v>460.526315789474</v>
      </c>
      <c r="AD758" s="29" t="n">
        <f aca="false">IF(OR(AC758="",N(O758)=0),"",AC758/O758-1)</f>
        <v>-0.401913875598086</v>
      </c>
      <c r="AE758" s="29" t="n">
        <f aca="false">IF(OR(AD758="",N(O758)=0),"",AD758+N758/O758)</f>
        <v>-0.356459330143541</v>
      </c>
      <c r="AF758" s="32" t="n">
        <f aca="false">IF(OR(AE758="",N(Z758)=0),"",AE758-Z758)</f>
        <v>0</v>
      </c>
      <c r="AG758" s="28" t="n">
        <f aca="false">IF(AND(N(M758)&gt;0,N(L758)&gt;0),M758*L758,N758)</f>
        <v>35</v>
      </c>
      <c r="AH758" s="28" t="n">
        <f aca="false">IF(OR(N(AB758)&lt;=0,N(AG758)=0,N(L758)=0),"",MIN(L758,AG758/AB758))</f>
        <v>460.526315789474</v>
      </c>
      <c r="AI758" s="29" t="n">
        <f aca="false">IF(OR(AH758="",N(O758)=0),"",AH758/O758-1)</f>
        <v>-0.401913875598086</v>
      </c>
      <c r="AJ758" s="29" t="n">
        <f aca="false">IF(OR(AI758="",N(O758)=0),"",AI758+AG758/O758)</f>
        <v>-0.356459330143541</v>
      </c>
      <c r="AK758" s="32" t="n">
        <f aca="false">IF(OR(AJ758="",N(AE758)=0),"",AJ758-AE758)</f>
        <v>0</v>
      </c>
      <c r="AL758" s="33" t="n">
        <f aca="false">IF(N(F758)=0,"",INDEX(Inputs!$B$28:$B$32,IFERROR(MATCH(F758,Inputs!$A$28:$A$32,1),0)+1))</f>
        <v>0.075</v>
      </c>
      <c r="AM758" s="34"/>
      <c r="AN758" s="33" t="n">
        <f aca="false">IF(N(AM758)&gt;0,AM758,AL758)</f>
        <v>0.075</v>
      </c>
      <c r="AO758" s="29" t="n">
        <f aca="false">IF(N(AN758)=0,"",AN758+IF(I758="yes",AN758*Inputs!$B$10*Inputs!$B$9,0)+IFERROR(INDEX(Inputs!$B$13:$B$15,MATCH(G758,Inputs!$A$13:$A$15,0)),0)+IFERROR(INDEX(Inputs!$B$18:$B$24,MATCH(H758,Inputs!$A$18:$A$24,0)),0))</f>
        <v>0.07125</v>
      </c>
      <c r="AP758" s="28" t="n">
        <f aca="false">IF(OR(N(AO758)&lt;=0,N(AG758)=0,N(L758)=0),"",MIN(L758,AG758/AO758))</f>
        <v>491.228070175439</v>
      </c>
      <c r="AQ758" s="29" t="n">
        <f aca="false">IF(OR(AP758="",N(O758)=0),"",AP758/O758-1)</f>
        <v>-0.362041467304625</v>
      </c>
      <c r="AR758" s="29" t="n">
        <f aca="false">IF(OR(AQ758="",N(O758)=0),"",AQ758+AG758/O758)</f>
        <v>-0.31658692185008</v>
      </c>
      <c r="AS758" s="32" t="n">
        <f aca="false">IF(OR(AR758="",N(AJ758)=0),"",AR758-AJ758)</f>
        <v>0.039872408293461</v>
      </c>
      <c r="AT758" s="28" t="n">
        <v>1000</v>
      </c>
      <c r="AU758" s="28" t="n">
        <v>35</v>
      </c>
      <c r="AV758" s="28" t="n">
        <f aca="false">IF(N(AT758)&gt;0,AT758,L758)</f>
        <v>1000</v>
      </c>
      <c r="AW758" s="28" t="n">
        <f aca="false">IF(AND(N(M758)&gt;0,N(AV758)&gt;0),M758*AV758,IF(N(AU758)&gt;0,AU758,N758))</f>
        <v>35</v>
      </c>
      <c r="AX758" s="29" t="n">
        <f aca="false">IF(N(AN758)=0,"",AN758+IF(I758="yes",AN758*Inputs!$B$10*Inputs!$B$9,0)+IFERROR(INDEX(Inputs!$B$13:$B$15,MATCH(G758,Inputs!$A$13:$A$15,0)),0)+IFERROR(INDEX(Inputs!$B$18:$B$24,MATCH(H758,Inputs!$A$18:$A$24,0)),0))</f>
        <v>0.07125</v>
      </c>
      <c r="AY758" s="28" t="n">
        <f aca="false">IF(OR(N(AX758)&lt;=0,N(AW758)=0,N(AV758)=0),"",MIN(AV758,AW758/AX758))</f>
        <v>491.228070175439</v>
      </c>
      <c r="AZ758" s="29" t="n">
        <f aca="false">IF(OR(AY758="",N(O758)=0),"",AY758/O758-1)</f>
        <v>-0.362041467304625</v>
      </c>
      <c r="BA758" s="29" t="n">
        <f aca="false">IF(OR(AZ758="",N(O758)=0),"",AZ758+AW758/O758)</f>
        <v>-0.31658692185008</v>
      </c>
      <c r="BB758" s="32" t="n">
        <f aca="false">IF(OR(BA758="",N(AR758)=0),"",BA758-AR758)</f>
        <v>0</v>
      </c>
      <c r="BC758" s="35" t="n">
        <f aca="false">IF(OR(BA758="",N(U758)=0),"",BA758-U758)</f>
        <v>0.0398724082934609</v>
      </c>
      <c r="BD758" s="37"/>
    </row>
    <row r="759" customFormat="false" ht="15" hidden="false" customHeight="false" outlineLevel="0" collapsed="false">
      <c r="A759" s="2" t="s">
        <v>1453</v>
      </c>
      <c r="B759" s="2" t="n">
        <v>105</v>
      </c>
      <c r="C759" s="2" t="s">
        <v>1526</v>
      </c>
      <c r="D759" s="2" t="s">
        <v>1524</v>
      </c>
      <c r="E759" s="2" t="s">
        <v>1525</v>
      </c>
      <c r="F759" s="27" t="n">
        <v>96300</v>
      </c>
      <c r="G759" s="2" t="s">
        <v>51</v>
      </c>
      <c r="H759" s="2" t="s">
        <v>60</v>
      </c>
      <c r="I759" s="2" t="s">
        <v>151</v>
      </c>
      <c r="J759" s="2" t="s">
        <v>145</v>
      </c>
      <c r="K759" s="2" t="n">
        <v>4</v>
      </c>
      <c r="L759" s="28" t="n">
        <v>25</v>
      </c>
      <c r="M759" s="29" t="n">
        <v>0.0353</v>
      </c>
      <c r="N759" s="28" t="n">
        <v>0.8825</v>
      </c>
      <c r="O759" s="28" t="n">
        <v>18.36</v>
      </c>
      <c r="P759" s="2" t="s">
        <v>146</v>
      </c>
      <c r="Q759" s="29" t="n">
        <v>0.08</v>
      </c>
      <c r="R759" s="30" t="n">
        <v>0.076</v>
      </c>
      <c r="S759" s="31" t="n">
        <v>11.6118421052632</v>
      </c>
      <c r="T759" s="30" t="n">
        <v>-0.367546726292856</v>
      </c>
      <c r="U759" s="30" t="n">
        <v>-0.319480277491113</v>
      </c>
      <c r="V759" s="29" t="n">
        <v>0</v>
      </c>
      <c r="W759" s="29" t="n">
        <f aca="false">IF(N(Q759)=0,"",Q759+IF(I759="yes",Q759*Inputs!$B$10*Inputs!$B$9,0)+V759)</f>
        <v>0.076</v>
      </c>
      <c r="X759" s="28" t="n">
        <f aca="false">IF(OR(N(W759)&lt;=0,N(N759)=0,N(L759)=0),"",MIN(L759,N759/W759))</f>
        <v>11.6118421052632</v>
      </c>
      <c r="Y759" s="29" t="n">
        <f aca="false">IF(OR(X759="",N(O759)=0),"",X759/O759-1)</f>
        <v>-0.367546726292856</v>
      </c>
      <c r="Z759" s="29" t="n">
        <f aca="false">IF(OR(Y759="",N(O759)=0),"",Y759+N759/O759)</f>
        <v>-0.319480277491113</v>
      </c>
      <c r="AA759" s="32" t="n">
        <f aca="false">IF(OR(Z759="",N(U759)=0),"",Z759-U759)</f>
        <v>0</v>
      </c>
      <c r="AB759" s="29" t="n">
        <f aca="false">IF(N(Q759)=0,"",Q759+IF(I759="yes",Q759*Inputs!$B$10*Inputs!$B$9,0)+IFERROR(INDEX(Inputs!$B$13:$B$15,MATCH(G759,Inputs!$A$13:$A$15,0)),0)+IFERROR(INDEX(Inputs!$B$18:$B$24,MATCH(H759,Inputs!$A$18:$A$24,0)),0))</f>
        <v>0.076</v>
      </c>
      <c r="AC759" s="28" t="n">
        <f aca="false">IF(OR(N(AB759)&lt;=0,N(N759)=0,N(L759)=0),"",MIN(L759,N759/AB759))</f>
        <v>11.6118421052632</v>
      </c>
      <c r="AD759" s="29" t="n">
        <f aca="false">IF(OR(AC759="",N(O759)=0),"",AC759/O759-1)</f>
        <v>-0.367546726292856</v>
      </c>
      <c r="AE759" s="29" t="n">
        <f aca="false">IF(OR(AD759="",N(O759)=0),"",AD759+N759/O759)</f>
        <v>-0.319480277491113</v>
      </c>
      <c r="AF759" s="32" t="n">
        <f aca="false">IF(OR(AE759="",N(Z759)=0),"",AE759-Z759)</f>
        <v>0</v>
      </c>
      <c r="AG759" s="28" t="n">
        <f aca="false">IF(AND(N(M759)&gt;0,N(L759)&gt;0),M759*L759,N759)</f>
        <v>0.8825</v>
      </c>
      <c r="AH759" s="28" t="n">
        <f aca="false">IF(OR(N(AB759)&lt;=0,N(AG759)=0,N(L759)=0),"",MIN(L759,AG759/AB759))</f>
        <v>11.6118421052632</v>
      </c>
      <c r="AI759" s="29" t="n">
        <f aca="false">IF(OR(AH759="",N(O759)=0),"",AH759/O759-1)</f>
        <v>-0.367546726292856</v>
      </c>
      <c r="AJ759" s="29" t="n">
        <f aca="false">IF(OR(AI759="",N(O759)=0),"",AI759+AG759/O759)</f>
        <v>-0.319480277491113</v>
      </c>
      <c r="AK759" s="32" t="n">
        <f aca="false">IF(OR(AJ759="",N(AE759)=0),"",AJ759-AE759)</f>
        <v>0</v>
      </c>
      <c r="AL759" s="33" t="n">
        <f aca="false">IF(N(F759)=0,"",INDEX(Inputs!$B$28:$B$32,IFERROR(MATCH(F759,Inputs!$A$28:$A$32,1),0)+1))</f>
        <v>0.075</v>
      </c>
      <c r="AM759" s="34"/>
      <c r="AN759" s="33" t="n">
        <f aca="false">IF(N(AM759)&gt;0,AM759,AL759)</f>
        <v>0.075</v>
      </c>
      <c r="AO759" s="29" t="n">
        <f aca="false">IF(N(AN759)=0,"",AN759+IF(I759="yes",AN759*Inputs!$B$10*Inputs!$B$9,0)+IFERROR(INDEX(Inputs!$B$13:$B$15,MATCH(G759,Inputs!$A$13:$A$15,0)),0)+IFERROR(INDEX(Inputs!$B$18:$B$24,MATCH(H759,Inputs!$A$18:$A$24,0)),0))</f>
        <v>0.07125</v>
      </c>
      <c r="AP759" s="28" t="n">
        <f aca="false">IF(OR(N(AO759)&lt;=0,N(AG759)=0,N(L759)=0),"",MIN(L759,AG759/AO759))</f>
        <v>12.3859649122807</v>
      </c>
      <c r="AQ759" s="29" t="n">
        <f aca="false">IF(OR(AP759="",N(O759)=0),"",AP759/O759-1)</f>
        <v>-0.32538317471238</v>
      </c>
      <c r="AR759" s="29" t="n">
        <f aca="false">IF(OR(AQ759="",N(O759)=0),"",AQ759+AG759/O759)</f>
        <v>-0.277316725910637</v>
      </c>
      <c r="AS759" s="32" t="n">
        <f aca="false">IF(OR(AR759="",N(AJ759)=0),"",AR759-AJ759)</f>
        <v>0.0421635515804764</v>
      </c>
      <c r="AT759" s="28" t="n">
        <v>25</v>
      </c>
      <c r="AU759" s="28" t="n">
        <v>1.35725</v>
      </c>
      <c r="AV759" s="28" t="n">
        <f aca="false">IF(N(AT759)&gt;0,AT759,L759)</f>
        <v>25</v>
      </c>
      <c r="AW759" s="28" t="n">
        <f aca="false">IF(AND(N(M759)&gt;0,N(AV759)&gt;0),M759*AV759,IF(N(AU759)&gt;0,AU759,N759))</f>
        <v>0.8825</v>
      </c>
      <c r="AX759" s="29" t="n">
        <f aca="false">IF(N(AN759)=0,"",AN759+IF(I759="yes",AN759*Inputs!$B$10*Inputs!$B$9,0)+IFERROR(INDEX(Inputs!$B$13:$B$15,MATCH(G759,Inputs!$A$13:$A$15,0)),0)+IFERROR(INDEX(Inputs!$B$18:$B$24,MATCH(H759,Inputs!$A$18:$A$24,0)),0))</f>
        <v>0.07125</v>
      </c>
      <c r="AY759" s="28" t="n">
        <f aca="false">IF(OR(N(AX759)&lt;=0,N(AW759)=0,N(AV759)=0),"",MIN(AV759,AW759/AX759))</f>
        <v>12.3859649122807</v>
      </c>
      <c r="AZ759" s="29" t="n">
        <f aca="false">IF(OR(AY759="",N(O759)=0),"",AY759/O759-1)</f>
        <v>-0.32538317471238</v>
      </c>
      <c r="BA759" s="29" t="n">
        <f aca="false">IF(OR(AZ759="",N(O759)=0),"",AZ759+AW759/O759)</f>
        <v>-0.277316725910637</v>
      </c>
      <c r="BB759" s="32" t="n">
        <f aca="false">IF(OR(BA759="",N(AR759)=0),"",BA759-AR759)</f>
        <v>0</v>
      </c>
      <c r="BC759" s="35" t="n">
        <f aca="false">IF(OR(BA759="",N(U759)=0),"",BA759-U759)</f>
        <v>0.0421635515804762</v>
      </c>
      <c r="BD759" s="36" t="s">
        <v>340</v>
      </c>
    </row>
    <row r="760" customFormat="false" ht="15" hidden="false" customHeight="false" outlineLevel="0" collapsed="false">
      <c r="A760" s="2" t="s">
        <v>1453</v>
      </c>
      <c r="B760" s="2" t="n">
        <v>106</v>
      </c>
      <c r="C760" s="2" t="s">
        <v>1527</v>
      </c>
      <c r="D760" s="2" t="s">
        <v>1524</v>
      </c>
      <c r="E760" s="2" t="s">
        <v>1525</v>
      </c>
      <c r="F760" s="27" t="n">
        <v>96300</v>
      </c>
      <c r="G760" s="2" t="s">
        <v>51</v>
      </c>
      <c r="H760" s="2" t="s">
        <v>58</v>
      </c>
      <c r="I760" s="2" t="s">
        <v>151</v>
      </c>
      <c r="J760" s="2" t="s">
        <v>145</v>
      </c>
      <c r="K760" s="2" t="n">
        <v>4</v>
      </c>
      <c r="L760" s="28" t="n">
        <v>25</v>
      </c>
      <c r="M760" s="29" t="n">
        <v>0.055</v>
      </c>
      <c r="N760" s="28" t="n">
        <v>1.375</v>
      </c>
      <c r="O760" s="28" t="n">
        <v>21.06</v>
      </c>
      <c r="P760" s="2" t="s">
        <v>146</v>
      </c>
      <c r="Q760" s="29" t="n">
        <v>0.08</v>
      </c>
      <c r="R760" s="30" t="n">
        <v>0.076</v>
      </c>
      <c r="S760" s="31" t="n">
        <v>18.0921052631579</v>
      </c>
      <c r="T760" s="30" t="n">
        <v>-0.140925676013395</v>
      </c>
      <c r="U760" s="30" t="n">
        <v>-0.0756360273904134</v>
      </c>
      <c r="V760" s="29" t="n">
        <v>0</v>
      </c>
      <c r="W760" s="29" t="n">
        <f aca="false">IF(N(Q760)=0,"",Q760+IF(I760="yes",Q760*Inputs!$B$10*Inputs!$B$9,0)+V760)</f>
        <v>0.076</v>
      </c>
      <c r="X760" s="28" t="n">
        <f aca="false">IF(OR(N(W760)&lt;=0,N(N760)=0,N(L760)=0),"",MIN(L760,N760/W760))</f>
        <v>18.0921052631579</v>
      </c>
      <c r="Y760" s="29" t="n">
        <f aca="false">IF(OR(X760="",N(O760)=0),"",X760/O760-1)</f>
        <v>-0.140925676013395</v>
      </c>
      <c r="Z760" s="29" t="n">
        <f aca="false">IF(OR(Y760="",N(O760)=0),"",Y760+N760/O760)</f>
        <v>-0.0756360273904134</v>
      </c>
      <c r="AA760" s="32" t="n">
        <f aca="false">IF(OR(Z760="",N(U760)=0),"",Z760-U760)</f>
        <v>0</v>
      </c>
      <c r="AB760" s="29" t="n">
        <f aca="false">IF(N(Q760)=0,"",Q760+IF(I760="yes",Q760*Inputs!$B$10*Inputs!$B$9,0)+IFERROR(INDEX(Inputs!$B$13:$B$15,MATCH(G760,Inputs!$A$13:$A$15,0)),0)+IFERROR(INDEX(Inputs!$B$18:$B$24,MATCH(H760,Inputs!$A$18:$A$24,0)),0))</f>
        <v>0.076</v>
      </c>
      <c r="AC760" s="28" t="n">
        <f aca="false">IF(OR(N(AB760)&lt;=0,N(N760)=0,N(L760)=0),"",MIN(L760,N760/AB760))</f>
        <v>18.0921052631579</v>
      </c>
      <c r="AD760" s="29" t="n">
        <f aca="false">IF(OR(AC760="",N(O760)=0),"",AC760/O760-1)</f>
        <v>-0.140925676013395</v>
      </c>
      <c r="AE760" s="29" t="n">
        <f aca="false">IF(OR(AD760="",N(O760)=0),"",AD760+N760/O760)</f>
        <v>-0.0756360273904134</v>
      </c>
      <c r="AF760" s="32" t="n">
        <f aca="false">IF(OR(AE760="",N(Z760)=0),"",AE760-Z760)</f>
        <v>0</v>
      </c>
      <c r="AG760" s="28" t="n">
        <f aca="false">IF(AND(N(M760)&gt;0,N(L760)&gt;0),M760*L760,N760)</f>
        <v>1.375</v>
      </c>
      <c r="AH760" s="28" t="n">
        <f aca="false">IF(OR(N(AB760)&lt;=0,N(AG760)=0,N(L760)=0),"",MIN(L760,AG760/AB760))</f>
        <v>18.0921052631579</v>
      </c>
      <c r="AI760" s="29" t="n">
        <f aca="false">IF(OR(AH760="",N(O760)=0),"",AH760/O760-1)</f>
        <v>-0.140925676013395</v>
      </c>
      <c r="AJ760" s="29" t="n">
        <f aca="false">IF(OR(AI760="",N(O760)=0),"",AI760+AG760/O760)</f>
        <v>-0.0756360273904134</v>
      </c>
      <c r="AK760" s="32" t="n">
        <f aca="false">IF(OR(AJ760="",N(AE760)=0),"",AJ760-AE760)</f>
        <v>0</v>
      </c>
      <c r="AL760" s="33" t="n">
        <f aca="false">IF(N(F760)=0,"",INDEX(Inputs!$B$28:$B$32,IFERROR(MATCH(F760,Inputs!$A$28:$A$32,1),0)+1))</f>
        <v>0.075</v>
      </c>
      <c r="AM760" s="34"/>
      <c r="AN760" s="33" t="n">
        <f aca="false">IF(N(AM760)&gt;0,AM760,AL760)</f>
        <v>0.075</v>
      </c>
      <c r="AO760" s="29" t="n">
        <f aca="false">IF(N(AN760)=0,"",AN760+IF(I760="yes",AN760*Inputs!$B$10*Inputs!$B$9,0)+IFERROR(INDEX(Inputs!$B$13:$B$15,MATCH(G760,Inputs!$A$13:$A$15,0)),0)+IFERROR(INDEX(Inputs!$B$18:$B$24,MATCH(H760,Inputs!$A$18:$A$24,0)),0))</f>
        <v>0.07125</v>
      </c>
      <c r="AP760" s="28" t="n">
        <f aca="false">IF(OR(N(AO760)&lt;=0,N(AG760)=0,N(L760)=0),"",MIN(L760,AG760/AO760))</f>
        <v>19.2982456140351</v>
      </c>
      <c r="AQ760" s="29" t="n">
        <f aca="false">IF(OR(AP760="",N(O760)=0),"",AP760/O760-1)</f>
        <v>-0.0836540544142882</v>
      </c>
      <c r="AR760" s="29" t="n">
        <f aca="false">IF(OR(AQ760="",N(O760)=0),"",AQ760+AG760/O760)</f>
        <v>-0.0183644057913062</v>
      </c>
      <c r="AS760" s="32" t="n">
        <f aca="false">IF(OR(AR760="",N(AJ760)=0),"",AR760-AJ760)</f>
        <v>0.0572716215991072</v>
      </c>
      <c r="AT760" s="28" t="n">
        <v>25</v>
      </c>
      <c r="AU760" s="28" t="n">
        <v>1.38</v>
      </c>
      <c r="AV760" s="28" t="n">
        <f aca="false">IF(N(AT760)&gt;0,AT760,L760)</f>
        <v>25</v>
      </c>
      <c r="AW760" s="28" t="n">
        <f aca="false">IF(AND(N(M760)&gt;0,N(AV760)&gt;0),M760*AV760,IF(N(AU760)&gt;0,AU760,N760))</f>
        <v>1.375</v>
      </c>
      <c r="AX760" s="29" t="n">
        <f aca="false">IF(N(AN760)=0,"",AN760+IF(I760="yes",AN760*Inputs!$B$10*Inputs!$B$9,0)+IFERROR(INDEX(Inputs!$B$13:$B$15,MATCH(G760,Inputs!$A$13:$A$15,0)),0)+IFERROR(INDEX(Inputs!$B$18:$B$24,MATCH(H760,Inputs!$A$18:$A$24,0)),0))</f>
        <v>0.07125</v>
      </c>
      <c r="AY760" s="28" t="n">
        <f aca="false">IF(OR(N(AX760)&lt;=0,N(AW760)=0,N(AV760)=0),"",MIN(AV760,AW760/AX760))</f>
        <v>19.2982456140351</v>
      </c>
      <c r="AZ760" s="29" t="n">
        <f aca="false">IF(OR(AY760="",N(O760)=0),"",AY760/O760-1)</f>
        <v>-0.0836540544142882</v>
      </c>
      <c r="BA760" s="29" t="n">
        <f aca="false">IF(OR(AZ760="",N(O760)=0),"",AZ760+AW760/O760)</f>
        <v>-0.0183644057913062</v>
      </c>
      <c r="BB760" s="32" t="n">
        <f aca="false">IF(OR(BA760="",N(AR760)=0),"",BA760-AR760)</f>
        <v>0</v>
      </c>
      <c r="BC760" s="35" t="n">
        <f aca="false">IF(OR(BA760="",N(U760)=0),"",BA760-U760)</f>
        <v>0.0572716215991072</v>
      </c>
      <c r="BD760" s="37"/>
    </row>
    <row r="761" customFormat="false" ht="15" hidden="false" customHeight="false" outlineLevel="0" collapsed="false">
      <c r="A761" s="2" t="s">
        <v>1453</v>
      </c>
      <c r="B761" s="2" t="n">
        <v>107</v>
      </c>
      <c r="C761" s="2" t="s">
        <v>1528</v>
      </c>
      <c r="D761" s="2" t="s">
        <v>1524</v>
      </c>
      <c r="E761" s="2" t="s">
        <v>1525</v>
      </c>
      <c r="F761" s="27" t="n">
        <v>96300</v>
      </c>
      <c r="G761" s="2" t="s">
        <v>51</v>
      </c>
      <c r="H761" s="2" t="s">
        <v>58</v>
      </c>
      <c r="I761" s="2" t="s">
        <v>151</v>
      </c>
      <c r="J761" s="2" t="s">
        <v>145</v>
      </c>
      <c r="K761" s="2" t="n">
        <v>4</v>
      </c>
      <c r="L761" s="28" t="n">
        <v>25</v>
      </c>
      <c r="M761" s="29" t="n">
        <v>0.0375</v>
      </c>
      <c r="N761" s="28" t="n">
        <v>0.9375</v>
      </c>
      <c r="O761" s="28" t="n">
        <v>14.13</v>
      </c>
      <c r="P761" s="2" t="s">
        <v>146</v>
      </c>
      <c r="Q761" s="29" t="n">
        <v>0.08</v>
      </c>
      <c r="R761" s="30" t="n">
        <v>0.076</v>
      </c>
      <c r="S761" s="31" t="n">
        <v>12.3355263157895</v>
      </c>
      <c r="T761" s="30" t="n">
        <v>-0.126997429880434</v>
      </c>
      <c r="U761" s="30" t="n">
        <v>-0.0606492345513466</v>
      </c>
      <c r="V761" s="29" t="n">
        <v>0</v>
      </c>
      <c r="W761" s="29" t="n">
        <f aca="false">IF(N(Q761)=0,"",Q761+IF(I761="yes",Q761*Inputs!$B$10*Inputs!$B$9,0)+V761)</f>
        <v>0.076</v>
      </c>
      <c r="X761" s="28" t="n">
        <f aca="false">IF(OR(N(W761)&lt;=0,N(N761)=0,N(L761)=0),"",MIN(L761,N761/W761))</f>
        <v>12.3355263157895</v>
      </c>
      <c r="Y761" s="29" t="n">
        <f aca="false">IF(OR(X761="",N(O761)=0),"",X761/O761-1)</f>
        <v>-0.126997429880434</v>
      </c>
      <c r="Z761" s="29" t="n">
        <f aca="false">IF(OR(Y761="",N(O761)=0),"",Y761+N761/O761)</f>
        <v>-0.0606492345513466</v>
      </c>
      <c r="AA761" s="32" t="n">
        <f aca="false">IF(OR(Z761="",N(U761)=0),"",Z761-U761)</f>
        <v>0</v>
      </c>
      <c r="AB761" s="29" t="n">
        <f aca="false">IF(N(Q761)=0,"",Q761+IF(I761="yes",Q761*Inputs!$B$10*Inputs!$B$9,0)+IFERROR(INDEX(Inputs!$B$13:$B$15,MATCH(G761,Inputs!$A$13:$A$15,0)),0)+IFERROR(INDEX(Inputs!$B$18:$B$24,MATCH(H761,Inputs!$A$18:$A$24,0)),0))</f>
        <v>0.076</v>
      </c>
      <c r="AC761" s="28" t="n">
        <f aca="false">IF(OR(N(AB761)&lt;=0,N(N761)=0,N(L761)=0),"",MIN(L761,N761/AB761))</f>
        <v>12.3355263157895</v>
      </c>
      <c r="AD761" s="29" t="n">
        <f aca="false">IF(OR(AC761="",N(O761)=0),"",AC761/O761-1)</f>
        <v>-0.126997429880434</v>
      </c>
      <c r="AE761" s="29" t="n">
        <f aca="false">IF(OR(AD761="",N(O761)=0),"",AD761+N761/O761)</f>
        <v>-0.0606492345513466</v>
      </c>
      <c r="AF761" s="32" t="n">
        <f aca="false">IF(OR(AE761="",N(Z761)=0),"",AE761-Z761)</f>
        <v>0</v>
      </c>
      <c r="AG761" s="28" t="n">
        <f aca="false">IF(AND(N(M761)&gt;0,N(L761)&gt;0),M761*L761,N761)</f>
        <v>0.9375</v>
      </c>
      <c r="AH761" s="28" t="n">
        <f aca="false">IF(OR(N(AB761)&lt;=0,N(AG761)=0,N(L761)=0),"",MIN(L761,AG761/AB761))</f>
        <v>12.3355263157895</v>
      </c>
      <c r="AI761" s="29" t="n">
        <f aca="false">IF(OR(AH761="",N(O761)=0),"",AH761/O761-1)</f>
        <v>-0.126997429880434</v>
      </c>
      <c r="AJ761" s="29" t="n">
        <f aca="false">IF(OR(AI761="",N(O761)=0),"",AI761+AG761/O761)</f>
        <v>-0.0606492345513466</v>
      </c>
      <c r="AK761" s="32" t="n">
        <f aca="false">IF(OR(AJ761="",N(AE761)=0),"",AJ761-AE761)</f>
        <v>0</v>
      </c>
      <c r="AL761" s="33" t="n">
        <f aca="false">IF(N(F761)=0,"",INDEX(Inputs!$B$28:$B$32,IFERROR(MATCH(F761,Inputs!$A$28:$A$32,1),0)+1))</f>
        <v>0.075</v>
      </c>
      <c r="AM761" s="34"/>
      <c r="AN761" s="33" t="n">
        <f aca="false">IF(N(AM761)&gt;0,AM761,AL761)</f>
        <v>0.075</v>
      </c>
      <c r="AO761" s="29" t="n">
        <f aca="false">IF(N(AN761)=0,"",AN761+IF(I761="yes",AN761*Inputs!$B$10*Inputs!$B$9,0)+IFERROR(INDEX(Inputs!$B$13:$B$15,MATCH(G761,Inputs!$A$13:$A$15,0)),0)+IFERROR(INDEX(Inputs!$B$18:$B$24,MATCH(H761,Inputs!$A$18:$A$24,0)),0))</f>
        <v>0.07125</v>
      </c>
      <c r="AP761" s="28" t="n">
        <f aca="false">IF(OR(N(AO761)&lt;=0,N(AG761)=0,N(L761)=0),"",MIN(L761,AG761/AO761))</f>
        <v>13.1578947368421</v>
      </c>
      <c r="AQ761" s="29" t="n">
        <f aca="false">IF(OR(AP761="",N(O761)=0),"",AP761/O761-1)</f>
        <v>-0.0687972585391291</v>
      </c>
      <c r="AR761" s="29" t="n">
        <f aca="false">IF(OR(AQ761="",N(O761)=0),"",AQ761+AG761/O761)</f>
        <v>-0.00244906321004205</v>
      </c>
      <c r="AS761" s="32" t="n">
        <f aca="false">IF(OR(AR761="",N(AJ761)=0),"",AR761-AJ761)</f>
        <v>0.0582001713413045</v>
      </c>
      <c r="AT761" s="28" t="n">
        <v>25</v>
      </c>
      <c r="AU761" s="28" t="n">
        <v>0.9375</v>
      </c>
      <c r="AV761" s="28" t="n">
        <f aca="false">IF(N(AT761)&gt;0,AT761,L761)</f>
        <v>25</v>
      </c>
      <c r="AW761" s="28" t="n">
        <f aca="false">IF(AND(N(M761)&gt;0,N(AV761)&gt;0),M761*AV761,IF(N(AU761)&gt;0,AU761,N761))</f>
        <v>0.9375</v>
      </c>
      <c r="AX761" s="29" t="n">
        <f aca="false">IF(N(AN761)=0,"",AN761+IF(I761="yes",AN761*Inputs!$B$10*Inputs!$B$9,0)+IFERROR(INDEX(Inputs!$B$13:$B$15,MATCH(G761,Inputs!$A$13:$A$15,0)),0)+IFERROR(INDEX(Inputs!$B$18:$B$24,MATCH(H761,Inputs!$A$18:$A$24,0)),0))</f>
        <v>0.07125</v>
      </c>
      <c r="AY761" s="28" t="n">
        <f aca="false">IF(OR(N(AX761)&lt;=0,N(AW761)=0,N(AV761)=0),"",MIN(AV761,AW761/AX761))</f>
        <v>13.1578947368421</v>
      </c>
      <c r="AZ761" s="29" t="n">
        <f aca="false">IF(OR(AY761="",N(O761)=0),"",AY761/O761-1)</f>
        <v>-0.0687972585391291</v>
      </c>
      <c r="BA761" s="29" t="n">
        <f aca="false">IF(OR(AZ761="",N(O761)=0),"",AZ761+AW761/O761)</f>
        <v>-0.00244906321004205</v>
      </c>
      <c r="BB761" s="32" t="n">
        <f aca="false">IF(OR(BA761="",N(AR761)=0),"",BA761-AR761)</f>
        <v>0</v>
      </c>
      <c r="BC761" s="35" t="n">
        <f aca="false">IF(OR(BA761="",N(U761)=0),"",BA761-U761)</f>
        <v>0.0582001713413045</v>
      </c>
      <c r="BD761" s="37"/>
    </row>
    <row r="762" customFormat="false" ht="15" hidden="false" customHeight="false" outlineLevel="0" collapsed="false">
      <c r="A762" s="2" t="s">
        <v>1453</v>
      </c>
      <c r="B762" s="2" t="n">
        <v>108</v>
      </c>
      <c r="C762" s="2" t="s">
        <v>1529</v>
      </c>
      <c r="D762" s="2" t="s">
        <v>1524</v>
      </c>
      <c r="E762" s="2" t="s">
        <v>1525</v>
      </c>
      <c r="F762" s="27" t="n">
        <v>96300</v>
      </c>
      <c r="G762" s="2" t="s">
        <v>51</v>
      </c>
      <c r="H762" s="2" t="s">
        <v>58</v>
      </c>
      <c r="I762" s="2" t="s">
        <v>151</v>
      </c>
      <c r="J762" s="2" t="s">
        <v>145</v>
      </c>
      <c r="K762" s="2" t="n">
        <v>4</v>
      </c>
      <c r="L762" s="28" t="n">
        <v>25</v>
      </c>
      <c r="M762" s="29" t="n">
        <v>0.04</v>
      </c>
      <c r="N762" s="28" t="n">
        <v>1</v>
      </c>
      <c r="O762" s="28" t="n">
        <v>15.03</v>
      </c>
      <c r="P762" s="2" t="s">
        <v>146</v>
      </c>
      <c r="Q762" s="29" t="n">
        <v>0.08</v>
      </c>
      <c r="R762" s="30" t="n">
        <v>0.076</v>
      </c>
      <c r="S762" s="31" t="n">
        <v>13.1578947368421</v>
      </c>
      <c r="T762" s="30" t="n">
        <v>-0.124557901740379</v>
      </c>
      <c r="U762" s="30" t="n">
        <v>-0.0580243022726476</v>
      </c>
      <c r="V762" s="29" t="n">
        <v>0</v>
      </c>
      <c r="W762" s="29" t="n">
        <f aca="false">IF(N(Q762)=0,"",Q762+IF(I762="yes",Q762*Inputs!$B$10*Inputs!$B$9,0)+V762)</f>
        <v>0.076</v>
      </c>
      <c r="X762" s="28" t="n">
        <f aca="false">IF(OR(N(W762)&lt;=0,N(N762)=0,N(L762)=0),"",MIN(L762,N762/W762))</f>
        <v>13.1578947368421</v>
      </c>
      <c r="Y762" s="29" t="n">
        <f aca="false">IF(OR(X762="",N(O762)=0),"",X762/O762-1)</f>
        <v>-0.124557901740379</v>
      </c>
      <c r="Z762" s="29" t="n">
        <f aca="false">IF(OR(Y762="",N(O762)=0),"",Y762+N762/O762)</f>
        <v>-0.0580243022726476</v>
      </c>
      <c r="AA762" s="32" t="n">
        <f aca="false">IF(OR(Z762="",N(U762)=0),"",Z762-U762)</f>
        <v>0</v>
      </c>
      <c r="AB762" s="29" t="n">
        <f aca="false">IF(N(Q762)=0,"",Q762+IF(I762="yes",Q762*Inputs!$B$10*Inputs!$B$9,0)+IFERROR(INDEX(Inputs!$B$13:$B$15,MATCH(G762,Inputs!$A$13:$A$15,0)),0)+IFERROR(INDEX(Inputs!$B$18:$B$24,MATCH(H762,Inputs!$A$18:$A$24,0)),0))</f>
        <v>0.076</v>
      </c>
      <c r="AC762" s="28" t="n">
        <f aca="false">IF(OR(N(AB762)&lt;=0,N(N762)=0,N(L762)=0),"",MIN(L762,N762/AB762))</f>
        <v>13.1578947368421</v>
      </c>
      <c r="AD762" s="29" t="n">
        <f aca="false">IF(OR(AC762="",N(O762)=0),"",AC762/O762-1)</f>
        <v>-0.124557901740379</v>
      </c>
      <c r="AE762" s="29" t="n">
        <f aca="false">IF(OR(AD762="",N(O762)=0),"",AD762+N762/O762)</f>
        <v>-0.0580243022726476</v>
      </c>
      <c r="AF762" s="32" t="n">
        <f aca="false">IF(OR(AE762="",N(Z762)=0),"",AE762-Z762)</f>
        <v>0</v>
      </c>
      <c r="AG762" s="28" t="n">
        <f aca="false">IF(AND(N(M762)&gt;0,N(L762)&gt;0),M762*L762,N762)</f>
        <v>1</v>
      </c>
      <c r="AH762" s="28" t="n">
        <f aca="false">IF(OR(N(AB762)&lt;=0,N(AG762)=0,N(L762)=0),"",MIN(L762,AG762/AB762))</f>
        <v>13.1578947368421</v>
      </c>
      <c r="AI762" s="29" t="n">
        <f aca="false">IF(OR(AH762="",N(O762)=0),"",AH762/O762-1)</f>
        <v>-0.124557901740379</v>
      </c>
      <c r="AJ762" s="29" t="n">
        <f aca="false">IF(OR(AI762="",N(O762)=0),"",AI762+AG762/O762)</f>
        <v>-0.0580243022726476</v>
      </c>
      <c r="AK762" s="32" t="n">
        <f aca="false">IF(OR(AJ762="",N(AE762)=0),"",AJ762-AE762)</f>
        <v>0</v>
      </c>
      <c r="AL762" s="33" t="n">
        <f aca="false">IF(N(F762)=0,"",INDEX(Inputs!$B$28:$B$32,IFERROR(MATCH(F762,Inputs!$A$28:$A$32,1),0)+1))</f>
        <v>0.075</v>
      </c>
      <c r="AM762" s="34"/>
      <c r="AN762" s="33" t="n">
        <f aca="false">IF(N(AM762)&gt;0,AM762,AL762)</f>
        <v>0.075</v>
      </c>
      <c r="AO762" s="29" t="n">
        <f aca="false">IF(N(AN762)=0,"",AN762+IF(I762="yes",AN762*Inputs!$B$10*Inputs!$B$9,0)+IFERROR(INDEX(Inputs!$B$13:$B$15,MATCH(G762,Inputs!$A$13:$A$15,0)),0)+IFERROR(INDEX(Inputs!$B$18:$B$24,MATCH(H762,Inputs!$A$18:$A$24,0)),0))</f>
        <v>0.07125</v>
      </c>
      <c r="AP762" s="28" t="n">
        <f aca="false">IF(OR(N(AO762)&lt;=0,N(AG762)=0,N(L762)=0),"",MIN(L762,AG762/AO762))</f>
        <v>14.0350877192982</v>
      </c>
      <c r="AQ762" s="29" t="n">
        <f aca="false">IF(OR(AP762="",N(O762)=0),"",AP762/O762-1)</f>
        <v>-0.0661950951897374</v>
      </c>
      <c r="AR762" s="29" t="n">
        <f aca="false">IF(OR(AQ762="",N(O762)=0),"",AQ762+AG762/O762)</f>
        <v>0.000338504277993784</v>
      </c>
      <c r="AS762" s="32" t="n">
        <f aca="false">IF(OR(AR762="",N(AJ762)=0),"",AR762-AJ762)</f>
        <v>0.0583628065506414</v>
      </c>
      <c r="AT762" s="28" t="n">
        <v>25</v>
      </c>
      <c r="AU762" s="28" t="n">
        <v>1</v>
      </c>
      <c r="AV762" s="28" t="n">
        <f aca="false">IF(N(AT762)&gt;0,AT762,L762)</f>
        <v>25</v>
      </c>
      <c r="AW762" s="28" t="n">
        <f aca="false">IF(AND(N(M762)&gt;0,N(AV762)&gt;0),M762*AV762,IF(N(AU762)&gt;0,AU762,N762))</f>
        <v>1</v>
      </c>
      <c r="AX762" s="29" t="n">
        <f aca="false">IF(N(AN762)=0,"",AN762+IF(I762="yes",AN762*Inputs!$B$10*Inputs!$B$9,0)+IFERROR(INDEX(Inputs!$B$13:$B$15,MATCH(G762,Inputs!$A$13:$A$15,0)),0)+IFERROR(INDEX(Inputs!$B$18:$B$24,MATCH(H762,Inputs!$A$18:$A$24,0)),0))</f>
        <v>0.07125</v>
      </c>
      <c r="AY762" s="28" t="n">
        <f aca="false">IF(OR(N(AX762)&lt;=0,N(AW762)=0,N(AV762)=0),"",MIN(AV762,AW762/AX762))</f>
        <v>14.0350877192982</v>
      </c>
      <c r="AZ762" s="29" t="n">
        <f aca="false">IF(OR(AY762="",N(O762)=0),"",AY762/O762-1)</f>
        <v>-0.0661950951897374</v>
      </c>
      <c r="BA762" s="29" t="n">
        <f aca="false">IF(OR(AZ762="",N(O762)=0),"",AZ762+AW762/O762)</f>
        <v>0.000338504277993784</v>
      </c>
      <c r="BB762" s="32" t="n">
        <f aca="false">IF(OR(BA762="",N(AR762)=0),"",BA762-AR762)</f>
        <v>0</v>
      </c>
      <c r="BC762" s="35" t="n">
        <f aca="false">IF(OR(BA762="",N(U762)=0),"",BA762-U762)</f>
        <v>0.0583628065506414</v>
      </c>
      <c r="BD762" s="37"/>
    </row>
    <row r="763" customFormat="false" ht="15" hidden="false" customHeight="false" outlineLevel="0" collapsed="false">
      <c r="A763" s="2" t="s">
        <v>1453</v>
      </c>
      <c r="B763" s="2" t="n">
        <v>109</v>
      </c>
      <c r="C763" s="2" t="s">
        <v>1530</v>
      </c>
      <c r="D763" s="2" t="s">
        <v>1524</v>
      </c>
      <c r="E763" s="2" t="s">
        <v>1525</v>
      </c>
      <c r="F763" s="27" t="n">
        <v>96300</v>
      </c>
      <c r="G763" s="2" t="s">
        <v>51</v>
      </c>
      <c r="H763" s="2" t="s">
        <v>58</v>
      </c>
      <c r="I763" s="2" t="s">
        <v>151</v>
      </c>
      <c r="J763" s="2" t="s">
        <v>145</v>
      </c>
      <c r="K763" s="2" t="n">
        <v>4</v>
      </c>
      <c r="L763" s="28" t="n">
        <v>25</v>
      </c>
      <c r="M763" s="29" t="n">
        <v>0.045</v>
      </c>
      <c r="N763" s="28" t="n">
        <v>1.125</v>
      </c>
      <c r="O763" s="28" t="n">
        <v>16.92</v>
      </c>
      <c r="P763" s="2" t="s">
        <v>146</v>
      </c>
      <c r="Q763" s="29" t="n">
        <v>0.08</v>
      </c>
      <c r="R763" s="30" t="n">
        <v>0.076</v>
      </c>
      <c r="S763" s="31" t="n">
        <v>14.8026315789474</v>
      </c>
      <c r="T763" s="30" t="n">
        <v>-0.125139977603584</v>
      </c>
      <c r="U763" s="30" t="n">
        <v>-0.0586506159014559</v>
      </c>
      <c r="V763" s="29" t="n">
        <v>0</v>
      </c>
      <c r="W763" s="29" t="n">
        <f aca="false">IF(N(Q763)=0,"",Q763+IF(I763="yes",Q763*Inputs!$B$10*Inputs!$B$9,0)+V763)</f>
        <v>0.076</v>
      </c>
      <c r="X763" s="28" t="n">
        <f aca="false">IF(OR(N(W763)&lt;=0,N(N763)=0,N(L763)=0),"",MIN(L763,N763/W763))</f>
        <v>14.8026315789474</v>
      </c>
      <c r="Y763" s="29" t="n">
        <f aca="false">IF(OR(X763="",N(O763)=0),"",X763/O763-1)</f>
        <v>-0.125139977603584</v>
      </c>
      <c r="Z763" s="29" t="n">
        <f aca="false">IF(OR(Y763="",N(O763)=0),"",Y763+N763/O763)</f>
        <v>-0.0586506159014559</v>
      </c>
      <c r="AA763" s="32" t="n">
        <f aca="false">IF(OR(Z763="",N(U763)=0),"",Z763-U763)</f>
        <v>0</v>
      </c>
      <c r="AB763" s="29" t="n">
        <f aca="false">IF(N(Q763)=0,"",Q763+IF(I763="yes",Q763*Inputs!$B$10*Inputs!$B$9,0)+IFERROR(INDEX(Inputs!$B$13:$B$15,MATCH(G763,Inputs!$A$13:$A$15,0)),0)+IFERROR(INDEX(Inputs!$B$18:$B$24,MATCH(H763,Inputs!$A$18:$A$24,0)),0))</f>
        <v>0.076</v>
      </c>
      <c r="AC763" s="28" t="n">
        <f aca="false">IF(OR(N(AB763)&lt;=0,N(N763)=0,N(L763)=0),"",MIN(L763,N763/AB763))</f>
        <v>14.8026315789474</v>
      </c>
      <c r="AD763" s="29" t="n">
        <f aca="false">IF(OR(AC763="",N(O763)=0),"",AC763/O763-1)</f>
        <v>-0.125139977603584</v>
      </c>
      <c r="AE763" s="29" t="n">
        <f aca="false">IF(OR(AD763="",N(O763)=0),"",AD763+N763/O763)</f>
        <v>-0.0586506159014559</v>
      </c>
      <c r="AF763" s="32" t="n">
        <f aca="false">IF(OR(AE763="",N(Z763)=0),"",AE763-Z763)</f>
        <v>0</v>
      </c>
      <c r="AG763" s="28" t="n">
        <f aca="false">IF(AND(N(M763)&gt;0,N(L763)&gt;0),M763*L763,N763)</f>
        <v>1.125</v>
      </c>
      <c r="AH763" s="28" t="n">
        <f aca="false">IF(OR(N(AB763)&lt;=0,N(AG763)=0,N(L763)=0),"",MIN(L763,AG763/AB763))</f>
        <v>14.8026315789474</v>
      </c>
      <c r="AI763" s="29" t="n">
        <f aca="false">IF(OR(AH763="",N(O763)=0),"",AH763/O763-1)</f>
        <v>-0.125139977603584</v>
      </c>
      <c r="AJ763" s="29" t="n">
        <f aca="false">IF(OR(AI763="",N(O763)=0),"",AI763+AG763/O763)</f>
        <v>-0.0586506159014559</v>
      </c>
      <c r="AK763" s="32" t="n">
        <f aca="false">IF(OR(AJ763="",N(AE763)=0),"",AJ763-AE763)</f>
        <v>0</v>
      </c>
      <c r="AL763" s="33" t="n">
        <f aca="false">IF(N(F763)=0,"",INDEX(Inputs!$B$28:$B$32,IFERROR(MATCH(F763,Inputs!$A$28:$A$32,1),0)+1))</f>
        <v>0.075</v>
      </c>
      <c r="AM763" s="34"/>
      <c r="AN763" s="33" t="n">
        <f aca="false">IF(N(AM763)&gt;0,AM763,AL763)</f>
        <v>0.075</v>
      </c>
      <c r="AO763" s="29" t="n">
        <f aca="false">IF(N(AN763)=0,"",AN763+IF(I763="yes",AN763*Inputs!$B$10*Inputs!$B$9,0)+IFERROR(INDEX(Inputs!$B$13:$B$15,MATCH(G763,Inputs!$A$13:$A$15,0)),0)+IFERROR(INDEX(Inputs!$B$18:$B$24,MATCH(H763,Inputs!$A$18:$A$24,0)),0))</f>
        <v>0.07125</v>
      </c>
      <c r="AP763" s="28" t="n">
        <f aca="false">IF(OR(N(AO763)&lt;=0,N(AG763)=0,N(L763)=0),"",MIN(L763,AG763/AO763))</f>
        <v>15.7894736842105</v>
      </c>
      <c r="AQ763" s="29" t="n">
        <f aca="false">IF(OR(AP763="",N(O763)=0),"",AP763/O763-1)</f>
        <v>-0.0668159761104891</v>
      </c>
      <c r="AR763" s="29" t="n">
        <f aca="false">IF(OR(AQ763="",N(O763)=0),"",AQ763+AG763/O763)</f>
        <v>-0.000326614408361403</v>
      </c>
      <c r="AS763" s="32" t="n">
        <f aca="false">IF(OR(AR763="",N(AJ763)=0),"",AR763-AJ763)</f>
        <v>0.0583240014930945</v>
      </c>
      <c r="AT763" s="28" t="n">
        <v>25</v>
      </c>
      <c r="AU763" s="28" t="n">
        <v>1.125</v>
      </c>
      <c r="AV763" s="28" t="n">
        <f aca="false">IF(N(AT763)&gt;0,AT763,L763)</f>
        <v>25</v>
      </c>
      <c r="AW763" s="28" t="n">
        <f aca="false">IF(AND(N(M763)&gt;0,N(AV763)&gt;0),M763*AV763,IF(N(AU763)&gt;0,AU763,N763))</f>
        <v>1.125</v>
      </c>
      <c r="AX763" s="29" t="n">
        <f aca="false">IF(N(AN763)=0,"",AN763+IF(I763="yes",AN763*Inputs!$B$10*Inputs!$B$9,0)+IFERROR(INDEX(Inputs!$B$13:$B$15,MATCH(G763,Inputs!$A$13:$A$15,0)),0)+IFERROR(INDEX(Inputs!$B$18:$B$24,MATCH(H763,Inputs!$A$18:$A$24,0)),0))</f>
        <v>0.07125</v>
      </c>
      <c r="AY763" s="28" t="n">
        <f aca="false">IF(OR(N(AX763)&lt;=0,N(AW763)=0,N(AV763)=0),"",MIN(AV763,AW763/AX763))</f>
        <v>15.7894736842105</v>
      </c>
      <c r="AZ763" s="29" t="n">
        <f aca="false">IF(OR(AY763="",N(O763)=0),"",AY763/O763-1)</f>
        <v>-0.0668159761104891</v>
      </c>
      <c r="BA763" s="29" t="n">
        <f aca="false">IF(OR(AZ763="",N(O763)=0),"",AZ763+AW763/O763)</f>
        <v>-0.000326614408361403</v>
      </c>
      <c r="BB763" s="32" t="n">
        <f aca="false">IF(OR(BA763="",N(AR763)=0),"",BA763-AR763)</f>
        <v>0</v>
      </c>
      <c r="BC763" s="35" t="n">
        <f aca="false">IF(OR(BA763="",N(U763)=0),"",BA763-U763)</f>
        <v>0.0583240014930945</v>
      </c>
      <c r="BD763" s="37"/>
    </row>
    <row r="764" customFormat="false" ht="15" hidden="false" customHeight="false" outlineLevel="0" collapsed="false">
      <c r="A764" s="2" t="s">
        <v>1453</v>
      </c>
      <c r="B764" s="2" t="n">
        <v>112</v>
      </c>
      <c r="C764" s="2" t="s">
        <v>1531</v>
      </c>
      <c r="D764" s="2" t="s">
        <v>1532</v>
      </c>
      <c r="E764" s="2" t="s">
        <v>143</v>
      </c>
      <c r="F764" s="27"/>
      <c r="G764" s="2" t="s">
        <v>51</v>
      </c>
      <c r="H764" s="2" t="s">
        <v>58</v>
      </c>
      <c r="I764" s="2" t="s">
        <v>144</v>
      </c>
      <c r="J764" s="2" t="s">
        <v>541</v>
      </c>
      <c r="K764" s="2" t="n">
        <v>2</v>
      </c>
      <c r="L764" s="28" t="n">
        <v>10</v>
      </c>
      <c r="M764" s="29" t="n">
        <v>0.06375</v>
      </c>
      <c r="N764" s="28" t="n">
        <v>0.6375</v>
      </c>
      <c r="O764" s="28" t="n">
        <v>9.45</v>
      </c>
      <c r="P764" s="2" t="s">
        <v>146</v>
      </c>
      <c r="Q764" s="29" t="n">
        <v>0</v>
      </c>
      <c r="R764" s="30" t="n">
        <v>0</v>
      </c>
      <c r="S764" s="31"/>
      <c r="T764" s="30"/>
      <c r="U764" s="30"/>
      <c r="V764" s="29" t="n">
        <v>0</v>
      </c>
      <c r="W764" s="29" t="str">
        <f aca="false">IF(N(Q764)=0,"",Q764+IF(I764="yes",Q764*Inputs!$B$10*Inputs!$B$9,0)+V764)</f>
        <v/>
      </c>
      <c r="X764" s="28" t="str">
        <f aca="false">IF(OR(N(W764)&lt;=0,N(N764)=0,N(L764)=0),"",MIN(L764,N764/W764))</f>
        <v/>
      </c>
      <c r="Y764" s="29" t="str">
        <f aca="false">IF(OR(X764="",N(O764)=0),"",X764/O764-1)</f>
        <v/>
      </c>
      <c r="Z764" s="29" t="str">
        <f aca="false">IF(OR(Y764="",N(O764)=0),"",Y764+N764/O764)</f>
        <v/>
      </c>
      <c r="AA764" s="32" t="str">
        <f aca="false">IF(OR(Z764="",N(U764)=0),"",Z764-U764)</f>
        <v/>
      </c>
      <c r="AB764" s="29" t="str">
        <f aca="false">IF(N(Q764)=0,"",Q764+IF(I764="yes",Q764*Inputs!$B$10*Inputs!$B$9,0)+IFERROR(INDEX(Inputs!$B$13:$B$15,MATCH(G764,Inputs!$A$13:$A$15,0)),0)+IFERROR(INDEX(Inputs!$B$18:$B$24,MATCH(H764,Inputs!$A$18:$A$24,0)),0))</f>
        <v/>
      </c>
      <c r="AC764" s="28" t="str">
        <f aca="false">IF(OR(N(AB764)&lt;=0,N(N764)=0,N(L764)=0),"",MIN(L764,N764/AB764))</f>
        <v/>
      </c>
      <c r="AD764" s="29" t="str">
        <f aca="false">IF(OR(AC764="",N(O764)=0),"",AC764/O764-1)</f>
        <v/>
      </c>
      <c r="AE764" s="29" t="str">
        <f aca="false">IF(OR(AD764="",N(O764)=0),"",AD764+N764/O764)</f>
        <v/>
      </c>
      <c r="AF764" s="32" t="str">
        <f aca="false">IF(OR(AE764="",N(Z764)=0),"",AE764-Z764)</f>
        <v/>
      </c>
      <c r="AG764" s="28" t="n">
        <f aca="false">IF(AND(N(M764)&gt;0,N(L764)&gt;0),M764*L764,N764)</f>
        <v>0.6375</v>
      </c>
      <c r="AH764" s="28" t="str">
        <f aca="false">IF(OR(N(AB764)&lt;=0,N(AG764)=0,N(L764)=0),"",MIN(L764,AG764/AB764))</f>
        <v/>
      </c>
      <c r="AI764" s="29" t="str">
        <f aca="false">IF(OR(AH764="",N(O764)=0),"",AH764/O764-1)</f>
        <v/>
      </c>
      <c r="AJ764" s="29" t="str">
        <f aca="false">IF(OR(AI764="",N(O764)=0),"",AI764+AG764/O764)</f>
        <v/>
      </c>
      <c r="AK764" s="32" t="str">
        <f aca="false">IF(OR(AJ764="",N(AE764)=0),"",AJ764-AE764)</f>
        <v/>
      </c>
      <c r="AL764" s="33" t="str">
        <f aca="false">IF(N(F764)=0,"",INDEX(Inputs!$B$28:$B$32,IFERROR(MATCH(F764,Inputs!$A$28:$A$32,1),0)+1))</f>
        <v/>
      </c>
      <c r="AM764" s="34"/>
      <c r="AN764" s="33" t="str">
        <f aca="false">IF(N(AM764)&gt;0,AM764,AL764)</f>
        <v/>
      </c>
      <c r="AO764" s="29" t="str">
        <f aca="false">IF(N(AN764)=0,"",AN764+IF(I764="yes",AN764*Inputs!$B$10*Inputs!$B$9,0)+IFERROR(INDEX(Inputs!$B$13:$B$15,MATCH(G764,Inputs!$A$13:$A$15,0)),0)+IFERROR(INDEX(Inputs!$B$18:$B$24,MATCH(H764,Inputs!$A$18:$A$24,0)),0))</f>
        <v/>
      </c>
      <c r="AP764" s="28" t="str">
        <f aca="false">IF(OR(N(AO764)&lt;=0,N(AG764)=0,N(L764)=0),"",MIN(L764,AG764/AO764))</f>
        <v/>
      </c>
      <c r="AQ764" s="29" t="str">
        <f aca="false">IF(OR(AP764="",N(O764)=0),"",AP764/O764-1)</f>
        <v/>
      </c>
      <c r="AR764" s="29" t="str">
        <f aca="false">IF(OR(AQ764="",N(O764)=0),"",AQ764+AG764/O764)</f>
        <v/>
      </c>
      <c r="AS764" s="32" t="str">
        <f aca="false">IF(OR(AR764="",N(AJ764)=0),"",AR764-AJ764)</f>
        <v/>
      </c>
      <c r="AT764" s="28" t="n">
        <v>10</v>
      </c>
      <c r="AU764" s="28" t="n">
        <v>0.64</v>
      </c>
      <c r="AV764" s="28" t="n">
        <f aca="false">IF(N(AT764)&gt;0,AT764,L764)</f>
        <v>10</v>
      </c>
      <c r="AW764" s="28" t="n">
        <f aca="false">IF(AND(N(M764)&gt;0,N(AV764)&gt;0),M764*AV764,IF(N(AU764)&gt;0,AU764,N764))</f>
        <v>0.6375</v>
      </c>
      <c r="AX764" s="29" t="str">
        <f aca="false">IF(N(AN764)=0,"",AN764+IF(I764="yes",AN764*Inputs!$B$10*Inputs!$B$9,0)+IFERROR(INDEX(Inputs!$B$13:$B$15,MATCH(G764,Inputs!$A$13:$A$15,0)),0)+IFERROR(INDEX(Inputs!$B$18:$B$24,MATCH(H764,Inputs!$A$18:$A$24,0)),0))</f>
        <v/>
      </c>
      <c r="AY764" s="28" t="str">
        <f aca="false">IF(OR(N(AX764)&lt;=0,N(AW764)=0,N(AV764)=0),"",MIN(AV764,AW764/AX764))</f>
        <v/>
      </c>
      <c r="AZ764" s="29" t="str">
        <f aca="false">IF(OR(AY764="",N(O764)=0),"",AY764/O764-1)</f>
        <v/>
      </c>
      <c r="BA764" s="29" t="str">
        <f aca="false">IF(OR(AZ764="",N(O764)=0),"",AZ764+AW764/O764)</f>
        <v/>
      </c>
      <c r="BB764" s="32" t="str">
        <f aca="false">IF(OR(BA764="",N(AR764)=0),"",BA764-AR764)</f>
        <v/>
      </c>
      <c r="BC764" s="35" t="str">
        <f aca="false">IF(OR(BA764="",N(U764)=0),"",BA764-U764)</f>
        <v/>
      </c>
      <c r="BD764" s="36" t="s">
        <v>231</v>
      </c>
    </row>
    <row r="765" customFormat="false" ht="15" hidden="false" customHeight="false" outlineLevel="0" collapsed="false">
      <c r="A765" s="2" t="s">
        <v>1453</v>
      </c>
      <c r="B765" s="2" t="n">
        <v>113</v>
      </c>
      <c r="C765" s="2" t="s">
        <v>1533</v>
      </c>
      <c r="D765" s="2" t="s">
        <v>1532</v>
      </c>
      <c r="E765" s="2" t="s">
        <v>143</v>
      </c>
      <c r="F765" s="27"/>
      <c r="G765" s="2" t="s">
        <v>52</v>
      </c>
      <c r="H765" s="2" t="s">
        <v>58</v>
      </c>
      <c r="I765" s="2" t="s">
        <v>144</v>
      </c>
      <c r="J765" s="2" t="s">
        <v>145</v>
      </c>
      <c r="K765" s="2" t="n">
        <v>4</v>
      </c>
      <c r="L765" s="28" t="n">
        <v>25</v>
      </c>
      <c r="M765" s="29" t="n">
        <v>0.0625</v>
      </c>
      <c r="N765" s="28" t="n">
        <v>1.5625</v>
      </c>
      <c r="O765" s="28" t="n">
        <v>19.2</v>
      </c>
      <c r="P765" s="2" t="s">
        <v>146</v>
      </c>
      <c r="Q765" s="29" t="n">
        <v>0</v>
      </c>
      <c r="R765" s="30" t="n">
        <v>-0.005</v>
      </c>
      <c r="S765" s="31" t="n">
        <v>-312.5</v>
      </c>
      <c r="T765" s="30" t="n">
        <v>-17.2760416666667</v>
      </c>
      <c r="U765" s="30" t="n">
        <v>-17.1946614583333</v>
      </c>
      <c r="V765" s="29" t="n">
        <v>-0.005</v>
      </c>
      <c r="W765" s="29" t="str">
        <f aca="false">IF(N(Q765)=0,"",Q765+IF(I765="yes",Q765*Inputs!$B$10*Inputs!$B$9,0)+V765)</f>
        <v/>
      </c>
      <c r="X765" s="28" t="str">
        <f aca="false">IF(OR(N(W765)&lt;=0,N(N765)=0,N(L765)=0),"",MIN(L765,N765/W765))</f>
        <v/>
      </c>
      <c r="Y765" s="29" t="str">
        <f aca="false">IF(OR(X765="",N(O765)=0),"",X765/O765-1)</f>
        <v/>
      </c>
      <c r="Z765" s="29" t="str">
        <f aca="false">IF(OR(Y765="",N(O765)=0),"",Y765+N765/O765)</f>
        <v/>
      </c>
      <c r="AA765" s="32" t="str">
        <f aca="false">IF(OR(Z765="",N(U765)=0),"",Z765-U765)</f>
        <v/>
      </c>
      <c r="AB765" s="29" t="str">
        <f aca="false">IF(N(Q765)=0,"",Q765+IF(I765="yes",Q765*Inputs!$B$10*Inputs!$B$9,0)+IFERROR(INDEX(Inputs!$B$13:$B$15,MATCH(G765,Inputs!$A$13:$A$15,0)),0)+IFERROR(INDEX(Inputs!$B$18:$B$24,MATCH(H765,Inputs!$A$18:$A$24,0)),0))</f>
        <v/>
      </c>
      <c r="AC765" s="28" t="str">
        <f aca="false">IF(OR(N(AB765)&lt;=0,N(N765)=0,N(L765)=0),"",MIN(L765,N765/AB765))</f>
        <v/>
      </c>
      <c r="AD765" s="29" t="str">
        <f aca="false">IF(OR(AC765="",N(O765)=0),"",AC765/O765-1)</f>
        <v/>
      </c>
      <c r="AE765" s="29" t="str">
        <f aca="false">IF(OR(AD765="",N(O765)=0),"",AD765+N765/O765)</f>
        <v/>
      </c>
      <c r="AF765" s="32" t="str">
        <f aca="false">IF(OR(AE765="",N(Z765)=0),"",AE765-Z765)</f>
        <v/>
      </c>
      <c r="AG765" s="28" t="n">
        <f aca="false">IF(AND(N(M765)&gt;0,N(L765)&gt;0),M765*L765,N765)</f>
        <v>1.5625</v>
      </c>
      <c r="AH765" s="28" t="str">
        <f aca="false">IF(OR(N(AB765)&lt;=0,N(AG765)=0,N(L765)=0),"",MIN(L765,AG765/AB765))</f>
        <v/>
      </c>
      <c r="AI765" s="29" t="str">
        <f aca="false">IF(OR(AH765="",N(O765)=0),"",AH765/O765-1)</f>
        <v/>
      </c>
      <c r="AJ765" s="29" t="str">
        <f aca="false">IF(OR(AI765="",N(O765)=0),"",AI765+AG765/O765)</f>
        <v/>
      </c>
      <c r="AK765" s="32" t="str">
        <f aca="false">IF(OR(AJ765="",N(AE765)=0),"",AJ765-AE765)</f>
        <v/>
      </c>
      <c r="AL765" s="33" t="str">
        <f aca="false">IF(N(F765)=0,"",INDEX(Inputs!$B$28:$B$32,IFERROR(MATCH(F765,Inputs!$A$28:$A$32,1),0)+1))</f>
        <v/>
      </c>
      <c r="AM765" s="34"/>
      <c r="AN765" s="33" t="str">
        <f aca="false">IF(N(AM765)&gt;0,AM765,AL765)</f>
        <v/>
      </c>
      <c r="AO765" s="29" t="str">
        <f aca="false">IF(N(AN765)=0,"",AN765+IF(I765="yes",AN765*Inputs!$B$10*Inputs!$B$9,0)+IFERROR(INDEX(Inputs!$B$13:$B$15,MATCH(G765,Inputs!$A$13:$A$15,0)),0)+IFERROR(INDEX(Inputs!$B$18:$B$24,MATCH(H765,Inputs!$A$18:$A$24,0)),0))</f>
        <v/>
      </c>
      <c r="AP765" s="28" t="str">
        <f aca="false">IF(OR(N(AO765)&lt;=0,N(AG765)=0,N(L765)=0),"",MIN(L765,AG765/AO765))</f>
        <v/>
      </c>
      <c r="AQ765" s="29" t="str">
        <f aca="false">IF(OR(AP765="",N(O765)=0),"",AP765/O765-1)</f>
        <v/>
      </c>
      <c r="AR765" s="29" t="str">
        <f aca="false">IF(OR(AQ765="",N(O765)=0),"",AQ765+AG765/O765)</f>
        <v/>
      </c>
      <c r="AS765" s="32" t="str">
        <f aca="false">IF(OR(AR765="",N(AJ765)=0),"",AR765-AJ765)</f>
        <v/>
      </c>
      <c r="AT765" s="28" t="n">
        <v>25</v>
      </c>
      <c r="AU765" s="28" t="n">
        <v>1.5625</v>
      </c>
      <c r="AV765" s="28" t="n">
        <f aca="false">IF(N(AT765)&gt;0,AT765,L765)</f>
        <v>25</v>
      </c>
      <c r="AW765" s="28" t="n">
        <f aca="false">IF(AND(N(M765)&gt;0,N(AV765)&gt;0),M765*AV765,IF(N(AU765)&gt;0,AU765,N765))</f>
        <v>1.5625</v>
      </c>
      <c r="AX765" s="29" t="str">
        <f aca="false">IF(N(AN765)=0,"",AN765+IF(I765="yes",AN765*Inputs!$B$10*Inputs!$B$9,0)+IFERROR(INDEX(Inputs!$B$13:$B$15,MATCH(G765,Inputs!$A$13:$A$15,0)),0)+IFERROR(INDEX(Inputs!$B$18:$B$24,MATCH(H765,Inputs!$A$18:$A$24,0)),0))</f>
        <v/>
      </c>
      <c r="AY765" s="28" t="str">
        <f aca="false">IF(OR(N(AX765)&lt;=0,N(AW765)=0,N(AV765)=0),"",MIN(AV765,AW765/AX765))</f>
        <v/>
      </c>
      <c r="AZ765" s="29" t="str">
        <f aca="false">IF(OR(AY765="",N(O765)=0),"",AY765/O765-1)</f>
        <v/>
      </c>
      <c r="BA765" s="29" t="str">
        <f aca="false">IF(OR(AZ765="",N(O765)=0),"",AZ765+AW765/O765)</f>
        <v/>
      </c>
      <c r="BB765" s="32" t="str">
        <f aca="false">IF(OR(BA765="",N(AR765)=0),"",BA765-AR765)</f>
        <v/>
      </c>
      <c r="BC765" s="35" t="str">
        <f aca="false">IF(OR(BA765="",N(U765)=0),"",BA765-U765)</f>
        <v/>
      </c>
      <c r="BD765" s="36" t="s">
        <v>231</v>
      </c>
    </row>
    <row r="766" customFormat="false" ht="15" hidden="false" customHeight="false" outlineLevel="0" collapsed="false">
      <c r="A766" s="2" t="s">
        <v>1453</v>
      </c>
      <c r="B766" s="2" t="n">
        <v>114</v>
      </c>
      <c r="C766" s="2" t="s">
        <v>1534</v>
      </c>
      <c r="D766" s="2" t="s">
        <v>1532</v>
      </c>
      <c r="E766" s="2" t="s">
        <v>143</v>
      </c>
      <c r="F766" s="27"/>
      <c r="G766" s="2" t="s">
        <v>52</v>
      </c>
      <c r="H766" s="2" t="s">
        <v>58</v>
      </c>
      <c r="I766" s="2" t="s">
        <v>144</v>
      </c>
      <c r="J766" s="2" t="s">
        <v>145</v>
      </c>
      <c r="K766" s="2" t="n">
        <v>4</v>
      </c>
      <c r="L766" s="28" t="n">
        <v>25</v>
      </c>
      <c r="M766" s="29" t="n">
        <v>0.055</v>
      </c>
      <c r="N766" s="28" t="n">
        <v>1.375</v>
      </c>
      <c r="O766" s="28" t="n">
        <v>16.82</v>
      </c>
      <c r="P766" s="2" t="s">
        <v>146</v>
      </c>
      <c r="Q766" s="29" t="n">
        <v>0</v>
      </c>
      <c r="R766" s="30" t="n">
        <v>-0.005</v>
      </c>
      <c r="S766" s="31" t="n">
        <v>-275</v>
      </c>
      <c r="T766" s="30" t="n">
        <v>-17.3495838287753</v>
      </c>
      <c r="U766" s="30" t="n">
        <v>-17.2678359096314</v>
      </c>
      <c r="V766" s="29" t="n">
        <v>-0.005</v>
      </c>
      <c r="W766" s="29" t="str">
        <f aca="false">IF(N(Q766)=0,"",Q766+IF(I766="yes",Q766*Inputs!$B$10*Inputs!$B$9,0)+V766)</f>
        <v/>
      </c>
      <c r="X766" s="28" t="str">
        <f aca="false">IF(OR(N(W766)&lt;=0,N(N766)=0,N(L766)=0),"",MIN(L766,N766/W766))</f>
        <v/>
      </c>
      <c r="Y766" s="29" t="str">
        <f aca="false">IF(OR(X766="",N(O766)=0),"",X766/O766-1)</f>
        <v/>
      </c>
      <c r="Z766" s="29" t="str">
        <f aca="false">IF(OR(Y766="",N(O766)=0),"",Y766+N766/O766)</f>
        <v/>
      </c>
      <c r="AA766" s="32" t="str">
        <f aca="false">IF(OR(Z766="",N(U766)=0),"",Z766-U766)</f>
        <v/>
      </c>
      <c r="AB766" s="29" t="str">
        <f aca="false">IF(N(Q766)=0,"",Q766+IF(I766="yes",Q766*Inputs!$B$10*Inputs!$B$9,0)+IFERROR(INDEX(Inputs!$B$13:$B$15,MATCH(G766,Inputs!$A$13:$A$15,0)),0)+IFERROR(INDEX(Inputs!$B$18:$B$24,MATCH(H766,Inputs!$A$18:$A$24,0)),0))</f>
        <v/>
      </c>
      <c r="AC766" s="28" t="str">
        <f aca="false">IF(OR(N(AB766)&lt;=0,N(N766)=0,N(L766)=0),"",MIN(L766,N766/AB766))</f>
        <v/>
      </c>
      <c r="AD766" s="29" t="str">
        <f aca="false">IF(OR(AC766="",N(O766)=0),"",AC766/O766-1)</f>
        <v/>
      </c>
      <c r="AE766" s="29" t="str">
        <f aca="false">IF(OR(AD766="",N(O766)=0),"",AD766+N766/O766)</f>
        <v/>
      </c>
      <c r="AF766" s="32" t="str">
        <f aca="false">IF(OR(AE766="",N(Z766)=0),"",AE766-Z766)</f>
        <v/>
      </c>
      <c r="AG766" s="28" t="n">
        <f aca="false">IF(AND(N(M766)&gt;0,N(L766)&gt;0),M766*L766,N766)</f>
        <v>1.375</v>
      </c>
      <c r="AH766" s="28" t="str">
        <f aca="false">IF(OR(N(AB766)&lt;=0,N(AG766)=0,N(L766)=0),"",MIN(L766,AG766/AB766))</f>
        <v/>
      </c>
      <c r="AI766" s="29" t="str">
        <f aca="false">IF(OR(AH766="",N(O766)=0),"",AH766/O766-1)</f>
        <v/>
      </c>
      <c r="AJ766" s="29" t="str">
        <f aca="false">IF(OR(AI766="",N(O766)=0),"",AI766+AG766/O766)</f>
        <v/>
      </c>
      <c r="AK766" s="32" t="str">
        <f aca="false">IF(OR(AJ766="",N(AE766)=0),"",AJ766-AE766)</f>
        <v/>
      </c>
      <c r="AL766" s="33" t="str">
        <f aca="false">IF(N(F766)=0,"",INDEX(Inputs!$B$28:$B$32,IFERROR(MATCH(F766,Inputs!$A$28:$A$32,1),0)+1))</f>
        <v/>
      </c>
      <c r="AM766" s="34"/>
      <c r="AN766" s="33" t="str">
        <f aca="false">IF(N(AM766)&gt;0,AM766,AL766)</f>
        <v/>
      </c>
      <c r="AO766" s="29" t="str">
        <f aca="false">IF(N(AN766)=0,"",AN766+IF(I766="yes",AN766*Inputs!$B$10*Inputs!$B$9,0)+IFERROR(INDEX(Inputs!$B$13:$B$15,MATCH(G766,Inputs!$A$13:$A$15,0)),0)+IFERROR(INDEX(Inputs!$B$18:$B$24,MATCH(H766,Inputs!$A$18:$A$24,0)),0))</f>
        <v/>
      </c>
      <c r="AP766" s="28" t="str">
        <f aca="false">IF(OR(N(AO766)&lt;=0,N(AG766)=0,N(L766)=0),"",MIN(L766,AG766/AO766))</f>
        <v/>
      </c>
      <c r="AQ766" s="29" t="str">
        <f aca="false">IF(OR(AP766="",N(O766)=0),"",AP766/O766-1)</f>
        <v/>
      </c>
      <c r="AR766" s="29" t="str">
        <f aca="false">IF(OR(AQ766="",N(O766)=0),"",AQ766+AG766/O766)</f>
        <v/>
      </c>
      <c r="AS766" s="32" t="str">
        <f aca="false">IF(OR(AR766="",N(AJ766)=0),"",AR766-AJ766)</f>
        <v/>
      </c>
      <c r="AT766" s="28" t="n">
        <v>25</v>
      </c>
      <c r="AU766" s="28" t="n">
        <v>1.375</v>
      </c>
      <c r="AV766" s="28" t="n">
        <f aca="false">IF(N(AT766)&gt;0,AT766,L766)</f>
        <v>25</v>
      </c>
      <c r="AW766" s="28" t="n">
        <f aca="false">IF(AND(N(M766)&gt;0,N(AV766)&gt;0),M766*AV766,IF(N(AU766)&gt;0,AU766,N766))</f>
        <v>1.375</v>
      </c>
      <c r="AX766" s="29" t="str">
        <f aca="false">IF(N(AN766)=0,"",AN766+IF(I766="yes",AN766*Inputs!$B$10*Inputs!$B$9,0)+IFERROR(INDEX(Inputs!$B$13:$B$15,MATCH(G766,Inputs!$A$13:$A$15,0)),0)+IFERROR(INDEX(Inputs!$B$18:$B$24,MATCH(H766,Inputs!$A$18:$A$24,0)),0))</f>
        <v/>
      </c>
      <c r="AY766" s="28" t="str">
        <f aca="false">IF(OR(N(AX766)&lt;=0,N(AW766)=0,N(AV766)=0),"",MIN(AV766,AW766/AX766))</f>
        <v/>
      </c>
      <c r="AZ766" s="29" t="str">
        <f aca="false">IF(OR(AY766="",N(O766)=0),"",AY766/O766-1)</f>
        <v/>
      </c>
      <c r="BA766" s="29" t="str">
        <f aca="false">IF(OR(AZ766="",N(O766)=0),"",AZ766+AW766/O766)</f>
        <v/>
      </c>
      <c r="BB766" s="32" t="str">
        <f aca="false">IF(OR(BA766="",N(AR766)=0),"",BA766-AR766)</f>
        <v/>
      </c>
      <c r="BC766" s="35" t="str">
        <f aca="false">IF(OR(BA766="",N(U766)=0),"",BA766-U766)</f>
        <v/>
      </c>
      <c r="BD766" s="36" t="s">
        <v>231</v>
      </c>
    </row>
    <row r="767" customFormat="false" ht="15" hidden="false" customHeight="false" outlineLevel="0" collapsed="false">
      <c r="A767" s="2" t="s">
        <v>1453</v>
      </c>
      <c r="B767" s="2" t="n">
        <v>115</v>
      </c>
      <c r="C767" s="2" t="s">
        <v>1535</v>
      </c>
      <c r="D767" s="2" t="s">
        <v>1532</v>
      </c>
      <c r="E767" s="2" t="s">
        <v>143</v>
      </c>
      <c r="F767" s="27"/>
      <c r="G767" s="2" t="s">
        <v>52</v>
      </c>
      <c r="H767" s="2" t="s">
        <v>58</v>
      </c>
      <c r="I767" s="2" t="s">
        <v>144</v>
      </c>
      <c r="J767" s="2" t="s">
        <v>145</v>
      </c>
      <c r="K767" s="2" t="n">
        <v>4</v>
      </c>
      <c r="L767" s="28" t="n">
        <v>25</v>
      </c>
      <c r="M767" s="29" t="n">
        <v>0.055</v>
      </c>
      <c r="N767" s="28" t="n">
        <v>1.375</v>
      </c>
      <c r="O767" s="28" t="n">
        <v>16.96</v>
      </c>
      <c r="P767" s="2" t="s">
        <v>146</v>
      </c>
      <c r="Q767" s="29" t="n">
        <v>0</v>
      </c>
      <c r="R767" s="30" t="n">
        <v>-0.005</v>
      </c>
      <c r="S767" s="31" t="n">
        <v>-275</v>
      </c>
      <c r="T767" s="30" t="n">
        <v>-17.2146226415094</v>
      </c>
      <c r="U767" s="30" t="n">
        <v>-17.1335495283019</v>
      </c>
      <c r="V767" s="29" t="n">
        <v>-0.005</v>
      </c>
      <c r="W767" s="29" t="str">
        <f aca="false">IF(N(Q767)=0,"",Q767+IF(I767="yes",Q767*Inputs!$B$10*Inputs!$B$9,0)+V767)</f>
        <v/>
      </c>
      <c r="X767" s="28" t="str">
        <f aca="false">IF(OR(N(W767)&lt;=0,N(N767)=0,N(L767)=0),"",MIN(L767,N767/W767))</f>
        <v/>
      </c>
      <c r="Y767" s="29" t="str">
        <f aca="false">IF(OR(X767="",N(O767)=0),"",X767/O767-1)</f>
        <v/>
      </c>
      <c r="Z767" s="29" t="str">
        <f aca="false">IF(OR(Y767="",N(O767)=0),"",Y767+N767/O767)</f>
        <v/>
      </c>
      <c r="AA767" s="32" t="str">
        <f aca="false">IF(OR(Z767="",N(U767)=0),"",Z767-U767)</f>
        <v/>
      </c>
      <c r="AB767" s="29" t="str">
        <f aca="false">IF(N(Q767)=0,"",Q767+IF(I767="yes",Q767*Inputs!$B$10*Inputs!$B$9,0)+IFERROR(INDEX(Inputs!$B$13:$B$15,MATCH(G767,Inputs!$A$13:$A$15,0)),0)+IFERROR(INDEX(Inputs!$B$18:$B$24,MATCH(H767,Inputs!$A$18:$A$24,0)),0))</f>
        <v/>
      </c>
      <c r="AC767" s="28" t="str">
        <f aca="false">IF(OR(N(AB767)&lt;=0,N(N767)=0,N(L767)=0),"",MIN(L767,N767/AB767))</f>
        <v/>
      </c>
      <c r="AD767" s="29" t="str">
        <f aca="false">IF(OR(AC767="",N(O767)=0),"",AC767/O767-1)</f>
        <v/>
      </c>
      <c r="AE767" s="29" t="str">
        <f aca="false">IF(OR(AD767="",N(O767)=0),"",AD767+N767/O767)</f>
        <v/>
      </c>
      <c r="AF767" s="32" t="str">
        <f aca="false">IF(OR(AE767="",N(Z767)=0),"",AE767-Z767)</f>
        <v/>
      </c>
      <c r="AG767" s="28" t="n">
        <f aca="false">IF(AND(N(M767)&gt;0,N(L767)&gt;0),M767*L767,N767)</f>
        <v>1.375</v>
      </c>
      <c r="AH767" s="28" t="str">
        <f aca="false">IF(OR(N(AB767)&lt;=0,N(AG767)=0,N(L767)=0),"",MIN(L767,AG767/AB767))</f>
        <v/>
      </c>
      <c r="AI767" s="29" t="str">
        <f aca="false">IF(OR(AH767="",N(O767)=0),"",AH767/O767-1)</f>
        <v/>
      </c>
      <c r="AJ767" s="29" t="str">
        <f aca="false">IF(OR(AI767="",N(O767)=0),"",AI767+AG767/O767)</f>
        <v/>
      </c>
      <c r="AK767" s="32" t="str">
        <f aca="false">IF(OR(AJ767="",N(AE767)=0),"",AJ767-AE767)</f>
        <v/>
      </c>
      <c r="AL767" s="33" t="str">
        <f aca="false">IF(N(F767)=0,"",INDEX(Inputs!$B$28:$B$32,IFERROR(MATCH(F767,Inputs!$A$28:$A$32,1),0)+1))</f>
        <v/>
      </c>
      <c r="AM767" s="34"/>
      <c r="AN767" s="33" t="str">
        <f aca="false">IF(N(AM767)&gt;0,AM767,AL767)</f>
        <v/>
      </c>
      <c r="AO767" s="29" t="str">
        <f aca="false">IF(N(AN767)=0,"",AN767+IF(I767="yes",AN767*Inputs!$B$10*Inputs!$B$9,0)+IFERROR(INDEX(Inputs!$B$13:$B$15,MATCH(G767,Inputs!$A$13:$A$15,0)),0)+IFERROR(INDEX(Inputs!$B$18:$B$24,MATCH(H767,Inputs!$A$18:$A$24,0)),0))</f>
        <v/>
      </c>
      <c r="AP767" s="28" t="str">
        <f aca="false">IF(OR(N(AO767)&lt;=0,N(AG767)=0,N(L767)=0),"",MIN(L767,AG767/AO767))</f>
        <v/>
      </c>
      <c r="AQ767" s="29" t="str">
        <f aca="false">IF(OR(AP767="",N(O767)=0),"",AP767/O767-1)</f>
        <v/>
      </c>
      <c r="AR767" s="29" t="str">
        <f aca="false">IF(OR(AQ767="",N(O767)=0),"",AQ767+AG767/O767)</f>
        <v/>
      </c>
      <c r="AS767" s="32" t="str">
        <f aca="false">IF(OR(AR767="",N(AJ767)=0),"",AR767-AJ767)</f>
        <v/>
      </c>
      <c r="AT767" s="28" t="n">
        <v>25</v>
      </c>
      <c r="AU767" s="28" t="n">
        <v>1.375</v>
      </c>
      <c r="AV767" s="28" t="n">
        <f aca="false">IF(N(AT767)&gt;0,AT767,L767)</f>
        <v>25</v>
      </c>
      <c r="AW767" s="28" t="n">
        <f aca="false">IF(AND(N(M767)&gt;0,N(AV767)&gt;0),M767*AV767,IF(N(AU767)&gt;0,AU767,N767))</f>
        <v>1.375</v>
      </c>
      <c r="AX767" s="29" t="str">
        <f aca="false">IF(N(AN767)=0,"",AN767+IF(I767="yes",AN767*Inputs!$B$10*Inputs!$B$9,0)+IFERROR(INDEX(Inputs!$B$13:$B$15,MATCH(G767,Inputs!$A$13:$A$15,0)),0)+IFERROR(INDEX(Inputs!$B$18:$B$24,MATCH(H767,Inputs!$A$18:$A$24,0)),0))</f>
        <v/>
      </c>
      <c r="AY767" s="28" t="str">
        <f aca="false">IF(OR(N(AX767)&lt;=0,N(AW767)=0,N(AV767)=0),"",MIN(AV767,AW767/AX767))</f>
        <v/>
      </c>
      <c r="AZ767" s="29" t="str">
        <f aca="false">IF(OR(AY767="",N(O767)=0),"",AY767/O767-1)</f>
        <v/>
      </c>
      <c r="BA767" s="29" t="str">
        <f aca="false">IF(OR(AZ767="",N(O767)=0),"",AZ767+AW767/O767)</f>
        <v/>
      </c>
      <c r="BB767" s="32" t="str">
        <f aca="false">IF(OR(BA767="",N(AR767)=0),"",BA767-AR767)</f>
        <v/>
      </c>
      <c r="BC767" s="35" t="str">
        <f aca="false">IF(OR(BA767="",N(U767)=0),"",BA767-U767)</f>
        <v/>
      </c>
      <c r="BD767" s="36" t="s">
        <v>231</v>
      </c>
    </row>
    <row r="768" customFormat="false" ht="15" hidden="false" customHeight="false" outlineLevel="0" collapsed="false">
      <c r="A768" s="2" t="s">
        <v>1453</v>
      </c>
      <c r="B768" s="2" t="n">
        <v>120</v>
      </c>
      <c r="C768" s="2" t="s">
        <v>1536</v>
      </c>
      <c r="D768" s="2" t="s">
        <v>1537</v>
      </c>
      <c r="E768" s="2" t="s">
        <v>1538</v>
      </c>
      <c r="F768" s="27" t="n">
        <v>2100</v>
      </c>
      <c r="G768" s="2" t="s">
        <v>51</v>
      </c>
      <c r="H768" s="2" t="s">
        <v>59</v>
      </c>
      <c r="I768" s="2" t="s">
        <v>151</v>
      </c>
      <c r="J768" s="2" t="s">
        <v>145</v>
      </c>
      <c r="K768" s="2" t="n">
        <v>4</v>
      </c>
      <c r="L768" s="28" t="n">
        <v>25</v>
      </c>
      <c r="M768" s="29" t="n">
        <v>0.0875</v>
      </c>
      <c r="N768" s="28" t="n">
        <v>2.1875</v>
      </c>
      <c r="O768" s="28"/>
      <c r="P768" s="2" t="s">
        <v>146</v>
      </c>
      <c r="Q768" s="29" t="n">
        <v>0.08</v>
      </c>
      <c r="R768" s="30" t="n">
        <v>0.076</v>
      </c>
      <c r="S768" s="31" t="n">
        <v>25</v>
      </c>
      <c r="T768" s="30"/>
      <c r="U768" s="30"/>
      <c r="V768" s="29" t="n">
        <v>0</v>
      </c>
      <c r="W768" s="29" t="n">
        <f aca="false">IF(N(Q768)=0,"",Q768+IF(I768="yes",Q768*Inputs!$B$10*Inputs!$B$9,0)+V768)</f>
        <v>0.076</v>
      </c>
      <c r="X768" s="28" t="n">
        <f aca="false">IF(OR(N(W768)&lt;=0,N(N768)=0,N(L768)=0),"",MIN(L768,N768/W768))</f>
        <v>25</v>
      </c>
      <c r="Y768" s="29" t="str">
        <f aca="false">IF(OR(X768="",N(O768)=0),"",X768/O768-1)</f>
        <v/>
      </c>
      <c r="Z768" s="29" t="str">
        <f aca="false">IF(OR(Y768="",N(O768)=0),"",Y768+N768/O768)</f>
        <v/>
      </c>
      <c r="AA768" s="32" t="str">
        <f aca="false">IF(OR(Z768="",N(U768)=0),"",Z768-U768)</f>
        <v/>
      </c>
      <c r="AB768" s="29" t="n">
        <f aca="false">IF(N(Q768)=0,"",Q768+IF(I768="yes",Q768*Inputs!$B$10*Inputs!$B$9,0)+IFERROR(INDEX(Inputs!$B$13:$B$15,MATCH(G768,Inputs!$A$13:$A$15,0)),0)+IFERROR(INDEX(Inputs!$B$18:$B$24,MATCH(H768,Inputs!$A$18:$A$24,0)),0))</f>
        <v>0.076</v>
      </c>
      <c r="AC768" s="28" t="n">
        <f aca="false">IF(OR(N(AB768)&lt;=0,N(N768)=0,N(L768)=0),"",MIN(L768,N768/AB768))</f>
        <v>25</v>
      </c>
      <c r="AD768" s="29" t="str">
        <f aca="false">IF(OR(AC768="",N(O768)=0),"",AC768/O768-1)</f>
        <v/>
      </c>
      <c r="AE768" s="29" t="str">
        <f aca="false">IF(OR(AD768="",N(O768)=0),"",AD768+N768/O768)</f>
        <v/>
      </c>
      <c r="AF768" s="32" t="str">
        <f aca="false">IF(OR(AE768="",N(Z768)=0),"",AE768-Z768)</f>
        <v/>
      </c>
      <c r="AG768" s="28" t="n">
        <f aca="false">IF(AND(N(M768)&gt;0,N(L768)&gt;0),M768*L768,N768)</f>
        <v>2.1875</v>
      </c>
      <c r="AH768" s="28" t="n">
        <f aca="false">IF(OR(N(AB768)&lt;=0,N(AG768)=0,N(L768)=0),"",MIN(L768,AG768/AB768))</f>
        <v>25</v>
      </c>
      <c r="AI768" s="29" t="str">
        <f aca="false">IF(OR(AH768="",N(O768)=0),"",AH768/O768-1)</f>
        <v/>
      </c>
      <c r="AJ768" s="29" t="str">
        <f aca="false">IF(OR(AI768="",N(O768)=0),"",AI768+AG768/O768)</f>
        <v/>
      </c>
      <c r="AK768" s="32" t="str">
        <f aca="false">IF(OR(AJ768="",N(AE768)=0),"",AJ768-AE768)</f>
        <v/>
      </c>
      <c r="AL768" s="33" t="n">
        <f aca="false">IF(N(F768)=0,"",INDEX(Inputs!$B$28:$B$32,IFERROR(MATCH(F768,Inputs!$A$28:$A$32,1),0)+1))</f>
        <v>0.085</v>
      </c>
      <c r="AM768" s="34"/>
      <c r="AN768" s="33" t="n">
        <f aca="false">IF(N(AM768)&gt;0,AM768,AL768)</f>
        <v>0.085</v>
      </c>
      <c r="AO768" s="29" t="n">
        <f aca="false">IF(N(AN768)=0,"",AN768+IF(I768="yes",AN768*Inputs!$B$10*Inputs!$B$9,0)+IFERROR(INDEX(Inputs!$B$13:$B$15,MATCH(G768,Inputs!$A$13:$A$15,0)),0)+IFERROR(INDEX(Inputs!$B$18:$B$24,MATCH(H768,Inputs!$A$18:$A$24,0)),0))</f>
        <v>0.08075</v>
      </c>
      <c r="AP768" s="28" t="n">
        <f aca="false">IF(OR(N(AO768)&lt;=0,N(AG768)=0,N(L768)=0),"",MIN(L768,AG768/AO768))</f>
        <v>25</v>
      </c>
      <c r="AQ768" s="29" t="str">
        <f aca="false">IF(OR(AP768="",N(O768)=0),"",AP768/O768-1)</f>
        <v/>
      </c>
      <c r="AR768" s="29" t="str">
        <f aca="false">IF(OR(AQ768="",N(O768)=0),"",AQ768+AG768/O768)</f>
        <v/>
      </c>
      <c r="AS768" s="32" t="str">
        <f aca="false">IF(OR(AR768="",N(AJ768)=0),"",AR768-AJ768)</f>
        <v/>
      </c>
      <c r="AT768" s="28" t="n">
        <v>25</v>
      </c>
      <c r="AU768" s="28" t="n">
        <v>2.19</v>
      </c>
      <c r="AV768" s="28" t="n">
        <f aca="false">IF(N(AT768)&gt;0,AT768,L768)</f>
        <v>25</v>
      </c>
      <c r="AW768" s="28" t="n">
        <f aca="false">IF(AND(N(M768)&gt;0,N(AV768)&gt;0),M768*AV768,IF(N(AU768)&gt;0,AU768,N768))</f>
        <v>2.1875</v>
      </c>
      <c r="AX768" s="29" t="n">
        <f aca="false">IF(N(AN768)=0,"",AN768+IF(I768="yes",AN768*Inputs!$B$10*Inputs!$B$9,0)+IFERROR(INDEX(Inputs!$B$13:$B$15,MATCH(G768,Inputs!$A$13:$A$15,0)),0)+IFERROR(INDEX(Inputs!$B$18:$B$24,MATCH(H768,Inputs!$A$18:$A$24,0)),0))</f>
        <v>0.08075</v>
      </c>
      <c r="AY768" s="28" t="n">
        <f aca="false">IF(OR(N(AX768)&lt;=0,N(AW768)=0,N(AV768)=0),"",MIN(AV768,AW768/AX768))</f>
        <v>25</v>
      </c>
      <c r="AZ768" s="29" t="str">
        <f aca="false">IF(OR(AY768="",N(O768)=0),"",AY768/O768-1)</f>
        <v/>
      </c>
      <c r="BA768" s="29" t="str">
        <f aca="false">IF(OR(AZ768="",N(O768)=0),"",AZ768+AW768/O768)</f>
        <v/>
      </c>
      <c r="BB768" s="32" t="str">
        <f aca="false">IF(OR(BA768="",N(AR768)=0),"",BA768-AR768)</f>
        <v/>
      </c>
      <c r="BC768" s="35" t="str">
        <f aca="false">IF(OR(BA768="",N(U768)=0),"",BA768-U768)</f>
        <v/>
      </c>
      <c r="BD768" s="36" t="s">
        <v>299</v>
      </c>
    </row>
    <row r="769" customFormat="false" ht="15" hidden="false" customHeight="false" outlineLevel="0" collapsed="false">
      <c r="A769" s="2" t="s">
        <v>1453</v>
      </c>
      <c r="B769" s="2" t="n">
        <v>124</v>
      </c>
      <c r="C769" s="2" t="s">
        <v>1539</v>
      </c>
      <c r="D769" s="2" t="s">
        <v>1540</v>
      </c>
      <c r="E769" s="2" t="s">
        <v>1541</v>
      </c>
      <c r="F769" s="27" t="n">
        <v>7800</v>
      </c>
      <c r="G769" s="2" t="s">
        <v>51</v>
      </c>
      <c r="H769" s="2" t="s">
        <v>58</v>
      </c>
      <c r="I769" s="2" t="s">
        <v>151</v>
      </c>
      <c r="J769" s="2" t="s">
        <v>145</v>
      </c>
      <c r="K769" s="2" t="n">
        <v>4</v>
      </c>
      <c r="L769" s="28" t="n">
        <v>25</v>
      </c>
      <c r="M769" s="29" t="n">
        <v>0.055</v>
      </c>
      <c r="N769" s="28" t="n">
        <v>1.375</v>
      </c>
      <c r="O769" s="28" t="n">
        <v>24.84</v>
      </c>
      <c r="P769" s="2" t="s">
        <v>146</v>
      </c>
      <c r="Q769" s="29" t="n">
        <v>0.09</v>
      </c>
      <c r="R769" s="30" t="n">
        <v>0.0855</v>
      </c>
      <c r="S769" s="31" t="n">
        <v>16.0818713450292</v>
      </c>
      <c r="T769" s="30" t="n">
        <v>-0.35258166887966</v>
      </c>
      <c r="U769" s="30" t="n">
        <v>-0.297227401568871</v>
      </c>
      <c r="V769" s="29" t="n">
        <v>0</v>
      </c>
      <c r="W769" s="29" t="n">
        <f aca="false">IF(N(Q769)=0,"",Q769+IF(I769="yes",Q769*Inputs!$B$10*Inputs!$B$9,0)+V769)</f>
        <v>0.0855</v>
      </c>
      <c r="X769" s="28" t="n">
        <f aca="false">IF(OR(N(W769)&lt;=0,N(N769)=0,N(L769)=0),"",MIN(L769,N769/W769))</f>
        <v>16.0818713450292</v>
      </c>
      <c r="Y769" s="29" t="n">
        <f aca="false">IF(OR(X769="",N(O769)=0),"",X769/O769-1)</f>
        <v>-0.35258166887966</v>
      </c>
      <c r="Z769" s="29" t="n">
        <f aca="false">IF(OR(Y769="",N(O769)=0),"",Y769+N769/O769)</f>
        <v>-0.297227401568871</v>
      </c>
      <c r="AA769" s="32" t="n">
        <f aca="false">IF(OR(Z769="",N(U769)=0),"",Z769-U769)</f>
        <v>0</v>
      </c>
      <c r="AB769" s="29" t="n">
        <f aca="false">IF(N(Q769)=0,"",Q769+IF(I769="yes",Q769*Inputs!$B$10*Inputs!$B$9,0)+IFERROR(INDEX(Inputs!$B$13:$B$15,MATCH(G769,Inputs!$A$13:$A$15,0)),0)+IFERROR(INDEX(Inputs!$B$18:$B$24,MATCH(H769,Inputs!$A$18:$A$24,0)),0))</f>
        <v>0.0855</v>
      </c>
      <c r="AC769" s="28" t="n">
        <f aca="false">IF(OR(N(AB769)&lt;=0,N(N769)=0,N(L769)=0),"",MIN(L769,N769/AB769))</f>
        <v>16.0818713450292</v>
      </c>
      <c r="AD769" s="29" t="n">
        <f aca="false">IF(OR(AC769="",N(O769)=0),"",AC769/O769-1)</f>
        <v>-0.35258166887966</v>
      </c>
      <c r="AE769" s="29" t="n">
        <f aca="false">IF(OR(AD769="",N(O769)=0),"",AD769+N769/O769)</f>
        <v>-0.297227401568871</v>
      </c>
      <c r="AF769" s="32" t="n">
        <f aca="false">IF(OR(AE769="",N(Z769)=0),"",AE769-Z769)</f>
        <v>0</v>
      </c>
      <c r="AG769" s="28" t="n">
        <f aca="false">IF(AND(N(M769)&gt;0,N(L769)&gt;0),M769*L769,N769)</f>
        <v>1.375</v>
      </c>
      <c r="AH769" s="28" t="n">
        <f aca="false">IF(OR(N(AB769)&lt;=0,N(AG769)=0,N(L769)=0),"",MIN(L769,AG769/AB769))</f>
        <v>16.0818713450292</v>
      </c>
      <c r="AI769" s="29" t="n">
        <f aca="false">IF(OR(AH769="",N(O769)=0),"",AH769/O769-1)</f>
        <v>-0.35258166887966</v>
      </c>
      <c r="AJ769" s="29" t="n">
        <f aca="false">IF(OR(AI769="",N(O769)=0),"",AI769+AG769/O769)</f>
        <v>-0.297227401568871</v>
      </c>
      <c r="AK769" s="32" t="n">
        <f aca="false">IF(OR(AJ769="",N(AE769)=0),"",AJ769-AE769)</f>
        <v>0</v>
      </c>
      <c r="AL769" s="33" t="n">
        <f aca="false">IF(N(F769)=0,"",INDEX(Inputs!$B$28:$B$32,IFERROR(MATCH(F769,Inputs!$A$28:$A$32,1),0)+1))</f>
        <v>0.08</v>
      </c>
      <c r="AM769" s="34"/>
      <c r="AN769" s="33" t="n">
        <f aca="false">IF(N(AM769)&gt;0,AM769,AL769)</f>
        <v>0.08</v>
      </c>
      <c r="AO769" s="29" t="n">
        <f aca="false">IF(N(AN769)=0,"",AN769+IF(I769="yes",AN769*Inputs!$B$10*Inputs!$B$9,0)+IFERROR(INDEX(Inputs!$B$13:$B$15,MATCH(G769,Inputs!$A$13:$A$15,0)),0)+IFERROR(INDEX(Inputs!$B$18:$B$24,MATCH(H769,Inputs!$A$18:$A$24,0)),0))</f>
        <v>0.076</v>
      </c>
      <c r="AP769" s="28" t="n">
        <f aca="false">IF(OR(N(AO769)&lt;=0,N(AG769)=0,N(L769)=0),"",MIN(L769,AG769/AO769))</f>
        <v>18.0921052631579</v>
      </c>
      <c r="AQ769" s="29" t="n">
        <f aca="false">IF(OR(AP769="",N(O769)=0),"",AP769/O769-1)</f>
        <v>-0.271654377489618</v>
      </c>
      <c r="AR769" s="29" t="n">
        <f aca="false">IF(OR(AQ769="",N(O769)=0),"",AQ769+AG769/O769)</f>
        <v>-0.216300110178829</v>
      </c>
      <c r="AS769" s="32" t="n">
        <f aca="false">IF(OR(AR769="",N(AJ769)=0),"",AR769-AJ769)</f>
        <v>0.0809272913900424</v>
      </c>
      <c r="AT769" s="28" t="n">
        <v>25</v>
      </c>
      <c r="AU769" s="28" t="n">
        <v>1.38</v>
      </c>
      <c r="AV769" s="28" t="n">
        <f aca="false">IF(N(AT769)&gt;0,AT769,L769)</f>
        <v>25</v>
      </c>
      <c r="AW769" s="28" t="n">
        <f aca="false">IF(AND(N(M769)&gt;0,N(AV769)&gt;0),M769*AV769,IF(N(AU769)&gt;0,AU769,N769))</f>
        <v>1.375</v>
      </c>
      <c r="AX769" s="29" t="n">
        <f aca="false">IF(N(AN769)=0,"",AN769+IF(I769="yes",AN769*Inputs!$B$10*Inputs!$B$9,0)+IFERROR(INDEX(Inputs!$B$13:$B$15,MATCH(G769,Inputs!$A$13:$A$15,0)),0)+IFERROR(INDEX(Inputs!$B$18:$B$24,MATCH(H769,Inputs!$A$18:$A$24,0)),0))</f>
        <v>0.076</v>
      </c>
      <c r="AY769" s="28" t="n">
        <f aca="false">IF(OR(N(AX769)&lt;=0,N(AW769)=0,N(AV769)=0),"",MIN(AV769,AW769/AX769))</f>
        <v>18.0921052631579</v>
      </c>
      <c r="AZ769" s="29" t="n">
        <f aca="false">IF(OR(AY769="",N(O769)=0),"",AY769/O769-1)</f>
        <v>-0.271654377489618</v>
      </c>
      <c r="BA769" s="29" t="n">
        <f aca="false">IF(OR(AZ769="",N(O769)=0),"",AZ769+AW769/O769)</f>
        <v>-0.216300110178829</v>
      </c>
      <c r="BB769" s="32" t="n">
        <f aca="false">IF(OR(BA769="",N(AR769)=0),"",BA769-AR769)</f>
        <v>0</v>
      </c>
      <c r="BC769" s="35" t="n">
        <f aca="false">IF(OR(BA769="",N(U769)=0),"",BA769-U769)</f>
        <v>0.0809272913900424</v>
      </c>
      <c r="BD769" s="37"/>
    </row>
    <row r="770" customFormat="false" ht="15" hidden="false" customHeight="false" outlineLevel="0" collapsed="false">
      <c r="A770" s="2" t="s">
        <v>1453</v>
      </c>
      <c r="B770" s="2" t="n">
        <v>125</v>
      </c>
      <c r="C770" s="2" t="s">
        <v>1542</v>
      </c>
      <c r="D770" s="2" t="s">
        <v>1540</v>
      </c>
      <c r="E770" s="2" t="s">
        <v>1541</v>
      </c>
      <c r="F770" s="27" t="n">
        <v>7800</v>
      </c>
      <c r="G770" s="2" t="s">
        <v>51</v>
      </c>
      <c r="H770" s="2" t="s">
        <v>58</v>
      </c>
      <c r="I770" s="2" t="s">
        <v>151</v>
      </c>
      <c r="J770" s="2" t="s">
        <v>145</v>
      </c>
      <c r="K770" s="2" t="n">
        <v>4</v>
      </c>
      <c r="L770" s="28" t="n">
        <v>25</v>
      </c>
      <c r="M770" s="29" t="n">
        <v>0.0625</v>
      </c>
      <c r="N770" s="28" t="n">
        <v>1.5625</v>
      </c>
      <c r="O770" s="28" t="n">
        <v>25.15</v>
      </c>
      <c r="P770" s="2" t="s">
        <v>146</v>
      </c>
      <c r="Q770" s="29" t="n">
        <v>0.09</v>
      </c>
      <c r="R770" s="30" t="n">
        <v>0.0855</v>
      </c>
      <c r="S770" s="31" t="n">
        <v>18.2748538011696</v>
      </c>
      <c r="T770" s="30" t="n">
        <v>-0.273365654029042</v>
      </c>
      <c r="U770" s="30" t="n">
        <v>-0.211238417448526</v>
      </c>
      <c r="V770" s="29" t="n">
        <v>0</v>
      </c>
      <c r="W770" s="29" t="n">
        <f aca="false">IF(N(Q770)=0,"",Q770+IF(I770="yes",Q770*Inputs!$B$10*Inputs!$B$9,0)+V770)</f>
        <v>0.0855</v>
      </c>
      <c r="X770" s="28" t="n">
        <f aca="false">IF(OR(N(W770)&lt;=0,N(N770)=0,N(L770)=0),"",MIN(L770,N770/W770))</f>
        <v>18.2748538011696</v>
      </c>
      <c r="Y770" s="29" t="n">
        <f aca="false">IF(OR(X770="",N(O770)=0),"",X770/O770-1)</f>
        <v>-0.273365654029042</v>
      </c>
      <c r="Z770" s="29" t="n">
        <f aca="false">IF(OR(Y770="",N(O770)=0),"",Y770+N770/O770)</f>
        <v>-0.211238417448525</v>
      </c>
      <c r="AA770" s="32" t="n">
        <f aca="false">IF(OR(Z770="",N(U770)=0),"",Z770-U770)</f>
        <v>0</v>
      </c>
      <c r="AB770" s="29" t="n">
        <f aca="false">IF(N(Q770)=0,"",Q770+IF(I770="yes",Q770*Inputs!$B$10*Inputs!$B$9,0)+IFERROR(INDEX(Inputs!$B$13:$B$15,MATCH(G770,Inputs!$A$13:$A$15,0)),0)+IFERROR(INDEX(Inputs!$B$18:$B$24,MATCH(H770,Inputs!$A$18:$A$24,0)),0))</f>
        <v>0.0855</v>
      </c>
      <c r="AC770" s="28" t="n">
        <f aca="false">IF(OR(N(AB770)&lt;=0,N(N770)=0,N(L770)=0),"",MIN(L770,N770/AB770))</f>
        <v>18.2748538011696</v>
      </c>
      <c r="AD770" s="29" t="n">
        <f aca="false">IF(OR(AC770="",N(O770)=0),"",AC770/O770-1)</f>
        <v>-0.273365654029042</v>
      </c>
      <c r="AE770" s="29" t="n">
        <f aca="false">IF(OR(AD770="",N(O770)=0),"",AD770+N770/O770)</f>
        <v>-0.211238417448525</v>
      </c>
      <c r="AF770" s="32" t="n">
        <f aca="false">IF(OR(AE770="",N(Z770)=0),"",AE770-Z770)</f>
        <v>0</v>
      </c>
      <c r="AG770" s="28" t="n">
        <f aca="false">IF(AND(N(M770)&gt;0,N(L770)&gt;0),M770*L770,N770)</f>
        <v>1.5625</v>
      </c>
      <c r="AH770" s="28" t="n">
        <f aca="false">IF(OR(N(AB770)&lt;=0,N(AG770)=0,N(L770)=0),"",MIN(L770,AG770/AB770))</f>
        <v>18.2748538011696</v>
      </c>
      <c r="AI770" s="29" t="n">
        <f aca="false">IF(OR(AH770="",N(O770)=0),"",AH770/O770-1)</f>
        <v>-0.273365654029042</v>
      </c>
      <c r="AJ770" s="29" t="n">
        <f aca="false">IF(OR(AI770="",N(O770)=0),"",AI770+AG770/O770)</f>
        <v>-0.211238417448525</v>
      </c>
      <c r="AK770" s="32" t="n">
        <f aca="false">IF(OR(AJ770="",N(AE770)=0),"",AJ770-AE770)</f>
        <v>0</v>
      </c>
      <c r="AL770" s="33" t="n">
        <f aca="false">IF(N(F770)=0,"",INDEX(Inputs!$B$28:$B$32,IFERROR(MATCH(F770,Inputs!$A$28:$A$32,1),0)+1))</f>
        <v>0.08</v>
      </c>
      <c r="AM770" s="34"/>
      <c r="AN770" s="33" t="n">
        <f aca="false">IF(N(AM770)&gt;0,AM770,AL770)</f>
        <v>0.08</v>
      </c>
      <c r="AO770" s="29" t="n">
        <f aca="false">IF(N(AN770)=0,"",AN770+IF(I770="yes",AN770*Inputs!$B$10*Inputs!$B$9,0)+IFERROR(INDEX(Inputs!$B$13:$B$15,MATCH(G770,Inputs!$A$13:$A$15,0)),0)+IFERROR(INDEX(Inputs!$B$18:$B$24,MATCH(H770,Inputs!$A$18:$A$24,0)),0))</f>
        <v>0.076</v>
      </c>
      <c r="AP770" s="28" t="n">
        <f aca="false">IF(OR(N(AO770)&lt;=0,N(AG770)=0,N(L770)=0),"",MIN(L770,AG770/AO770))</f>
        <v>20.5592105263158</v>
      </c>
      <c r="AQ770" s="29" t="n">
        <f aca="false">IF(OR(AP770="",N(O770)=0),"",AP770/O770-1)</f>
        <v>-0.182536360782672</v>
      </c>
      <c r="AR770" s="29" t="n">
        <f aca="false">IF(OR(AQ770="",N(O770)=0),"",AQ770+AG770/O770)</f>
        <v>-0.120409124202155</v>
      </c>
      <c r="AS770" s="32" t="n">
        <f aca="false">IF(OR(AR770="",N(AJ770)=0),"",AR770-AJ770)</f>
        <v>0.0908292932463699</v>
      </c>
      <c r="AT770" s="28" t="n">
        <v>25</v>
      </c>
      <c r="AU770" s="28" t="n">
        <v>1.56</v>
      </c>
      <c r="AV770" s="28" t="n">
        <f aca="false">IF(N(AT770)&gt;0,AT770,L770)</f>
        <v>25</v>
      </c>
      <c r="AW770" s="28" t="n">
        <f aca="false">IF(AND(N(M770)&gt;0,N(AV770)&gt;0),M770*AV770,IF(N(AU770)&gt;0,AU770,N770))</f>
        <v>1.5625</v>
      </c>
      <c r="AX770" s="29" t="n">
        <f aca="false">IF(N(AN770)=0,"",AN770+IF(I770="yes",AN770*Inputs!$B$10*Inputs!$B$9,0)+IFERROR(INDEX(Inputs!$B$13:$B$15,MATCH(G770,Inputs!$A$13:$A$15,0)),0)+IFERROR(INDEX(Inputs!$B$18:$B$24,MATCH(H770,Inputs!$A$18:$A$24,0)),0))</f>
        <v>0.076</v>
      </c>
      <c r="AY770" s="28" t="n">
        <f aca="false">IF(OR(N(AX770)&lt;=0,N(AW770)=0,N(AV770)=0),"",MIN(AV770,AW770/AX770))</f>
        <v>20.5592105263158</v>
      </c>
      <c r="AZ770" s="29" t="n">
        <f aca="false">IF(OR(AY770="",N(O770)=0),"",AY770/O770-1)</f>
        <v>-0.182536360782672</v>
      </c>
      <c r="BA770" s="29" t="n">
        <f aca="false">IF(OR(AZ770="",N(O770)=0),"",AZ770+AW770/O770)</f>
        <v>-0.120409124202155</v>
      </c>
      <c r="BB770" s="32" t="n">
        <f aca="false">IF(OR(BA770="",N(AR770)=0),"",BA770-AR770)</f>
        <v>0</v>
      </c>
      <c r="BC770" s="35" t="n">
        <f aca="false">IF(OR(BA770="",N(U770)=0),"",BA770-U770)</f>
        <v>0.0908292932463701</v>
      </c>
      <c r="BD770" s="37"/>
    </row>
    <row r="771" customFormat="false" ht="15" hidden="false" customHeight="false" outlineLevel="0" collapsed="false">
      <c r="A771" s="2" t="s">
        <v>1453</v>
      </c>
      <c r="B771" s="2" t="n">
        <v>128</v>
      </c>
      <c r="C771" s="2" t="s">
        <v>1543</v>
      </c>
      <c r="D771" s="2" t="s">
        <v>1544</v>
      </c>
      <c r="E771" s="2" t="s">
        <v>1545</v>
      </c>
      <c r="F771" s="27" t="n">
        <v>7200</v>
      </c>
      <c r="G771" s="2" t="s">
        <v>51</v>
      </c>
      <c r="H771" s="2" t="s">
        <v>58</v>
      </c>
      <c r="I771" s="2" t="s">
        <v>144</v>
      </c>
      <c r="J771" s="2" t="s">
        <v>145</v>
      </c>
      <c r="K771" s="2" t="n">
        <v>4</v>
      </c>
      <c r="L771" s="28" t="n">
        <v>50</v>
      </c>
      <c r="M771" s="29" t="n">
        <v>0.065</v>
      </c>
      <c r="N771" s="28" t="n">
        <v>3.25</v>
      </c>
      <c r="O771" s="28" t="n">
        <v>51</v>
      </c>
      <c r="P771" s="2" t="s">
        <v>146</v>
      </c>
      <c r="Q771" s="29" t="n">
        <v>0.08</v>
      </c>
      <c r="R771" s="30" t="n">
        <v>0.08</v>
      </c>
      <c r="S771" s="31" t="n">
        <v>40.625</v>
      </c>
      <c r="T771" s="30" t="n">
        <v>-0.20343137254902</v>
      </c>
      <c r="U771" s="30" t="n">
        <v>-0.139705882352941</v>
      </c>
      <c r="V771" s="29" t="n">
        <v>0</v>
      </c>
      <c r="W771" s="29" t="n">
        <f aca="false">IF(N(Q771)=0,"",Q771+IF(I771="yes",Q771*Inputs!$B$10*Inputs!$B$9,0)+V771)</f>
        <v>0.08</v>
      </c>
      <c r="X771" s="28" t="n">
        <f aca="false">IF(OR(N(W771)&lt;=0,N(N771)=0,N(L771)=0),"",MIN(L771,N771/W771))</f>
        <v>40.625</v>
      </c>
      <c r="Y771" s="29" t="n">
        <f aca="false">IF(OR(X771="",N(O771)=0),"",X771/O771-1)</f>
        <v>-0.20343137254902</v>
      </c>
      <c r="Z771" s="29" t="n">
        <f aca="false">IF(OR(Y771="",N(O771)=0),"",Y771+N771/O771)</f>
        <v>-0.139705882352941</v>
      </c>
      <c r="AA771" s="32" t="n">
        <f aca="false">IF(OR(Z771="",N(U771)=0),"",Z771-U771)</f>
        <v>0</v>
      </c>
      <c r="AB771" s="29" t="n">
        <f aca="false">IF(N(Q771)=0,"",Q771+IF(I771="yes",Q771*Inputs!$B$10*Inputs!$B$9,0)+IFERROR(INDEX(Inputs!$B$13:$B$15,MATCH(G771,Inputs!$A$13:$A$15,0)),0)+IFERROR(INDEX(Inputs!$B$18:$B$24,MATCH(H771,Inputs!$A$18:$A$24,0)),0))</f>
        <v>0.08</v>
      </c>
      <c r="AC771" s="28" t="n">
        <f aca="false">IF(OR(N(AB771)&lt;=0,N(N771)=0,N(L771)=0),"",MIN(L771,N771/AB771))</f>
        <v>40.625</v>
      </c>
      <c r="AD771" s="29" t="n">
        <f aca="false">IF(OR(AC771="",N(O771)=0),"",AC771/O771-1)</f>
        <v>-0.20343137254902</v>
      </c>
      <c r="AE771" s="29" t="n">
        <f aca="false">IF(OR(AD771="",N(O771)=0),"",AD771+N771/O771)</f>
        <v>-0.139705882352941</v>
      </c>
      <c r="AF771" s="32" t="n">
        <f aca="false">IF(OR(AE771="",N(Z771)=0),"",AE771-Z771)</f>
        <v>0</v>
      </c>
      <c r="AG771" s="28" t="n">
        <f aca="false">IF(AND(N(M771)&gt;0,N(L771)&gt;0),M771*L771,N771)</f>
        <v>3.25</v>
      </c>
      <c r="AH771" s="28" t="n">
        <f aca="false">IF(OR(N(AB771)&lt;=0,N(AG771)=0,N(L771)=0),"",MIN(L771,AG771/AB771))</f>
        <v>40.625</v>
      </c>
      <c r="AI771" s="29" t="n">
        <f aca="false">IF(OR(AH771="",N(O771)=0),"",AH771/O771-1)</f>
        <v>-0.20343137254902</v>
      </c>
      <c r="AJ771" s="29" t="n">
        <f aca="false">IF(OR(AI771="",N(O771)=0),"",AI771+AG771/O771)</f>
        <v>-0.139705882352941</v>
      </c>
      <c r="AK771" s="32" t="n">
        <f aca="false">IF(OR(AJ771="",N(AE771)=0),"",AJ771-AE771)</f>
        <v>0</v>
      </c>
      <c r="AL771" s="33" t="n">
        <f aca="false">IF(N(F771)=0,"",INDEX(Inputs!$B$28:$B$32,IFERROR(MATCH(F771,Inputs!$A$28:$A$32,1),0)+1))</f>
        <v>0.08</v>
      </c>
      <c r="AM771" s="34"/>
      <c r="AN771" s="33" t="n">
        <f aca="false">IF(N(AM771)&gt;0,AM771,AL771)</f>
        <v>0.08</v>
      </c>
      <c r="AO771" s="29" t="n">
        <f aca="false">IF(N(AN771)=0,"",AN771+IF(I771="yes",AN771*Inputs!$B$10*Inputs!$B$9,0)+IFERROR(INDEX(Inputs!$B$13:$B$15,MATCH(G771,Inputs!$A$13:$A$15,0)),0)+IFERROR(INDEX(Inputs!$B$18:$B$24,MATCH(H771,Inputs!$A$18:$A$24,0)),0))</f>
        <v>0.08</v>
      </c>
      <c r="AP771" s="28" t="n">
        <f aca="false">IF(OR(N(AO771)&lt;=0,N(AG771)=0,N(L771)=0),"",MIN(L771,AG771/AO771))</f>
        <v>40.625</v>
      </c>
      <c r="AQ771" s="29" t="n">
        <f aca="false">IF(OR(AP771="",N(O771)=0),"",AP771/O771-1)</f>
        <v>-0.20343137254902</v>
      </c>
      <c r="AR771" s="29" t="n">
        <f aca="false">IF(OR(AQ771="",N(O771)=0),"",AQ771+AG771/O771)</f>
        <v>-0.139705882352941</v>
      </c>
      <c r="AS771" s="32" t="n">
        <f aca="false">IF(OR(AR771="",N(AJ771)=0),"",AR771-AJ771)</f>
        <v>0</v>
      </c>
      <c r="AT771" s="28" t="n">
        <v>50</v>
      </c>
      <c r="AU771" s="28" t="n">
        <v>3.25</v>
      </c>
      <c r="AV771" s="28" t="n">
        <f aca="false">IF(N(AT771)&gt;0,AT771,L771)</f>
        <v>50</v>
      </c>
      <c r="AW771" s="28" t="n">
        <f aca="false">IF(AND(N(M771)&gt;0,N(AV771)&gt;0),M771*AV771,IF(N(AU771)&gt;0,AU771,N771))</f>
        <v>3.25</v>
      </c>
      <c r="AX771" s="29" t="n">
        <f aca="false">IF(N(AN771)=0,"",AN771+IF(I771="yes",AN771*Inputs!$B$10*Inputs!$B$9,0)+IFERROR(INDEX(Inputs!$B$13:$B$15,MATCH(G771,Inputs!$A$13:$A$15,0)),0)+IFERROR(INDEX(Inputs!$B$18:$B$24,MATCH(H771,Inputs!$A$18:$A$24,0)),0))</f>
        <v>0.08</v>
      </c>
      <c r="AY771" s="28" t="n">
        <f aca="false">IF(OR(N(AX771)&lt;=0,N(AW771)=0,N(AV771)=0),"",MIN(AV771,AW771/AX771))</f>
        <v>40.625</v>
      </c>
      <c r="AZ771" s="29" t="n">
        <f aca="false">IF(OR(AY771="",N(O771)=0),"",AY771/O771-1)</f>
        <v>-0.20343137254902</v>
      </c>
      <c r="BA771" s="29" t="n">
        <f aca="false">IF(OR(AZ771="",N(O771)=0),"",AZ771+AW771/O771)</f>
        <v>-0.139705882352941</v>
      </c>
      <c r="BB771" s="32" t="n">
        <f aca="false">IF(OR(BA771="",N(AR771)=0),"",BA771-AR771)</f>
        <v>0</v>
      </c>
      <c r="BC771" s="35" t="n">
        <f aca="false">IF(OR(BA771="",N(U771)=0),"",BA771-U771)</f>
        <v>0</v>
      </c>
      <c r="BD771" s="37"/>
    </row>
    <row r="772" customFormat="false" ht="15" hidden="false" customHeight="false" outlineLevel="0" collapsed="false">
      <c r="A772" s="2" t="s">
        <v>1453</v>
      </c>
      <c r="B772" s="2" t="n">
        <v>129</v>
      </c>
      <c r="C772" s="2" t="s">
        <v>1546</v>
      </c>
      <c r="D772" s="2" t="s">
        <v>1544</v>
      </c>
      <c r="E772" s="2" t="s">
        <v>1545</v>
      </c>
      <c r="F772" s="27" t="n">
        <v>7200</v>
      </c>
      <c r="G772" s="2" t="s">
        <v>51</v>
      </c>
      <c r="H772" s="2" t="s">
        <v>58</v>
      </c>
      <c r="I772" s="2" t="s">
        <v>144</v>
      </c>
      <c r="J772" s="2" t="s">
        <v>145</v>
      </c>
      <c r="K772" s="2" t="n">
        <v>4</v>
      </c>
      <c r="L772" s="28" t="n">
        <v>25</v>
      </c>
      <c r="M772" s="29" t="n">
        <v>0.054</v>
      </c>
      <c r="N772" s="28" t="n">
        <v>1.35</v>
      </c>
      <c r="O772" s="28" t="n">
        <v>17.41</v>
      </c>
      <c r="P772" s="2" t="s">
        <v>146</v>
      </c>
      <c r="Q772" s="29" t="n">
        <v>0.08</v>
      </c>
      <c r="R772" s="30" t="n">
        <v>0.08</v>
      </c>
      <c r="S772" s="31" t="n">
        <v>16.875</v>
      </c>
      <c r="T772" s="30" t="n">
        <v>-0.030729465824239</v>
      </c>
      <c r="U772" s="30" t="n">
        <v>0.0468121769098219</v>
      </c>
      <c r="V772" s="29" t="n">
        <v>0</v>
      </c>
      <c r="W772" s="29" t="n">
        <f aca="false">IF(N(Q772)=0,"",Q772+IF(I772="yes",Q772*Inputs!$B$10*Inputs!$B$9,0)+V772)</f>
        <v>0.08</v>
      </c>
      <c r="X772" s="28" t="n">
        <f aca="false">IF(OR(N(W772)&lt;=0,N(N772)=0,N(L772)=0),"",MIN(L772,N772/W772))</f>
        <v>16.875</v>
      </c>
      <c r="Y772" s="29" t="n">
        <f aca="false">IF(OR(X772="",N(O772)=0),"",X772/O772-1)</f>
        <v>-0.030729465824239</v>
      </c>
      <c r="Z772" s="29" t="n">
        <f aca="false">IF(OR(Y772="",N(O772)=0),"",Y772+N772/O772)</f>
        <v>0.0468121769098219</v>
      </c>
      <c r="AA772" s="32" t="n">
        <f aca="false">IF(OR(Z772="",N(U772)=0),"",Z772-U772)</f>
        <v>0</v>
      </c>
      <c r="AB772" s="29" t="n">
        <f aca="false">IF(N(Q772)=0,"",Q772+IF(I772="yes",Q772*Inputs!$B$10*Inputs!$B$9,0)+IFERROR(INDEX(Inputs!$B$13:$B$15,MATCH(G772,Inputs!$A$13:$A$15,0)),0)+IFERROR(INDEX(Inputs!$B$18:$B$24,MATCH(H772,Inputs!$A$18:$A$24,0)),0))</f>
        <v>0.08</v>
      </c>
      <c r="AC772" s="28" t="n">
        <f aca="false">IF(OR(N(AB772)&lt;=0,N(N772)=0,N(L772)=0),"",MIN(L772,N772/AB772))</f>
        <v>16.875</v>
      </c>
      <c r="AD772" s="29" t="n">
        <f aca="false">IF(OR(AC772="",N(O772)=0),"",AC772/O772-1)</f>
        <v>-0.030729465824239</v>
      </c>
      <c r="AE772" s="29" t="n">
        <f aca="false">IF(OR(AD772="",N(O772)=0),"",AD772+N772/O772)</f>
        <v>0.0468121769098219</v>
      </c>
      <c r="AF772" s="32" t="n">
        <f aca="false">IF(OR(AE772="",N(Z772)=0),"",AE772-Z772)</f>
        <v>0</v>
      </c>
      <c r="AG772" s="28" t="n">
        <f aca="false">IF(AND(N(M772)&gt;0,N(L772)&gt;0),M772*L772,N772)</f>
        <v>1.35</v>
      </c>
      <c r="AH772" s="28" t="n">
        <f aca="false">IF(OR(N(AB772)&lt;=0,N(AG772)=0,N(L772)=0),"",MIN(L772,AG772/AB772))</f>
        <v>16.875</v>
      </c>
      <c r="AI772" s="29" t="n">
        <f aca="false">IF(OR(AH772="",N(O772)=0),"",AH772/O772-1)</f>
        <v>-0.0307294658242387</v>
      </c>
      <c r="AJ772" s="29" t="n">
        <f aca="false">IF(OR(AI772="",N(O772)=0),"",AI772+AG772/O772)</f>
        <v>0.0468121769098222</v>
      </c>
      <c r="AK772" s="32" t="n">
        <f aca="false">IF(OR(AJ772="",N(AE772)=0),"",AJ772-AE772)</f>
        <v>2.35922392732846E-016</v>
      </c>
      <c r="AL772" s="33" t="n">
        <f aca="false">IF(N(F772)=0,"",INDEX(Inputs!$B$28:$B$32,IFERROR(MATCH(F772,Inputs!$A$28:$A$32,1),0)+1))</f>
        <v>0.08</v>
      </c>
      <c r="AM772" s="34"/>
      <c r="AN772" s="33" t="n">
        <f aca="false">IF(N(AM772)&gt;0,AM772,AL772)</f>
        <v>0.08</v>
      </c>
      <c r="AO772" s="29" t="n">
        <f aca="false">IF(N(AN772)=0,"",AN772+IF(I772="yes",AN772*Inputs!$B$10*Inputs!$B$9,0)+IFERROR(INDEX(Inputs!$B$13:$B$15,MATCH(G772,Inputs!$A$13:$A$15,0)),0)+IFERROR(INDEX(Inputs!$B$18:$B$24,MATCH(H772,Inputs!$A$18:$A$24,0)),0))</f>
        <v>0.08</v>
      </c>
      <c r="AP772" s="28" t="n">
        <f aca="false">IF(OR(N(AO772)&lt;=0,N(AG772)=0,N(L772)=0),"",MIN(L772,AG772/AO772))</f>
        <v>16.875</v>
      </c>
      <c r="AQ772" s="29" t="n">
        <f aca="false">IF(OR(AP772="",N(O772)=0),"",AP772/O772-1)</f>
        <v>-0.0307294658242387</v>
      </c>
      <c r="AR772" s="29" t="n">
        <f aca="false">IF(OR(AQ772="",N(O772)=0),"",AQ772+AG772/O772)</f>
        <v>0.0468121769098222</v>
      </c>
      <c r="AS772" s="32" t="n">
        <f aca="false">IF(OR(AR772="",N(AJ772)=0),"",AR772-AJ772)</f>
        <v>0</v>
      </c>
      <c r="AT772" s="28" t="n">
        <v>25</v>
      </c>
      <c r="AU772" s="28" t="n">
        <v>1.35</v>
      </c>
      <c r="AV772" s="28" t="n">
        <f aca="false">IF(N(AT772)&gt;0,AT772,L772)</f>
        <v>25</v>
      </c>
      <c r="AW772" s="28" t="n">
        <f aca="false">IF(AND(N(M772)&gt;0,N(AV772)&gt;0),M772*AV772,IF(N(AU772)&gt;0,AU772,N772))</f>
        <v>1.35</v>
      </c>
      <c r="AX772" s="29" t="n">
        <f aca="false">IF(N(AN772)=0,"",AN772+IF(I772="yes",AN772*Inputs!$B$10*Inputs!$B$9,0)+IFERROR(INDEX(Inputs!$B$13:$B$15,MATCH(G772,Inputs!$A$13:$A$15,0)),0)+IFERROR(INDEX(Inputs!$B$18:$B$24,MATCH(H772,Inputs!$A$18:$A$24,0)),0))</f>
        <v>0.08</v>
      </c>
      <c r="AY772" s="28" t="n">
        <f aca="false">IF(OR(N(AX772)&lt;=0,N(AW772)=0,N(AV772)=0),"",MIN(AV772,AW772/AX772))</f>
        <v>16.875</v>
      </c>
      <c r="AZ772" s="29" t="n">
        <f aca="false">IF(OR(AY772="",N(O772)=0),"",AY772/O772-1)</f>
        <v>-0.0307294658242387</v>
      </c>
      <c r="BA772" s="29" t="n">
        <f aca="false">IF(OR(AZ772="",N(O772)=0),"",AZ772+AW772/O772)</f>
        <v>0.0468121769098222</v>
      </c>
      <c r="BB772" s="32" t="n">
        <f aca="false">IF(OR(BA772="",N(AR772)=0),"",BA772-AR772)</f>
        <v>0</v>
      </c>
      <c r="BC772" s="35" t="n">
        <f aca="false">IF(OR(BA772="",N(U772)=0),"",BA772-U772)</f>
        <v>2.35922392732846E-016</v>
      </c>
      <c r="BD772" s="37"/>
    </row>
    <row r="773" customFormat="false" ht="15" hidden="false" customHeight="false" outlineLevel="0" collapsed="false">
      <c r="A773" s="2" t="s">
        <v>1453</v>
      </c>
      <c r="B773" s="2" t="n">
        <v>130</v>
      </c>
      <c r="C773" s="2" t="s">
        <v>1547</v>
      </c>
      <c r="D773" s="2" t="s">
        <v>1544</v>
      </c>
      <c r="E773" s="2" t="s">
        <v>1545</v>
      </c>
      <c r="F773" s="27" t="n">
        <v>7200</v>
      </c>
      <c r="G773" s="2" t="s">
        <v>51</v>
      </c>
      <c r="H773" s="2" t="s">
        <v>58</v>
      </c>
      <c r="I773" s="2" t="s">
        <v>144</v>
      </c>
      <c r="J773" s="2" t="s">
        <v>145</v>
      </c>
      <c r="K773" s="2" t="n">
        <v>4</v>
      </c>
      <c r="L773" s="28" t="n">
        <v>25</v>
      </c>
      <c r="M773" s="29" t="n">
        <v>0.0525</v>
      </c>
      <c r="N773" s="28" t="n">
        <v>1.3125</v>
      </c>
      <c r="O773" s="28" t="n">
        <v>17.53</v>
      </c>
      <c r="P773" s="2" t="s">
        <v>146</v>
      </c>
      <c r="Q773" s="29" t="n">
        <v>0.08</v>
      </c>
      <c r="R773" s="30" t="n">
        <v>0.08</v>
      </c>
      <c r="S773" s="31" t="n">
        <v>16.40625</v>
      </c>
      <c r="T773" s="30" t="n">
        <v>-0.0641043924700514</v>
      </c>
      <c r="U773" s="30" t="n">
        <v>0.0107672561323445</v>
      </c>
      <c r="V773" s="29" t="n">
        <v>0</v>
      </c>
      <c r="W773" s="29" t="n">
        <f aca="false">IF(N(Q773)=0,"",Q773+IF(I773="yes",Q773*Inputs!$B$10*Inputs!$B$9,0)+V773)</f>
        <v>0.08</v>
      </c>
      <c r="X773" s="28" t="n">
        <f aca="false">IF(OR(N(W773)&lt;=0,N(N773)=0,N(L773)=0),"",MIN(L773,N773/W773))</f>
        <v>16.40625</v>
      </c>
      <c r="Y773" s="29" t="n">
        <f aca="false">IF(OR(X773="",N(O773)=0),"",X773/O773-1)</f>
        <v>-0.0641043924700514</v>
      </c>
      <c r="Z773" s="29" t="n">
        <f aca="false">IF(OR(Y773="",N(O773)=0),"",Y773+N773/O773)</f>
        <v>0.0107672561323445</v>
      </c>
      <c r="AA773" s="32" t="n">
        <f aca="false">IF(OR(Z773="",N(U773)=0),"",Z773-U773)</f>
        <v>0</v>
      </c>
      <c r="AB773" s="29" t="n">
        <f aca="false">IF(N(Q773)=0,"",Q773+IF(I773="yes",Q773*Inputs!$B$10*Inputs!$B$9,0)+IFERROR(INDEX(Inputs!$B$13:$B$15,MATCH(G773,Inputs!$A$13:$A$15,0)),0)+IFERROR(INDEX(Inputs!$B$18:$B$24,MATCH(H773,Inputs!$A$18:$A$24,0)),0))</f>
        <v>0.08</v>
      </c>
      <c r="AC773" s="28" t="n">
        <f aca="false">IF(OR(N(AB773)&lt;=0,N(N773)=0,N(L773)=0),"",MIN(L773,N773/AB773))</f>
        <v>16.40625</v>
      </c>
      <c r="AD773" s="29" t="n">
        <f aca="false">IF(OR(AC773="",N(O773)=0),"",AC773/O773-1)</f>
        <v>-0.0641043924700514</v>
      </c>
      <c r="AE773" s="29" t="n">
        <f aca="false">IF(OR(AD773="",N(O773)=0),"",AD773+N773/O773)</f>
        <v>0.0107672561323445</v>
      </c>
      <c r="AF773" s="32" t="n">
        <f aca="false">IF(OR(AE773="",N(Z773)=0),"",AE773-Z773)</f>
        <v>0</v>
      </c>
      <c r="AG773" s="28" t="n">
        <f aca="false">IF(AND(N(M773)&gt;0,N(L773)&gt;0),M773*L773,N773)</f>
        <v>1.3125</v>
      </c>
      <c r="AH773" s="28" t="n">
        <f aca="false">IF(OR(N(AB773)&lt;=0,N(AG773)=0,N(L773)=0),"",MIN(L773,AG773/AB773))</f>
        <v>16.40625</v>
      </c>
      <c r="AI773" s="29" t="n">
        <f aca="false">IF(OR(AH773="",N(O773)=0),"",AH773/O773-1)</f>
        <v>-0.0641043924700514</v>
      </c>
      <c r="AJ773" s="29" t="n">
        <f aca="false">IF(OR(AI773="",N(O773)=0),"",AI773+AG773/O773)</f>
        <v>0.0107672561323445</v>
      </c>
      <c r="AK773" s="32" t="n">
        <f aca="false">IF(OR(AJ773="",N(AE773)=0),"",AJ773-AE773)</f>
        <v>0</v>
      </c>
      <c r="AL773" s="33" t="n">
        <f aca="false">IF(N(F773)=0,"",INDEX(Inputs!$B$28:$B$32,IFERROR(MATCH(F773,Inputs!$A$28:$A$32,1),0)+1))</f>
        <v>0.08</v>
      </c>
      <c r="AM773" s="34"/>
      <c r="AN773" s="33" t="n">
        <f aca="false">IF(N(AM773)&gt;0,AM773,AL773)</f>
        <v>0.08</v>
      </c>
      <c r="AO773" s="29" t="n">
        <f aca="false">IF(N(AN773)=0,"",AN773+IF(I773="yes",AN773*Inputs!$B$10*Inputs!$B$9,0)+IFERROR(INDEX(Inputs!$B$13:$B$15,MATCH(G773,Inputs!$A$13:$A$15,0)),0)+IFERROR(INDEX(Inputs!$B$18:$B$24,MATCH(H773,Inputs!$A$18:$A$24,0)),0))</f>
        <v>0.08</v>
      </c>
      <c r="AP773" s="28" t="n">
        <f aca="false">IF(OR(N(AO773)&lt;=0,N(AG773)=0,N(L773)=0),"",MIN(L773,AG773/AO773))</f>
        <v>16.40625</v>
      </c>
      <c r="AQ773" s="29" t="n">
        <f aca="false">IF(OR(AP773="",N(O773)=0),"",AP773/O773-1)</f>
        <v>-0.0641043924700514</v>
      </c>
      <c r="AR773" s="29" t="n">
        <f aca="false">IF(OR(AQ773="",N(O773)=0),"",AQ773+AG773/O773)</f>
        <v>0.0107672561323445</v>
      </c>
      <c r="AS773" s="32" t="n">
        <f aca="false">IF(OR(AR773="",N(AJ773)=0),"",AR773-AJ773)</f>
        <v>0</v>
      </c>
      <c r="AT773" s="28" t="n">
        <v>25</v>
      </c>
      <c r="AU773" s="28" t="n">
        <v>1.31</v>
      </c>
      <c r="AV773" s="28" t="n">
        <f aca="false">IF(N(AT773)&gt;0,AT773,L773)</f>
        <v>25</v>
      </c>
      <c r="AW773" s="28" t="n">
        <f aca="false">IF(AND(N(M773)&gt;0,N(AV773)&gt;0),M773*AV773,IF(N(AU773)&gt;0,AU773,N773))</f>
        <v>1.3125</v>
      </c>
      <c r="AX773" s="29" t="n">
        <f aca="false">IF(N(AN773)=0,"",AN773+IF(I773="yes",AN773*Inputs!$B$10*Inputs!$B$9,0)+IFERROR(INDEX(Inputs!$B$13:$B$15,MATCH(G773,Inputs!$A$13:$A$15,0)),0)+IFERROR(INDEX(Inputs!$B$18:$B$24,MATCH(H773,Inputs!$A$18:$A$24,0)),0))</f>
        <v>0.08</v>
      </c>
      <c r="AY773" s="28" t="n">
        <f aca="false">IF(OR(N(AX773)&lt;=0,N(AW773)=0,N(AV773)=0),"",MIN(AV773,AW773/AX773))</f>
        <v>16.40625</v>
      </c>
      <c r="AZ773" s="29" t="n">
        <f aca="false">IF(OR(AY773="",N(O773)=0),"",AY773/O773-1)</f>
        <v>-0.0641043924700514</v>
      </c>
      <c r="BA773" s="29" t="n">
        <f aca="false">IF(OR(AZ773="",N(O773)=0),"",AZ773+AW773/O773)</f>
        <v>0.0107672561323445</v>
      </c>
      <c r="BB773" s="32" t="n">
        <f aca="false">IF(OR(BA773="",N(AR773)=0),"",BA773-AR773)</f>
        <v>0</v>
      </c>
      <c r="BC773" s="35" t="n">
        <f aca="false">IF(OR(BA773="",N(U773)=0),"",BA773-U773)</f>
        <v>0</v>
      </c>
      <c r="BD773" s="37"/>
    </row>
    <row r="774" customFormat="false" ht="15" hidden="false" customHeight="false" outlineLevel="0" collapsed="false">
      <c r="A774" s="2" t="s">
        <v>1453</v>
      </c>
      <c r="B774" s="2" t="n">
        <v>131</v>
      </c>
      <c r="C774" s="2" t="s">
        <v>1548</v>
      </c>
      <c r="D774" s="2" t="s">
        <v>1544</v>
      </c>
      <c r="E774" s="2" t="s">
        <v>1545</v>
      </c>
      <c r="F774" s="27" t="n">
        <v>7200</v>
      </c>
      <c r="G774" s="2" t="s">
        <v>51</v>
      </c>
      <c r="H774" s="2" t="s">
        <v>58</v>
      </c>
      <c r="I774" s="2" t="s">
        <v>144</v>
      </c>
      <c r="J774" s="2" t="s">
        <v>145</v>
      </c>
      <c r="K774" s="2" t="n">
        <v>4</v>
      </c>
      <c r="L774" s="28" t="n">
        <v>25</v>
      </c>
      <c r="M774" s="29" t="n">
        <v>0.0525</v>
      </c>
      <c r="N774" s="28" t="n">
        <v>1.3125</v>
      </c>
      <c r="O774" s="28" t="n">
        <v>17.15</v>
      </c>
      <c r="P774" s="2" t="s">
        <v>146</v>
      </c>
      <c r="Q774" s="29" t="n">
        <v>0.08</v>
      </c>
      <c r="R774" s="30" t="n">
        <v>0.08</v>
      </c>
      <c r="S774" s="31" t="n">
        <v>16.40625</v>
      </c>
      <c r="T774" s="30" t="n">
        <v>-0.0433673469387756</v>
      </c>
      <c r="U774" s="30" t="n">
        <v>0.0331632653061223</v>
      </c>
      <c r="V774" s="29" t="n">
        <v>0</v>
      </c>
      <c r="W774" s="29" t="n">
        <f aca="false">IF(N(Q774)=0,"",Q774+IF(I774="yes",Q774*Inputs!$B$10*Inputs!$B$9,0)+V774)</f>
        <v>0.08</v>
      </c>
      <c r="X774" s="28" t="n">
        <f aca="false">IF(OR(N(W774)&lt;=0,N(N774)=0,N(L774)=0),"",MIN(L774,N774/W774))</f>
        <v>16.40625</v>
      </c>
      <c r="Y774" s="29" t="n">
        <f aca="false">IF(OR(X774="",N(O774)=0),"",X774/O774-1)</f>
        <v>-0.0433673469387754</v>
      </c>
      <c r="Z774" s="29" t="n">
        <f aca="false">IF(OR(Y774="",N(O774)=0),"",Y774+N774/O774)</f>
        <v>0.0331632653061225</v>
      </c>
      <c r="AA774" s="32" t="n">
        <f aca="false">IF(OR(Z774="",N(U774)=0),"",Z774-U774)</f>
        <v>2.28983498828939E-016</v>
      </c>
      <c r="AB774" s="29" t="n">
        <f aca="false">IF(N(Q774)=0,"",Q774+IF(I774="yes",Q774*Inputs!$B$10*Inputs!$B$9,0)+IFERROR(INDEX(Inputs!$B$13:$B$15,MATCH(G774,Inputs!$A$13:$A$15,0)),0)+IFERROR(INDEX(Inputs!$B$18:$B$24,MATCH(H774,Inputs!$A$18:$A$24,0)),0))</f>
        <v>0.08</v>
      </c>
      <c r="AC774" s="28" t="n">
        <f aca="false">IF(OR(N(AB774)&lt;=0,N(N774)=0,N(L774)=0),"",MIN(L774,N774/AB774))</f>
        <v>16.40625</v>
      </c>
      <c r="AD774" s="29" t="n">
        <f aca="false">IF(OR(AC774="",N(O774)=0),"",AC774/O774-1)</f>
        <v>-0.0433673469387754</v>
      </c>
      <c r="AE774" s="29" t="n">
        <f aca="false">IF(OR(AD774="",N(O774)=0),"",AD774+N774/O774)</f>
        <v>0.0331632653061225</v>
      </c>
      <c r="AF774" s="32" t="n">
        <f aca="false">IF(OR(AE774="",N(Z774)=0),"",AE774-Z774)</f>
        <v>0</v>
      </c>
      <c r="AG774" s="28" t="n">
        <f aca="false">IF(AND(N(M774)&gt;0,N(L774)&gt;0),M774*L774,N774)</f>
        <v>1.3125</v>
      </c>
      <c r="AH774" s="28" t="n">
        <f aca="false">IF(OR(N(AB774)&lt;=0,N(AG774)=0,N(L774)=0),"",MIN(L774,AG774/AB774))</f>
        <v>16.40625</v>
      </c>
      <c r="AI774" s="29" t="n">
        <f aca="false">IF(OR(AH774="",N(O774)=0),"",AH774/O774-1)</f>
        <v>-0.0433673469387754</v>
      </c>
      <c r="AJ774" s="29" t="n">
        <f aca="false">IF(OR(AI774="",N(O774)=0),"",AI774+AG774/O774)</f>
        <v>0.0331632653061225</v>
      </c>
      <c r="AK774" s="32" t="n">
        <f aca="false">IF(OR(AJ774="",N(AE774)=0),"",AJ774-AE774)</f>
        <v>0</v>
      </c>
      <c r="AL774" s="33" t="n">
        <f aca="false">IF(N(F774)=0,"",INDEX(Inputs!$B$28:$B$32,IFERROR(MATCH(F774,Inputs!$A$28:$A$32,1),0)+1))</f>
        <v>0.08</v>
      </c>
      <c r="AM774" s="34"/>
      <c r="AN774" s="33" t="n">
        <f aca="false">IF(N(AM774)&gt;0,AM774,AL774)</f>
        <v>0.08</v>
      </c>
      <c r="AO774" s="29" t="n">
        <f aca="false">IF(N(AN774)=0,"",AN774+IF(I774="yes",AN774*Inputs!$B$10*Inputs!$B$9,0)+IFERROR(INDEX(Inputs!$B$13:$B$15,MATCH(G774,Inputs!$A$13:$A$15,0)),0)+IFERROR(INDEX(Inputs!$B$18:$B$24,MATCH(H774,Inputs!$A$18:$A$24,0)),0))</f>
        <v>0.08</v>
      </c>
      <c r="AP774" s="28" t="n">
        <f aca="false">IF(OR(N(AO774)&lt;=0,N(AG774)=0,N(L774)=0),"",MIN(L774,AG774/AO774))</f>
        <v>16.40625</v>
      </c>
      <c r="AQ774" s="29" t="n">
        <f aca="false">IF(OR(AP774="",N(O774)=0),"",AP774/O774-1)</f>
        <v>-0.0433673469387754</v>
      </c>
      <c r="AR774" s="29" t="n">
        <f aca="false">IF(OR(AQ774="",N(O774)=0),"",AQ774+AG774/O774)</f>
        <v>0.0331632653061225</v>
      </c>
      <c r="AS774" s="32" t="n">
        <f aca="false">IF(OR(AR774="",N(AJ774)=0),"",AR774-AJ774)</f>
        <v>0</v>
      </c>
      <c r="AT774" s="28" t="n">
        <v>25</v>
      </c>
      <c r="AU774" s="28" t="n">
        <v>1.3125</v>
      </c>
      <c r="AV774" s="28" t="n">
        <f aca="false">IF(N(AT774)&gt;0,AT774,L774)</f>
        <v>25</v>
      </c>
      <c r="AW774" s="28" t="n">
        <f aca="false">IF(AND(N(M774)&gt;0,N(AV774)&gt;0),M774*AV774,IF(N(AU774)&gt;0,AU774,N774))</f>
        <v>1.3125</v>
      </c>
      <c r="AX774" s="29" t="n">
        <f aca="false">IF(N(AN774)=0,"",AN774+IF(I774="yes",AN774*Inputs!$B$10*Inputs!$B$9,0)+IFERROR(INDEX(Inputs!$B$13:$B$15,MATCH(G774,Inputs!$A$13:$A$15,0)),0)+IFERROR(INDEX(Inputs!$B$18:$B$24,MATCH(H774,Inputs!$A$18:$A$24,0)),0))</f>
        <v>0.08</v>
      </c>
      <c r="AY774" s="28" t="n">
        <f aca="false">IF(OR(N(AX774)&lt;=0,N(AW774)=0,N(AV774)=0),"",MIN(AV774,AW774/AX774))</f>
        <v>16.40625</v>
      </c>
      <c r="AZ774" s="29" t="n">
        <f aca="false">IF(OR(AY774="",N(O774)=0),"",AY774/O774-1)</f>
        <v>-0.0433673469387754</v>
      </c>
      <c r="BA774" s="29" t="n">
        <f aca="false">IF(OR(AZ774="",N(O774)=0),"",AZ774+AW774/O774)</f>
        <v>0.0331632653061225</v>
      </c>
      <c r="BB774" s="32" t="n">
        <f aca="false">IF(OR(BA774="",N(AR774)=0),"",BA774-AR774)</f>
        <v>0</v>
      </c>
      <c r="BC774" s="35" t="n">
        <f aca="false">IF(OR(BA774="",N(U774)=0),"",BA774-U774)</f>
        <v>2.28983498828939E-016</v>
      </c>
      <c r="BD774" s="37"/>
    </row>
    <row r="775" customFormat="false" ht="15" hidden="false" customHeight="false" outlineLevel="0" collapsed="false">
      <c r="A775" s="2" t="s">
        <v>1453</v>
      </c>
      <c r="B775" s="2" t="n">
        <v>132</v>
      </c>
      <c r="C775" s="2" t="s">
        <v>1549</v>
      </c>
      <c r="D775" s="2" t="s">
        <v>1544</v>
      </c>
      <c r="E775" s="2" t="s">
        <v>1545</v>
      </c>
      <c r="F775" s="27" t="n">
        <v>7200</v>
      </c>
      <c r="G775" s="2" t="s">
        <v>51</v>
      </c>
      <c r="H775" s="2" t="s">
        <v>58</v>
      </c>
      <c r="I775" s="2" t="s">
        <v>144</v>
      </c>
      <c r="J775" s="2" t="s">
        <v>145</v>
      </c>
      <c r="K775" s="2" t="n">
        <v>4</v>
      </c>
      <c r="L775" s="28" t="n">
        <v>25</v>
      </c>
      <c r="M775" s="29" t="n">
        <v>0.0445</v>
      </c>
      <c r="N775" s="28" t="n">
        <v>1.1125</v>
      </c>
      <c r="O775" s="28" t="n">
        <v>14.59</v>
      </c>
      <c r="P775" s="2" t="s">
        <v>146</v>
      </c>
      <c r="Q775" s="29" t="n">
        <v>0.08</v>
      </c>
      <c r="R775" s="30" t="n">
        <v>0.08</v>
      </c>
      <c r="S775" s="31" t="n">
        <v>13.90625</v>
      </c>
      <c r="T775" s="30" t="n">
        <v>-0.0468642906100069</v>
      </c>
      <c r="U775" s="30" t="n">
        <v>0.0293865661411926</v>
      </c>
      <c r="V775" s="29" t="n">
        <v>0</v>
      </c>
      <c r="W775" s="29" t="n">
        <f aca="false">IF(N(Q775)=0,"",Q775+IF(I775="yes",Q775*Inputs!$B$10*Inputs!$B$9,0)+V775)</f>
        <v>0.08</v>
      </c>
      <c r="X775" s="28" t="n">
        <f aca="false">IF(OR(N(W775)&lt;=0,N(N775)=0,N(L775)=0),"",MIN(L775,N775/W775))</f>
        <v>13.90625</v>
      </c>
      <c r="Y775" s="29" t="n">
        <f aca="false">IF(OR(X775="",N(O775)=0),"",X775/O775-1)</f>
        <v>-0.0468642906100069</v>
      </c>
      <c r="Z775" s="29" t="n">
        <f aca="false">IF(OR(Y775="",N(O775)=0),"",Y775+N775/O775)</f>
        <v>0.0293865661411926</v>
      </c>
      <c r="AA775" s="32" t="n">
        <f aca="false">IF(OR(Z775="",N(U775)=0),"",Z775-U775)</f>
        <v>0</v>
      </c>
      <c r="AB775" s="29" t="n">
        <f aca="false">IF(N(Q775)=0,"",Q775+IF(I775="yes",Q775*Inputs!$B$10*Inputs!$B$9,0)+IFERROR(INDEX(Inputs!$B$13:$B$15,MATCH(G775,Inputs!$A$13:$A$15,0)),0)+IFERROR(INDEX(Inputs!$B$18:$B$24,MATCH(H775,Inputs!$A$18:$A$24,0)),0))</f>
        <v>0.08</v>
      </c>
      <c r="AC775" s="28" t="n">
        <f aca="false">IF(OR(N(AB775)&lt;=0,N(N775)=0,N(L775)=0),"",MIN(L775,N775/AB775))</f>
        <v>13.90625</v>
      </c>
      <c r="AD775" s="29" t="n">
        <f aca="false">IF(OR(AC775="",N(O775)=0),"",AC775/O775-1)</f>
        <v>-0.0468642906100069</v>
      </c>
      <c r="AE775" s="29" t="n">
        <f aca="false">IF(OR(AD775="",N(O775)=0),"",AD775+N775/O775)</f>
        <v>0.0293865661411926</v>
      </c>
      <c r="AF775" s="32" t="n">
        <f aca="false">IF(OR(AE775="",N(Z775)=0),"",AE775-Z775)</f>
        <v>0</v>
      </c>
      <c r="AG775" s="28" t="n">
        <f aca="false">IF(AND(N(M775)&gt;0,N(L775)&gt;0),M775*L775,N775)</f>
        <v>1.1125</v>
      </c>
      <c r="AH775" s="28" t="n">
        <f aca="false">IF(OR(N(AB775)&lt;=0,N(AG775)=0,N(L775)=0),"",MIN(L775,AG775/AB775))</f>
        <v>13.90625</v>
      </c>
      <c r="AI775" s="29" t="n">
        <f aca="false">IF(OR(AH775="",N(O775)=0),"",AH775/O775-1)</f>
        <v>-0.0468642906100069</v>
      </c>
      <c r="AJ775" s="29" t="n">
        <f aca="false">IF(OR(AI775="",N(O775)=0),"",AI775+AG775/O775)</f>
        <v>0.0293865661411926</v>
      </c>
      <c r="AK775" s="32" t="n">
        <f aca="false">IF(OR(AJ775="",N(AE775)=0),"",AJ775-AE775)</f>
        <v>0</v>
      </c>
      <c r="AL775" s="33" t="n">
        <f aca="false">IF(N(F775)=0,"",INDEX(Inputs!$B$28:$B$32,IFERROR(MATCH(F775,Inputs!$A$28:$A$32,1),0)+1))</f>
        <v>0.08</v>
      </c>
      <c r="AM775" s="34"/>
      <c r="AN775" s="33" t="n">
        <f aca="false">IF(N(AM775)&gt;0,AM775,AL775)</f>
        <v>0.08</v>
      </c>
      <c r="AO775" s="29" t="n">
        <f aca="false">IF(N(AN775)=0,"",AN775+IF(I775="yes",AN775*Inputs!$B$10*Inputs!$B$9,0)+IFERROR(INDEX(Inputs!$B$13:$B$15,MATCH(G775,Inputs!$A$13:$A$15,0)),0)+IFERROR(INDEX(Inputs!$B$18:$B$24,MATCH(H775,Inputs!$A$18:$A$24,0)),0))</f>
        <v>0.08</v>
      </c>
      <c r="AP775" s="28" t="n">
        <f aca="false">IF(OR(N(AO775)&lt;=0,N(AG775)=0,N(L775)=0),"",MIN(L775,AG775/AO775))</f>
        <v>13.90625</v>
      </c>
      <c r="AQ775" s="29" t="n">
        <f aca="false">IF(OR(AP775="",N(O775)=0),"",AP775/O775-1)</f>
        <v>-0.0468642906100069</v>
      </c>
      <c r="AR775" s="29" t="n">
        <f aca="false">IF(OR(AQ775="",N(O775)=0),"",AQ775+AG775/O775)</f>
        <v>0.0293865661411926</v>
      </c>
      <c r="AS775" s="32" t="n">
        <f aca="false">IF(OR(AR775="",N(AJ775)=0),"",AR775-AJ775)</f>
        <v>0</v>
      </c>
      <c r="AT775" s="28" t="n">
        <v>25</v>
      </c>
      <c r="AU775" s="28" t="n">
        <v>1.1125</v>
      </c>
      <c r="AV775" s="28" t="n">
        <f aca="false">IF(N(AT775)&gt;0,AT775,L775)</f>
        <v>25</v>
      </c>
      <c r="AW775" s="28" t="n">
        <f aca="false">IF(AND(N(M775)&gt;0,N(AV775)&gt;0),M775*AV775,IF(N(AU775)&gt;0,AU775,N775))</f>
        <v>1.1125</v>
      </c>
      <c r="AX775" s="29" t="n">
        <f aca="false">IF(N(AN775)=0,"",AN775+IF(I775="yes",AN775*Inputs!$B$10*Inputs!$B$9,0)+IFERROR(INDEX(Inputs!$B$13:$B$15,MATCH(G775,Inputs!$A$13:$A$15,0)),0)+IFERROR(INDEX(Inputs!$B$18:$B$24,MATCH(H775,Inputs!$A$18:$A$24,0)),0))</f>
        <v>0.08</v>
      </c>
      <c r="AY775" s="28" t="n">
        <f aca="false">IF(OR(N(AX775)&lt;=0,N(AW775)=0,N(AV775)=0),"",MIN(AV775,AW775/AX775))</f>
        <v>13.90625</v>
      </c>
      <c r="AZ775" s="29" t="n">
        <f aca="false">IF(OR(AY775="",N(O775)=0),"",AY775/O775-1)</f>
        <v>-0.0468642906100069</v>
      </c>
      <c r="BA775" s="29" t="n">
        <f aca="false">IF(OR(AZ775="",N(O775)=0),"",AZ775+AW775/O775)</f>
        <v>0.0293865661411926</v>
      </c>
      <c r="BB775" s="32" t="n">
        <f aca="false">IF(OR(BA775="",N(AR775)=0),"",BA775-AR775)</f>
        <v>0</v>
      </c>
      <c r="BC775" s="35" t="n">
        <f aca="false">IF(OR(BA775="",N(U775)=0),"",BA775-U775)</f>
        <v>0</v>
      </c>
      <c r="BD775" s="37"/>
    </row>
    <row r="776" customFormat="false" ht="15" hidden="false" customHeight="false" outlineLevel="0" collapsed="false">
      <c r="A776" s="2" t="s">
        <v>1453</v>
      </c>
      <c r="B776" s="2" t="n">
        <v>135</v>
      </c>
      <c r="C776" s="2" t="s">
        <v>1550</v>
      </c>
      <c r="D776" s="2" t="s">
        <v>1551</v>
      </c>
      <c r="E776" s="2" t="s">
        <v>1552</v>
      </c>
      <c r="F776" s="27" t="n">
        <v>8800</v>
      </c>
      <c r="G776" s="2" t="s">
        <v>51</v>
      </c>
      <c r="H776" s="2" t="s">
        <v>58</v>
      </c>
      <c r="I776" s="2" t="s">
        <v>151</v>
      </c>
      <c r="J776" s="2" t="s">
        <v>145</v>
      </c>
      <c r="K776" s="2" t="n">
        <v>4</v>
      </c>
      <c r="L776" s="28" t="n">
        <v>25</v>
      </c>
      <c r="M776" s="29" t="n">
        <v>0.0535</v>
      </c>
      <c r="N776" s="28" t="n">
        <v>1.3375</v>
      </c>
      <c r="O776" s="28" t="n">
        <v>23.54</v>
      </c>
      <c r="P776" s="2" t="s">
        <v>146</v>
      </c>
      <c r="Q776" s="29" t="n">
        <v>0.08</v>
      </c>
      <c r="R776" s="30" t="n">
        <v>0.076</v>
      </c>
      <c r="S776" s="31" t="n">
        <v>17.5986842105263</v>
      </c>
      <c r="T776" s="30" t="n">
        <v>-0.252392344497608</v>
      </c>
      <c r="U776" s="30" t="n">
        <v>-0.195574162679426</v>
      </c>
      <c r="V776" s="29" t="n">
        <v>0</v>
      </c>
      <c r="W776" s="29" t="n">
        <f aca="false">IF(N(Q776)=0,"",Q776+IF(I776="yes",Q776*Inputs!$B$10*Inputs!$B$9,0)+V776)</f>
        <v>0.076</v>
      </c>
      <c r="X776" s="28" t="n">
        <f aca="false">IF(OR(N(W776)&lt;=0,N(N776)=0,N(L776)=0),"",MIN(L776,N776/W776))</f>
        <v>17.5986842105263</v>
      </c>
      <c r="Y776" s="29" t="n">
        <f aca="false">IF(OR(X776="",N(O776)=0),"",X776/O776-1)</f>
        <v>-0.252392344497608</v>
      </c>
      <c r="Z776" s="29" t="n">
        <f aca="false">IF(OR(Y776="",N(O776)=0),"",Y776+N776/O776)</f>
        <v>-0.195574162679426</v>
      </c>
      <c r="AA776" s="32" t="n">
        <f aca="false">IF(OR(Z776="",N(U776)=0),"",Z776-U776)</f>
        <v>0</v>
      </c>
      <c r="AB776" s="29" t="n">
        <f aca="false">IF(N(Q776)=0,"",Q776+IF(I776="yes",Q776*Inputs!$B$10*Inputs!$B$9,0)+IFERROR(INDEX(Inputs!$B$13:$B$15,MATCH(G776,Inputs!$A$13:$A$15,0)),0)+IFERROR(INDEX(Inputs!$B$18:$B$24,MATCH(H776,Inputs!$A$18:$A$24,0)),0))</f>
        <v>0.076</v>
      </c>
      <c r="AC776" s="28" t="n">
        <f aca="false">IF(OR(N(AB776)&lt;=0,N(N776)=0,N(L776)=0),"",MIN(L776,N776/AB776))</f>
        <v>17.5986842105263</v>
      </c>
      <c r="AD776" s="29" t="n">
        <f aca="false">IF(OR(AC776="",N(O776)=0),"",AC776/O776-1)</f>
        <v>-0.252392344497608</v>
      </c>
      <c r="AE776" s="29" t="n">
        <f aca="false">IF(OR(AD776="",N(O776)=0),"",AD776+N776/O776)</f>
        <v>-0.195574162679426</v>
      </c>
      <c r="AF776" s="32" t="n">
        <f aca="false">IF(OR(AE776="",N(Z776)=0),"",AE776-Z776)</f>
        <v>0</v>
      </c>
      <c r="AG776" s="28" t="n">
        <f aca="false">IF(AND(N(M776)&gt;0,N(L776)&gt;0),M776*L776,N776)</f>
        <v>1.3375</v>
      </c>
      <c r="AH776" s="28" t="n">
        <f aca="false">IF(OR(N(AB776)&lt;=0,N(AG776)=0,N(L776)=0),"",MIN(L776,AG776/AB776))</f>
        <v>17.5986842105263</v>
      </c>
      <c r="AI776" s="29" t="n">
        <f aca="false">IF(OR(AH776="",N(O776)=0),"",AH776/O776-1)</f>
        <v>-0.252392344497608</v>
      </c>
      <c r="AJ776" s="29" t="n">
        <f aca="false">IF(OR(AI776="",N(O776)=0),"",AI776+AG776/O776)</f>
        <v>-0.195574162679426</v>
      </c>
      <c r="AK776" s="32" t="n">
        <f aca="false">IF(OR(AJ776="",N(AE776)=0),"",AJ776-AE776)</f>
        <v>0</v>
      </c>
      <c r="AL776" s="33" t="n">
        <f aca="false">IF(N(F776)=0,"",INDEX(Inputs!$B$28:$B$32,IFERROR(MATCH(F776,Inputs!$A$28:$A$32,1),0)+1))</f>
        <v>0.08</v>
      </c>
      <c r="AM776" s="34"/>
      <c r="AN776" s="33" t="n">
        <f aca="false">IF(N(AM776)&gt;0,AM776,AL776)</f>
        <v>0.08</v>
      </c>
      <c r="AO776" s="29" t="n">
        <f aca="false">IF(N(AN776)=0,"",AN776+IF(I776="yes",AN776*Inputs!$B$10*Inputs!$B$9,0)+IFERROR(INDEX(Inputs!$B$13:$B$15,MATCH(G776,Inputs!$A$13:$A$15,0)),0)+IFERROR(INDEX(Inputs!$B$18:$B$24,MATCH(H776,Inputs!$A$18:$A$24,0)),0))</f>
        <v>0.076</v>
      </c>
      <c r="AP776" s="28" t="n">
        <f aca="false">IF(OR(N(AO776)&lt;=0,N(AG776)=0,N(L776)=0),"",MIN(L776,AG776/AO776))</f>
        <v>17.5986842105263</v>
      </c>
      <c r="AQ776" s="29" t="n">
        <f aca="false">IF(OR(AP776="",N(O776)=0),"",AP776/O776-1)</f>
        <v>-0.252392344497608</v>
      </c>
      <c r="AR776" s="29" t="n">
        <f aca="false">IF(OR(AQ776="",N(O776)=0),"",AQ776+AG776/O776)</f>
        <v>-0.195574162679426</v>
      </c>
      <c r="AS776" s="32" t="n">
        <f aca="false">IF(OR(AR776="",N(AJ776)=0),"",AR776-AJ776)</f>
        <v>0</v>
      </c>
      <c r="AT776" s="28" t="n">
        <v>25</v>
      </c>
      <c r="AU776" s="28" t="n">
        <v>1.34</v>
      </c>
      <c r="AV776" s="28" t="n">
        <f aca="false">IF(N(AT776)&gt;0,AT776,L776)</f>
        <v>25</v>
      </c>
      <c r="AW776" s="28" t="n">
        <f aca="false">IF(AND(N(M776)&gt;0,N(AV776)&gt;0),M776*AV776,IF(N(AU776)&gt;0,AU776,N776))</f>
        <v>1.3375</v>
      </c>
      <c r="AX776" s="29" t="n">
        <f aca="false">IF(N(AN776)=0,"",AN776+IF(I776="yes",AN776*Inputs!$B$10*Inputs!$B$9,0)+IFERROR(INDEX(Inputs!$B$13:$B$15,MATCH(G776,Inputs!$A$13:$A$15,0)),0)+IFERROR(INDEX(Inputs!$B$18:$B$24,MATCH(H776,Inputs!$A$18:$A$24,0)),0))</f>
        <v>0.076</v>
      </c>
      <c r="AY776" s="28" t="n">
        <f aca="false">IF(OR(N(AX776)&lt;=0,N(AW776)=0,N(AV776)=0),"",MIN(AV776,AW776/AX776))</f>
        <v>17.5986842105263</v>
      </c>
      <c r="AZ776" s="29" t="n">
        <f aca="false">IF(OR(AY776="",N(O776)=0),"",AY776/O776-1)</f>
        <v>-0.252392344497608</v>
      </c>
      <c r="BA776" s="29" t="n">
        <f aca="false">IF(OR(AZ776="",N(O776)=0),"",AZ776+AW776/O776)</f>
        <v>-0.195574162679426</v>
      </c>
      <c r="BB776" s="32" t="n">
        <f aca="false">IF(OR(BA776="",N(AR776)=0),"",BA776-AR776)</f>
        <v>0</v>
      </c>
      <c r="BC776" s="35" t="n">
        <f aca="false">IF(OR(BA776="",N(U776)=0),"",BA776-U776)</f>
        <v>0</v>
      </c>
      <c r="BD776" s="37"/>
    </row>
    <row r="777" customFormat="false" ht="15" hidden="false" customHeight="false" outlineLevel="0" collapsed="false">
      <c r="A777" s="2" t="s">
        <v>1453</v>
      </c>
      <c r="B777" s="2" t="n">
        <v>142</v>
      </c>
      <c r="C777" s="2" t="s">
        <v>1553</v>
      </c>
      <c r="D777" s="2" t="s">
        <v>1554</v>
      </c>
      <c r="E777" s="2" t="s">
        <v>1555</v>
      </c>
      <c r="F777" s="27" t="n">
        <v>2700</v>
      </c>
      <c r="G777" s="2" t="s">
        <v>51</v>
      </c>
      <c r="H777" s="2" t="s">
        <v>58</v>
      </c>
      <c r="I777" s="2" t="s">
        <v>151</v>
      </c>
      <c r="J777" s="2" t="s">
        <v>145</v>
      </c>
      <c r="K777" s="2" t="n">
        <v>4</v>
      </c>
      <c r="L777" s="28" t="n">
        <v>25</v>
      </c>
      <c r="M777" s="29" t="n">
        <v>0.04875</v>
      </c>
      <c r="N777" s="28" t="n">
        <v>1.21875</v>
      </c>
      <c r="O777" s="28" t="n">
        <v>16.59</v>
      </c>
      <c r="P777" s="2" t="s">
        <v>146</v>
      </c>
      <c r="Q777" s="29" t="n">
        <v>0.08</v>
      </c>
      <c r="R777" s="30" t="n">
        <v>0.076</v>
      </c>
      <c r="S777" s="31" t="n">
        <v>16.0361842105263</v>
      </c>
      <c r="T777" s="30" t="n">
        <v>-0.0333825069001619</v>
      </c>
      <c r="U777" s="30" t="n">
        <v>0.0400804225754258</v>
      </c>
      <c r="V777" s="29" t="n">
        <v>0</v>
      </c>
      <c r="W777" s="29" t="n">
        <f aca="false">IF(N(Q777)=0,"",Q777+IF(I777="yes",Q777*Inputs!$B$10*Inputs!$B$9,0)+V777)</f>
        <v>0.076</v>
      </c>
      <c r="X777" s="28" t="n">
        <f aca="false">IF(OR(N(W777)&lt;=0,N(N777)=0,N(L777)=0),"",MIN(L777,N777/W777))</f>
        <v>16.0361842105263</v>
      </c>
      <c r="Y777" s="29" t="n">
        <f aca="false">IF(OR(X777="",N(O777)=0),"",X777/O777-1)</f>
        <v>-0.0333825069001619</v>
      </c>
      <c r="Z777" s="29" t="n">
        <f aca="false">IF(OR(Y777="",N(O777)=0),"",Y777+N777/O777)</f>
        <v>0.0400804225754258</v>
      </c>
      <c r="AA777" s="32" t="n">
        <f aca="false">IF(OR(Z777="",N(U777)=0),"",Z777-U777)</f>
        <v>0</v>
      </c>
      <c r="AB777" s="29" t="n">
        <f aca="false">IF(N(Q777)=0,"",Q777+IF(I777="yes",Q777*Inputs!$B$10*Inputs!$B$9,0)+IFERROR(INDEX(Inputs!$B$13:$B$15,MATCH(G777,Inputs!$A$13:$A$15,0)),0)+IFERROR(INDEX(Inputs!$B$18:$B$24,MATCH(H777,Inputs!$A$18:$A$24,0)),0))</f>
        <v>0.076</v>
      </c>
      <c r="AC777" s="28" t="n">
        <f aca="false">IF(OR(N(AB777)&lt;=0,N(N777)=0,N(L777)=0),"",MIN(L777,N777/AB777))</f>
        <v>16.0361842105263</v>
      </c>
      <c r="AD777" s="29" t="n">
        <f aca="false">IF(OR(AC777="",N(O777)=0),"",AC777/O777-1)</f>
        <v>-0.0333825069001619</v>
      </c>
      <c r="AE777" s="29" t="n">
        <f aca="false">IF(OR(AD777="",N(O777)=0),"",AD777+N777/O777)</f>
        <v>0.0400804225754258</v>
      </c>
      <c r="AF777" s="32" t="n">
        <f aca="false">IF(OR(AE777="",N(Z777)=0),"",AE777-Z777)</f>
        <v>0</v>
      </c>
      <c r="AG777" s="28" t="n">
        <f aca="false">IF(AND(N(M777)&gt;0,N(L777)&gt;0),M777*L777,N777)</f>
        <v>1.21875</v>
      </c>
      <c r="AH777" s="28" t="n">
        <f aca="false">IF(OR(N(AB777)&lt;=0,N(AG777)=0,N(L777)=0),"",MIN(L777,AG777/AB777))</f>
        <v>16.0361842105263</v>
      </c>
      <c r="AI777" s="29" t="n">
        <f aca="false">IF(OR(AH777="",N(O777)=0),"",AH777/O777-1)</f>
        <v>-0.0333825069001619</v>
      </c>
      <c r="AJ777" s="29" t="n">
        <f aca="false">IF(OR(AI777="",N(O777)=0),"",AI777+AG777/O777)</f>
        <v>0.0400804225754258</v>
      </c>
      <c r="AK777" s="32" t="n">
        <f aca="false">IF(OR(AJ777="",N(AE777)=0),"",AJ777-AE777)</f>
        <v>0</v>
      </c>
      <c r="AL777" s="33" t="n">
        <f aca="false">IF(N(F777)=0,"",INDEX(Inputs!$B$28:$B$32,IFERROR(MATCH(F777,Inputs!$A$28:$A$32,1),0)+1))</f>
        <v>0.085</v>
      </c>
      <c r="AM777" s="34"/>
      <c r="AN777" s="33" t="n">
        <f aca="false">IF(N(AM777)&gt;0,AM777,AL777)</f>
        <v>0.085</v>
      </c>
      <c r="AO777" s="29" t="n">
        <f aca="false">IF(N(AN777)=0,"",AN777+IF(I777="yes",AN777*Inputs!$B$10*Inputs!$B$9,0)+IFERROR(INDEX(Inputs!$B$13:$B$15,MATCH(G777,Inputs!$A$13:$A$15,0)),0)+IFERROR(INDEX(Inputs!$B$18:$B$24,MATCH(H777,Inputs!$A$18:$A$24,0)),0))</f>
        <v>0.08075</v>
      </c>
      <c r="AP777" s="28" t="n">
        <f aca="false">IF(OR(N(AO777)&lt;=0,N(AG777)=0,N(L777)=0),"",MIN(L777,AG777/AO777))</f>
        <v>15.0928792569659</v>
      </c>
      <c r="AQ777" s="29" t="n">
        <f aca="false">IF(OR(AP777="",N(O777)=0),"",AP777/O777-1)</f>
        <v>-0.0902423594354465</v>
      </c>
      <c r="AR777" s="29" t="n">
        <f aca="false">IF(OR(AQ777="",N(O777)=0),"",AQ777+AG777/O777)</f>
        <v>-0.0167794299598587</v>
      </c>
      <c r="AS777" s="32" t="n">
        <f aca="false">IF(OR(AR777="",N(AJ777)=0),"",AR777-AJ777)</f>
        <v>-0.0568598525352846</v>
      </c>
      <c r="AT777" s="28" t="n">
        <v>25</v>
      </c>
      <c r="AU777" s="28" t="n">
        <v>1.21875</v>
      </c>
      <c r="AV777" s="28" t="n">
        <f aca="false">IF(N(AT777)&gt;0,AT777,L777)</f>
        <v>25</v>
      </c>
      <c r="AW777" s="28" t="n">
        <f aca="false">IF(AND(N(M777)&gt;0,N(AV777)&gt;0),M777*AV777,IF(N(AU777)&gt;0,AU777,N777))</f>
        <v>1.21875</v>
      </c>
      <c r="AX777" s="29" t="n">
        <f aca="false">IF(N(AN777)=0,"",AN777+IF(I777="yes",AN777*Inputs!$B$10*Inputs!$B$9,0)+IFERROR(INDEX(Inputs!$B$13:$B$15,MATCH(G777,Inputs!$A$13:$A$15,0)),0)+IFERROR(INDEX(Inputs!$B$18:$B$24,MATCH(H777,Inputs!$A$18:$A$24,0)),0))</f>
        <v>0.08075</v>
      </c>
      <c r="AY777" s="28" t="n">
        <f aca="false">IF(OR(N(AX777)&lt;=0,N(AW777)=0,N(AV777)=0),"",MIN(AV777,AW777/AX777))</f>
        <v>15.0928792569659</v>
      </c>
      <c r="AZ777" s="29" t="n">
        <f aca="false">IF(OR(AY777="",N(O777)=0),"",AY777/O777-1)</f>
        <v>-0.0902423594354465</v>
      </c>
      <c r="BA777" s="29" t="n">
        <f aca="false">IF(OR(AZ777="",N(O777)=0),"",AZ777+AW777/O777)</f>
        <v>-0.0167794299598587</v>
      </c>
      <c r="BB777" s="32" t="n">
        <f aca="false">IF(OR(BA777="",N(AR777)=0),"",BA777-AR777)</f>
        <v>0</v>
      </c>
      <c r="BC777" s="35" t="n">
        <f aca="false">IF(OR(BA777="",N(U777)=0),"",BA777-U777)</f>
        <v>-0.0568598525352846</v>
      </c>
      <c r="BD777" s="37"/>
    </row>
    <row r="778" customFormat="false" ht="15" hidden="false" customHeight="false" outlineLevel="0" collapsed="false">
      <c r="A778" s="2" t="s">
        <v>1453</v>
      </c>
      <c r="B778" s="2" t="n">
        <v>146</v>
      </c>
      <c r="C778" s="2" t="s">
        <v>1556</v>
      </c>
      <c r="D778" s="2" t="s">
        <v>1557</v>
      </c>
      <c r="E778" s="2" t="s">
        <v>1558</v>
      </c>
      <c r="F778" s="27" t="n">
        <v>8600</v>
      </c>
      <c r="G778" s="2" t="s">
        <v>51</v>
      </c>
      <c r="H778" s="2" t="s">
        <v>61</v>
      </c>
      <c r="I778" s="2" t="s">
        <v>151</v>
      </c>
      <c r="J778" s="2" t="s">
        <v>145</v>
      </c>
      <c r="K778" s="2" t="n">
        <v>4</v>
      </c>
      <c r="L778" s="28" t="n">
        <v>25</v>
      </c>
      <c r="M778" s="29" t="n">
        <v>0.0425</v>
      </c>
      <c r="N778" s="28" t="n">
        <v>1.0625</v>
      </c>
      <c r="O778" s="28" t="n">
        <v>24.79</v>
      </c>
      <c r="P778" s="2" t="s">
        <v>146</v>
      </c>
      <c r="Q778" s="29" t="n">
        <v>0.08</v>
      </c>
      <c r="R778" s="30" t="n">
        <v>0.076</v>
      </c>
      <c r="S778" s="31" t="n">
        <v>13.9802631578947</v>
      </c>
      <c r="T778" s="30" t="n">
        <v>-0.436052313114371</v>
      </c>
      <c r="U778" s="30" t="n">
        <v>-0.393192288911063</v>
      </c>
      <c r="V778" s="29" t="n">
        <v>0</v>
      </c>
      <c r="W778" s="29" t="n">
        <f aca="false">IF(N(Q778)=0,"",Q778+IF(I778="yes",Q778*Inputs!$B$10*Inputs!$B$9,0)+V778)</f>
        <v>0.076</v>
      </c>
      <c r="X778" s="28" t="n">
        <f aca="false">IF(OR(N(W778)&lt;=0,N(N778)=0,N(L778)=0),"",MIN(L778,N778/W778))</f>
        <v>13.9802631578947</v>
      </c>
      <c r="Y778" s="29" t="n">
        <f aca="false">IF(OR(X778="",N(O778)=0),"",X778/O778-1)</f>
        <v>-0.436052313114371</v>
      </c>
      <c r="Z778" s="29" t="n">
        <f aca="false">IF(OR(Y778="",N(O778)=0),"",Y778+N778/O778)</f>
        <v>-0.393192288911063</v>
      </c>
      <c r="AA778" s="32" t="n">
        <f aca="false">IF(OR(Z778="",N(U778)=0),"",Z778-U778)</f>
        <v>0</v>
      </c>
      <c r="AB778" s="29" t="n">
        <f aca="false">IF(N(Q778)=0,"",Q778+IF(I778="yes",Q778*Inputs!$B$10*Inputs!$B$9,0)+IFERROR(INDEX(Inputs!$B$13:$B$15,MATCH(G778,Inputs!$A$13:$A$15,0)),0)+IFERROR(INDEX(Inputs!$B$18:$B$24,MATCH(H778,Inputs!$A$18:$A$24,0)),0))</f>
        <v>0.076</v>
      </c>
      <c r="AC778" s="28" t="n">
        <f aca="false">IF(OR(N(AB778)&lt;=0,N(N778)=0,N(L778)=0),"",MIN(L778,N778/AB778))</f>
        <v>13.9802631578947</v>
      </c>
      <c r="AD778" s="29" t="n">
        <f aca="false">IF(OR(AC778="",N(O778)=0),"",AC778/O778-1)</f>
        <v>-0.436052313114371</v>
      </c>
      <c r="AE778" s="29" t="n">
        <f aca="false">IF(OR(AD778="",N(O778)=0),"",AD778+N778/O778)</f>
        <v>-0.393192288911063</v>
      </c>
      <c r="AF778" s="32" t="n">
        <f aca="false">IF(OR(AE778="",N(Z778)=0),"",AE778-Z778)</f>
        <v>0</v>
      </c>
      <c r="AG778" s="28" t="n">
        <f aca="false">IF(AND(N(M778)&gt;0,N(L778)&gt;0),M778*L778,N778)</f>
        <v>1.0625</v>
      </c>
      <c r="AH778" s="28" t="n">
        <f aca="false">IF(OR(N(AB778)&lt;=0,N(AG778)=0,N(L778)=0),"",MIN(L778,AG778/AB778))</f>
        <v>13.9802631578947</v>
      </c>
      <c r="AI778" s="29" t="n">
        <f aca="false">IF(OR(AH778="",N(O778)=0),"",AH778/O778-1)</f>
        <v>-0.436052313114371</v>
      </c>
      <c r="AJ778" s="29" t="n">
        <f aca="false">IF(OR(AI778="",N(O778)=0),"",AI778+AG778/O778)</f>
        <v>-0.393192288911063</v>
      </c>
      <c r="AK778" s="32" t="n">
        <f aca="false">IF(OR(AJ778="",N(AE778)=0),"",AJ778-AE778)</f>
        <v>0</v>
      </c>
      <c r="AL778" s="33" t="n">
        <f aca="false">IF(N(F778)=0,"",INDEX(Inputs!$B$28:$B$32,IFERROR(MATCH(F778,Inputs!$A$28:$A$32,1),0)+1))</f>
        <v>0.08</v>
      </c>
      <c r="AM778" s="34"/>
      <c r="AN778" s="33" t="n">
        <f aca="false">IF(N(AM778)&gt;0,AM778,AL778)</f>
        <v>0.08</v>
      </c>
      <c r="AO778" s="29" t="n">
        <f aca="false">IF(N(AN778)=0,"",AN778+IF(I778="yes",AN778*Inputs!$B$10*Inputs!$B$9,0)+IFERROR(INDEX(Inputs!$B$13:$B$15,MATCH(G778,Inputs!$A$13:$A$15,0)),0)+IFERROR(INDEX(Inputs!$B$18:$B$24,MATCH(H778,Inputs!$A$18:$A$24,0)),0))</f>
        <v>0.076</v>
      </c>
      <c r="AP778" s="28" t="n">
        <f aca="false">IF(OR(N(AO778)&lt;=0,N(AG778)=0,N(L778)=0),"",MIN(L778,AG778/AO778))</f>
        <v>13.9802631578947</v>
      </c>
      <c r="AQ778" s="29" t="n">
        <f aca="false">IF(OR(AP778="",N(O778)=0),"",AP778/O778-1)</f>
        <v>-0.436052313114371</v>
      </c>
      <c r="AR778" s="29" t="n">
        <f aca="false">IF(OR(AQ778="",N(O778)=0),"",AQ778+AG778/O778)</f>
        <v>-0.393192288911063</v>
      </c>
      <c r="AS778" s="32" t="n">
        <f aca="false">IF(OR(AR778="",N(AJ778)=0),"",AR778-AJ778)</f>
        <v>0</v>
      </c>
      <c r="AT778" s="28" t="n">
        <v>25</v>
      </c>
      <c r="AU778" s="28" t="n">
        <v>1.0625</v>
      </c>
      <c r="AV778" s="28" t="n">
        <f aca="false">IF(N(AT778)&gt;0,AT778,L778)</f>
        <v>25</v>
      </c>
      <c r="AW778" s="28" t="n">
        <f aca="false">IF(AND(N(M778)&gt;0,N(AV778)&gt;0),M778*AV778,IF(N(AU778)&gt;0,AU778,N778))</f>
        <v>1.0625</v>
      </c>
      <c r="AX778" s="29" t="n">
        <f aca="false">IF(N(AN778)=0,"",AN778+IF(I778="yes",AN778*Inputs!$B$10*Inputs!$B$9,0)+IFERROR(INDEX(Inputs!$B$13:$B$15,MATCH(G778,Inputs!$A$13:$A$15,0)),0)+IFERROR(INDEX(Inputs!$B$18:$B$24,MATCH(H778,Inputs!$A$18:$A$24,0)),0))</f>
        <v>0.076</v>
      </c>
      <c r="AY778" s="28" t="n">
        <f aca="false">IF(OR(N(AX778)&lt;=0,N(AW778)=0,N(AV778)=0),"",MIN(AV778,AW778/AX778))</f>
        <v>13.9802631578947</v>
      </c>
      <c r="AZ778" s="29" t="n">
        <f aca="false">IF(OR(AY778="",N(O778)=0),"",AY778/O778-1)</f>
        <v>-0.436052313114371</v>
      </c>
      <c r="BA778" s="29" t="n">
        <f aca="false">IF(OR(AZ778="",N(O778)=0),"",AZ778+AW778/O778)</f>
        <v>-0.393192288911063</v>
      </c>
      <c r="BB778" s="32" t="n">
        <f aca="false">IF(OR(BA778="",N(AR778)=0),"",BA778-AR778)</f>
        <v>0</v>
      </c>
      <c r="BC778" s="35" t="n">
        <f aca="false">IF(OR(BA778="",N(U778)=0),"",BA778-U778)</f>
        <v>0</v>
      </c>
      <c r="BD778" s="37"/>
    </row>
    <row r="779" customFormat="false" ht="15" hidden="false" customHeight="false" outlineLevel="0" collapsed="false">
      <c r="A779" s="2" t="s">
        <v>1453</v>
      </c>
      <c r="B779" s="2" t="n">
        <v>150</v>
      </c>
      <c r="C779" s="2" t="s">
        <v>1559</v>
      </c>
      <c r="D779" s="2" t="s">
        <v>1560</v>
      </c>
      <c r="E779" s="2" t="s">
        <v>1561</v>
      </c>
      <c r="F779" s="27" t="n">
        <v>12600</v>
      </c>
      <c r="G779" s="2" t="s">
        <v>51</v>
      </c>
      <c r="H779" s="2" t="s">
        <v>58</v>
      </c>
      <c r="I779" s="2" t="s">
        <v>151</v>
      </c>
      <c r="J779" s="2" t="s">
        <v>145</v>
      </c>
      <c r="K779" s="2" t="n">
        <v>4</v>
      </c>
      <c r="L779" s="28" t="n">
        <v>4.15</v>
      </c>
      <c r="M779" s="29" t="n">
        <v>0.316265060240964</v>
      </c>
      <c r="N779" s="28" t="n">
        <v>1.3125</v>
      </c>
      <c r="O779" s="28" t="n">
        <v>0</v>
      </c>
      <c r="P779" s="2" t="s">
        <v>146</v>
      </c>
      <c r="Q779" s="29" t="n">
        <v>0.08</v>
      </c>
      <c r="R779" s="30" t="n">
        <v>0.076</v>
      </c>
      <c r="S779" s="31" t="n">
        <v>4.15</v>
      </c>
      <c r="T779" s="30"/>
      <c r="U779" s="30"/>
      <c r="V779" s="29" t="n">
        <v>0</v>
      </c>
      <c r="W779" s="29" t="n">
        <f aca="false">IF(N(Q779)=0,"",Q779+IF(I779="yes",Q779*Inputs!$B$10*Inputs!$B$9,0)+V779)</f>
        <v>0.076</v>
      </c>
      <c r="X779" s="28" t="n">
        <f aca="false">IF(OR(N(W779)&lt;=0,N(N779)=0,N(L779)=0),"",MIN(L779,N779/W779))</f>
        <v>4.15</v>
      </c>
      <c r="Y779" s="29" t="str">
        <f aca="false">IF(OR(X779="",N(O779)=0),"",X779/O779-1)</f>
        <v/>
      </c>
      <c r="Z779" s="29" t="str">
        <f aca="false">IF(OR(Y779="",N(O779)=0),"",Y779+N779/O779)</f>
        <v/>
      </c>
      <c r="AA779" s="32" t="str">
        <f aca="false">IF(OR(Z779="",N(U779)=0),"",Z779-U779)</f>
        <v/>
      </c>
      <c r="AB779" s="29" t="n">
        <f aca="false">IF(N(Q779)=0,"",Q779+IF(I779="yes",Q779*Inputs!$B$10*Inputs!$B$9,0)+IFERROR(INDEX(Inputs!$B$13:$B$15,MATCH(G779,Inputs!$A$13:$A$15,0)),0)+IFERROR(INDEX(Inputs!$B$18:$B$24,MATCH(H779,Inputs!$A$18:$A$24,0)),0))</f>
        <v>0.076</v>
      </c>
      <c r="AC779" s="28" t="n">
        <f aca="false">IF(OR(N(AB779)&lt;=0,N(N779)=0,N(L779)=0),"",MIN(L779,N779/AB779))</f>
        <v>4.15</v>
      </c>
      <c r="AD779" s="29" t="str">
        <f aca="false">IF(OR(AC779="",N(O779)=0),"",AC779/O779-1)</f>
        <v/>
      </c>
      <c r="AE779" s="29" t="str">
        <f aca="false">IF(OR(AD779="",N(O779)=0),"",AD779+N779/O779)</f>
        <v/>
      </c>
      <c r="AF779" s="32" t="str">
        <f aca="false">IF(OR(AE779="",N(Z779)=0),"",AE779-Z779)</f>
        <v/>
      </c>
      <c r="AG779" s="28" t="n">
        <f aca="false">IF(AND(N(M779)&gt;0,N(L779)&gt;0),M779*L779,N779)</f>
        <v>1.3125</v>
      </c>
      <c r="AH779" s="28" t="n">
        <f aca="false">IF(OR(N(AB779)&lt;=0,N(AG779)=0,N(L779)=0),"",MIN(L779,AG779/AB779))</f>
        <v>4.15</v>
      </c>
      <c r="AI779" s="29" t="str">
        <f aca="false">IF(OR(AH779="",N(O779)=0),"",AH779/O779-1)</f>
        <v/>
      </c>
      <c r="AJ779" s="29" t="str">
        <f aca="false">IF(OR(AI779="",N(O779)=0),"",AI779+AG779/O779)</f>
        <v/>
      </c>
      <c r="AK779" s="32" t="str">
        <f aca="false">IF(OR(AJ779="",N(AE779)=0),"",AJ779-AE779)</f>
        <v/>
      </c>
      <c r="AL779" s="33" t="n">
        <f aca="false">IF(N(F779)=0,"",INDEX(Inputs!$B$28:$B$32,IFERROR(MATCH(F779,Inputs!$A$28:$A$32,1),0)+1))</f>
        <v>0.08</v>
      </c>
      <c r="AM779" s="34"/>
      <c r="AN779" s="33" t="n">
        <f aca="false">IF(N(AM779)&gt;0,AM779,AL779)</f>
        <v>0.08</v>
      </c>
      <c r="AO779" s="29" t="n">
        <f aca="false">IF(N(AN779)=0,"",AN779+IF(I779="yes",AN779*Inputs!$B$10*Inputs!$B$9,0)+IFERROR(INDEX(Inputs!$B$13:$B$15,MATCH(G779,Inputs!$A$13:$A$15,0)),0)+IFERROR(INDEX(Inputs!$B$18:$B$24,MATCH(H779,Inputs!$A$18:$A$24,0)),0))</f>
        <v>0.076</v>
      </c>
      <c r="AP779" s="28" t="n">
        <f aca="false">IF(OR(N(AO779)&lt;=0,N(AG779)=0,N(L779)=0),"",MIN(L779,AG779/AO779))</f>
        <v>4.15</v>
      </c>
      <c r="AQ779" s="29" t="str">
        <f aca="false">IF(OR(AP779="",N(O779)=0),"",AP779/O779-1)</f>
        <v/>
      </c>
      <c r="AR779" s="29" t="str">
        <f aca="false">IF(OR(AQ779="",N(O779)=0),"",AQ779+AG779/O779)</f>
        <v/>
      </c>
      <c r="AS779" s="32" t="str">
        <f aca="false">IF(OR(AR779="",N(AJ779)=0),"",AR779-AJ779)</f>
        <v/>
      </c>
      <c r="AT779" s="28" t="n">
        <v>25</v>
      </c>
      <c r="AU779" s="28" t="n">
        <v>1.31</v>
      </c>
      <c r="AV779" s="28" t="n">
        <f aca="false">IF(N(AT779)&gt;0,AT779,L779)</f>
        <v>25</v>
      </c>
      <c r="AW779" s="28" t="n">
        <f aca="false">IF(AND(N(M779)&gt;0,N(AV779)&gt;0),M779*AV779,IF(N(AU779)&gt;0,AU779,N779))</f>
        <v>7.9066265060241</v>
      </c>
      <c r="AX779" s="29" t="n">
        <f aca="false">IF(N(AN779)=0,"",AN779+IF(I779="yes",AN779*Inputs!$B$10*Inputs!$B$9,0)+IFERROR(INDEX(Inputs!$B$13:$B$15,MATCH(G779,Inputs!$A$13:$A$15,0)),0)+IFERROR(INDEX(Inputs!$B$18:$B$24,MATCH(H779,Inputs!$A$18:$A$24,0)),0))</f>
        <v>0.076</v>
      </c>
      <c r="AY779" s="28" t="n">
        <f aca="false">IF(OR(N(AX779)&lt;=0,N(AW779)=0,N(AV779)=0),"",MIN(AV779,AW779/AX779))</f>
        <v>25</v>
      </c>
      <c r="AZ779" s="29" t="str">
        <f aca="false">IF(OR(AY779="",N(O779)=0),"",AY779/O779-1)</f>
        <v/>
      </c>
      <c r="BA779" s="29" t="str">
        <f aca="false">IF(OR(AZ779="",N(O779)=0),"",AZ779+AW779/O779)</f>
        <v/>
      </c>
      <c r="BB779" s="32" t="str">
        <f aca="false">IF(OR(BA779="",N(AR779)=0),"",BA779-AR779)</f>
        <v/>
      </c>
      <c r="BC779" s="35" t="str">
        <f aca="false">IF(OR(BA779="",N(U779)=0),"",BA779-U779)</f>
        <v/>
      </c>
      <c r="BD779" s="36" t="s">
        <v>1562</v>
      </c>
    </row>
    <row r="780" customFormat="false" ht="15" hidden="false" customHeight="false" outlineLevel="0" collapsed="false">
      <c r="A780" s="2" t="s">
        <v>1453</v>
      </c>
      <c r="B780" s="2" t="n">
        <v>151</v>
      </c>
      <c r="C780" s="2" t="s">
        <v>1563</v>
      </c>
      <c r="D780" s="2" t="s">
        <v>1560</v>
      </c>
      <c r="E780" s="2" t="s">
        <v>1561</v>
      </c>
      <c r="F780" s="27" t="n">
        <v>12600</v>
      </c>
      <c r="G780" s="2" t="s">
        <v>51</v>
      </c>
      <c r="H780" s="2" t="s">
        <v>58</v>
      </c>
      <c r="I780" s="2" t="s">
        <v>151</v>
      </c>
      <c r="J780" s="2" t="s">
        <v>145</v>
      </c>
      <c r="K780" s="2" t="n">
        <v>4</v>
      </c>
      <c r="L780" s="28" t="n">
        <v>25</v>
      </c>
      <c r="M780" s="29" t="n">
        <v>0.065</v>
      </c>
      <c r="N780" s="28" t="n">
        <v>1.625</v>
      </c>
      <c r="O780" s="28" t="n">
        <v>0</v>
      </c>
      <c r="P780" s="2" t="s">
        <v>146</v>
      </c>
      <c r="Q780" s="29" t="n">
        <v>0.08</v>
      </c>
      <c r="R780" s="30" t="n">
        <v>0.076</v>
      </c>
      <c r="S780" s="31" t="n">
        <v>21.3815789473684</v>
      </c>
      <c r="T780" s="30"/>
      <c r="U780" s="30"/>
      <c r="V780" s="29" t="n">
        <v>0</v>
      </c>
      <c r="W780" s="29" t="n">
        <f aca="false">IF(N(Q780)=0,"",Q780+IF(I780="yes",Q780*Inputs!$B$10*Inputs!$B$9,0)+V780)</f>
        <v>0.076</v>
      </c>
      <c r="X780" s="28" t="n">
        <f aca="false">IF(OR(N(W780)&lt;=0,N(N780)=0,N(L780)=0),"",MIN(L780,N780/W780))</f>
        <v>21.3815789473684</v>
      </c>
      <c r="Y780" s="29" t="str">
        <f aca="false">IF(OR(X780="",N(O780)=0),"",X780/O780-1)</f>
        <v/>
      </c>
      <c r="Z780" s="29" t="str">
        <f aca="false">IF(OR(Y780="",N(O780)=0),"",Y780+N780/O780)</f>
        <v/>
      </c>
      <c r="AA780" s="32" t="str">
        <f aca="false">IF(OR(Z780="",N(U780)=0),"",Z780-U780)</f>
        <v/>
      </c>
      <c r="AB780" s="29" t="n">
        <f aca="false">IF(N(Q780)=0,"",Q780+IF(I780="yes",Q780*Inputs!$B$10*Inputs!$B$9,0)+IFERROR(INDEX(Inputs!$B$13:$B$15,MATCH(G780,Inputs!$A$13:$A$15,0)),0)+IFERROR(INDEX(Inputs!$B$18:$B$24,MATCH(H780,Inputs!$A$18:$A$24,0)),0))</f>
        <v>0.076</v>
      </c>
      <c r="AC780" s="28" t="n">
        <f aca="false">IF(OR(N(AB780)&lt;=0,N(N780)=0,N(L780)=0),"",MIN(L780,N780/AB780))</f>
        <v>21.3815789473684</v>
      </c>
      <c r="AD780" s="29" t="str">
        <f aca="false">IF(OR(AC780="",N(O780)=0),"",AC780/O780-1)</f>
        <v/>
      </c>
      <c r="AE780" s="29" t="str">
        <f aca="false">IF(OR(AD780="",N(O780)=0),"",AD780+N780/O780)</f>
        <v/>
      </c>
      <c r="AF780" s="32" t="str">
        <f aca="false">IF(OR(AE780="",N(Z780)=0),"",AE780-Z780)</f>
        <v/>
      </c>
      <c r="AG780" s="28" t="n">
        <f aca="false">IF(AND(N(M780)&gt;0,N(L780)&gt;0),M780*L780,N780)</f>
        <v>1.625</v>
      </c>
      <c r="AH780" s="28" t="n">
        <f aca="false">IF(OR(N(AB780)&lt;=0,N(AG780)=0,N(L780)=0),"",MIN(L780,AG780/AB780))</f>
        <v>21.3815789473684</v>
      </c>
      <c r="AI780" s="29" t="str">
        <f aca="false">IF(OR(AH780="",N(O780)=0),"",AH780/O780-1)</f>
        <v/>
      </c>
      <c r="AJ780" s="29" t="str">
        <f aca="false">IF(OR(AI780="",N(O780)=0),"",AI780+AG780/O780)</f>
        <v/>
      </c>
      <c r="AK780" s="32" t="str">
        <f aca="false">IF(OR(AJ780="",N(AE780)=0),"",AJ780-AE780)</f>
        <v/>
      </c>
      <c r="AL780" s="33" t="n">
        <f aca="false">IF(N(F780)=0,"",INDEX(Inputs!$B$28:$B$32,IFERROR(MATCH(F780,Inputs!$A$28:$A$32,1),0)+1))</f>
        <v>0.08</v>
      </c>
      <c r="AM780" s="34"/>
      <c r="AN780" s="33" t="n">
        <f aca="false">IF(N(AM780)&gt;0,AM780,AL780)</f>
        <v>0.08</v>
      </c>
      <c r="AO780" s="29" t="n">
        <f aca="false">IF(N(AN780)=0,"",AN780+IF(I780="yes",AN780*Inputs!$B$10*Inputs!$B$9,0)+IFERROR(INDEX(Inputs!$B$13:$B$15,MATCH(G780,Inputs!$A$13:$A$15,0)),0)+IFERROR(INDEX(Inputs!$B$18:$B$24,MATCH(H780,Inputs!$A$18:$A$24,0)),0))</f>
        <v>0.076</v>
      </c>
      <c r="AP780" s="28" t="n">
        <f aca="false">IF(OR(N(AO780)&lt;=0,N(AG780)=0,N(L780)=0),"",MIN(L780,AG780/AO780))</f>
        <v>21.3815789473684</v>
      </c>
      <c r="AQ780" s="29" t="str">
        <f aca="false">IF(OR(AP780="",N(O780)=0),"",AP780/O780-1)</f>
        <v/>
      </c>
      <c r="AR780" s="29" t="str">
        <f aca="false">IF(OR(AQ780="",N(O780)=0),"",AQ780+AG780/O780)</f>
        <v/>
      </c>
      <c r="AS780" s="32" t="str">
        <f aca="false">IF(OR(AR780="",N(AJ780)=0),"",AR780-AJ780)</f>
        <v/>
      </c>
      <c r="AT780" s="28" t="n">
        <v>25</v>
      </c>
      <c r="AU780" s="28" t="n">
        <v>1.63</v>
      </c>
      <c r="AV780" s="28" t="n">
        <f aca="false">IF(N(AT780)&gt;0,AT780,L780)</f>
        <v>25</v>
      </c>
      <c r="AW780" s="28" t="n">
        <f aca="false">IF(AND(N(M780)&gt;0,N(AV780)&gt;0),M780*AV780,IF(N(AU780)&gt;0,AU780,N780))</f>
        <v>1.625</v>
      </c>
      <c r="AX780" s="29" t="n">
        <f aca="false">IF(N(AN780)=0,"",AN780+IF(I780="yes",AN780*Inputs!$B$10*Inputs!$B$9,0)+IFERROR(INDEX(Inputs!$B$13:$B$15,MATCH(G780,Inputs!$A$13:$A$15,0)),0)+IFERROR(INDEX(Inputs!$B$18:$B$24,MATCH(H780,Inputs!$A$18:$A$24,0)),0))</f>
        <v>0.076</v>
      </c>
      <c r="AY780" s="28" t="n">
        <f aca="false">IF(OR(N(AX780)&lt;=0,N(AW780)=0,N(AV780)=0),"",MIN(AV780,AW780/AX780))</f>
        <v>21.3815789473684</v>
      </c>
      <c r="AZ780" s="29" t="str">
        <f aca="false">IF(OR(AY780="",N(O780)=0),"",AY780/O780-1)</f>
        <v/>
      </c>
      <c r="BA780" s="29" t="str">
        <f aca="false">IF(OR(AZ780="",N(O780)=0),"",AZ780+AW780/O780)</f>
        <v/>
      </c>
      <c r="BB780" s="32" t="str">
        <f aca="false">IF(OR(BA780="",N(AR780)=0),"",BA780-AR780)</f>
        <v/>
      </c>
      <c r="BC780" s="35" t="str">
        <f aca="false">IF(OR(BA780="",N(U780)=0),"",BA780-U780)</f>
        <v/>
      </c>
      <c r="BD780" s="36" t="s">
        <v>299</v>
      </c>
    </row>
    <row r="781" customFormat="false" ht="15" hidden="false" customHeight="false" outlineLevel="0" collapsed="false">
      <c r="A781" s="2" t="s">
        <v>1453</v>
      </c>
      <c r="B781" s="2" t="n">
        <v>154</v>
      </c>
      <c r="C781" s="2" t="s">
        <v>1564</v>
      </c>
      <c r="D781" s="2" t="s">
        <v>1565</v>
      </c>
      <c r="E781" s="2" t="s">
        <v>1566</v>
      </c>
      <c r="F781" s="27" t="n">
        <v>16500</v>
      </c>
      <c r="G781" s="2" t="s">
        <v>51</v>
      </c>
      <c r="H781" s="2" t="s">
        <v>58</v>
      </c>
      <c r="I781" s="2" t="s">
        <v>151</v>
      </c>
      <c r="J781" s="2" t="s">
        <v>145</v>
      </c>
      <c r="K781" s="2" t="n">
        <v>4</v>
      </c>
      <c r="L781" s="28" t="n">
        <v>25</v>
      </c>
      <c r="M781" s="29" t="n">
        <v>0.10625</v>
      </c>
      <c r="N781" s="28" t="n">
        <v>2.65625</v>
      </c>
      <c r="O781" s="28" t="n">
        <v>0</v>
      </c>
      <c r="P781" s="2" t="s">
        <v>146</v>
      </c>
      <c r="Q781" s="29" t="n">
        <v>0.08</v>
      </c>
      <c r="R781" s="30" t="n">
        <v>0.076</v>
      </c>
      <c r="S781" s="31" t="n">
        <v>25</v>
      </c>
      <c r="T781" s="30"/>
      <c r="U781" s="30"/>
      <c r="V781" s="29" t="n">
        <v>0</v>
      </c>
      <c r="W781" s="29" t="n">
        <f aca="false">IF(N(Q781)=0,"",Q781+IF(I781="yes",Q781*Inputs!$B$10*Inputs!$B$9,0)+V781)</f>
        <v>0.076</v>
      </c>
      <c r="X781" s="28" t="n">
        <f aca="false">IF(OR(N(W781)&lt;=0,N(N781)=0,N(L781)=0),"",MIN(L781,N781/W781))</f>
        <v>25</v>
      </c>
      <c r="Y781" s="29" t="str">
        <f aca="false">IF(OR(X781="",N(O781)=0),"",X781/O781-1)</f>
        <v/>
      </c>
      <c r="Z781" s="29" t="str">
        <f aca="false">IF(OR(Y781="",N(O781)=0),"",Y781+N781/O781)</f>
        <v/>
      </c>
      <c r="AA781" s="32" t="str">
        <f aca="false">IF(OR(Z781="",N(U781)=0),"",Z781-U781)</f>
        <v/>
      </c>
      <c r="AB781" s="29" t="n">
        <f aca="false">IF(N(Q781)=0,"",Q781+IF(I781="yes",Q781*Inputs!$B$10*Inputs!$B$9,0)+IFERROR(INDEX(Inputs!$B$13:$B$15,MATCH(G781,Inputs!$A$13:$A$15,0)),0)+IFERROR(INDEX(Inputs!$B$18:$B$24,MATCH(H781,Inputs!$A$18:$A$24,0)),0))</f>
        <v>0.076</v>
      </c>
      <c r="AC781" s="28" t="n">
        <f aca="false">IF(OR(N(AB781)&lt;=0,N(N781)=0,N(L781)=0),"",MIN(L781,N781/AB781))</f>
        <v>25</v>
      </c>
      <c r="AD781" s="29" t="str">
        <f aca="false">IF(OR(AC781="",N(O781)=0),"",AC781/O781-1)</f>
        <v/>
      </c>
      <c r="AE781" s="29" t="str">
        <f aca="false">IF(OR(AD781="",N(O781)=0),"",AD781+N781/O781)</f>
        <v/>
      </c>
      <c r="AF781" s="32" t="str">
        <f aca="false">IF(OR(AE781="",N(Z781)=0),"",AE781-Z781)</f>
        <v/>
      </c>
      <c r="AG781" s="28" t="n">
        <f aca="false">IF(AND(N(M781)&gt;0,N(L781)&gt;0),M781*L781,N781)</f>
        <v>2.65625</v>
      </c>
      <c r="AH781" s="28" t="n">
        <f aca="false">IF(OR(N(AB781)&lt;=0,N(AG781)=0,N(L781)=0),"",MIN(L781,AG781/AB781))</f>
        <v>25</v>
      </c>
      <c r="AI781" s="29" t="str">
        <f aca="false">IF(OR(AH781="",N(O781)=0),"",AH781/O781-1)</f>
        <v/>
      </c>
      <c r="AJ781" s="29" t="str">
        <f aca="false">IF(OR(AI781="",N(O781)=0),"",AI781+AG781/O781)</f>
        <v/>
      </c>
      <c r="AK781" s="32" t="str">
        <f aca="false">IF(OR(AJ781="",N(AE781)=0),"",AJ781-AE781)</f>
        <v/>
      </c>
      <c r="AL781" s="33" t="n">
        <f aca="false">IF(N(F781)=0,"",INDEX(Inputs!$B$28:$B$32,IFERROR(MATCH(F781,Inputs!$A$28:$A$32,1),0)+1))</f>
        <v>0.08</v>
      </c>
      <c r="AM781" s="34"/>
      <c r="AN781" s="33" t="n">
        <f aca="false">IF(N(AM781)&gt;0,AM781,AL781)</f>
        <v>0.08</v>
      </c>
      <c r="AO781" s="29" t="n">
        <f aca="false">IF(N(AN781)=0,"",AN781+IF(I781="yes",AN781*Inputs!$B$10*Inputs!$B$9,0)+IFERROR(INDEX(Inputs!$B$13:$B$15,MATCH(G781,Inputs!$A$13:$A$15,0)),0)+IFERROR(INDEX(Inputs!$B$18:$B$24,MATCH(H781,Inputs!$A$18:$A$24,0)),0))</f>
        <v>0.076</v>
      </c>
      <c r="AP781" s="28" t="n">
        <f aca="false">IF(OR(N(AO781)&lt;=0,N(AG781)=0,N(L781)=0),"",MIN(L781,AG781/AO781))</f>
        <v>25</v>
      </c>
      <c r="AQ781" s="29" t="str">
        <f aca="false">IF(OR(AP781="",N(O781)=0),"",AP781/O781-1)</f>
        <v/>
      </c>
      <c r="AR781" s="29" t="str">
        <f aca="false">IF(OR(AQ781="",N(O781)=0),"",AQ781+AG781/O781)</f>
        <v/>
      </c>
      <c r="AS781" s="32" t="str">
        <f aca="false">IF(OR(AR781="",N(AJ781)=0),"",AR781-AJ781)</f>
        <v/>
      </c>
      <c r="AT781" s="28" t="n">
        <v>25</v>
      </c>
      <c r="AU781" s="28" t="n">
        <v>2.65625</v>
      </c>
      <c r="AV781" s="28" t="n">
        <f aca="false">IF(N(AT781)&gt;0,AT781,L781)</f>
        <v>25</v>
      </c>
      <c r="AW781" s="28" t="n">
        <f aca="false">IF(AND(N(M781)&gt;0,N(AV781)&gt;0),M781*AV781,IF(N(AU781)&gt;0,AU781,N781))</f>
        <v>2.65625</v>
      </c>
      <c r="AX781" s="29" t="n">
        <f aca="false">IF(N(AN781)=0,"",AN781+IF(I781="yes",AN781*Inputs!$B$10*Inputs!$B$9,0)+IFERROR(INDEX(Inputs!$B$13:$B$15,MATCH(G781,Inputs!$A$13:$A$15,0)),0)+IFERROR(INDEX(Inputs!$B$18:$B$24,MATCH(H781,Inputs!$A$18:$A$24,0)),0))</f>
        <v>0.076</v>
      </c>
      <c r="AY781" s="28" t="n">
        <f aca="false">IF(OR(N(AX781)&lt;=0,N(AW781)=0,N(AV781)=0),"",MIN(AV781,AW781/AX781))</f>
        <v>25</v>
      </c>
      <c r="AZ781" s="29" t="str">
        <f aca="false">IF(OR(AY781="",N(O781)=0),"",AY781/O781-1)</f>
        <v/>
      </c>
      <c r="BA781" s="29" t="str">
        <f aca="false">IF(OR(AZ781="",N(O781)=0),"",AZ781+AW781/O781)</f>
        <v/>
      </c>
      <c r="BB781" s="32" t="str">
        <f aca="false">IF(OR(BA781="",N(AR781)=0),"",BA781-AR781)</f>
        <v/>
      </c>
      <c r="BC781" s="35" t="str">
        <f aca="false">IF(OR(BA781="",N(U781)=0),"",BA781-U781)</f>
        <v/>
      </c>
      <c r="BD781" s="36" t="s">
        <v>299</v>
      </c>
    </row>
    <row r="782" customFormat="false" ht="15" hidden="false" customHeight="false" outlineLevel="0" collapsed="false">
      <c r="A782" s="2" t="s">
        <v>1453</v>
      </c>
      <c r="B782" s="2" t="n">
        <v>158</v>
      </c>
      <c r="C782" s="2" t="s">
        <v>1567</v>
      </c>
      <c r="D782" s="2" t="s">
        <v>1568</v>
      </c>
      <c r="E782" s="2" t="s">
        <v>1569</v>
      </c>
      <c r="F782" s="27" t="n">
        <v>35400</v>
      </c>
      <c r="G782" s="2" t="s">
        <v>51</v>
      </c>
      <c r="H782" s="2" t="s">
        <v>58</v>
      </c>
      <c r="I782" s="2" t="s">
        <v>151</v>
      </c>
      <c r="J782" s="2" t="s">
        <v>145</v>
      </c>
      <c r="K782" s="2" t="n">
        <v>4</v>
      </c>
      <c r="L782" s="28" t="n">
        <v>100</v>
      </c>
      <c r="M782" s="29" t="n">
        <v>0.06</v>
      </c>
      <c r="N782" s="28" t="n">
        <v>6</v>
      </c>
      <c r="O782" s="28" t="n">
        <v>116.1</v>
      </c>
      <c r="P782" s="2" t="s">
        <v>146</v>
      </c>
      <c r="Q782" s="29" t="n">
        <v>0.08</v>
      </c>
      <c r="R782" s="30" t="n">
        <v>0.076</v>
      </c>
      <c r="S782" s="31" t="n">
        <v>78.9473684210526</v>
      </c>
      <c r="T782" s="30" t="n">
        <v>-0.320005439956481</v>
      </c>
      <c r="U782" s="30" t="n">
        <v>-0.268325853393173</v>
      </c>
      <c r="V782" s="29" t="n">
        <v>0</v>
      </c>
      <c r="W782" s="29" t="n">
        <f aca="false">IF(N(Q782)=0,"",Q782+IF(I782="yes",Q782*Inputs!$B$10*Inputs!$B$9,0)+V782)</f>
        <v>0.076</v>
      </c>
      <c r="X782" s="28" t="n">
        <f aca="false">IF(OR(N(W782)&lt;=0,N(N782)=0,N(L782)=0),"",MIN(L782,N782/W782))</f>
        <v>78.9473684210526</v>
      </c>
      <c r="Y782" s="29" t="n">
        <f aca="false">IF(OR(X782="",N(O782)=0),"",X782/O782-1)</f>
        <v>-0.32000543995648</v>
      </c>
      <c r="Z782" s="29" t="n">
        <f aca="false">IF(OR(Y782="",N(O782)=0),"",Y782+N782/O782)</f>
        <v>-0.268325853393173</v>
      </c>
      <c r="AA782" s="32" t="n">
        <f aca="false">IF(OR(Z782="",N(U782)=0),"",Z782-U782)</f>
        <v>0</v>
      </c>
      <c r="AB782" s="29" t="n">
        <f aca="false">IF(N(Q782)=0,"",Q782+IF(I782="yes",Q782*Inputs!$B$10*Inputs!$B$9,0)+IFERROR(INDEX(Inputs!$B$13:$B$15,MATCH(G782,Inputs!$A$13:$A$15,0)),0)+IFERROR(INDEX(Inputs!$B$18:$B$24,MATCH(H782,Inputs!$A$18:$A$24,0)),0))</f>
        <v>0.076</v>
      </c>
      <c r="AC782" s="28" t="n">
        <f aca="false">IF(OR(N(AB782)&lt;=0,N(N782)=0,N(L782)=0),"",MIN(L782,N782/AB782))</f>
        <v>78.9473684210526</v>
      </c>
      <c r="AD782" s="29" t="n">
        <f aca="false">IF(OR(AC782="",N(O782)=0),"",AC782/O782-1)</f>
        <v>-0.32000543995648</v>
      </c>
      <c r="AE782" s="29" t="n">
        <f aca="false">IF(OR(AD782="",N(O782)=0),"",AD782+N782/O782)</f>
        <v>-0.268325853393173</v>
      </c>
      <c r="AF782" s="32" t="n">
        <f aca="false">IF(OR(AE782="",N(Z782)=0),"",AE782-Z782)</f>
        <v>0</v>
      </c>
      <c r="AG782" s="28" t="n">
        <f aca="false">IF(AND(N(M782)&gt;0,N(L782)&gt;0),M782*L782,N782)</f>
        <v>6</v>
      </c>
      <c r="AH782" s="28" t="n">
        <f aca="false">IF(OR(N(AB782)&lt;=0,N(AG782)=0,N(L782)=0),"",MIN(L782,AG782/AB782))</f>
        <v>78.9473684210526</v>
      </c>
      <c r="AI782" s="29" t="n">
        <f aca="false">IF(OR(AH782="",N(O782)=0),"",AH782/O782-1)</f>
        <v>-0.32000543995648</v>
      </c>
      <c r="AJ782" s="29" t="n">
        <f aca="false">IF(OR(AI782="",N(O782)=0),"",AI782+AG782/O782)</f>
        <v>-0.268325853393173</v>
      </c>
      <c r="AK782" s="32" t="n">
        <f aca="false">IF(OR(AJ782="",N(AE782)=0),"",AJ782-AE782)</f>
        <v>0</v>
      </c>
      <c r="AL782" s="33" t="n">
        <f aca="false">IF(N(F782)=0,"",INDEX(Inputs!$B$28:$B$32,IFERROR(MATCH(F782,Inputs!$A$28:$A$32,1),0)+1))</f>
        <v>0.075</v>
      </c>
      <c r="AM782" s="34"/>
      <c r="AN782" s="33" t="n">
        <f aca="false">IF(N(AM782)&gt;0,AM782,AL782)</f>
        <v>0.075</v>
      </c>
      <c r="AO782" s="29" t="n">
        <f aca="false">IF(N(AN782)=0,"",AN782+IF(I782="yes",AN782*Inputs!$B$10*Inputs!$B$9,0)+IFERROR(INDEX(Inputs!$B$13:$B$15,MATCH(G782,Inputs!$A$13:$A$15,0)),0)+IFERROR(INDEX(Inputs!$B$18:$B$24,MATCH(H782,Inputs!$A$18:$A$24,0)),0))</f>
        <v>0.07125</v>
      </c>
      <c r="AP782" s="28" t="n">
        <f aca="false">IF(OR(N(AO782)&lt;=0,N(AG782)=0,N(L782)=0),"",MIN(L782,AG782/AO782))</f>
        <v>84.2105263157895</v>
      </c>
      <c r="AQ782" s="29" t="n">
        <f aca="false">IF(OR(AP782="",N(O782)=0),"",AP782/O782-1)</f>
        <v>-0.274672469286912</v>
      </c>
      <c r="AR782" s="29" t="n">
        <f aca="false">IF(OR(AQ782="",N(O782)=0),"",AQ782+AG782/O782)</f>
        <v>-0.222992882723605</v>
      </c>
      <c r="AS782" s="32" t="n">
        <f aca="false">IF(OR(AR782="",N(AJ782)=0),"",AR782-AJ782)</f>
        <v>0.0453329706695681</v>
      </c>
      <c r="AT782" s="28" t="n">
        <v>100</v>
      </c>
      <c r="AU782" s="28" t="n">
        <v>6</v>
      </c>
      <c r="AV782" s="28" t="n">
        <f aca="false">IF(N(AT782)&gt;0,AT782,L782)</f>
        <v>100</v>
      </c>
      <c r="AW782" s="28" t="n">
        <f aca="false">IF(AND(N(M782)&gt;0,N(AV782)&gt;0),M782*AV782,IF(N(AU782)&gt;0,AU782,N782))</f>
        <v>6</v>
      </c>
      <c r="AX782" s="29" t="n">
        <f aca="false">IF(N(AN782)=0,"",AN782+IF(I782="yes",AN782*Inputs!$B$10*Inputs!$B$9,0)+IFERROR(INDEX(Inputs!$B$13:$B$15,MATCH(G782,Inputs!$A$13:$A$15,0)),0)+IFERROR(INDEX(Inputs!$B$18:$B$24,MATCH(H782,Inputs!$A$18:$A$24,0)),0))</f>
        <v>0.07125</v>
      </c>
      <c r="AY782" s="28" t="n">
        <f aca="false">IF(OR(N(AX782)&lt;=0,N(AW782)=0,N(AV782)=0),"",MIN(AV782,AW782/AX782))</f>
        <v>84.2105263157895</v>
      </c>
      <c r="AZ782" s="29" t="n">
        <f aca="false">IF(OR(AY782="",N(O782)=0),"",AY782/O782-1)</f>
        <v>-0.274672469286912</v>
      </c>
      <c r="BA782" s="29" t="n">
        <f aca="false">IF(OR(AZ782="",N(O782)=0),"",AZ782+AW782/O782)</f>
        <v>-0.222992882723605</v>
      </c>
      <c r="BB782" s="32" t="n">
        <f aca="false">IF(OR(BA782="",N(AR782)=0),"",BA782-AR782)</f>
        <v>0</v>
      </c>
      <c r="BC782" s="35" t="n">
        <f aca="false">IF(OR(BA782="",N(U782)=0),"",BA782-U782)</f>
        <v>0.0453329706695682</v>
      </c>
      <c r="BD782" s="37"/>
    </row>
    <row r="783" customFormat="false" ht="15" hidden="false" customHeight="false" outlineLevel="0" collapsed="false">
      <c r="A783" s="2" t="s">
        <v>1453</v>
      </c>
      <c r="B783" s="2" t="n">
        <v>159</v>
      </c>
      <c r="C783" s="2" t="s">
        <v>1570</v>
      </c>
      <c r="D783" s="2" t="s">
        <v>1568</v>
      </c>
      <c r="E783" s="2" t="s">
        <v>1569</v>
      </c>
      <c r="F783" s="27" t="n">
        <v>35400</v>
      </c>
      <c r="G783" s="2" t="s">
        <v>51</v>
      </c>
      <c r="H783" s="2" t="s">
        <v>58</v>
      </c>
      <c r="I783" s="2" t="s">
        <v>151</v>
      </c>
      <c r="J783" s="2" t="s">
        <v>145</v>
      </c>
      <c r="K783" s="2" t="n">
        <v>4</v>
      </c>
      <c r="L783" s="28" t="n">
        <v>100</v>
      </c>
      <c r="M783" s="29" t="n">
        <v>0.036</v>
      </c>
      <c r="N783" s="28" t="n">
        <v>3.6</v>
      </c>
      <c r="O783" s="28" t="n">
        <v>63.39</v>
      </c>
      <c r="P783" s="2" t="s">
        <v>146</v>
      </c>
      <c r="Q783" s="29" t="n">
        <v>0.08</v>
      </c>
      <c r="R783" s="30" t="n">
        <v>0.076</v>
      </c>
      <c r="S783" s="31" t="n">
        <v>47.3684210526316</v>
      </c>
      <c r="T783" s="30" t="n">
        <v>-0.252746157869828</v>
      </c>
      <c r="U783" s="30" t="n">
        <v>-0.195954865867935</v>
      </c>
      <c r="V783" s="29" t="n">
        <v>0</v>
      </c>
      <c r="W783" s="29" t="n">
        <f aca="false">IF(N(Q783)=0,"",Q783+IF(I783="yes",Q783*Inputs!$B$10*Inputs!$B$9,0)+V783)</f>
        <v>0.076</v>
      </c>
      <c r="X783" s="28" t="n">
        <f aca="false">IF(OR(N(W783)&lt;=0,N(N783)=0,N(L783)=0),"",MIN(L783,N783/W783))</f>
        <v>47.3684210526316</v>
      </c>
      <c r="Y783" s="29" t="n">
        <f aca="false">IF(OR(X783="",N(O783)=0),"",X783/O783-1)</f>
        <v>-0.252746157869828</v>
      </c>
      <c r="Z783" s="29" t="n">
        <f aca="false">IF(OR(Y783="",N(O783)=0),"",Y783+N783/O783)</f>
        <v>-0.195954865867935</v>
      </c>
      <c r="AA783" s="32" t="n">
        <f aca="false">IF(OR(Z783="",N(U783)=0),"",Z783-U783)</f>
        <v>0</v>
      </c>
      <c r="AB783" s="29" t="n">
        <f aca="false">IF(N(Q783)=0,"",Q783+IF(I783="yes",Q783*Inputs!$B$10*Inputs!$B$9,0)+IFERROR(INDEX(Inputs!$B$13:$B$15,MATCH(G783,Inputs!$A$13:$A$15,0)),0)+IFERROR(INDEX(Inputs!$B$18:$B$24,MATCH(H783,Inputs!$A$18:$A$24,0)),0))</f>
        <v>0.076</v>
      </c>
      <c r="AC783" s="28" t="n">
        <f aca="false">IF(OR(N(AB783)&lt;=0,N(N783)=0,N(L783)=0),"",MIN(L783,N783/AB783))</f>
        <v>47.3684210526316</v>
      </c>
      <c r="AD783" s="29" t="n">
        <f aca="false">IF(OR(AC783="",N(O783)=0),"",AC783/O783-1)</f>
        <v>-0.252746157869828</v>
      </c>
      <c r="AE783" s="29" t="n">
        <f aca="false">IF(OR(AD783="",N(O783)=0),"",AD783+N783/O783)</f>
        <v>-0.195954865867935</v>
      </c>
      <c r="AF783" s="32" t="n">
        <f aca="false">IF(OR(AE783="",N(Z783)=0),"",AE783-Z783)</f>
        <v>0</v>
      </c>
      <c r="AG783" s="28" t="n">
        <f aca="false">IF(AND(N(M783)&gt;0,N(L783)&gt;0),M783*L783,N783)</f>
        <v>3.6</v>
      </c>
      <c r="AH783" s="28" t="n">
        <f aca="false">IF(OR(N(AB783)&lt;=0,N(AG783)=0,N(L783)=0),"",MIN(L783,AG783/AB783))</f>
        <v>47.3684210526316</v>
      </c>
      <c r="AI783" s="29" t="n">
        <f aca="false">IF(OR(AH783="",N(O783)=0),"",AH783/O783-1)</f>
        <v>-0.252746157869828</v>
      </c>
      <c r="AJ783" s="29" t="n">
        <f aca="false">IF(OR(AI783="",N(O783)=0),"",AI783+AG783/O783)</f>
        <v>-0.195954865867935</v>
      </c>
      <c r="AK783" s="32" t="n">
        <f aca="false">IF(OR(AJ783="",N(AE783)=0),"",AJ783-AE783)</f>
        <v>0</v>
      </c>
      <c r="AL783" s="33" t="n">
        <f aca="false">IF(N(F783)=0,"",INDEX(Inputs!$B$28:$B$32,IFERROR(MATCH(F783,Inputs!$A$28:$A$32,1),0)+1))</f>
        <v>0.075</v>
      </c>
      <c r="AM783" s="34"/>
      <c r="AN783" s="33" t="n">
        <f aca="false">IF(N(AM783)&gt;0,AM783,AL783)</f>
        <v>0.075</v>
      </c>
      <c r="AO783" s="29" t="n">
        <f aca="false">IF(N(AN783)=0,"",AN783+IF(I783="yes",AN783*Inputs!$B$10*Inputs!$B$9,0)+IFERROR(INDEX(Inputs!$B$13:$B$15,MATCH(G783,Inputs!$A$13:$A$15,0)),0)+IFERROR(INDEX(Inputs!$B$18:$B$24,MATCH(H783,Inputs!$A$18:$A$24,0)),0))</f>
        <v>0.07125</v>
      </c>
      <c r="AP783" s="28" t="n">
        <f aca="false">IF(OR(N(AO783)&lt;=0,N(AG783)=0,N(L783)=0),"",MIN(L783,AG783/AO783))</f>
        <v>50.5263157894737</v>
      </c>
      <c r="AQ783" s="29" t="n">
        <f aca="false">IF(OR(AP783="",N(O783)=0),"",AP783/O783-1)</f>
        <v>-0.20292923506115</v>
      </c>
      <c r="AR783" s="29" t="n">
        <f aca="false">IF(OR(AQ783="",N(O783)=0),"",AQ783+AG783/O783)</f>
        <v>-0.146137943059257</v>
      </c>
      <c r="AS783" s="32" t="n">
        <f aca="false">IF(OR(AR783="",N(AJ783)=0),"",AR783-AJ783)</f>
        <v>0.0498169228086782</v>
      </c>
      <c r="AT783" s="28" t="n">
        <v>100</v>
      </c>
      <c r="AU783" s="28" t="n">
        <v>3.6</v>
      </c>
      <c r="AV783" s="28" t="n">
        <f aca="false">IF(N(AT783)&gt;0,AT783,L783)</f>
        <v>100</v>
      </c>
      <c r="AW783" s="28" t="n">
        <f aca="false">IF(AND(N(M783)&gt;0,N(AV783)&gt;0),M783*AV783,IF(N(AU783)&gt;0,AU783,N783))</f>
        <v>3.6</v>
      </c>
      <c r="AX783" s="29" t="n">
        <f aca="false">IF(N(AN783)=0,"",AN783+IF(I783="yes",AN783*Inputs!$B$10*Inputs!$B$9,0)+IFERROR(INDEX(Inputs!$B$13:$B$15,MATCH(G783,Inputs!$A$13:$A$15,0)),0)+IFERROR(INDEX(Inputs!$B$18:$B$24,MATCH(H783,Inputs!$A$18:$A$24,0)),0))</f>
        <v>0.07125</v>
      </c>
      <c r="AY783" s="28" t="n">
        <f aca="false">IF(OR(N(AX783)&lt;=0,N(AW783)=0,N(AV783)=0),"",MIN(AV783,AW783/AX783))</f>
        <v>50.5263157894737</v>
      </c>
      <c r="AZ783" s="29" t="n">
        <f aca="false">IF(OR(AY783="",N(O783)=0),"",AY783/O783-1)</f>
        <v>-0.20292923506115</v>
      </c>
      <c r="BA783" s="29" t="n">
        <f aca="false">IF(OR(AZ783="",N(O783)=0),"",AZ783+AW783/O783)</f>
        <v>-0.146137943059257</v>
      </c>
      <c r="BB783" s="32" t="n">
        <f aca="false">IF(OR(BA783="",N(AR783)=0),"",BA783-AR783)</f>
        <v>0</v>
      </c>
      <c r="BC783" s="35" t="n">
        <f aca="false">IF(OR(BA783="",N(U783)=0),"",BA783-U783)</f>
        <v>0.0498169228086781</v>
      </c>
      <c r="BD783" s="37"/>
    </row>
    <row r="784" customFormat="false" ht="15" hidden="false" customHeight="false" outlineLevel="0" collapsed="false">
      <c r="A784" s="2" t="s">
        <v>1453</v>
      </c>
      <c r="B784" s="2" t="n">
        <v>162</v>
      </c>
      <c r="C784" s="2" t="s">
        <v>1571</v>
      </c>
      <c r="D784" s="2" t="s">
        <v>1572</v>
      </c>
      <c r="E784" s="2" t="s">
        <v>1573</v>
      </c>
      <c r="F784" s="27" t="n">
        <v>253100</v>
      </c>
      <c r="G784" s="2" t="s">
        <v>51</v>
      </c>
      <c r="H784" s="2" t="s">
        <v>58</v>
      </c>
      <c r="I784" s="2" t="s">
        <v>151</v>
      </c>
      <c r="J784" s="2" t="s">
        <v>145</v>
      </c>
      <c r="K784" s="2" t="n">
        <v>4</v>
      </c>
      <c r="L784" s="28" t="n">
        <v>25</v>
      </c>
      <c r="M784" s="29" t="n">
        <v>0.047</v>
      </c>
      <c r="N784" s="28" t="n">
        <v>1.175</v>
      </c>
      <c r="O784" s="28" t="n">
        <v>17.84</v>
      </c>
      <c r="P784" s="2" t="s">
        <v>146</v>
      </c>
      <c r="Q784" s="29" t="n">
        <v>0.08</v>
      </c>
      <c r="R784" s="30" t="n">
        <v>0.076</v>
      </c>
      <c r="S784" s="31" t="n">
        <v>15.4605263157895</v>
      </c>
      <c r="T784" s="30" t="n">
        <v>-0.133378569742742</v>
      </c>
      <c r="U784" s="30" t="n">
        <v>-0.0675153410431909</v>
      </c>
      <c r="V784" s="29" t="n">
        <v>0</v>
      </c>
      <c r="W784" s="29" t="n">
        <f aca="false">IF(N(Q784)=0,"",Q784+IF(I784="yes",Q784*Inputs!$B$10*Inputs!$B$9,0)+V784)</f>
        <v>0.076</v>
      </c>
      <c r="X784" s="28" t="n">
        <f aca="false">IF(OR(N(W784)&lt;=0,N(N784)=0,N(L784)=0),"",MIN(L784,N784/W784))</f>
        <v>15.4605263157895</v>
      </c>
      <c r="Y784" s="29" t="n">
        <f aca="false">IF(OR(X784="",N(O784)=0),"",X784/O784-1)</f>
        <v>-0.133378569742742</v>
      </c>
      <c r="Z784" s="29" t="n">
        <f aca="false">IF(OR(Y784="",N(O784)=0),"",Y784+N784/O784)</f>
        <v>-0.0675153410431909</v>
      </c>
      <c r="AA784" s="32" t="n">
        <f aca="false">IF(OR(Z784="",N(U784)=0),"",Z784-U784)</f>
        <v>0</v>
      </c>
      <c r="AB784" s="29" t="n">
        <f aca="false">IF(N(Q784)=0,"",Q784+IF(I784="yes",Q784*Inputs!$B$10*Inputs!$B$9,0)+IFERROR(INDEX(Inputs!$B$13:$B$15,MATCH(G784,Inputs!$A$13:$A$15,0)),0)+IFERROR(INDEX(Inputs!$B$18:$B$24,MATCH(H784,Inputs!$A$18:$A$24,0)),0))</f>
        <v>0.076</v>
      </c>
      <c r="AC784" s="28" t="n">
        <f aca="false">IF(OR(N(AB784)&lt;=0,N(N784)=0,N(L784)=0),"",MIN(L784,N784/AB784))</f>
        <v>15.4605263157895</v>
      </c>
      <c r="AD784" s="29" t="n">
        <f aca="false">IF(OR(AC784="",N(O784)=0),"",AC784/O784-1)</f>
        <v>-0.133378569742742</v>
      </c>
      <c r="AE784" s="29" t="n">
        <f aca="false">IF(OR(AD784="",N(O784)=0),"",AD784+N784/O784)</f>
        <v>-0.0675153410431909</v>
      </c>
      <c r="AF784" s="32" t="n">
        <f aca="false">IF(OR(AE784="",N(Z784)=0),"",AE784-Z784)</f>
        <v>0</v>
      </c>
      <c r="AG784" s="28" t="n">
        <f aca="false">IF(AND(N(M784)&gt;0,N(L784)&gt;0),M784*L784,N784)</f>
        <v>1.175</v>
      </c>
      <c r="AH784" s="28" t="n">
        <f aca="false">IF(OR(N(AB784)&lt;=0,N(AG784)=0,N(L784)=0),"",MIN(L784,AG784/AB784))</f>
        <v>15.4605263157895</v>
      </c>
      <c r="AI784" s="29" t="n">
        <f aca="false">IF(OR(AH784="",N(O784)=0),"",AH784/O784-1)</f>
        <v>-0.133378569742742</v>
      </c>
      <c r="AJ784" s="29" t="n">
        <f aca="false">IF(OR(AI784="",N(O784)=0),"",AI784+AG784/O784)</f>
        <v>-0.0675153410431909</v>
      </c>
      <c r="AK784" s="32" t="n">
        <f aca="false">IF(OR(AJ784="",N(AE784)=0),"",AJ784-AE784)</f>
        <v>0</v>
      </c>
      <c r="AL784" s="33" t="n">
        <f aca="false">IF(N(F784)=0,"",INDEX(Inputs!$B$28:$B$32,IFERROR(MATCH(F784,Inputs!$A$28:$A$32,1),0)+1))</f>
        <v>0.075</v>
      </c>
      <c r="AM784" s="34"/>
      <c r="AN784" s="33" t="n">
        <f aca="false">IF(N(AM784)&gt;0,AM784,AL784)</f>
        <v>0.075</v>
      </c>
      <c r="AO784" s="29" t="n">
        <f aca="false">IF(N(AN784)=0,"",AN784+IF(I784="yes",AN784*Inputs!$B$10*Inputs!$B$9,0)+IFERROR(INDEX(Inputs!$B$13:$B$15,MATCH(G784,Inputs!$A$13:$A$15,0)),0)+IFERROR(INDEX(Inputs!$B$18:$B$24,MATCH(H784,Inputs!$A$18:$A$24,0)),0))</f>
        <v>0.07125</v>
      </c>
      <c r="AP784" s="28" t="n">
        <f aca="false">IF(OR(N(AO784)&lt;=0,N(AG784)=0,N(L784)=0),"",MIN(L784,AG784/AO784))</f>
        <v>16.4912280701754</v>
      </c>
      <c r="AQ784" s="29" t="n">
        <f aca="false">IF(OR(AP784="",N(O784)=0),"",AP784/O784-1)</f>
        <v>-0.0756038077255918</v>
      </c>
      <c r="AR784" s="29" t="n">
        <f aca="false">IF(OR(AQ784="",N(O784)=0),"",AQ784+AG784/O784)</f>
        <v>-0.00974057902604025</v>
      </c>
      <c r="AS784" s="32" t="n">
        <f aca="false">IF(OR(AR784="",N(AJ784)=0),"",AR784-AJ784)</f>
        <v>0.0577747620171506</v>
      </c>
      <c r="AT784" s="28" t="n">
        <v>25</v>
      </c>
      <c r="AU784" s="28" t="n">
        <v>1.175</v>
      </c>
      <c r="AV784" s="28" t="n">
        <f aca="false">IF(N(AT784)&gt;0,AT784,L784)</f>
        <v>25</v>
      </c>
      <c r="AW784" s="28" t="n">
        <f aca="false">IF(AND(N(M784)&gt;0,N(AV784)&gt;0),M784*AV784,IF(N(AU784)&gt;0,AU784,N784))</f>
        <v>1.175</v>
      </c>
      <c r="AX784" s="29" t="n">
        <f aca="false">IF(N(AN784)=0,"",AN784+IF(I784="yes",AN784*Inputs!$B$10*Inputs!$B$9,0)+IFERROR(INDEX(Inputs!$B$13:$B$15,MATCH(G784,Inputs!$A$13:$A$15,0)),0)+IFERROR(INDEX(Inputs!$B$18:$B$24,MATCH(H784,Inputs!$A$18:$A$24,0)),0))</f>
        <v>0.07125</v>
      </c>
      <c r="AY784" s="28" t="n">
        <f aca="false">IF(OR(N(AX784)&lt;=0,N(AW784)=0,N(AV784)=0),"",MIN(AV784,AW784/AX784))</f>
        <v>16.4912280701754</v>
      </c>
      <c r="AZ784" s="29" t="n">
        <f aca="false">IF(OR(AY784="",N(O784)=0),"",AY784/O784-1)</f>
        <v>-0.0756038077255918</v>
      </c>
      <c r="BA784" s="29" t="n">
        <f aca="false">IF(OR(AZ784="",N(O784)=0),"",AZ784+AW784/O784)</f>
        <v>-0.00974057902604025</v>
      </c>
      <c r="BB784" s="32" t="n">
        <f aca="false">IF(OR(BA784="",N(AR784)=0),"",BA784-AR784)</f>
        <v>0</v>
      </c>
      <c r="BC784" s="35" t="n">
        <f aca="false">IF(OR(BA784="",N(U784)=0),"",BA784-U784)</f>
        <v>0.0577747620171506</v>
      </c>
      <c r="BD784" s="37"/>
    </row>
    <row r="785" customFormat="false" ht="15" hidden="false" customHeight="false" outlineLevel="0" collapsed="false">
      <c r="A785" s="2" t="s">
        <v>1453</v>
      </c>
      <c r="B785" s="2" t="n">
        <v>163</v>
      </c>
      <c r="C785" s="2" t="s">
        <v>1574</v>
      </c>
      <c r="D785" s="2" t="s">
        <v>1572</v>
      </c>
      <c r="E785" s="2" t="s">
        <v>1573</v>
      </c>
      <c r="F785" s="27" t="n">
        <v>253100</v>
      </c>
      <c r="G785" s="2" t="s">
        <v>51</v>
      </c>
      <c r="H785" s="2" t="s">
        <v>58</v>
      </c>
      <c r="I785" s="2" t="s">
        <v>151</v>
      </c>
      <c r="J785" s="2" t="s">
        <v>145</v>
      </c>
      <c r="K785" s="2" t="n">
        <v>4</v>
      </c>
      <c r="L785" s="28" t="n">
        <v>25</v>
      </c>
      <c r="M785" s="29" t="n">
        <v>0.04375</v>
      </c>
      <c r="N785" s="28" t="n">
        <v>1.09375</v>
      </c>
      <c r="O785" s="28" t="n">
        <v>16.65</v>
      </c>
      <c r="P785" s="2" t="s">
        <v>146</v>
      </c>
      <c r="Q785" s="29" t="n">
        <v>0.08</v>
      </c>
      <c r="R785" s="30" t="n">
        <v>0.076</v>
      </c>
      <c r="S785" s="31" t="n">
        <v>14.3914473684211</v>
      </c>
      <c r="T785" s="30" t="n">
        <v>-0.135648806701438</v>
      </c>
      <c r="U785" s="30" t="n">
        <v>-0.0699581160107475</v>
      </c>
      <c r="V785" s="29" t="n">
        <v>0</v>
      </c>
      <c r="W785" s="29" t="n">
        <f aca="false">IF(N(Q785)=0,"",Q785+IF(I785="yes",Q785*Inputs!$B$10*Inputs!$B$9,0)+V785)</f>
        <v>0.076</v>
      </c>
      <c r="X785" s="28" t="n">
        <f aca="false">IF(OR(N(W785)&lt;=0,N(N785)=0,N(L785)=0),"",MIN(L785,N785/W785))</f>
        <v>14.3914473684211</v>
      </c>
      <c r="Y785" s="29" t="n">
        <f aca="false">IF(OR(X785="",N(O785)=0),"",X785/O785-1)</f>
        <v>-0.135648806701438</v>
      </c>
      <c r="Z785" s="29" t="n">
        <f aca="false">IF(OR(Y785="",N(O785)=0),"",Y785+N785/O785)</f>
        <v>-0.0699581160107475</v>
      </c>
      <c r="AA785" s="32" t="n">
        <f aca="false">IF(OR(Z785="",N(U785)=0),"",Z785-U785)</f>
        <v>0</v>
      </c>
      <c r="AB785" s="29" t="n">
        <f aca="false">IF(N(Q785)=0,"",Q785+IF(I785="yes",Q785*Inputs!$B$10*Inputs!$B$9,0)+IFERROR(INDEX(Inputs!$B$13:$B$15,MATCH(G785,Inputs!$A$13:$A$15,0)),0)+IFERROR(INDEX(Inputs!$B$18:$B$24,MATCH(H785,Inputs!$A$18:$A$24,0)),0))</f>
        <v>0.076</v>
      </c>
      <c r="AC785" s="28" t="n">
        <f aca="false">IF(OR(N(AB785)&lt;=0,N(N785)=0,N(L785)=0),"",MIN(L785,N785/AB785))</f>
        <v>14.3914473684211</v>
      </c>
      <c r="AD785" s="29" t="n">
        <f aca="false">IF(OR(AC785="",N(O785)=0),"",AC785/O785-1)</f>
        <v>-0.135648806701438</v>
      </c>
      <c r="AE785" s="29" t="n">
        <f aca="false">IF(OR(AD785="",N(O785)=0),"",AD785+N785/O785)</f>
        <v>-0.0699581160107475</v>
      </c>
      <c r="AF785" s="32" t="n">
        <f aca="false">IF(OR(AE785="",N(Z785)=0),"",AE785-Z785)</f>
        <v>0</v>
      </c>
      <c r="AG785" s="28" t="n">
        <f aca="false">IF(AND(N(M785)&gt;0,N(L785)&gt;0),M785*L785,N785)</f>
        <v>1.09375</v>
      </c>
      <c r="AH785" s="28" t="n">
        <f aca="false">IF(OR(N(AB785)&lt;=0,N(AG785)=0,N(L785)=0),"",MIN(L785,AG785/AB785))</f>
        <v>14.3914473684211</v>
      </c>
      <c r="AI785" s="29" t="n">
        <f aca="false">IF(OR(AH785="",N(O785)=0),"",AH785/O785-1)</f>
        <v>-0.135648806701438</v>
      </c>
      <c r="AJ785" s="29" t="n">
        <f aca="false">IF(OR(AI785="",N(O785)=0),"",AI785+AG785/O785)</f>
        <v>-0.0699581160107475</v>
      </c>
      <c r="AK785" s="32" t="n">
        <f aca="false">IF(OR(AJ785="",N(AE785)=0),"",AJ785-AE785)</f>
        <v>0</v>
      </c>
      <c r="AL785" s="33" t="n">
        <f aca="false">IF(N(F785)=0,"",INDEX(Inputs!$B$28:$B$32,IFERROR(MATCH(F785,Inputs!$A$28:$A$32,1),0)+1))</f>
        <v>0.075</v>
      </c>
      <c r="AM785" s="34"/>
      <c r="AN785" s="33" t="n">
        <f aca="false">IF(N(AM785)&gt;0,AM785,AL785)</f>
        <v>0.075</v>
      </c>
      <c r="AO785" s="29" t="n">
        <f aca="false">IF(N(AN785)=0,"",AN785+IF(I785="yes",AN785*Inputs!$B$10*Inputs!$B$9,0)+IFERROR(INDEX(Inputs!$B$13:$B$15,MATCH(G785,Inputs!$A$13:$A$15,0)),0)+IFERROR(INDEX(Inputs!$B$18:$B$24,MATCH(H785,Inputs!$A$18:$A$24,0)),0))</f>
        <v>0.07125</v>
      </c>
      <c r="AP785" s="28" t="n">
        <f aca="false">IF(OR(N(AO785)&lt;=0,N(AG785)=0,N(L785)=0),"",MIN(L785,AG785/AO785))</f>
        <v>15.3508771929825</v>
      </c>
      <c r="AQ785" s="29" t="n">
        <f aca="false">IF(OR(AP785="",N(O785)=0),"",AP785/O785-1)</f>
        <v>-0.0780253938148674</v>
      </c>
      <c r="AR785" s="29" t="n">
        <f aca="false">IF(OR(AQ785="",N(O785)=0),"",AQ785+AG785/O785)</f>
        <v>-0.0123347031241767</v>
      </c>
      <c r="AS785" s="32" t="n">
        <f aca="false">IF(OR(AR785="",N(AJ785)=0),"",AR785-AJ785)</f>
        <v>0.0576234128865708</v>
      </c>
      <c r="AT785" s="28" t="n">
        <v>25</v>
      </c>
      <c r="AU785" s="28" t="n">
        <v>1.09375</v>
      </c>
      <c r="AV785" s="28" t="n">
        <f aca="false">IF(N(AT785)&gt;0,AT785,L785)</f>
        <v>25</v>
      </c>
      <c r="AW785" s="28" t="n">
        <f aca="false">IF(AND(N(M785)&gt;0,N(AV785)&gt;0),M785*AV785,IF(N(AU785)&gt;0,AU785,N785))</f>
        <v>1.09375</v>
      </c>
      <c r="AX785" s="29" t="n">
        <f aca="false">IF(N(AN785)=0,"",AN785+IF(I785="yes",AN785*Inputs!$B$10*Inputs!$B$9,0)+IFERROR(INDEX(Inputs!$B$13:$B$15,MATCH(G785,Inputs!$A$13:$A$15,0)),0)+IFERROR(INDEX(Inputs!$B$18:$B$24,MATCH(H785,Inputs!$A$18:$A$24,0)),0))</f>
        <v>0.07125</v>
      </c>
      <c r="AY785" s="28" t="n">
        <f aca="false">IF(OR(N(AX785)&lt;=0,N(AW785)=0,N(AV785)=0),"",MIN(AV785,AW785/AX785))</f>
        <v>15.3508771929825</v>
      </c>
      <c r="AZ785" s="29" t="n">
        <f aca="false">IF(OR(AY785="",N(O785)=0),"",AY785/O785-1)</f>
        <v>-0.0780253938148674</v>
      </c>
      <c r="BA785" s="29" t="n">
        <f aca="false">IF(OR(AZ785="",N(O785)=0),"",AZ785+AW785/O785)</f>
        <v>-0.0123347031241767</v>
      </c>
      <c r="BB785" s="32" t="n">
        <f aca="false">IF(OR(BA785="",N(AR785)=0),"",BA785-AR785)</f>
        <v>0</v>
      </c>
      <c r="BC785" s="35" t="n">
        <f aca="false">IF(OR(BA785="",N(U785)=0),"",BA785-U785)</f>
        <v>0.0576234128865708</v>
      </c>
      <c r="BD785" s="37"/>
    </row>
    <row r="786" customFormat="false" ht="15" hidden="false" customHeight="false" outlineLevel="0" collapsed="false">
      <c r="A786" s="2" t="s">
        <v>1453</v>
      </c>
      <c r="B786" s="2" t="n">
        <v>164</v>
      </c>
      <c r="C786" s="2" t="s">
        <v>1575</v>
      </c>
      <c r="D786" s="2" t="s">
        <v>1572</v>
      </c>
      <c r="E786" s="2" t="s">
        <v>1573</v>
      </c>
      <c r="F786" s="27" t="n">
        <v>253100</v>
      </c>
      <c r="G786" s="2" t="s">
        <v>51</v>
      </c>
      <c r="H786" s="2" t="s">
        <v>58</v>
      </c>
      <c r="I786" s="2" t="s">
        <v>151</v>
      </c>
      <c r="J786" s="2" t="s">
        <v>145</v>
      </c>
      <c r="K786" s="2" t="n">
        <v>4</v>
      </c>
      <c r="L786" s="28" t="n">
        <v>25</v>
      </c>
      <c r="M786" s="29" t="n">
        <v>0.0425</v>
      </c>
      <c r="N786" s="28" t="n">
        <v>1.0625</v>
      </c>
      <c r="O786" s="28" t="n">
        <v>16.18</v>
      </c>
      <c r="P786" s="2" t="s">
        <v>146</v>
      </c>
      <c r="Q786" s="29" t="n">
        <v>0.08</v>
      </c>
      <c r="R786" s="30" t="n">
        <v>0.076</v>
      </c>
      <c r="S786" s="31" t="n">
        <v>13.9802631578947</v>
      </c>
      <c r="T786" s="30" t="n">
        <v>-0.135954069351376</v>
      </c>
      <c r="U786" s="30" t="n">
        <v>-0.0702865786220805</v>
      </c>
      <c r="V786" s="29" t="n">
        <v>0</v>
      </c>
      <c r="W786" s="29" t="n">
        <f aca="false">IF(N(Q786)=0,"",Q786+IF(I786="yes",Q786*Inputs!$B$10*Inputs!$B$9,0)+V786)</f>
        <v>0.076</v>
      </c>
      <c r="X786" s="28" t="n">
        <f aca="false">IF(OR(N(W786)&lt;=0,N(N786)=0,N(L786)=0),"",MIN(L786,N786/W786))</f>
        <v>13.9802631578947</v>
      </c>
      <c r="Y786" s="29" t="n">
        <f aca="false">IF(OR(X786="",N(O786)=0),"",X786/O786-1)</f>
        <v>-0.135954069351376</v>
      </c>
      <c r="Z786" s="29" t="n">
        <f aca="false">IF(OR(Y786="",N(O786)=0),"",Y786+N786/O786)</f>
        <v>-0.0702865786220805</v>
      </c>
      <c r="AA786" s="32" t="n">
        <f aca="false">IF(OR(Z786="",N(U786)=0),"",Z786-U786)</f>
        <v>0</v>
      </c>
      <c r="AB786" s="29" t="n">
        <f aca="false">IF(N(Q786)=0,"",Q786+IF(I786="yes",Q786*Inputs!$B$10*Inputs!$B$9,0)+IFERROR(INDEX(Inputs!$B$13:$B$15,MATCH(G786,Inputs!$A$13:$A$15,0)),0)+IFERROR(INDEX(Inputs!$B$18:$B$24,MATCH(H786,Inputs!$A$18:$A$24,0)),0))</f>
        <v>0.076</v>
      </c>
      <c r="AC786" s="28" t="n">
        <f aca="false">IF(OR(N(AB786)&lt;=0,N(N786)=0,N(L786)=0),"",MIN(L786,N786/AB786))</f>
        <v>13.9802631578947</v>
      </c>
      <c r="AD786" s="29" t="n">
        <f aca="false">IF(OR(AC786="",N(O786)=0),"",AC786/O786-1)</f>
        <v>-0.135954069351376</v>
      </c>
      <c r="AE786" s="29" t="n">
        <f aca="false">IF(OR(AD786="",N(O786)=0),"",AD786+N786/O786)</f>
        <v>-0.0702865786220805</v>
      </c>
      <c r="AF786" s="32" t="n">
        <f aca="false">IF(OR(AE786="",N(Z786)=0),"",AE786-Z786)</f>
        <v>0</v>
      </c>
      <c r="AG786" s="28" t="n">
        <f aca="false">IF(AND(N(M786)&gt;0,N(L786)&gt;0),M786*L786,N786)</f>
        <v>1.0625</v>
      </c>
      <c r="AH786" s="28" t="n">
        <f aca="false">IF(OR(N(AB786)&lt;=0,N(AG786)=0,N(L786)=0),"",MIN(L786,AG786/AB786))</f>
        <v>13.9802631578947</v>
      </c>
      <c r="AI786" s="29" t="n">
        <f aca="false">IF(OR(AH786="",N(O786)=0),"",AH786/O786-1)</f>
        <v>-0.135954069351376</v>
      </c>
      <c r="AJ786" s="29" t="n">
        <f aca="false">IF(OR(AI786="",N(O786)=0),"",AI786+AG786/O786)</f>
        <v>-0.0702865786220805</v>
      </c>
      <c r="AK786" s="32" t="n">
        <f aca="false">IF(OR(AJ786="",N(AE786)=0),"",AJ786-AE786)</f>
        <v>0</v>
      </c>
      <c r="AL786" s="33" t="n">
        <f aca="false">IF(N(F786)=0,"",INDEX(Inputs!$B$28:$B$32,IFERROR(MATCH(F786,Inputs!$A$28:$A$32,1),0)+1))</f>
        <v>0.075</v>
      </c>
      <c r="AM786" s="34"/>
      <c r="AN786" s="33" t="n">
        <f aca="false">IF(N(AM786)&gt;0,AM786,AL786)</f>
        <v>0.075</v>
      </c>
      <c r="AO786" s="29" t="n">
        <f aca="false">IF(N(AN786)=0,"",AN786+IF(I786="yes",AN786*Inputs!$B$10*Inputs!$B$9,0)+IFERROR(INDEX(Inputs!$B$13:$B$15,MATCH(G786,Inputs!$A$13:$A$15,0)),0)+IFERROR(INDEX(Inputs!$B$18:$B$24,MATCH(H786,Inputs!$A$18:$A$24,0)),0))</f>
        <v>0.07125</v>
      </c>
      <c r="AP786" s="28" t="n">
        <f aca="false">IF(OR(N(AO786)&lt;=0,N(AG786)=0,N(L786)=0),"",MIN(L786,AG786/AO786))</f>
        <v>14.9122807017544</v>
      </c>
      <c r="AQ786" s="29" t="n">
        <f aca="false">IF(OR(AP786="",N(O786)=0),"",AP786/O786-1)</f>
        <v>-0.0783510073081343</v>
      </c>
      <c r="AR786" s="29" t="n">
        <f aca="false">IF(OR(AQ786="",N(O786)=0),"",AQ786+AG786/O786)</f>
        <v>-0.0126835165788388</v>
      </c>
      <c r="AS786" s="32" t="n">
        <f aca="false">IF(OR(AR786="",N(AJ786)=0),"",AR786-AJ786)</f>
        <v>0.0576030620432416</v>
      </c>
      <c r="AT786" s="28" t="n">
        <v>25</v>
      </c>
      <c r="AU786" s="28" t="n">
        <v>1.0625</v>
      </c>
      <c r="AV786" s="28" t="n">
        <f aca="false">IF(N(AT786)&gt;0,AT786,L786)</f>
        <v>25</v>
      </c>
      <c r="AW786" s="28" t="n">
        <f aca="false">IF(AND(N(M786)&gt;0,N(AV786)&gt;0),M786*AV786,IF(N(AU786)&gt;0,AU786,N786))</f>
        <v>1.0625</v>
      </c>
      <c r="AX786" s="29" t="n">
        <f aca="false">IF(N(AN786)=0,"",AN786+IF(I786="yes",AN786*Inputs!$B$10*Inputs!$B$9,0)+IFERROR(INDEX(Inputs!$B$13:$B$15,MATCH(G786,Inputs!$A$13:$A$15,0)),0)+IFERROR(INDEX(Inputs!$B$18:$B$24,MATCH(H786,Inputs!$A$18:$A$24,0)),0))</f>
        <v>0.07125</v>
      </c>
      <c r="AY786" s="28" t="n">
        <f aca="false">IF(OR(N(AX786)&lt;=0,N(AW786)=0,N(AV786)=0),"",MIN(AV786,AW786/AX786))</f>
        <v>14.9122807017544</v>
      </c>
      <c r="AZ786" s="29" t="n">
        <f aca="false">IF(OR(AY786="",N(O786)=0),"",AY786/O786-1)</f>
        <v>-0.0783510073081343</v>
      </c>
      <c r="BA786" s="29" t="n">
        <f aca="false">IF(OR(AZ786="",N(O786)=0),"",AZ786+AW786/O786)</f>
        <v>-0.0126835165788388</v>
      </c>
      <c r="BB786" s="32" t="n">
        <f aca="false">IF(OR(BA786="",N(AR786)=0),"",BA786-AR786)</f>
        <v>0</v>
      </c>
      <c r="BC786" s="35" t="n">
        <f aca="false">IF(OR(BA786="",N(U786)=0),"",BA786-U786)</f>
        <v>0.0576030620432416</v>
      </c>
      <c r="BD786" s="37"/>
    </row>
    <row r="787" customFormat="false" ht="15" hidden="false" customHeight="false" outlineLevel="0" collapsed="false">
      <c r="A787" s="2" t="s">
        <v>1453</v>
      </c>
      <c r="B787" s="2" t="n">
        <v>165</v>
      </c>
      <c r="C787" s="2" t="s">
        <v>1576</v>
      </c>
      <c r="D787" s="2" t="s">
        <v>1572</v>
      </c>
      <c r="E787" s="2" t="s">
        <v>1573</v>
      </c>
      <c r="F787" s="27" t="n">
        <v>253100</v>
      </c>
      <c r="G787" s="2" t="s">
        <v>51</v>
      </c>
      <c r="H787" s="2" t="s">
        <v>58</v>
      </c>
      <c r="I787" s="2" t="s">
        <v>151</v>
      </c>
      <c r="J787" s="2" t="s">
        <v>145</v>
      </c>
      <c r="K787" s="2" t="n">
        <v>4</v>
      </c>
      <c r="L787" s="28" t="n">
        <v>1000</v>
      </c>
      <c r="M787" s="29" t="n">
        <v>0.075</v>
      </c>
      <c r="N787" s="28" t="n">
        <v>75</v>
      </c>
      <c r="O787" s="28" t="n">
        <v>1164.7</v>
      </c>
      <c r="P787" s="2" t="s">
        <v>146</v>
      </c>
      <c r="Q787" s="29" t="n">
        <v>0.08</v>
      </c>
      <c r="R787" s="30" t="n">
        <v>0.076</v>
      </c>
      <c r="S787" s="31" t="n">
        <v>986.842105263158</v>
      </c>
      <c r="T787" s="30" t="n">
        <v>-0.152707044506604</v>
      </c>
      <c r="U787" s="30" t="n">
        <v>-0.0883127798891063</v>
      </c>
      <c r="V787" s="29" t="n">
        <v>0</v>
      </c>
      <c r="W787" s="29" t="n">
        <f aca="false">IF(N(Q787)=0,"",Q787+IF(I787="yes",Q787*Inputs!$B$10*Inputs!$B$9,0)+V787)</f>
        <v>0.076</v>
      </c>
      <c r="X787" s="28" t="n">
        <f aca="false">IF(OR(N(W787)&lt;=0,N(N787)=0,N(L787)=0),"",MIN(L787,N787/W787))</f>
        <v>986.842105263158</v>
      </c>
      <c r="Y787" s="29" t="n">
        <f aca="false">IF(OR(X787="",N(O787)=0),"",X787/O787-1)</f>
        <v>-0.152707044506604</v>
      </c>
      <c r="Z787" s="29" t="n">
        <f aca="false">IF(OR(Y787="",N(O787)=0),"",Y787+N787/O787)</f>
        <v>-0.0883127798891063</v>
      </c>
      <c r="AA787" s="32" t="n">
        <f aca="false">IF(OR(Z787="",N(U787)=0),"",Z787-U787)</f>
        <v>0</v>
      </c>
      <c r="AB787" s="29" t="n">
        <f aca="false">IF(N(Q787)=0,"",Q787+IF(I787="yes",Q787*Inputs!$B$10*Inputs!$B$9,0)+IFERROR(INDEX(Inputs!$B$13:$B$15,MATCH(G787,Inputs!$A$13:$A$15,0)),0)+IFERROR(INDEX(Inputs!$B$18:$B$24,MATCH(H787,Inputs!$A$18:$A$24,0)),0))</f>
        <v>0.076</v>
      </c>
      <c r="AC787" s="28" t="n">
        <f aca="false">IF(OR(N(AB787)&lt;=0,N(N787)=0,N(L787)=0),"",MIN(L787,N787/AB787))</f>
        <v>986.842105263158</v>
      </c>
      <c r="AD787" s="29" t="n">
        <f aca="false">IF(OR(AC787="",N(O787)=0),"",AC787/O787-1)</f>
        <v>-0.152707044506604</v>
      </c>
      <c r="AE787" s="29" t="n">
        <f aca="false">IF(OR(AD787="",N(O787)=0),"",AD787+N787/O787)</f>
        <v>-0.0883127798891063</v>
      </c>
      <c r="AF787" s="32" t="n">
        <f aca="false">IF(OR(AE787="",N(Z787)=0),"",AE787-Z787)</f>
        <v>0</v>
      </c>
      <c r="AG787" s="28" t="n">
        <f aca="false">IF(AND(N(M787)&gt;0,N(L787)&gt;0),M787*L787,N787)</f>
        <v>75</v>
      </c>
      <c r="AH787" s="28" t="n">
        <f aca="false">IF(OR(N(AB787)&lt;=0,N(AG787)=0,N(L787)=0),"",MIN(L787,AG787/AB787))</f>
        <v>986.842105263158</v>
      </c>
      <c r="AI787" s="29" t="n">
        <f aca="false">IF(OR(AH787="",N(O787)=0),"",AH787/O787-1)</f>
        <v>-0.152707044506604</v>
      </c>
      <c r="AJ787" s="29" t="n">
        <f aca="false">IF(OR(AI787="",N(O787)=0),"",AI787+AG787/O787)</f>
        <v>-0.0883127798891063</v>
      </c>
      <c r="AK787" s="32" t="n">
        <f aca="false">IF(OR(AJ787="",N(AE787)=0),"",AJ787-AE787)</f>
        <v>0</v>
      </c>
      <c r="AL787" s="33" t="n">
        <f aca="false">IF(N(F787)=0,"",INDEX(Inputs!$B$28:$B$32,IFERROR(MATCH(F787,Inputs!$A$28:$A$32,1),0)+1))</f>
        <v>0.075</v>
      </c>
      <c r="AM787" s="34"/>
      <c r="AN787" s="33" t="n">
        <f aca="false">IF(N(AM787)&gt;0,AM787,AL787)</f>
        <v>0.075</v>
      </c>
      <c r="AO787" s="29" t="n">
        <f aca="false">IF(N(AN787)=0,"",AN787+IF(I787="yes",AN787*Inputs!$B$10*Inputs!$B$9,0)+IFERROR(INDEX(Inputs!$B$13:$B$15,MATCH(G787,Inputs!$A$13:$A$15,0)),0)+IFERROR(INDEX(Inputs!$B$18:$B$24,MATCH(H787,Inputs!$A$18:$A$24,0)),0))</f>
        <v>0.07125</v>
      </c>
      <c r="AP787" s="28" t="n">
        <f aca="false">IF(OR(N(AO787)&lt;=0,N(AG787)=0,N(L787)=0),"",MIN(L787,AG787/AO787))</f>
        <v>1000</v>
      </c>
      <c r="AQ787" s="29" t="n">
        <f aca="false">IF(OR(AP787="",N(O787)=0),"",AP787/O787-1)</f>
        <v>-0.141409805100026</v>
      </c>
      <c r="AR787" s="29" t="n">
        <f aca="false">IF(OR(AQ787="",N(O787)=0),"",AQ787+AG787/O787)</f>
        <v>-0.0770155404825277</v>
      </c>
      <c r="AS787" s="32" t="n">
        <f aca="false">IF(OR(AR787="",N(AJ787)=0),"",AR787-AJ787)</f>
        <v>0.0112972394065786</v>
      </c>
      <c r="AT787" s="28" t="n">
        <v>1000</v>
      </c>
      <c r="AU787" s="28" t="n">
        <v>75</v>
      </c>
      <c r="AV787" s="28" t="n">
        <f aca="false">IF(N(AT787)&gt;0,AT787,L787)</f>
        <v>1000</v>
      </c>
      <c r="AW787" s="28" t="n">
        <f aca="false">IF(AND(N(M787)&gt;0,N(AV787)&gt;0),M787*AV787,IF(N(AU787)&gt;0,AU787,N787))</f>
        <v>75</v>
      </c>
      <c r="AX787" s="29" t="n">
        <f aca="false">IF(N(AN787)=0,"",AN787+IF(I787="yes",AN787*Inputs!$B$10*Inputs!$B$9,0)+IFERROR(INDEX(Inputs!$B$13:$B$15,MATCH(G787,Inputs!$A$13:$A$15,0)),0)+IFERROR(INDEX(Inputs!$B$18:$B$24,MATCH(H787,Inputs!$A$18:$A$24,0)),0))</f>
        <v>0.07125</v>
      </c>
      <c r="AY787" s="28" t="n">
        <f aca="false">IF(OR(N(AX787)&lt;=0,N(AW787)=0,N(AV787)=0),"",MIN(AV787,AW787/AX787))</f>
        <v>1000</v>
      </c>
      <c r="AZ787" s="29" t="n">
        <f aca="false">IF(OR(AY787="",N(O787)=0),"",AY787/O787-1)</f>
        <v>-0.141409805100026</v>
      </c>
      <c r="BA787" s="29" t="n">
        <f aca="false">IF(OR(AZ787="",N(O787)=0),"",AZ787+AW787/O787)</f>
        <v>-0.0770155404825277</v>
      </c>
      <c r="BB787" s="32" t="n">
        <f aca="false">IF(OR(BA787="",N(AR787)=0),"",BA787-AR787)</f>
        <v>0</v>
      </c>
      <c r="BC787" s="35" t="n">
        <f aca="false">IF(OR(BA787="",N(U787)=0),"",BA787-U787)</f>
        <v>0.0112972394065786</v>
      </c>
      <c r="BD787" s="37"/>
    </row>
    <row r="788" customFormat="false" ht="15" hidden="false" customHeight="false" outlineLevel="0" collapsed="false">
      <c r="A788" s="2" t="s">
        <v>1453</v>
      </c>
      <c r="B788" s="2" t="n">
        <v>166</v>
      </c>
      <c r="C788" s="2" t="s">
        <v>1577</v>
      </c>
      <c r="D788" s="2" t="s">
        <v>1572</v>
      </c>
      <c r="E788" s="2" t="s">
        <v>1573</v>
      </c>
      <c r="F788" s="27" t="n">
        <v>253100</v>
      </c>
      <c r="G788" s="2" t="s">
        <v>51</v>
      </c>
      <c r="H788" s="2" t="s">
        <v>59</v>
      </c>
      <c r="I788" s="2" t="s">
        <v>151</v>
      </c>
      <c r="J788" s="2" t="s">
        <v>145</v>
      </c>
      <c r="K788" s="2" t="n">
        <v>4</v>
      </c>
      <c r="L788" s="28" t="n">
        <v>25</v>
      </c>
      <c r="M788" s="29" t="n">
        <v>0.06625</v>
      </c>
      <c r="N788" s="28" t="n">
        <v>1.65625</v>
      </c>
      <c r="O788" s="28" t="n">
        <v>0</v>
      </c>
      <c r="P788" s="2" t="s">
        <v>146</v>
      </c>
      <c r="Q788" s="29" t="n">
        <v>0.08</v>
      </c>
      <c r="R788" s="30" t="n">
        <v>0.076</v>
      </c>
      <c r="S788" s="31" t="n">
        <v>21.7927631578947</v>
      </c>
      <c r="T788" s="30"/>
      <c r="U788" s="30"/>
      <c r="V788" s="29" t="n">
        <v>0</v>
      </c>
      <c r="W788" s="29" t="n">
        <f aca="false">IF(N(Q788)=0,"",Q788+IF(I788="yes",Q788*Inputs!$B$10*Inputs!$B$9,0)+V788)</f>
        <v>0.076</v>
      </c>
      <c r="X788" s="28" t="n">
        <f aca="false">IF(OR(N(W788)&lt;=0,N(N788)=0,N(L788)=0),"",MIN(L788,N788/W788))</f>
        <v>21.7927631578947</v>
      </c>
      <c r="Y788" s="29" t="str">
        <f aca="false">IF(OR(X788="",N(O788)=0),"",X788/O788-1)</f>
        <v/>
      </c>
      <c r="Z788" s="29" t="str">
        <f aca="false">IF(OR(Y788="",N(O788)=0),"",Y788+N788/O788)</f>
        <v/>
      </c>
      <c r="AA788" s="32" t="str">
        <f aca="false">IF(OR(Z788="",N(U788)=0),"",Z788-U788)</f>
        <v/>
      </c>
      <c r="AB788" s="29" t="n">
        <f aca="false">IF(N(Q788)=0,"",Q788+IF(I788="yes",Q788*Inputs!$B$10*Inputs!$B$9,0)+IFERROR(INDEX(Inputs!$B$13:$B$15,MATCH(G788,Inputs!$A$13:$A$15,0)),0)+IFERROR(INDEX(Inputs!$B$18:$B$24,MATCH(H788,Inputs!$A$18:$A$24,0)),0))</f>
        <v>0.076</v>
      </c>
      <c r="AC788" s="28" t="n">
        <f aca="false">IF(OR(N(AB788)&lt;=0,N(N788)=0,N(L788)=0),"",MIN(L788,N788/AB788))</f>
        <v>21.7927631578947</v>
      </c>
      <c r="AD788" s="29" t="str">
        <f aca="false">IF(OR(AC788="",N(O788)=0),"",AC788/O788-1)</f>
        <v/>
      </c>
      <c r="AE788" s="29" t="str">
        <f aca="false">IF(OR(AD788="",N(O788)=0),"",AD788+N788/O788)</f>
        <v/>
      </c>
      <c r="AF788" s="32" t="str">
        <f aca="false">IF(OR(AE788="",N(Z788)=0),"",AE788-Z788)</f>
        <v/>
      </c>
      <c r="AG788" s="28" t="n">
        <f aca="false">IF(AND(N(M788)&gt;0,N(L788)&gt;0),M788*L788,N788)</f>
        <v>1.65625</v>
      </c>
      <c r="AH788" s="28" t="n">
        <f aca="false">IF(OR(N(AB788)&lt;=0,N(AG788)=0,N(L788)=0),"",MIN(L788,AG788/AB788))</f>
        <v>21.7927631578947</v>
      </c>
      <c r="AI788" s="29" t="str">
        <f aca="false">IF(OR(AH788="",N(O788)=0),"",AH788/O788-1)</f>
        <v/>
      </c>
      <c r="AJ788" s="29" t="str">
        <f aca="false">IF(OR(AI788="",N(O788)=0),"",AI788+AG788/O788)</f>
        <v/>
      </c>
      <c r="AK788" s="32" t="str">
        <f aca="false">IF(OR(AJ788="",N(AE788)=0),"",AJ788-AE788)</f>
        <v/>
      </c>
      <c r="AL788" s="33" t="n">
        <f aca="false">IF(N(F788)=0,"",INDEX(Inputs!$B$28:$B$32,IFERROR(MATCH(F788,Inputs!$A$28:$A$32,1),0)+1))</f>
        <v>0.075</v>
      </c>
      <c r="AM788" s="34"/>
      <c r="AN788" s="33" t="n">
        <f aca="false">IF(N(AM788)&gt;0,AM788,AL788)</f>
        <v>0.075</v>
      </c>
      <c r="AO788" s="29" t="n">
        <f aca="false">IF(N(AN788)=0,"",AN788+IF(I788="yes",AN788*Inputs!$B$10*Inputs!$B$9,0)+IFERROR(INDEX(Inputs!$B$13:$B$15,MATCH(G788,Inputs!$A$13:$A$15,0)),0)+IFERROR(INDEX(Inputs!$B$18:$B$24,MATCH(H788,Inputs!$A$18:$A$24,0)),0))</f>
        <v>0.07125</v>
      </c>
      <c r="AP788" s="28" t="n">
        <f aca="false">IF(OR(N(AO788)&lt;=0,N(AG788)=0,N(L788)=0),"",MIN(L788,AG788/AO788))</f>
        <v>23.2456140350877</v>
      </c>
      <c r="AQ788" s="29" t="str">
        <f aca="false">IF(OR(AP788="",N(O788)=0),"",AP788/O788-1)</f>
        <v/>
      </c>
      <c r="AR788" s="29" t="str">
        <f aca="false">IF(OR(AQ788="",N(O788)=0),"",AQ788+AG788/O788)</f>
        <v/>
      </c>
      <c r="AS788" s="32" t="str">
        <f aca="false">IF(OR(AR788="",N(AJ788)=0),"",AR788-AJ788)</f>
        <v/>
      </c>
      <c r="AT788" s="28"/>
      <c r="AU788" s="28"/>
      <c r="AV788" s="28" t="n">
        <f aca="false">IF(N(AT788)&gt;0,AT788,L788)</f>
        <v>25</v>
      </c>
      <c r="AW788" s="28" t="n">
        <f aca="false">IF(AND(N(M788)&gt;0,N(AV788)&gt;0),M788*AV788,IF(N(AU788)&gt;0,AU788,N788))</f>
        <v>1.65625</v>
      </c>
      <c r="AX788" s="29" t="n">
        <f aca="false">IF(N(AN788)=0,"",AN788+IF(I788="yes",AN788*Inputs!$B$10*Inputs!$B$9,0)+IFERROR(INDEX(Inputs!$B$13:$B$15,MATCH(G788,Inputs!$A$13:$A$15,0)),0)+IFERROR(INDEX(Inputs!$B$18:$B$24,MATCH(H788,Inputs!$A$18:$A$24,0)),0))</f>
        <v>0.07125</v>
      </c>
      <c r="AY788" s="28" t="n">
        <f aca="false">IF(OR(N(AX788)&lt;=0,N(AW788)=0,N(AV788)=0),"",MIN(AV788,AW788/AX788))</f>
        <v>23.2456140350877</v>
      </c>
      <c r="AZ788" s="29" t="str">
        <f aca="false">IF(OR(AY788="",N(O788)=0),"",AY788/O788-1)</f>
        <v/>
      </c>
      <c r="BA788" s="29" t="str">
        <f aca="false">IF(OR(AZ788="",N(O788)=0),"",AZ788+AW788/O788)</f>
        <v/>
      </c>
      <c r="BB788" s="32" t="str">
        <f aca="false">IF(OR(BA788="",N(AR788)=0),"",BA788-AR788)</f>
        <v/>
      </c>
      <c r="BC788" s="35" t="str">
        <f aca="false">IF(OR(BA788="",N(U788)=0),"",BA788-U788)</f>
        <v/>
      </c>
      <c r="BD788" s="36" t="s">
        <v>198</v>
      </c>
    </row>
    <row r="789" customFormat="false" ht="15" hidden="false" customHeight="false" outlineLevel="0" collapsed="false">
      <c r="A789" s="2" t="s">
        <v>1453</v>
      </c>
      <c r="B789" s="2" t="n">
        <v>167</v>
      </c>
      <c r="C789" s="2" t="s">
        <v>1578</v>
      </c>
      <c r="D789" s="2" t="s">
        <v>1572</v>
      </c>
      <c r="E789" s="2" t="s">
        <v>1573</v>
      </c>
      <c r="F789" s="27" t="n">
        <v>253100</v>
      </c>
      <c r="G789" s="2" t="s">
        <v>51</v>
      </c>
      <c r="H789" s="2" t="s">
        <v>58</v>
      </c>
      <c r="I789" s="2" t="s">
        <v>151</v>
      </c>
      <c r="J789" s="2" t="s">
        <v>145</v>
      </c>
      <c r="K789" s="2" t="n">
        <v>4</v>
      </c>
      <c r="L789" s="28" t="n">
        <v>25</v>
      </c>
      <c r="M789" s="29" t="n">
        <v>0.05625</v>
      </c>
      <c r="N789" s="28" t="n">
        <v>1.40625</v>
      </c>
      <c r="O789" s="28" t="n">
        <v>21.88</v>
      </c>
      <c r="P789" s="2" t="s">
        <v>146</v>
      </c>
      <c r="Q789" s="29" t="n">
        <v>0.08</v>
      </c>
      <c r="R789" s="30" t="n">
        <v>0.076</v>
      </c>
      <c r="S789" s="31" t="n">
        <v>18.5032894736842</v>
      </c>
      <c r="T789" s="30" t="n">
        <v>-0.154328634657943</v>
      </c>
      <c r="U789" s="30" t="n">
        <v>-0.0900576108919464</v>
      </c>
      <c r="V789" s="29" t="n">
        <v>0</v>
      </c>
      <c r="W789" s="29" t="n">
        <f aca="false">IF(N(Q789)=0,"",Q789+IF(I789="yes",Q789*Inputs!$B$10*Inputs!$B$9,0)+V789)</f>
        <v>0.076</v>
      </c>
      <c r="X789" s="28" t="n">
        <f aca="false">IF(OR(N(W789)&lt;=0,N(N789)=0,N(L789)=0),"",MIN(L789,N789/W789))</f>
        <v>18.5032894736842</v>
      </c>
      <c r="Y789" s="29" t="n">
        <f aca="false">IF(OR(X789="",N(O789)=0),"",X789/O789-1)</f>
        <v>-0.154328634657943</v>
      </c>
      <c r="Z789" s="29" t="n">
        <f aca="false">IF(OR(Y789="",N(O789)=0),"",Y789+N789/O789)</f>
        <v>-0.0900576108919464</v>
      </c>
      <c r="AA789" s="32" t="n">
        <f aca="false">IF(OR(Z789="",N(U789)=0),"",Z789-U789)</f>
        <v>0</v>
      </c>
      <c r="AB789" s="29" t="n">
        <f aca="false">IF(N(Q789)=0,"",Q789+IF(I789="yes",Q789*Inputs!$B$10*Inputs!$B$9,0)+IFERROR(INDEX(Inputs!$B$13:$B$15,MATCH(G789,Inputs!$A$13:$A$15,0)),0)+IFERROR(INDEX(Inputs!$B$18:$B$24,MATCH(H789,Inputs!$A$18:$A$24,0)),0))</f>
        <v>0.076</v>
      </c>
      <c r="AC789" s="28" t="n">
        <f aca="false">IF(OR(N(AB789)&lt;=0,N(N789)=0,N(L789)=0),"",MIN(L789,N789/AB789))</f>
        <v>18.5032894736842</v>
      </c>
      <c r="AD789" s="29" t="n">
        <f aca="false">IF(OR(AC789="",N(O789)=0),"",AC789/O789-1)</f>
        <v>-0.154328634657943</v>
      </c>
      <c r="AE789" s="29" t="n">
        <f aca="false">IF(OR(AD789="",N(O789)=0),"",AD789+N789/O789)</f>
        <v>-0.0900576108919464</v>
      </c>
      <c r="AF789" s="32" t="n">
        <f aca="false">IF(OR(AE789="",N(Z789)=0),"",AE789-Z789)</f>
        <v>0</v>
      </c>
      <c r="AG789" s="28" t="n">
        <f aca="false">IF(AND(N(M789)&gt;0,N(L789)&gt;0),M789*L789,N789)</f>
        <v>1.40625</v>
      </c>
      <c r="AH789" s="28" t="n">
        <f aca="false">IF(OR(N(AB789)&lt;=0,N(AG789)=0,N(L789)=0),"",MIN(L789,AG789/AB789))</f>
        <v>18.5032894736842</v>
      </c>
      <c r="AI789" s="29" t="n">
        <f aca="false">IF(OR(AH789="",N(O789)=0),"",AH789/O789-1)</f>
        <v>-0.154328634657943</v>
      </c>
      <c r="AJ789" s="29" t="n">
        <f aca="false">IF(OR(AI789="",N(O789)=0),"",AI789+AG789/O789)</f>
        <v>-0.0900576108919464</v>
      </c>
      <c r="AK789" s="32" t="n">
        <f aca="false">IF(OR(AJ789="",N(AE789)=0),"",AJ789-AE789)</f>
        <v>0</v>
      </c>
      <c r="AL789" s="33" t="n">
        <f aca="false">IF(N(F789)=0,"",INDEX(Inputs!$B$28:$B$32,IFERROR(MATCH(F789,Inputs!$A$28:$A$32,1),0)+1))</f>
        <v>0.075</v>
      </c>
      <c r="AM789" s="34"/>
      <c r="AN789" s="33" t="n">
        <f aca="false">IF(N(AM789)&gt;0,AM789,AL789)</f>
        <v>0.075</v>
      </c>
      <c r="AO789" s="29" t="n">
        <f aca="false">IF(N(AN789)=0,"",AN789+IF(I789="yes",AN789*Inputs!$B$10*Inputs!$B$9,0)+IFERROR(INDEX(Inputs!$B$13:$B$15,MATCH(G789,Inputs!$A$13:$A$15,0)),0)+IFERROR(INDEX(Inputs!$B$18:$B$24,MATCH(H789,Inputs!$A$18:$A$24,0)),0))</f>
        <v>0.07125</v>
      </c>
      <c r="AP789" s="28" t="n">
        <f aca="false">IF(OR(N(AO789)&lt;=0,N(AG789)=0,N(L789)=0),"",MIN(L789,AG789/AO789))</f>
        <v>19.7368421052632</v>
      </c>
      <c r="AQ789" s="29" t="n">
        <f aca="false">IF(OR(AP789="",N(O789)=0),"",AP789/O789-1)</f>
        <v>-0.0979505436351389</v>
      </c>
      <c r="AR789" s="29" t="n">
        <f aca="false">IF(OR(AQ789="",N(O789)=0),"",AQ789+AG789/O789)</f>
        <v>-0.0336795198691425</v>
      </c>
      <c r="AS789" s="32" t="n">
        <f aca="false">IF(OR(AR789="",N(AJ789)=0),"",AR789-AJ789)</f>
        <v>0.0563780910228039</v>
      </c>
      <c r="AT789" s="28" t="n">
        <v>25</v>
      </c>
      <c r="AU789" s="28" t="n">
        <v>1.41</v>
      </c>
      <c r="AV789" s="28" t="n">
        <f aca="false">IF(N(AT789)&gt;0,AT789,L789)</f>
        <v>25</v>
      </c>
      <c r="AW789" s="28" t="n">
        <f aca="false">IF(AND(N(M789)&gt;0,N(AV789)&gt;0),M789*AV789,IF(N(AU789)&gt;0,AU789,N789))</f>
        <v>1.40625</v>
      </c>
      <c r="AX789" s="29" t="n">
        <f aca="false">IF(N(AN789)=0,"",AN789+IF(I789="yes",AN789*Inputs!$B$10*Inputs!$B$9,0)+IFERROR(INDEX(Inputs!$B$13:$B$15,MATCH(G789,Inputs!$A$13:$A$15,0)),0)+IFERROR(INDEX(Inputs!$B$18:$B$24,MATCH(H789,Inputs!$A$18:$A$24,0)),0))</f>
        <v>0.07125</v>
      </c>
      <c r="AY789" s="28" t="n">
        <f aca="false">IF(OR(N(AX789)&lt;=0,N(AW789)=0,N(AV789)=0),"",MIN(AV789,AW789/AX789))</f>
        <v>19.7368421052632</v>
      </c>
      <c r="AZ789" s="29" t="n">
        <f aca="false">IF(OR(AY789="",N(O789)=0),"",AY789/O789-1)</f>
        <v>-0.0979505436351389</v>
      </c>
      <c r="BA789" s="29" t="n">
        <f aca="false">IF(OR(AZ789="",N(O789)=0),"",AZ789+AW789/O789)</f>
        <v>-0.0336795198691425</v>
      </c>
      <c r="BB789" s="32" t="n">
        <f aca="false">IF(OR(BA789="",N(AR789)=0),"",BA789-AR789)</f>
        <v>0</v>
      </c>
      <c r="BC789" s="35" t="n">
        <f aca="false">IF(OR(BA789="",N(U789)=0),"",BA789-U789)</f>
        <v>0.0563780910228039</v>
      </c>
      <c r="BD789" s="37"/>
    </row>
    <row r="790" customFormat="false" ht="15" hidden="false" customHeight="false" outlineLevel="0" collapsed="false">
      <c r="A790" s="2" t="s">
        <v>1453</v>
      </c>
      <c r="B790" s="2" t="n">
        <v>168</v>
      </c>
      <c r="C790" s="2" t="s">
        <v>1579</v>
      </c>
      <c r="D790" s="2" t="s">
        <v>1572</v>
      </c>
      <c r="E790" s="2" t="s">
        <v>1573</v>
      </c>
      <c r="F790" s="27" t="n">
        <v>253100</v>
      </c>
      <c r="G790" s="2" t="s">
        <v>51</v>
      </c>
      <c r="H790" s="2" t="s">
        <v>58</v>
      </c>
      <c r="I790" s="2" t="s">
        <v>151</v>
      </c>
      <c r="J790" s="2" t="s">
        <v>145</v>
      </c>
      <c r="K790" s="2" t="n">
        <v>4</v>
      </c>
      <c r="L790" s="28" t="n">
        <v>25</v>
      </c>
      <c r="M790" s="29" t="n">
        <v>0.0475</v>
      </c>
      <c r="N790" s="28" t="n">
        <v>1.1875</v>
      </c>
      <c r="O790" s="28" t="n">
        <v>18.07</v>
      </c>
      <c r="P790" s="2" t="s">
        <v>146</v>
      </c>
      <c r="Q790" s="29" t="n">
        <v>0.08</v>
      </c>
      <c r="R790" s="30" t="n">
        <v>0.076</v>
      </c>
      <c r="S790" s="31" t="n">
        <v>15.625</v>
      </c>
      <c r="T790" s="30" t="n">
        <v>-0.135307138904261</v>
      </c>
      <c r="U790" s="30" t="n">
        <v>-0.0695904814609851</v>
      </c>
      <c r="V790" s="29" t="n">
        <v>0</v>
      </c>
      <c r="W790" s="29" t="n">
        <f aca="false">IF(N(Q790)=0,"",Q790+IF(I790="yes",Q790*Inputs!$B$10*Inputs!$B$9,0)+V790)</f>
        <v>0.076</v>
      </c>
      <c r="X790" s="28" t="n">
        <f aca="false">IF(OR(N(W790)&lt;=0,N(N790)=0,N(L790)=0),"",MIN(L790,N790/W790))</f>
        <v>15.625</v>
      </c>
      <c r="Y790" s="29" t="n">
        <f aca="false">IF(OR(X790="",N(O790)=0),"",X790/O790-1)</f>
        <v>-0.135307138904261</v>
      </c>
      <c r="Z790" s="29" t="n">
        <f aca="false">IF(OR(Y790="",N(O790)=0),"",Y790+N790/O790)</f>
        <v>-0.0695904814609851</v>
      </c>
      <c r="AA790" s="32" t="n">
        <f aca="false">IF(OR(Z790="",N(U790)=0),"",Z790-U790)</f>
        <v>0</v>
      </c>
      <c r="AB790" s="29" t="n">
        <f aca="false">IF(N(Q790)=0,"",Q790+IF(I790="yes",Q790*Inputs!$B$10*Inputs!$B$9,0)+IFERROR(INDEX(Inputs!$B$13:$B$15,MATCH(G790,Inputs!$A$13:$A$15,0)),0)+IFERROR(INDEX(Inputs!$B$18:$B$24,MATCH(H790,Inputs!$A$18:$A$24,0)),0))</f>
        <v>0.076</v>
      </c>
      <c r="AC790" s="28" t="n">
        <f aca="false">IF(OR(N(AB790)&lt;=0,N(N790)=0,N(L790)=0),"",MIN(L790,N790/AB790))</f>
        <v>15.625</v>
      </c>
      <c r="AD790" s="29" t="n">
        <f aca="false">IF(OR(AC790="",N(O790)=0),"",AC790/O790-1)</f>
        <v>-0.135307138904261</v>
      </c>
      <c r="AE790" s="29" t="n">
        <f aca="false">IF(OR(AD790="",N(O790)=0),"",AD790+N790/O790)</f>
        <v>-0.0695904814609851</v>
      </c>
      <c r="AF790" s="32" t="n">
        <f aca="false">IF(OR(AE790="",N(Z790)=0),"",AE790-Z790)</f>
        <v>0</v>
      </c>
      <c r="AG790" s="28" t="n">
        <f aca="false">IF(AND(N(M790)&gt;0,N(L790)&gt;0),M790*L790,N790)</f>
        <v>1.1875</v>
      </c>
      <c r="AH790" s="28" t="n">
        <f aca="false">IF(OR(N(AB790)&lt;=0,N(AG790)=0,N(L790)=0),"",MIN(L790,AG790/AB790))</f>
        <v>15.625</v>
      </c>
      <c r="AI790" s="29" t="n">
        <f aca="false">IF(OR(AH790="",N(O790)=0),"",AH790/O790-1)</f>
        <v>-0.135307138904261</v>
      </c>
      <c r="AJ790" s="29" t="n">
        <f aca="false">IF(OR(AI790="",N(O790)=0),"",AI790+AG790/O790)</f>
        <v>-0.0695904814609851</v>
      </c>
      <c r="AK790" s="32" t="n">
        <f aca="false">IF(OR(AJ790="",N(AE790)=0),"",AJ790-AE790)</f>
        <v>0</v>
      </c>
      <c r="AL790" s="33" t="n">
        <f aca="false">IF(N(F790)=0,"",INDEX(Inputs!$B$28:$B$32,IFERROR(MATCH(F790,Inputs!$A$28:$A$32,1),0)+1))</f>
        <v>0.075</v>
      </c>
      <c r="AM790" s="34"/>
      <c r="AN790" s="33" t="n">
        <f aca="false">IF(N(AM790)&gt;0,AM790,AL790)</f>
        <v>0.075</v>
      </c>
      <c r="AO790" s="29" t="n">
        <f aca="false">IF(N(AN790)=0,"",AN790+IF(I790="yes",AN790*Inputs!$B$10*Inputs!$B$9,0)+IFERROR(INDEX(Inputs!$B$13:$B$15,MATCH(G790,Inputs!$A$13:$A$15,0)),0)+IFERROR(INDEX(Inputs!$B$18:$B$24,MATCH(H790,Inputs!$A$18:$A$24,0)),0))</f>
        <v>0.07125</v>
      </c>
      <c r="AP790" s="28" t="n">
        <f aca="false">IF(OR(N(AO790)&lt;=0,N(AG790)=0,N(L790)=0),"",MIN(L790,AG790/AO790))</f>
        <v>16.6666666666667</v>
      </c>
      <c r="AQ790" s="29" t="n">
        <f aca="false">IF(OR(AP790="",N(O790)=0),"",AP790/O790-1)</f>
        <v>-0.0776609481645453</v>
      </c>
      <c r="AR790" s="29" t="n">
        <f aca="false">IF(OR(AQ790="",N(O790)=0),"",AQ790+AG790/O790)</f>
        <v>-0.0119442907212691</v>
      </c>
      <c r="AS790" s="32" t="n">
        <f aca="false">IF(OR(AR790="",N(AJ790)=0),"",AR790-AJ790)</f>
        <v>0.057646190739716</v>
      </c>
      <c r="AT790" s="28" t="n">
        <v>25</v>
      </c>
      <c r="AU790" s="28" t="n">
        <v>1.1875</v>
      </c>
      <c r="AV790" s="28" t="n">
        <f aca="false">IF(N(AT790)&gt;0,AT790,L790)</f>
        <v>25</v>
      </c>
      <c r="AW790" s="28" t="n">
        <f aca="false">IF(AND(N(M790)&gt;0,N(AV790)&gt;0),M790*AV790,IF(N(AU790)&gt;0,AU790,N790))</f>
        <v>1.1875</v>
      </c>
      <c r="AX790" s="29" t="n">
        <f aca="false">IF(N(AN790)=0,"",AN790+IF(I790="yes",AN790*Inputs!$B$10*Inputs!$B$9,0)+IFERROR(INDEX(Inputs!$B$13:$B$15,MATCH(G790,Inputs!$A$13:$A$15,0)),0)+IFERROR(INDEX(Inputs!$B$18:$B$24,MATCH(H790,Inputs!$A$18:$A$24,0)),0))</f>
        <v>0.07125</v>
      </c>
      <c r="AY790" s="28" t="n">
        <f aca="false">IF(OR(N(AX790)&lt;=0,N(AW790)=0,N(AV790)=0),"",MIN(AV790,AW790/AX790))</f>
        <v>16.6666666666667</v>
      </c>
      <c r="AZ790" s="29" t="n">
        <f aca="false">IF(OR(AY790="",N(O790)=0),"",AY790/O790-1)</f>
        <v>-0.0776609481645453</v>
      </c>
      <c r="BA790" s="29" t="n">
        <f aca="false">IF(OR(AZ790="",N(O790)=0),"",AZ790+AW790/O790)</f>
        <v>-0.0119442907212691</v>
      </c>
      <c r="BB790" s="32" t="n">
        <f aca="false">IF(OR(BA790="",N(AR790)=0),"",BA790-AR790)</f>
        <v>0</v>
      </c>
      <c r="BC790" s="35" t="n">
        <f aca="false">IF(OR(BA790="",N(U790)=0),"",BA790-U790)</f>
        <v>0.057646190739716</v>
      </c>
      <c r="BD790" s="37"/>
    </row>
    <row r="791" customFormat="false" ht="15" hidden="false" customHeight="false" outlineLevel="0" collapsed="false">
      <c r="A791" s="2" t="s">
        <v>1453</v>
      </c>
      <c r="B791" s="2" t="n">
        <v>171</v>
      </c>
      <c r="C791" s="2" t="s">
        <v>1580</v>
      </c>
      <c r="D791" s="2" t="s">
        <v>1581</v>
      </c>
      <c r="E791" s="2" t="s">
        <v>1582</v>
      </c>
      <c r="F791" s="27" t="n">
        <v>150</v>
      </c>
      <c r="G791" s="2" t="s">
        <v>52</v>
      </c>
      <c r="H791" s="2" t="s">
        <v>58</v>
      </c>
      <c r="I791" s="2" t="s">
        <v>144</v>
      </c>
      <c r="J791" s="2" t="s">
        <v>145</v>
      </c>
      <c r="K791" s="2" t="n">
        <v>4</v>
      </c>
      <c r="L791" s="28" t="n">
        <v>25</v>
      </c>
      <c r="M791" s="29" t="n">
        <v>0.07875</v>
      </c>
      <c r="N791" s="28" t="n">
        <v>1.96875</v>
      </c>
      <c r="O791" s="28" t="n">
        <v>25.35</v>
      </c>
      <c r="P791" s="2" t="s">
        <v>223</v>
      </c>
      <c r="Q791" s="29" t="n">
        <v>0.1</v>
      </c>
      <c r="R791" s="30" t="n">
        <v>0.1</v>
      </c>
      <c r="S791" s="31" t="n">
        <v>19.6875</v>
      </c>
      <c r="T791" s="30" t="n">
        <v>-0.223372781065089</v>
      </c>
      <c r="U791" s="30" t="n">
        <v>-0.145710059171598</v>
      </c>
      <c r="V791" s="29" t="n">
        <v>-0.005</v>
      </c>
      <c r="W791" s="29" t="n">
        <f aca="false">IF(N(Q791)=0,"",Q791+IF(I791="yes",Q791*Inputs!$B$10*Inputs!$B$9,0)+V791)</f>
        <v>0.095</v>
      </c>
      <c r="X791" s="28" t="n">
        <f aca="false">IF(OR(N(W791)&lt;=0,N(N791)=0,N(L791)=0),"",MIN(L791,N791/W791))</f>
        <v>20.7236842105263</v>
      </c>
      <c r="Y791" s="29" t="n">
        <f aca="false">IF(OR(X791="",N(O791)=0),"",X791/O791-1)</f>
        <v>-0.182497664279041</v>
      </c>
      <c r="Z791" s="29" t="n">
        <f aca="false">IF(OR(Y791="",N(O791)=0),"",Y791+N791/O791)</f>
        <v>-0.10483494238555</v>
      </c>
      <c r="AA791" s="32" t="n">
        <f aca="false">IF(OR(Z791="",N(U791)=0),"",Z791-U791)</f>
        <v>0.0408751167860479</v>
      </c>
      <c r="AB791" s="29" t="n">
        <f aca="false">IF(N(Q791)=0,"",Q791+IF(I791="yes",Q791*Inputs!$B$10*Inputs!$B$9,0)+IFERROR(INDEX(Inputs!$B$13:$B$15,MATCH(G791,Inputs!$A$13:$A$15,0)),0)+IFERROR(INDEX(Inputs!$B$18:$B$24,MATCH(H791,Inputs!$A$18:$A$24,0)),0))</f>
        <v>0.095</v>
      </c>
      <c r="AC791" s="28" t="n">
        <f aca="false">IF(OR(N(AB791)&lt;=0,N(N791)=0,N(L791)=0),"",MIN(L791,N791/AB791))</f>
        <v>20.7236842105263</v>
      </c>
      <c r="AD791" s="29" t="n">
        <f aca="false">IF(OR(AC791="",N(O791)=0),"",AC791/O791-1)</f>
        <v>-0.182497664279041</v>
      </c>
      <c r="AE791" s="29" t="n">
        <f aca="false">IF(OR(AD791="",N(O791)=0),"",AD791+N791/O791)</f>
        <v>-0.10483494238555</v>
      </c>
      <c r="AF791" s="32" t="n">
        <f aca="false">IF(OR(AE791="",N(Z791)=0),"",AE791-Z791)</f>
        <v>0</v>
      </c>
      <c r="AG791" s="28" t="n">
        <f aca="false">IF(AND(N(M791)&gt;0,N(L791)&gt;0),M791*L791,N791)</f>
        <v>1.96875</v>
      </c>
      <c r="AH791" s="28" t="n">
        <f aca="false">IF(OR(N(AB791)&lt;=0,N(AG791)=0,N(L791)=0),"",MIN(L791,AG791/AB791))</f>
        <v>20.7236842105263</v>
      </c>
      <c r="AI791" s="29" t="n">
        <f aca="false">IF(OR(AH791="",N(O791)=0),"",AH791/O791-1)</f>
        <v>-0.182497664279041</v>
      </c>
      <c r="AJ791" s="29" t="n">
        <f aca="false">IF(OR(AI791="",N(O791)=0),"",AI791+AG791/O791)</f>
        <v>-0.10483494238555</v>
      </c>
      <c r="AK791" s="32" t="n">
        <f aca="false">IF(OR(AJ791="",N(AE791)=0),"",AJ791-AE791)</f>
        <v>0</v>
      </c>
      <c r="AL791" s="33" t="n">
        <f aca="false">IF(N(F791)=0,"",INDEX(Inputs!$B$28:$B$32,IFERROR(MATCH(F791,Inputs!$A$28:$A$32,1),0)+1))</f>
        <v>0.1</v>
      </c>
      <c r="AM791" s="34"/>
      <c r="AN791" s="33" t="n">
        <f aca="false">IF(N(AM791)&gt;0,AM791,AL791)</f>
        <v>0.1</v>
      </c>
      <c r="AO791" s="29" t="n">
        <f aca="false">IF(N(AN791)=0,"",AN791+IF(I791="yes",AN791*Inputs!$B$10*Inputs!$B$9,0)+IFERROR(INDEX(Inputs!$B$13:$B$15,MATCH(G791,Inputs!$A$13:$A$15,0)),0)+IFERROR(INDEX(Inputs!$B$18:$B$24,MATCH(H791,Inputs!$A$18:$A$24,0)),0))</f>
        <v>0.095</v>
      </c>
      <c r="AP791" s="28" t="n">
        <f aca="false">IF(OR(N(AO791)&lt;=0,N(AG791)=0,N(L791)=0),"",MIN(L791,AG791/AO791))</f>
        <v>20.7236842105263</v>
      </c>
      <c r="AQ791" s="29" t="n">
        <f aca="false">IF(OR(AP791="",N(O791)=0),"",AP791/O791-1)</f>
        <v>-0.182497664279041</v>
      </c>
      <c r="AR791" s="29" t="n">
        <f aca="false">IF(OR(AQ791="",N(O791)=0),"",AQ791+AG791/O791)</f>
        <v>-0.10483494238555</v>
      </c>
      <c r="AS791" s="32" t="n">
        <f aca="false">IF(OR(AR791="",N(AJ791)=0),"",AR791-AJ791)</f>
        <v>0</v>
      </c>
      <c r="AT791" s="28" t="n">
        <v>25</v>
      </c>
      <c r="AU791" s="28" t="n">
        <v>1.96875</v>
      </c>
      <c r="AV791" s="28" t="n">
        <f aca="false">IF(N(AT791)&gt;0,AT791,L791)</f>
        <v>25</v>
      </c>
      <c r="AW791" s="28" t="n">
        <f aca="false">IF(AND(N(M791)&gt;0,N(AV791)&gt;0),M791*AV791,IF(N(AU791)&gt;0,AU791,N791))</f>
        <v>1.96875</v>
      </c>
      <c r="AX791" s="29" t="n">
        <f aca="false">IF(N(AN791)=0,"",AN791+IF(I791="yes",AN791*Inputs!$B$10*Inputs!$B$9,0)+IFERROR(INDEX(Inputs!$B$13:$B$15,MATCH(G791,Inputs!$A$13:$A$15,0)),0)+IFERROR(INDEX(Inputs!$B$18:$B$24,MATCH(H791,Inputs!$A$18:$A$24,0)),0))</f>
        <v>0.095</v>
      </c>
      <c r="AY791" s="28" t="n">
        <f aca="false">IF(OR(N(AX791)&lt;=0,N(AW791)=0,N(AV791)=0),"",MIN(AV791,AW791/AX791))</f>
        <v>20.7236842105263</v>
      </c>
      <c r="AZ791" s="29" t="n">
        <f aca="false">IF(OR(AY791="",N(O791)=0),"",AY791/O791-1)</f>
        <v>-0.182497664279041</v>
      </c>
      <c r="BA791" s="29" t="n">
        <f aca="false">IF(OR(AZ791="",N(O791)=0),"",AZ791+AW791/O791)</f>
        <v>-0.10483494238555</v>
      </c>
      <c r="BB791" s="32" t="n">
        <f aca="false">IF(OR(BA791="",N(AR791)=0),"",BA791-AR791)</f>
        <v>0</v>
      </c>
      <c r="BC791" s="35" t="n">
        <f aca="false">IF(OR(BA791="",N(U791)=0),"",BA791-U791)</f>
        <v>0.0408751167860479</v>
      </c>
      <c r="BD791" s="36" t="s">
        <v>224</v>
      </c>
    </row>
    <row r="792" customFormat="false" ht="15" hidden="false" customHeight="false" outlineLevel="0" collapsed="false">
      <c r="A792" s="2" t="s">
        <v>1453</v>
      </c>
      <c r="B792" s="2" t="n">
        <v>175</v>
      </c>
      <c r="C792" s="2" t="s">
        <v>1583</v>
      </c>
      <c r="D792" s="2" t="s">
        <v>1584</v>
      </c>
      <c r="E792" s="2" t="s">
        <v>1585</v>
      </c>
      <c r="F792" s="27"/>
      <c r="G792" s="2" t="s">
        <v>51</v>
      </c>
      <c r="H792" s="2" t="s">
        <v>63</v>
      </c>
      <c r="I792" s="2" t="s">
        <v>144</v>
      </c>
      <c r="J792" s="2" t="s">
        <v>145</v>
      </c>
      <c r="K792" s="2" t="n">
        <v>4</v>
      </c>
      <c r="L792" s="28" t="n">
        <v>25</v>
      </c>
      <c r="M792" s="29" t="n">
        <v>0.0875</v>
      </c>
      <c r="N792" s="28" t="n">
        <v>2.1875</v>
      </c>
      <c r="O792" s="28" t="n">
        <v>34.29</v>
      </c>
      <c r="P792" s="2" t="s">
        <v>146</v>
      </c>
      <c r="Q792" s="29" t="n">
        <v>0.1</v>
      </c>
      <c r="R792" s="30" t="n">
        <v>0.1</v>
      </c>
      <c r="S792" s="31" t="n">
        <v>21.875</v>
      </c>
      <c r="T792" s="30" t="n">
        <v>-0.362058909303004</v>
      </c>
      <c r="U792" s="30" t="n">
        <v>-0.298264800233304</v>
      </c>
      <c r="V792" s="29" t="n">
        <v>0</v>
      </c>
      <c r="W792" s="29" t="n">
        <f aca="false">IF(N(Q792)=0,"",Q792+IF(I792="yes",Q792*Inputs!$B$10*Inputs!$B$9,0)+V792)</f>
        <v>0.1</v>
      </c>
      <c r="X792" s="28" t="n">
        <f aca="false">IF(OR(N(W792)&lt;=0,N(N792)=0,N(L792)=0),"",MIN(L792,N792/W792))</f>
        <v>21.875</v>
      </c>
      <c r="Y792" s="29" t="n">
        <f aca="false">IF(OR(X792="",N(O792)=0),"",X792/O792-1)</f>
        <v>-0.362058909303004</v>
      </c>
      <c r="Z792" s="29" t="n">
        <f aca="false">IF(OR(Y792="",N(O792)=0),"",Y792+N792/O792)</f>
        <v>-0.298264800233304</v>
      </c>
      <c r="AA792" s="32" t="n">
        <f aca="false">IF(OR(Z792="",N(U792)=0),"",Z792-U792)</f>
        <v>0</v>
      </c>
      <c r="AB792" s="29" t="n">
        <f aca="false">IF(N(Q792)=0,"",Q792+IF(I792="yes",Q792*Inputs!$B$10*Inputs!$B$9,0)+IFERROR(INDEX(Inputs!$B$13:$B$15,MATCH(G792,Inputs!$A$13:$A$15,0)),0)+IFERROR(INDEX(Inputs!$B$18:$B$24,MATCH(H792,Inputs!$A$18:$A$24,0)),0))</f>
        <v>0.1</v>
      </c>
      <c r="AC792" s="28" t="n">
        <f aca="false">IF(OR(N(AB792)&lt;=0,N(N792)=0,N(L792)=0),"",MIN(L792,N792/AB792))</f>
        <v>21.875</v>
      </c>
      <c r="AD792" s="29" t="n">
        <f aca="false">IF(OR(AC792="",N(O792)=0),"",AC792/O792-1)</f>
        <v>-0.362058909303004</v>
      </c>
      <c r="AE792" s="29" t="n">
        <f aca="false">IF(OR(AD792="",N(O792)=0),"",AD792+N792/O792)</f>
        <v>-0.298264800233304</v>
      </c>
      <c r="AF792" s="32" t="n">
        <f aca="false">IF(OR(AE792="",N(Z792)=0),"",AE792-Z792)</f>
        <v>0</v>
      </c>
      <c r="AG792" s="28" t="n">
        <f aca="false">IF(AND(N(M792)&gt;0,N(L792)&gt;0),M792*L792,N792)</f>
        <v>2.1875</v>
      </c>
      <c r="AH792" s="28" t="n">
        <f aca="false">IF(OR(N(AB792)&lt;=0,N(AG792)=0,N(L792)=0),"",MIN(L792,AG792/AB792))</f>
        <v>21.875</v>
      </c>
      <c r="AI792" s="29" t="n">
        <f aca="false">IF(OR(AH792="",N(O792)=0),"",AH792/O792-1)</f>
        <v>-0.362058909303004</v>
      </c>
      <c r="AJ792" s="29" t="n">
        <f aca="false">IF(OR(AI792="",N(O792)=0),"",AI792+AG792/O792)</f>
        <v>-0.298264800233304</v>
      </c>
      <c r="AK792" s="32" t="n">
        <f aca="false">IF(OR(AJ792="",N(AE792)=0),"",AJ792-AE792)</f>
        <v>0</v>
      </c>
      <c r="AL792" s="33" t="str">
        <f aca="false">IF(N(F792)=0,"",INDEX(Inputs!$B$28:$B$32,IFERROR(MATCH(F792,Inputs!$A$28:$A$32,1),0)+1))</f>
        <v/>
      </c>
      <c r="AM792" s="34"/>
      <c r="AN792" s="33" t="str">
        <f aca="false">IF(N(AM792)&gt;0,AM792,AL792)</f>
        <v/>
      </c>
      <c r="AO792" s="29" t="str">
        <f aca="false">IF(N(AN792)=0,"",AN792+IF(I792="yes",AN792*Inputs!$B$10*Inputs!$B$9,0)+IFERROR(INDEX(Inputs!$B$13:$B$15,MATCH(G792,Inputs!$A$13:$A$15,0)),0)+IFERROR(INDEX(Inputs!$B$18:$B$24,MATCH(H792,Inputs!$A$18:$A$24,0)),0))</f>
        <v/>
      </c>
      <c r="AP792" s="28" t="str">
        <f aca="false">IF(OR(N(AO792)&lt;=0,N(AG792)=0,N(L792)=0),"",MIN(L792,AG792/AO792))</f>
        <v/>
      </c>
      <c r="AQ792" s="29" t="str">
        <f aca="false">IF(OR(AP792="",N(O792)=0),"",AP792/O792-1)</f>
        <v/>
      </c>
      <c r="AR792" s="29" t="str">
        <f aca="false">IF(OR(AQ792="",N(O792)=0),"",AQ792+AG792/O792)</f>
        <v/>
      </c>
      <c r="AS792" s="32" t="str">
        <f aca="false">IF(OR(AR792="",N(AJ792)=0),"",AR792-AJ792)</f>
        <v/>
      </c>
      <c r="AT792" s="28" t="n">
        <v>25</v>
      </c>
      <c r="AU792" s="28" t="n">
        <v>2.19</v>
      </c>
      <c r="AV792" s="28" t="n">
        <f aca="false">IF(N(AT792)&gt;0,AT792,L792)</f>
        <v>25</v>
      </c>
      <c r="AW792" s="28" t="n">
        <f aca="false">IF(AND(N(M792)&gt;0,N(AV792)&gt;0),M792*AV792,IF(N(AU792)&gt;0,AU792,N792))</f>
        <v>2.1875</v>
      </c>
      <c r="AX792" s="29" t="str">
        <f aca="false">IF(N(AN792)=0,"",AN792+IF(I792="yes",AN792*Inputs!$B$10*Inputs!$B$9,0)+IFERROR(INDEX(Inputs!$B$13:$B$15,MATCH(G792,Inputs!$A$13:$A$15,0)),0)+IFERROR(INDEX(Inputs!$B$18:$B$24,MATCH(H792,Inputs!$A$18:$A$24,0)),0))</f>
        <v/>
      </c>
      <c r="AY792" s="28" t="str">
        <f aca="false">IF(OR(N(AX792)&lt;=0,N(AW792)=0,N(AV792)=0),"",MIN(AV792,AW792/AX792))</f>
        <v/>
      </c>
      <c r="AZ792" s="29" t="str">
        <f aca="false">IF(OR(AY792="",N(O792)=0),"",AY792/O792-1)</f>
        <v/>
      </c>
      <c r="BA792" s="29" t="str">
        <f aca="false">IF(OR(AZ792="",N(O792)=0),"",AZ792+AW792/O792)</f>
        <v/>
      </c>
      <c r="BB792" s="32" t="str">
        <f aca="false">IF(OR(BA792="",N(AR792)=0),"",BA792-AR792)</f>
        <v/>
      </c>
      <c r="BC792" s="35" t="str">
        <f aca="false">IF(OR(BA792="",N(U792)=0),"",BA792-U792)</f>
        <v/>
      </c>
      <c r="BD792" s="37"/>
    </row>
    <row r="793" customFormat="false" ht="15" hidden="false" customHeight="false" outlineLevel="0" collapsed="false">
      <c r="A793" s="2" t="s">
        <v>1453</v>
      </c>
      <c r="B793" s="2" t="n">
        <v>176</v>
      </c>
      <c r="C793" s="2" t="s">
        <v>1586</v>
      </c>
      <c r="D793" s="2" t="s">
        <v>1584</v>
      </c>
      <c r="E793" s="2" t="s">
        <v>1585</v>
      </c>
      <c r="F793" s="27"/>
      <c r="G793" s="2" t="s">
        <v>52</v>
      </c>
      <c r="H793" s="2" t="s">
        <v>63</v>
      </c>
      <c r="I793" s="2" t="s">
        <v>144</v>
      </c>
      <c r="J793" s="2" t="s">
        <v>277</v>
      </c>
      <c r="K793" s="2" t="n">
        <v>2</v>
      </c>
      <c r="L793" s="28" t="n">
        <v>25</v>
      </c>
      <c r="M793" s="29" t="n">
        <v>0.07</v>
      </c>
      <c r="N793" s="28" t="n">
        <v>1.75</v>
      </c>
      <c r="O793" s="28" t="n">
        <v>80</v>
      </c>
      <c r="P793" s="2" t="s">
        <v>316</v>
      </c>
      <c r="Q793" s="29" t="n">
        <v>0.1</v>
      </c>
      <c r="R793" s="30"/>
      <c r="S793" s="31"/>
      <c r="T793" s="30"/>
      <c r="U793" s="30"/>
      <c r="V793" s="29" t="n">
        <v>-0.005</v>
      </c>
      <c r="W793" s="29" t="n">
        <f aca="false">IF(N(Q793)=0,"",Q793+IF(I793="yes",Q793*Inputs!$B$10*Inputs!$B$9,0)+V793)</f>
        <v>0.095</v>
      </c>
      <c r="X793" s="28" t="n">
        <f aca="false">IF(OR(N(W793)&lt;=0,N(N793)=0,N(L793)=0),"",MIN(L793,N793/W793))</f>
        <v>18.421052631579</v>
      </c>
      <c r="Y793" s="29" t="n">
        <f aca="false">IF(OR(X793="",N(O793)=0),"",X793/O793-1)</f>
        <v>-0.769736842105263</v>
      </c>
      <c r="Z793" s="29" t="n">
        <f aca="false">IF(OR(Y793="",N(O793)=0),"",Y793+N793/O793)</f>
        <v>-0.747861842105263</v>
      </c>
      <c r="AA793" s="32" t="str">
        <f aca="false">IF(OR(Z793="",N(U793)=0),"",Z793-U793)</f>
        <v/>
      </c>
      <c r="AB793" s="29" t="n">
        <f aca="false">IF(N(Q793)=0,"",Q793+IF(I793="yes",Q793*Inputs!$B$10*Inputs!$B$9,0)+IFERROR(INDEX(Inputs!$B$13:$B$15,MATCH(G793,Inputs!$A$13:$A$15,0)),0)+IFERROR(INDEX(Inputs!$B$18:$B$24,MATCH(H793,Inputs!$A$18:$A$24,0)),0))</f>
        <v>0.095</v>
      </c>
      <c r="AC793" s="28" t="n">
        <f aca="false">IF(OR(N(AB793)&lt;=0,N(N793)=0,N(L793)=0),"",MIN(L793,N793/AB793))</f>
        <v>18.421052631579</v>
      </c>
      <c r="AD793" s="29" t="n">
        <f aca="false">IF(OR(AC793="",N(O793)=0),"",AC793/O793-1)</f>
        <v>-0.769736842105263</v>
      </c>
      <c r="AE793" s="29" t="n">
        <f aca="false">IF(OR(AD793="",N(O793)=0),"",AD793+N793/O793)</f>
        <v>-0.747861842105263</v>
      </c>
      <c r="AF793" s="32" t="n">
        <f aca="false">IF(OR(AE793="",N(Z793)=0),"",AE793-Z793)</f>
        <v>0</v>
      </c>
      <c r="AG793" s="28" t="n">
        <f aca="false">IF(AND(N(M793)&gt;0,N(L793)&gt;0),M793*L793,N793)</f>
        <v>1.75</v>
      </c>
      <c r="AH793" s="28" t="n">
        <f aca="false">IF(OR(N(AB793)&lt;=0,N(AG793)=0,N(L793)=0),"",MIN(L793,AG793/AB793))</f>
        <v>18.421052631579</v>
      </c>
      <c r="AI793" s="29" t="n">
        <f aca="false">IF(OR(AH793="",N(O793)=0),"",AH793/O793-1)</f>
        <v>-0.769736842105263</v>
      </c>
      <c r="AJ793" s="29" t="n">
        <f aca="false">IF(OR(AI793="",N(O793)=0),"",AI793+AG793/O793)</f>
        <v>-0.747861842105263</v>
      </c>
      <c r="AK793" s="32" t="n">
        <f aca="false">IF(OR(AJ793="",N(AE793)=0),"",AJ793-AE793)</f>
        <v>0</v>
      </c>
      <c r="AL793" s="33" t="str">
        <f aca="false">IF(N(F793)=0,"",INDEX(Inputs!$B$28:$B$32,IFERROR(MATCH(F793,Inputs!$A$28:$A$32,1),0)+1))</f>
        <v/>
      </c>
      <c r="AM793" s="34"/>
      <c r="AN793" s="33" t="str">
        <f aca="false">IF(N(AM793)&gt;0,AM793,AL793)</f>
        <v/>
      </c>
      <c r="AO793" s="29" t="str">
        <f aca="false">IF(N(AN793)=0,"",AN793+IF(I793="yes",AN793*Inputs!$B$10*Inputs!$B$9,0)+IFERROR(INDEX(Inputs!$B$13:$B$15,MATCH(G793,Inputs!$A$13:$A$15,0)),0)+IFERROR(INDEX(Inputs!$B$18:$B$24,MATCH(H793,Inputs!$A$18:$A$24,0)),0))</f>
        <v/>
      </c>
      <c r="AP793" s="28" t="str">
        <f aca="false">IF(OR(N(AO793)&lt;=0,N(AG793)=0,N(L793)=0),"",MIN(L793,AG793/AO793))</f>
        <v/>
      </c>
      <c r="AQ793" s="29" t="str">
        <f aca="false">IF(OR(AP793="",N(O793)=0),"",AP793/O793-1)</f>
        <v/>
      </c>
      <c r="AR793" s="29" t="str">
        <f aca="false">IF(OR(AQ793="",N(O793)=0),"",AQ793+AG793/O793)</f>
        <v/>
      </c>
      <c r="AS793" s="32" t="str">
        <f aca="false">IF(OR(AR793="",N(AJ793)=0),"",AR793-AJ793)</f>
        <v/>
      </c>
      <c r="AT793" s="28" t="n">
        <v>25</v>
      </c>
      <c r="AU793" s="28" t="n">
        <v>1.75</v>
      </c>
      <c r="AV793" s="28" t="n">
        <f aca="false">IF(N(AT793)&gt;0,AT793,L793)</f>
        <v>25</v>
      </c>
      <c r="AW793" s="28" t="n">
        <f aca="false">IF(AND(N(M793)&gt;0,N(AV793)&gt;0),M793*AV793,IF(N(AU793)&gt;0,AU793,N793))</f>
        <v>1.75</v>
      </c>
      <c r="AX793" s="29" t="str">
        <f aca="false">IF(N(AN793)=0,"",AN793+IF(I793="yes",AN793*Inputs!$B$10*Inputs!$B$9,0)+IFERROR(INDEX(Inputs!$B$13:$B$15,MATCH(G793,Inputs!$A$13:$A$15,0)),0)+IFERROR(INDEX(Inputs!$B$18:$B$24,MATCH(H793,Inputs!$A$18:$A$24,0)),0))</f>
        <v/>
      </c>
      <c r="AY793" s="28" t="str">
        <f aca="false">IF(OR(N(AX793)&lt;=0,N(AW793)=0,N(AV793)=0),"",MIN(AV793,AW793/AX793))</f>
        <v/>
      </c>
      <c r="AZ793" s="29" t="str">
        <f aca="false">IF(OR(AY793="",N(O793)=0),"",AY793/O793-1)</f>
        <v/>
      </c>
      <c r="BA793" s="29" t="str">
        <f aca="false">IF(OR(AZ793="",N(O793)=0),"",AZ793+AW793/O793)</f>
        <v/>
      </c>
      <c r="BB793" s="32" t="str">
        <f aca="false">IF(OR(BA793="",N(AR793)=0),"",BA793-AR793)</f>
        <v/>
      </c>
      <c r="BC793" s="35" t="str">
        <f aca="false">IF(OR(BA793="",N(U793)=0),"",BA793-U793)</f>
        <v/>
      </c>
      <c r="BD793" s="36" t="s">
        <v>416</v>
      </c>
    </row>
    <row r="794" customFormat="false" ht="15" hidden="false" customHeight="false" outlineLevel="0" collapsed="false">
      <c r="A794" s="2" t="s">
        <v>1453</v>
      </c>
      <c r="B794" s="2" t="n">
        <v>177</v>
      </c>
      <c r="C794" s="2" t="s">
        <v>1587</v>
      </c>
      <c r="D794" s="2" t="s">
        <v>1584</v>
      </c>
      <c r="E794" s="2" t="s">
        <v>1585</v>
      </c>
      <c r="F794" s="27"/>
      <c r="G794" s="2" t="s">
        <v>51</v>
      </c>
      <c r="H794" s="2" t="s">
        <v>63</v>
      </c>
      <c r="I794" s="2" t="s">
        <v>144</v>
      </c>
      <c r="J794" s="2" t="s">
        <v>145</v>
      </c>
      <c r="K794" s="2" t="n">
        <v>4</v>
      </c>
      <c r="L794" s="28" t="n">
        <v>25</v>
      </c>
      <c r="M794" s="29" t="n">
        <v>0.09</v>
      </c>
      <c r="N794" s="28" t="n">
        <v>2.25</v>
      </c>
      <c r="O794" s="28" t="n">
        <v>9.67</v>
      </c>
      <c r="P794" s="2" t="s">
        <v>146</v>
      </c>
      <c r="Q794" s="29" t="n">
        <v>0.1</v>
      </c>
      <c r="R794" s="30" t="n">
        <v>0.1</v>
      </c>
      <c r="S794" s="31" t="n">
        <v>22.5</v>
      </c>
      <c r="T794" s="30" t="n">
        <v>1.32678386763185</v>
      </c>
      <c r="U794" s="30" t="n">
        <v>1.55946225439504</v>
      </c>
      <c r="V794" s="29" t="n">
        <v>0</v>
      </c>
      <c r="W794" s="29" t="n">
        <f aca="false">IF(N(Q794)=0,"",Q794+IF(I794="yes",Q794*Inputs!$B$10*Inputs!$B$9,0)+V794)</f>
        <v>0.1</v>
      </c>
      <c r="X794" s="28" t="n">
        <f aca="false">IF(OR(N(W794)&lt;=0,N(N794)=0,N(L794)=0),"",MIN(L794,N794/W794))</f>
        <v>22.5</v>
      </c>
      <c r="Y794" s="29" t="n">
        <f aca="false">IF(OR(X794="",N(O794)=0),"",X794/O794-1)</f>
        <v>1.32678386763185</v>
      </c>
      <c r="Z794" s="29" t="n">
        <f aca="false">IF(OR(Y794="",N(O794)=0),"",Y794+N794/O794)</f>
        <v>1.55946225439504</v>
      </c>
      <c r="AA794" s="32" t="n">
        <f aca="false">IF(OR(Z794="",N(U794)=0),"",Z794-U794)</f>
        <v>0</v>
      </c>
      <c r="AB794" s="29" t="n">
        <f aca="false">IF(N(Q794)=0,"",Q794+IF(I794="yes",Q794*Inputs!$B$10*Inputs!$B$9,0)+IFERROR(INDEX(Inputs!$B$13:$B$15,MATCH(G794,Inputs!$A$13:$A$15,0)),0)+IFERROR(INDEX(Inputs!$B$18:$B$24,MATCH(H794,Inputs!$A$18:$A$24,0)),0))</f>
        <v>0.1</v>
      </c>
      <c r="AC794" s="28" t="n">
        <f aca="false">IF(OR(N(AB794)&lt;=0,N(N794)=0,N(L794)=0),"",MIN(L794,N794/AB794))</f>
        <v>22.5</v>
      </c>
      <c r="AD794" s="29" t="n">
        <f aca="false">IF(OR(AC794="",N(O794)=0),"",AC794/O794-1)</f>
        <v>1.32678386763185</v>
      </c>
      <c r="AE794" s="29" t="n">
        <f aca="false">IF(OR(AD794="",N(O794)=0),"",AD794+N794/O794)</f>
        <v>1.55946225439504</v>
      </c>
      <c r="AF794" s="32" t="n">
        <f aca="false">IF(OR(AE794="",N(Z794)=0),"",AE794-Z794)</f>
        <v>0</v>
      </c>
      <c r="AG794" s="28" t="n">
        <f aca="false">IF(AND(N(M794)&gt;0,N(L794)&gt;0),M794*L794,N794)</f>
        <v>2.25</v>
      </c>
      <c r="AH794" s="28" t="n">
        <f aca="false">IF(OR(N(AB794)&lt;=0,N(AG794)=0,N(L794)=0),"",MIN(L794,AG794/AB794))</f>
        <v>22.5</v>
      </c>
      <c r="AI794" s="29" t="n">
        <f aca="false">IF(OR(AH794="",N(O794)=0),"",AH794/O794-1)</f>
        <v>1.32678386763185</v>
      </c>
      <c r="AJ794" s="29" t="n">
        <f aca="false">IF(OR(AI794="",N(O794)=0),"",AI794+AG794/O794)</f>
        <v>1.55946225439504</v>
      </c>
      <c r="AK794" s="32" t="n">
        <f aca="false">IF(OR(AJ794="",N(AE794)=0),"",AJ794-AE794)</f>
        <v>0</v>
      </c>
      <c r="AL794" s="33" t="str">
        <f aca="false">IF(N(F794)=0,"",INDEX(Inputs!$B$28:$B$32,IFERROR(MATCH(F794,Inputs!$A$28:$A$32,1),0)+1))</f>
        <v/>
      </c>
      <c r="AM794" s="34"/>
      <c r="AN794" s="33" t="str">
        <f aca="false">IF(N(AM794)&gt;0,AM794,AL794)</f>
        <v/>
      </c>
      <c r="AO794" s="29" t="str">
        <f aca="false">IF(N(AN794)=0,"",AN794+IF(I794="yes",AN794*Inputs!$B$10*Inputs!$B$9,0)+IFERROR(INDEX(Inputs!$B$13:$B$15,MATCH(G794,Inputs!$A$13:$A$15,0)),0)+IFERROR(INDEX(Inputs!$B$18:$B$24,MATCH(H794,Inputs!$A$18:$A$24,0)),0))</f>
        <v/>
      </c>
      <c r="AP794" s="28" t="str">
        <f aca="false">IF(OR(N(AO794)&lt;=0,N(AG794)=0,N(L794)=0),"",MIN(L794,AG794/AO794))</f>
        <v/>
      </c>
      <c r="AQ794" s="29" t="str">
        <f aca="false">IF(OR(AP794="",N(O794)=0),"",AP794/O794-1)</f>
        <v/>
      </c>
      <c r="AR794" s="29" t="str">
        <f aca="false">IF(OR(AQ794="",N(O794)=0),"",AQ794+AG794/O794)</f>
        <v/>
      </c>
      <c r="AS794" s="32" t="str">
        <f aca="false">IF(OR(AR794="",N(AJ794)=0),"",AR794-AJ794)</f>
        <v/>
      </c>
      <c r="AT794" s="28" t="n">
        <v>25</v>
      </c>
      <c r="AU794" s="28" t="n">
        <v>2.25</v>
      </c>
      <c r="AV794" s="28" t="n">
        <f aca="false">IF(N(AT794)&gt;0,AT794,L794)</f>
        <v>25</v>
      </c>
      <c r="AW794" s="28" t="n">
        <f aca="false">IF(AND(N(M794)&gt;0,N(AV794)&gt;0),M794*AV794,IF(N(AU794)&gt;0,AU794,N794))</f>
        <v>2.25</v>
      </c>
      <c r="AX794" s="29" t="str">
        <f aca="false">IF(N(AN794)=0,"",AN794+IF(I794="yes",AN794*Inputs!$B$10*Inputs!$B$9,0)+IFERROR(INDEX(Inputs!$B$13:$B$15,MATCH(G794,Inputs!$A$13:$A$15,0)),0)+IFERROR(INDEX(Inputs!$B$18:$B$24,MATCH(H794,Inputs!$A$18:$A$24,0)),0))</f>
        <v/>
      </c>
      <c r="AY794" s="28" t="str">
        <f aca="false">IF(OR(N(AX794)&lt;=0,N(AW794)=0,N(AV794)=0),"",MIN(AV794,AW794/AX794))</f>
        <v/>
      </c>
      <c r="AZ794" s="29" t="str">
        <f aca="false">IF(OR(AY794="",N(O794)=0),"",AY794/O794-1)</f>
        <v/>
      </c>
      <c r="BA794" s="29" t="str">
        <f aca="false">IF(OR(AZ794="",N(O794)=0),"",AZ794+AW794/O794)</f>
        <v/>
      </c>
      <c r="BB794" s="32" t="str">
        <f aca="false">IF(OR(BA794="",N(AR794)=0),"",BA794-AR794)</f>
        <v/>
      </c>
      <c r="BC794" s="35" t="str">
        <f aca="false">IF(OR(BA794="",N(U794)=0),"",BA794-U794)</f>
        <v/>
      </c>
      <c r="BD794" s="37"/>
    </row>
    <row r="795" customFormat="false" ht="15" hidden="false" customHeight="false" outlineLevel="0" collapsed="false">
      <c r="A795" s="2" t="s">
        <v>1453</v>
      </c>
      <c r="B795" s="2" t="n">
        <v>180</v>
      </c>
      <c r="C795" s="2" t="s">
        <v>1588</v>
      </c>
      <c r="D795" s="2" t="s">
        <v>1589</v>
      </c>
      <c r="E795" s="2" t="s">
        <v>1590</v>
      </c>
      <c r="F795" s="27" t="n">
        <v>826400</v>
      </c>
      <c r="G795" s="2" t="s">
        <v>51</v>
      </c>
      <c r="H795" s="2" t="s">
        <v>58</v>
      </c>
      <c r="I795" s="2" t="s">
        <v>144</v>
      </c>
      <c r="J795" s="2" t="s">
        <v>168</v>
      </c>
      <c r="K795" s="2" t="n">
        <v>12</v>
      </c>
      <c r="L795" s="28" t="n">
        <v>25</v>
      </c>
      <c r="M795" s="29" t="n">
        <v>0.0075</v>
      </c>
      <c r="N795" s="28" t="n">
        <v>0.1875</v>
      </c>
      <c r="O795" s="28" t="n">
        <v>24.5</v>
      </c>
      <c r="P795" s="2" t="s">
        <v>146</v>
      </c>
      <c r="Q795" s="29" t="n">
        <v>0.08</v>
      </c>
      <c r="R795" s="30" t="n">
        <v>0.08</v>
      </c>
      <c r="S795" s="31" t="n">
        <v>2.34375</v>
      </c>
      <c r="T795" s="30" t="n">
        <v>-0.904336734693878</v>
      </c>
      <c r="U795" s="30" t="n">
        <v>-0.896683673469388</v>
      </c>
      <c r="V795" s="29" t="n">
        <v>0</v>
      </c>
      <c r="W795" s="29" t="n">
        <f aca="false">IF(N(Q795)=0,"",Q795+IF(I795="yes",Q795*Inputs!$B$10*Inputs!$B$9,0)+V795)</f>
        <v>0.08</v>
      </c>
      <c r="X795" s="28" t="n">
        <f aca="false">IF(OR(N(W795)&lt;=0,N(N795)=0,N(L795)=0),"",MIN(L795,N795/W795))</f>
        <v>2.34375</v>
      </c>
      <c r="Y795" s="29" t="n">
        <f aca="false">IF(OR(X795="",N(O795)=0),"",X795/O795-1)</f>
        <v>-0.904336734693878</v>
      </c>
      <c r="Z795" s="29" t="n">
        <f aca="false">IF(OR(Y795="",N(O795)=0),"",Y795+N795/O795)</f>
        <v>-0.896683673469388</v>
      </c>
      <c r="AA795" s="32" t="n">
        <f aca="false">IF(OR(Z795="",N(U795)=0),"",Z795-U795)</f>
        <v>0</v>
      </c>
      <c r="AB795" s="29" t="n">
        <f aca="false">IF(N(Q795)=0,"",Q795+IF(I795="yes",Q795*Inputs!$B$10*Inputs!$B$9,0)+IFERROR(INDEX(Inputs!$B$13:$B$15,MATCH(G795,Inputs!$A$13:$A$15,0)),0)+IFERROR(INDEX(Inputs!$B$18:$B$24,MATCH(H795,Inputs!$A$18:$A$24,0)),0))</f>
        <v>0.08</v>
      </c>
      <c r="AC795" s="28" t="n">
        <f aca="false">IF(OR(N(AB795)&lt;=0,N(N795)=0,N(L795)=0),"",MIN(L795,N795/AB795))</f>
        <v>2.34375</v>
      </c>
      <c r="AD795" s="29" t="n">
        <f aca="false">IF(OR(AC795="",N(O795)=0),"",AC795/O795-1)</f>
        <v>-0.904336734693878</v>
      </c>
      <c r="AE795" s="29" t="n">
        <f aca="false">IF(OR(AD795="",N(O795)=0),"",AD795+N795/O795)</f>
        <v>-0.896683673469388</v>
      </c>
      <c r="AF795" s="32" t="n">
        <f aca="false">IF(OR(AE795="",N(Z795)=0),"",AE795-Z795)</f>
        <v>0</v>
      </c>
      <c r="AG795" s="28" t="n">
        <f aca="false">IF(AND(N(M795)&gt;0,N(L795)&gt;0),M795*L795,N795)</f>
        <v>0.1875</v>
      </c>
      <c r="AH795" s="28" t="n">
        <f aca="false">IF(OR(N(AB795)&lt;=0,N(AG795)=0,N(L795)=0),"",MIN(L795,AG795/AB795))</f>
        <v>2.34375</v>
      </c>
      <c r="AI795" s="29" t="n">
        <f aca="false">IF(OR(AH795="",N(O795)=0),"",AH795/O795-1)</f>
        <v>-0.904336734693878</v>
      </c>
      <c r="AJ795" s="29" t="n">
        <f aca="false">IF(OR(AI795="",N(O795)=0),"",AI795+AG795/O795)</f>
        <v>-0.896683673469388</v>
      </c>
      <c r="AK795" s="32" t="n">
        <f aca="false">IF(OR(AJ795="",N(AE795)=0),"",AJ795-AE795)</f>
        <v>0</v>
      </c>
      <c r="AL795" s="33" t="n">
        <f aca="false">IF(N(F795)=0,"",INDEX(Inputs!$B$28:$B$32,IFERROR(MATCH(F795,Inputs!$A$28:$A$32,1),0)+1))</f>
        <v>0.075</v>
      </c>
      <c r="AM795" s="34"/>
      <c r="AN795" s="33" t="n">
        <f aca="false">IF(N(AM795)&gt;0,AM795,AL795)</f>
        <v>0.075</v>
      </c>
      <c r="AO795" s="29" t="n">
        <f aca="false">IF(N(AN795)=0,"",AN795+IF(I795="yes",AN795*Inputs!$B$10*Inputs!$B$9,0)+IFERROR(INDEX(Inputs!$B$13:$B$15,MATCH(G795,Inputs!$A$13:$A$15,0)),0)+IFERROR(INDEX(Inputs!$B$18:$B$24,MATCH(H795,Inputs!$A$18:$A$24,0)),0))</f>
        <v>0.075</v>
      </c>
      <c r="AP795" s="28" t="n">
        <f aca="false">IF(OR(N(AO795)&lt;=0,N(AG795)=0,N(L795)=0),"",MIN(L795,AG795/AO795))</f>
        <v>2.5</v>
      </c>
      <c r="AQ795" s="29" t="n">
        <f aca="false">IF(OR(AP795="",N(O795)=0),"",AP795/O795-1)</f>
        <v>-0.897959183673469</v>
      </c>
      <c r="AR795" s="29" t="n">
        <f aca="false">IF(OR(AQ795="",N(O795)=0),"",AQ795+AG795/O795)</f>
        <v>-0.89030612244898</v>
      </c>
      <c r="AS795" s="32" t="n">
        <f aca="false">IF(OR(AR795="",N(AJ795)=0),"",AR795-AJ795)</f>
        <v>0.00637755102040816</v>
      </c>
      <c r="AT795" s="28" t="n">
        <v>25</v>
      </c>
      <c r="AU795" s="28"/>
      <c r="AV795" s="28" t="n">
        <f aca="false">IF(N(AT795)&gt;0,AT795,L795)</f>
        <v>25</v>
      </c>
      <c r="AW795" s="28" t="n">
        <f aca="false">IF(AND(N(M795)&gt;0,N(AV795)&gt;0),M795*AV795,IF(N(AU795)&gt;0,AU795,N795))</f>
        <v>0.1875</v>
      </c>
      <c r="AX795" s="29" t="n">
        <f aca="false">IF(N(AN795)=0,"",AN795+IF(I795="yes",AN795*Inputs!$B$10*Inputs!$B$9,0)+IFERROR(INDEX(Inputs!$B$13:$B$15,MATCH(G795,Inputs!$A$13:$A$15,0)),0)+IFERROR(INDEX(Inputs!$B$18:$B$24,MATCH(H795,Inputs!$A$18:$A$24,0)),0))</f>
        <v>0.075</v>
      </c>
      <c r="AY795" s="28" t="n">
        <f aca="false">IF(OR(N(AX795)&lt;=0,N(AW795)=0,N(AV795)=0),"",MIN(AV795,AW795/AX795))</f>
        <v>2.5</v>
      </c>
      <c r="AZ795" s="29" t="n">
        <f aca="false">IF(OR(AY795="",N(O795)=0),"",AY795/O795-1)</f>
        <v>-0.897959183673469</v>
      </c>
      <c r="BA795" s="29" t="n">
        <f aca="false">IF(OR(AZ795="",N(O795)=0),"",AZ795+AW795/O795)</f>
        <v>-0.89030612244898</v>
      </c>
      <c r="BB795" s="32" t="n">
        <f aca="false">IF(OR(BA795="",N(AR795)=0),"",BA795-AR795)</f>
        <v>0</v>
      </c>
      <c r="BC795" s="35" t="n">
        <f aca="false">IF(OR(BA795="",N(U795)=0),"",BA795-U795)</f>
        <v>0.00637755102040816</v>
      </c>
      <c r="BD795" s="37"/>
    </row>
    <row r="796" customFormat="false" ht="15" hidden="false" customHeight="false" outlineLevel="0" collapsed="false">
      <c r="A796" s="2" t="s">
        <v>1453</v>
      </c>
      <c r="B796" s="2" t="n">
        <v>184</v>
      </c>
      <c r="C796" s="2" t="s">
        <v>1591</v>
      </c>
      <c r="D796" s="2" t="s">
        <v>1592</v>
      </c>
      <c r="E796" s="2" t="s">
        <v>1593</v>
      </c>
      <c r="F796" s="27" t="n">
        <v>25700</v>
      </c>
      <c r="G796" s="2" t="s">
        <v>52</v>
      </c>
      <c r="H796" s="2" t="s">
        <v>58</v>
      </c>
      <c r="I796" s="2" t="s">
        <v>144</v>
      </c>
      <c r="J796" s="2" t="s">
        <v>145</v>
      </c>
      <c r="K796" s="2" t="n">
        <v>4</v>
      </c>
      <c r="L796" s="28" t="n">
        <v>25</v>
      </c>
      <c r="M796" s="29" t="n">
        <v>0.057</v>
      </c>
      <c r="N796" s="28" t="n">
        <v>1.425</v>
      </c>
      <c r="O796" s="28" t="n">
        <v>20.24</v>
      </c>
      <c r="P796" s="2" t="s">
        <v>146</v>
      </c>
      <c r="Q796" s="29" t="n">
        <v>0.08</v>
      </c>
      <c r="R796" s="30" t="n">
        <v>0.075</v>
      </c>
      <c r="S796" s="31" t="n">
        <v>19</v>
      </c>
      <c r="T796" s="30" t="n">
        <v>-0.0612648221343874</v>
      </c>
      <c r="U796" s="30" t="n">
        <v>0.0091403162055335</v>
      </c>
      <c r="V796" s="29" t="n">
        <v>-0.005</v>
      </c>
      <c r="W796" s="29" t="n">
        <f aca="false">IF(N(Q796)=0,"",Q796+IF(I796="yes",Q796*Inputs!$B$10*Inputs!$B$9,0)+V796)</f>
        <v>0.075</v>
      </c>
      <c r="X796" s="28" t="n">
        <f aca="false">IF(OR(N(W796)&lt;=0,N(N796)=0,N(L796)=0),"",MIN(L796,N796/W796))</f>
        <v>19</v>
      </c>
      <c r="Y796" s="29" t="n">
        <f aca="false">IF(OR(X796="",N(O796)=0),"",X796/O796-1)</f>
        <v>-0.0612648221343873</v>
      </c>
      <c r="Z796" s="29" t="n">
        <f aca="false">IF(OR(Y796="",N(O796)=0),"",Y796+N796/O796)</f>
        <v>0.00914031620553363</v>
      </c>
      <c r="AA796" s="32" t="n">
        <f aca="false">IF(OR(Z796="",N(U796)=0),"",Z796-U796)</f>
        <v>1.2490009027033E-016</v>
      </c>
      <c r="AB796" s="29" t="n">
        <f aca="false">IF(N(Q796)=0,"",Q796+IF(I796="yes",Q796*Inputs!$B$10*Inputs!$B$9,0)+IFERROR(INDEX(Inputs!$B$13:$B$15,MATCH(G796,Inputs!$A$13:$A$15,0)),0)+IFERROR(INDEX(Inputs!$B$18:$B$24,MATCH(H796,Inputs!$A$18:$A$24,0)),0))</f>
        <v>0.075</v>
      </c>
      <c r="AC796" s="28" t="n">
        <f aca="false">IF(OR(N(AB796)&lt;=0,N(N796)=0,N(L796)=0),"",MIN(L796,N796/AB796))</f>
        <v>19</v>
      </c>
      <c r="AD796" s="29" t="n">
        <f aca="false">IF(OR(AC796="",N(O796)=0),"",AC796/O796-1)</f>
        <v>-0.0612648221343873</v>
      </c>
      <c r="AE796" s="29" t="n">
        <f aca="false">IF(OR(AD796="",N(O796)=0),"",AD796+N796/O796)</f>
        <v>0.00914031620553363</v>
      </c>
      <c r="AF796" s="32" t="n">
        <f aca="false">IF(OR(AE796="",N(Z796)=0),"",AE796-Z796)</f>
        <v>0</v>
      </c>
      <c r="AG796" s="28" t="n">
        <f aca="false">IF(AND(N(M796)&gt;0,N(L796)&gt;0),M796*L796,N796)</f>
        <v>1.425</v>
      </c>
      <c r="AH796" s="28" t="n">
        <f aca="false">IF(OR(N(AB796)&lt;=0,N(AG796)=0,N(L796)=0),"",MIN(L796,AG796/AB796))</f>
        <v>19</v>
      </c>
      <c r="AI796" s="29" t="n">
        <f aca="false">IF(OR(AH796="",N(O796)=0),"",AH796/O796-1)</f>
        <v>-0.0612648221343873</v>
      </c>
      <c r="AJ796" s="29" t="n">
        <f aca="false">IF(OR(AI796="",N(O796)=0),"",AI796+AG796/O796)</f>
        <v>0.00914031620553363</v>
      </c>
      <c r="AK796" s="32" t="n">
        <f aca="false">IF(OR(AJ796="",N(AE796)=0),"",AJ796-AE796)</f>
        <v>0</v>
      </c>
      <c r="AL796" s="33" t="n">
        <f aca="false">IF(N(F796)=0,"",INDEX(Inputs!$B$28:$B$32,IFERROR(MATCH(F796,Inputs!$A$28:$A$32,1),0)+1))</f>
        <v>0.075</v>
      </c>
      <c r="AM796" s="34"/>
      <c r="AN796" s="33" t="n">
        <f aca="false">IF(N(AM796)&gt;0,AM796,AL796)</f>
        <v>0.075</v>
      </c>
      <c r="AO796" s="29" t="n">
        <f aca="false">IF(N(AN796)=0,"",AN796+IF(I796="yes",AN796*Inputs!$B$10*Inputs!$B$9,0)+IFERROR(INDEX(Inputs!$B$13:$B$15,MATCH(G796,Inputs!$A$13:$A$15,0)),0)+IFERROR(INDEX(Inputs!$B$18:$B$24,MATCH(H796,Inputs!$A$18:$A$24,0)),0))</f>
        <v>0.07</v>
      </c>
      <c r="AP796" s="28" t="n">
        <f aca="false">IF(OR(N(AO796)&lt;=0,N(AG796)=0,N(L796)=0),"",MIN(L796,AG796/AO796))</f>
        <v>20.3571428571429</v>
      </c>
      <c r="AQ796" s="29" t="n">
        <f aca="false">IF(OR(AP796="",N(O796)=0),"",AP796/O796-1)</f>
        <v>0.0057876905702996</v>
      </c>
      <c r="AR796" s="29" t="n">
        <f aca="false">IF(OR(AQ796="",N(O796)=0),"",AQ796+AG796/O796)</f>
        <v>0.0761928289102206</v>
      </c>
      <c r="AS796" s="32" t="n">
        <f aca="false">IF(OR(AR796="",N(AJ796)=0),"",AR796-AJ796)</f>
        <v>0.0670525127046869</v>
      </c>
      <c r="AT796" s="28" t="n">
        <v>25</v>
      </c>
      <c r="AU796" s="28" t="n">
        <v>1.43</v>
      </c>
      <c r="AV796" s="28" t="n">
        <f aca="false">IF(N(AT796)&gt;0,AT796,L796)</f>
        <v>25</v>
      </c>
      <c r="AW796" s="28" t="n">
        <f aca="false">IF(AND(N(M796)&gt;0,N(AV796)&gt;0),M796*AV796,IF(N(AU796)&gt;0,AU796,N796))</f>
        <v>1.425</v>
      </c>
      <c r="AX796" s="29" t="n">
        <f aca="false">IF(N(AN796)=0,"",AN796+IF(I796="yes",AN796*Inputs!$B$10*Inputs!$B$9,0)+IFERROR(INDEX(Inputs!$B$13:$B$15,MATCH(G796,Inputs!$A$13:$A$15,0)),0)+IFERROR(INDEX(Inputs!$B$18:$B$24,MATCH(H796,Inputs!$A$18:$A$24,0)),0))</f>
        <v>0.07</v>
      </c>
      <c r="AY796" s="28" t="n">
        <f aca="false">IF(OR(N(AX796)&lt;=0,N(AW796)=0,N(AV796)=0),"",MIN(AV796,AW796/AX796))</f>
        <v>20.3571428571429</v>
      </c>
      <c r="AZ796" s="29" t="n">
        <f aca="false">IF(OR(AY796="",N(O796)=0),"",AY796/O796-1)</f>
        <v>0.0057876905702996</v>
      </c>
      <c r="BA796" s="29" t="n">
        <f aca="false">IF(OR(AZ796="",N(O796)=0),"",AZ796+AW796/O796)</f>
        <v>0.0761928289102206</v>
      </c>
      <c r="BB796" s="32" t="n">
        <f aca="false">IF(OR(BA796="",N(AR796)=0),"",BA796-AR796)</f>
        <v>0</v>
      </c>
      <c r="BC796" s="35" t="n">
        <f aca="false">IF(OR(BA796="",N(U796)=0),"",BA796-U796)</f>
        <v>0.0670525127046871</v>
      </c>
      <c r="BD796" s="37"/>
    </row>
    <row r="797" customFormat="false" ht="15" hidden="false" customHeight="false" outlineLevel="0" collapsed="false">
      <c r="A797" s="2" t="s">
        <v>1453</v>
      </c>
      <c r="B797" s="2" t="n">
        <v>185</v>
      </c>
      <c r="C797" s="2" t="s">
        <v>1594</v>
      </c>
      <c r="D797" s="2" t="s">
        <v>1592</v>
      </c>
      <c r="E797" s="2" t="s">
        <v>1593</v>
      </c>
      <c r="F797" s="27" t="n">
        <v>25700</v>
      </c>
      <c r="G797" s="2" t="s">
        <v>52</v>
      </c>
      <c r="H797" s="2" t="s">
        <v>58</v>
      </c>
      <c r="I797" s="2" t="s">
        <v>144</v>
      </c>
      <c r="J797" s="2" t="s">
        <v>145</v>
      </c>
      <c r="K797" s="2" t="n">
        <v>4</v>
      </c>
      <c r="L797" s="28" t="n">
        <v>25</v>
      </c>
      <c r="M797" s="29" t="n">
        <v>0.051</v>
      </c>
      <c r="N797" s="28" t="n">
        <v>1.275</v>
      </c>
      <c r="O797" s="28" t="n">
        <v>17.78</v>
      </c>
      <c r="P797" s="2" t="s">
        <v>146</v>
      </c>
      <c r="Q797" s="29" t="n">
        <v>0.08</v>
      </c>
      <c r="R797" s="30" t="n">
        <v>0.075</v>
      </c>
      <c r="S797" s="31" t="n">
        <v>17</v>
      </c>
      <c r="T797" s="30" t="n">
        <v>-0.0438695163104612</v>
      </c>
      <c r="U797" s="30" t="n">
        <v>0.0278402699662542</v>
      </c>
      <c r="V797" s="29" t="n">
        <v>-0.005</v>
      </c>
      <c r="W797" s="29" t="n">
        <f aca="false">IF(N(Q797)=0,"",Q797+IF(I797="yes",Q797*Inputs!$B$10*Inputs!$B$9,0)+V797)</f>
        <v>0.075</v>
      </c>
      <c r="X797" s="28" t="n">
        <f aca="false">IF(OR(N(W797)&lt;=0,N(N797)=0,N(L797)=0),"",MIN(L797,N797/W797))</f>
        <v>17</v>
      </c>
      <c r="Y797" s="29" t="n">
        <f aca="false">IF(OR(X797="",N(O797)=0),"",X797/O797-1)</f>
        <v>-0.0438695163104612</v>
      </c>
      <c r="Z797" s="29" t="n">
        <f aca="false">IF(OR(Y797="",N(O797)=0),"",Y797+N797/O797)</f>
        <v>0.0278402699662542</v>
      </c>
      <c r="AA797" s="32" t="n">
        <f aca="false">IF(OR(Z797="",N(U797)=0),"",Z797-U797)</f>
        <v>0</v>
      </c>
      <c r="AB797" s="29" t="n">
        <f aca="false">IF(N(Q797)=0,"",Q797+IF(I797="yes",Q797*Inputs!$B$10*Inputs!$B$9,0)+IFERROR(INDEX(Inputs!$B$13:$B$15,MATCH(G797,Inputs!$A$13:$A$15,0)),0)+IFERROR(INDEX(Inputs!$B$18:$B$24,MATCH(H797,Inputs!$A$18:$A$24,0)),0))</f>
        <v>0.075</v>
      </c>
      <c r="AC797" s="28" t="n">
        <f aca="false">IF(OR(N(AB797)&lt;=0,N(N797)=0,N(L797)=0),"",MIN(L797,N797/AB797))</f>
        <v>17</v>
      </c>
      <c r="AD797" s="29" t="n">
        <f aca="false">IF(OR(AC797="",N(O797)=0),"",AC797/O797-1)</f>
        <v>-0.0438695163104612</v>
      </c>
      <c r="AE797" s="29" t="n">
        <f aca="false">IF(OR(AD797="",N(O797)=0),"",AD797+N797/O797)</f>
        <v>0.0278402699662542</v>
      </c>
      <c r="AF797" s="32" t="n">
        <f aca="false">IF(OR(AE797="",N(Z797)=0),"",AE797-Z797)</f>
        <v>0</v>
      </c>
      <c r="AG797" s="28" t="n">
        <f aca="false">IF(AND(N(M797)&gt;0,N(L797)&gt;0),M797*L797,N797)</f>
        <v>1.275</v>
      </c>
      <c r="AH797" s="28" t="n">
        <f aca="false">IF(OR(N(AB797)&lt;=0,N(AG797)=0,N(L797)=0),"",MIN(L797,AG797/AB797))</f>
        <v>17</v>
      </c>
      <c r="AI797" s="29" t="n">
        <f aca="false">IF(OR(AH797="",N(O797)=0),"",AH797/O797-1)</f>
        <v>-0.0438695163104612</v>
      </c>
      <c r="AJ797" s="29" t="n">
        <f aca="false">IF(OR(AI797="",N(O797)=0),"",AI797+AG797/O797)</f>
        <v>0.0278402699662542</v>
      </c>
      <c r="AK797" s="32" t="n">
        <f aca="false">IF(OR(AJ797="",N(AE797)=0),"",AJ797-AE797)</f>
        <v>0</v>
      </c>
      <c r="AL797" s="33" t="n">
        <f aca="false">IF(N(F797)=0,"",INDEX(Inputs!$B$28:$B$32,IFERROR(MATCH(F797,Inputs!$A$28:$A$32,1),0)+1))</f>
        <v>0.075</v>
      </c>
      <c r="AM797" s="34"/>
      <c r="AN797" s="33" t="n">
        <f aca="false">IF(N(AM797)&gt;0,AM797,AL797)</f>
        <v>0.075</v>
      </c>
      <c r="AO797" s="29" t="n">
        <f aca="false">IF(N(AN797)=0,"",AN797+IF(I797="yes",AN797*Inputs!$B$10*Inputs!$B$9,0)+IFERROR(INDEX(Inputs!$B$13:$B$15,MATCH(G797,Inputs!$A$13:$A$15,0)),0)+IFERROR(INDEX(Inputs!$B$18:$B$24,MATCH(H797,Inputs!$A$18:$A$24,0)),0))</f>
        <v>0.07</v>
      </c>
      <c r="AP797" s="28" t="n">
        <f aca="false">IF(OR(N(AO797)&lt;=0,N(AG797)=0,N(L797)=0),"",MIN(L797,AG797/AO797))</f>
        <v>18.2142857142857</v>
      </c>
      <c r="AQ797" s="29" t="n">
        <f aca="false">IF(OR(AP797="",N(O797)=0),"",AP797/O797-1)</f>
        <v>0.0244255182387916</v>
      </c>
      <c r="AR797" s="29" t="n">
        <f aca="false">IF(OR(AQ797="",N(O797)=0),"",AQ797+AG797/O797)</f>
        <v>0.096135304515507</v>
      </c>
      <c r="AS797" s="32" t="n">
        <f aca="false">IF(OR(AR797="",N(AJ797)=0),"",AR797-AJ797)</f>
        <v>0.0682950345492528</v>
      </c>
      <c r="AT797" s="28" t="n">
        <v>25</v>
      </c>
      <c r="AU797" s="28" t="n">
        <v>1.28</v>
      </c>
      <c r="AV797" s="28" t="n">
        <f aca="false">IF(N(AT797)&gt;0,AT797,L797)</f>
        <v>25</v>
      </c>
      <c r="AW797" s="28" t="n">
        <f aca="false">IF(AND(N(M797)&gt;0,N(AV797)&gt;0),M797*AV797,IF(N(AU797)&gt;0,AU797,N797))</f>
        <v>1.275</v>
      </c>
      <c r="AX797" s="29" t="n">
        <f aca="false">IF(N(AN797)=0,"",AN797+IF(I797="yes",AN797*Inputs!$B$10*Inputs!$B$9,0)+IFERROR(INDEX(Inputs!$B$13:$B$15,MATCH(G797,Inputs!$A$13:$A$15,0)),0)+IFERROR(INDEX(Inputs!$B$18:$B$24,MATCH(H797,Inputs!$A$18:$A$24,0)),0))</f>
        <v>0.07</v>
      </c>
      <c r="AY797" s="28" t="n">
        <f aca="false">IF(OR(N(AX797)&lt;=0,N(AW797)=0,N(AV797)=0),"",MIN(AV797,AW797/AX797))</f>
        <v>18.2142857142857</v>
      </c>
      <c r="AZ797" s="29" t="n">
        <f aca="false">IF(OR(AY797="",N(O797)=0),"",AY797/O797-1)</f>
        <v>0.0244255182387916</v>
      </c>
      <c r="BA797" s="29" t="n">
        <f aca="false">IF(OR(AZ797="",N(O797)=0),"",AZ797+AW797/O797)</f>
        <v>0.096135304515507</v>
      </c>
      <c r="BB797" s="32" t="n">
        <f aca="false">IF(OR(BA797="",N(AR797)=0),"",BA797-AR797)</f>
        <v>0</v>
      </c>
      <c r="BC797" s="35" t="n">
        <f aca="false">IF(OR(BA797="",N(U797)=0),"",BA797-U797)</f>
        <v>0.0682950345492528</v>
      </c>
      <c r="BD797" s="37"/>
    </row>
    <row r="798" customFormat="false" ht="15" hidden="false" customHeight="false" outlineLevel="0" collapsed="false">
      <c r="A798" s="2" t="s">
        <v>1453</v>
      </c>
      <c r="B798" s="2" t="n">
        <v>186</v>
      </c>
      <c r="C798" s="2" t="s">
        <v>1595</v>
      </c>
      <c r="D798" s="2" t="s">
        <v>1592</v>
      </c>
      <c r="E798" s="2" t="s">
        <v>1593</v>
      </c>
      <c r="F798" s="27" t="n">
        <v>25700</v>
      </c>
      <c r="G798" s="2" t="s">
        <v>52</v>
      </c>
      <c r="H798" s="2" t="s">
        <v>58</v>
      </c>
      <c r="I798" s="2" t="s">
        <v>144</v>
      </c>
      <c r="J798" s="2" t="s">
        <v>145</v>
      </c>
      <c r="K798" s="2" t="n">
        <v>4</v>
      </c>
      <c r="L798" s="28" t="n">
        <v>25</v>
      </c>
      <c r="M798" s="29" t="n">
        <v>0.0425</v>
      </c>
      <c r="N798" s="28" t="n">
        <v>1.0625</v>
      </c>
      <c r="O798" s="28" t="n">
        <v>15.18</v>
      </c>
      <c r="P798" s="2" t="s">
        <v>146</v>
      </c>
      <c r="Q798" s="29" t="n">
        <v>0.08</v>
      </c>
      <c r="R798" s="30" t="n">
        <v>0.075</v>
      </c>
      <c r="S798" s="31" t="n">
        <v>14.1666666666667</v>
      </c>
      <c r="T798" s="30" t="n">
        <v>-0.0667545015371102</v>
      </c>
      <c r="U798" s="30" t="n">
        <v>0.00323891084760658</v>
      </c>
      <c r="V798" s="29" t="n">
        <v>-0.005</v>
      </c>
      <c r="W798" s="29" t="n">
        <f aca="false">IF(N(Q798)=0,"",Q798+IF(I798="yes",Q798*Inputs!$B$10*Inputs!$B$9,0)+V798)</f>
        <v>0.075</v>
      </c>
      <c r="X798" s="28" t="n">
        <f aca="false">IF(OR(N(W798)&lt;=0,N(N798)=0,N(L798)=0),"",MIN(L798,N798/W798))</f>
        <v>14.1666666666667</v>
      </c>
      <c r="Y798" s="29" t="n">
        <f aca="false">IF(OR(X798="",N(O798)=0),"",X798/O798-1)</f>
        <v>-0.0667545015371102</v>
      </c>
      <c r="Z798" s="29" t="n">
        <f aca="false">IF(OR(Y798="",N(O798)=0),"",Y798+N798/O798)</f>
        <v>0.00323891084760658</v>
      </c>
      <c r="AA798" s="32" t="n">
        <f aca="false">IF(OR(Z798="",N(U798)=0),"",Z798-U798)</f>
        <v>0</v>
      </c>
      <c r="AB798" s="29" t="n">
        <f aca="false">IF(N(Q798)=0,"",Q798+IF(I798="yes",Q798*Inputs!$B$10*Inputs!$B$9,0)+IFERROR(INDEX(Inputs!$B$13:$B$15,MATCH(G798,Inputs!$A$13:$A$15,0)),0)+IFERROR(INDEX(Inputs!$B$18:$B$24,MATCH(H798,Inputs!$A$18:$A$24,0)),0))</f>
        <v>0.075</v>
      </c>
      <c r="AC798" s="28" t="n">
        <f aca="false">IF(OR(N(AB798)&lt;=0,N(N798)=0,N(L798)=0),"",MIN(L798,N798/AB798))</f>
        <v>14.1666666666667</v>
      </c>
      <c r="AD798" s="29" t="n">
        <f aca="false">IF(OR(AC798="",N(O798)=0),"",AC798/O798-1)</f>
        <v>-0.0667545015371102</v>
      </c>
      <c r="AE798" s="29" t="n">
        <f aca="false">IF(OR(AD798="",N(O798)=0),"",AD798+N798/O798)</f>
        <v>0.00323891084760658</v>
      </c>
      <c r="AF798" s="32" t="n">
        <f aca="false">IF(OR(AE798="",N(Z798)=0),"",AE798-Z798)</f>
        <v>0</v>
      </c>
      <c r="AG798" s="28" t="n">
        <f aca="false">IF(AND(N(M798)&gt;0,N(L798)&gt;0),M798*L798,N798)</f>
        <v>1.0625</v>
      </c>
      <c r="AH798" s="28" t="n">
        <f aca="false">IF(OR(N(AB798)&lt;=0,N(AG798)=0,N(L798)=0),"",MIN(L798,AG798/AB798))</f>
        <v>14.1666666666667</v>
      </c>
      <c r="AI798" s="29" t="n">
        <f aca="false">IF(OR(AH798="",N(O798)=0),"",AH798/O798-1)</f>
        <v>-0.0667545015371102</v>
      </c>
      <c r="AJ798" s="29" t="n">
        <f aca="false">IF(OR(AI798="",N(O798)=0),"",AI798+AG798/O798)</f>
        <v>0.00323891084760658</v>
      </c>
      <c r="AK798" s="32" t="n">
        <f aca="false">IF(OR(AJ798="",N(AE798)=0),"",AJ798-AE798)</f>
        <v>0</v>
      </c>
      <c r="AL798" s="33" t="n">
        <f aca="false">IF(N(F798)=0,"",INDEX(Inputs!$B$28:$B$32,IFERROR(MATCH(F798,Inputs!$A$28:$A$32,1),0)+1))</f>
        <v>0.075</v>
      </c>
      <c r="AM798" s="34"/>
      <c r="AN798" s="33" t="n">
        <f aca="false">IF(N(AM798)&gt;0,AM798,AL798)</f>
        <v>0.075</v>
      </c>
      <c r="AO798" s="29" t="n">
        <f aca="false">IF(N(AN798)=0,"",AN798+IF(I798="yes",AN798*Inputs!$B$10*Inputs!$B$9,0)+IFERROR(INDEX(Inputs!$B$13:$B$15,MATCH(G798,Inputs!$A$13:$A$15,0)),0)+IFERROR(INDEX(Inputs!$B$18:$B$24,MATCH(H798,Inputs!$A$18:$A$24,0)),0))</f>
        <v>0.07</v>
      </c>
      <c r="AP798" s="28" t="n">
        <f aca="false">IF(OR(N(AO798)&lt;=0,N(AG798)=0,N(L798)=0),"",MIN(L798,AG798/AO798))</f>
        <v>15.1785714285714</v>
      </c>
      <c r="AQ798" s="29" t="n">
        <f aca="false">IF(OR(AP798="",N(O798)=0),"",AP798/O798-1)</f>
        <v>-9.4108789760794E-005</v>
      </c>
      <c r="AR798" s="29" t="n">
        <f aca="false">IF(OR(AQ798="",N(O798)=0),"",AQ798+AG798/O798)</f>
        <v>0.0698993035949559</v>
      </c>
      <c r="AS798" s="32" t="n">
        <f aca="false">IF(OR(AR798="",N(AJ798)=0),"",AR798-AJ798)</f>
        <v>0.0666603927473494</v>
      </c>
      <c r="AT798" s="28" t="n">
        <v>25</v>
      </c>
      <c r="AU798" s="28" t="n">
        <v>1.0625</v>
      </c>
      <c r="AV798" s="28" t="n">
        <f aca="false">IF(N(AT798)&gt;0,AT798,L798)</f>
        <v>25</v>
      </c>
      <c r="AW798" s="28" t="n">
        <f aca="false">IF(AND(N(M798)&gt;0,N(AV798)&gt;0),M798*AV798,IF(N(AU798)&gt;0,AU798,N798))</f>
        <v>1.0625</v>
      </c>
      <c r="AX798" s="29" t="n">
        <f aca="false">IF(N(AN798)=0,"",AN798+IF(I798="yes",AN798*Inputs!$B$10*Inputs!$B$9,0)+IFERROR(INDEX(Inputs!$B$13:$B$15,MATCH(G798,Inputs!$A$13:$A$15,0)),0)+IFERROR(INDEX(Inputs!$B$18:$B$24,MATCH(H798,Inputs!$A$18:$A$24,0)),0))</f>
        <v>0.07</v>
      </c>
      <c r="AY798" s="28" t="n">
        <f aca="false">IF(OR(N(AX798)&lt;=0,N(AW798)=0,N(AV798)=0),"",MIN(AV798,AW798/AX798))</f>
        <v>15.1785714285714</v>
      </c>
      <c r="AZ798" s="29" t="n">
        <f aca="false">IF(OR(AY798="",N(O798)=0),"",AY798/O798-1)</f>
        <v>-9.4108789760794E-005</v>
      </c>
      <c r="BA798" s="29" t="n">
        <f aca="false">IF(OR(AZ798="",N(O798)=0),"",AZ798+AW798/O798)</f>
        <v>0.0698993035949559</v>
      </c>
      <c r="BB798" s="32" t="n">
        <f aca="false">IF(OR(BA798="",N(AR798)=0),"",BA798-AR798)</f>
        <v>0</v>
      </c>
      <c r="BC798" s="35" t="n">
        <f aca="false">IF(OR(BA798="",N(U798)=0),"",BA798-U798)</f>
        <v>0.0666603927473494</v>
      </c>
      <c r="BD798" s="37"/>
    </row>
    <row r="799" customFormat="false" ht="15" hidden="false" customHeight="false" outlineLevel="0" collapsed="false">
      <c r="A799" s="2" t="s">
        <v>1453</v>
      </c>
      <c r="B799" s="2" t="n">
        <v>187</v>
      </c>
      <c r="C799" s="2" t="s">
        <v>1596</v>
      </c>
      <c r="D799" s="2" t="s">
        <v>1592</v>
      </c>
      <c r="E799" s="2" t="s">
        <v>1593</v>
      </c>
      <c r="F799" s="27" t="n">
        <v>25700</v>
      </c>
      <c r="G799" s="2" t="s">
        <v>52</v>
      </c>
      <c r="H799" s="2" t="s">
        <v>58</v>
      </c>
      <c r="I799" s="2" t="s">
        <v>144</v>
      </c>
      <c r="J799" s="2" t="s">
        <v>145</v>
      </c>
      <c r="K799" s="2" t="n">
        <v>4</v>
      </c>
      <c r="L799" s="28" t="n">
        <v>25</v>
      </c>
      <c r="M799" s="29" t="n">
        <v>0.04125</v>
      </c>
      <c r="N799" s="28" t="n">
        <v>1.03125</v>
      </c>
      <c r="O799" s="28" t="n">
        <v>14.55</v>
      </c>
      <c r="P799" s="2" t="s">
        <v>146</v>
      </c>
      <c r="Q799" s="29" t="n">
        <v>0.08</v>
      </c>
      <c r="R799" s="30" t="n">
        <v>0.075</v>
      </c>
      <c r="S799" s="31" t="n">
        <v>13.75</v>
      </c>
      <c r="T799" s="30" t="n">
        <v>-0.0549828178694158</v>
      </c>
      <c r="U799" s="30" t="n">
        <v>0.015893470790378</v>
      </c>
      <c r="V799" s="29" t="n">
        <v>-0.005</v>
      </c>
      <c r="W799" s="29" t="n">
        <f aca="false">IF(N(Q799)=0,"",Q799+IF(I799="yes",Q799*Inputs!$B$10*Inputs!$B$9,0)+V799)</f>
        <v>0.075</v>
      </c>
      <c r="X799" s="28" t="n">
        <f aca="false">IF(OR(N(W799)&lt;=0,N(N799)=0,N(L799)=0),"",MIN(L799,N799/W799))</f>
        <v>13.75</v>
      </c>
      <c r="Y799" s="29" t="n">
        <f aca="false">IF(OR(X799="",N(O799)=0),"",X799/O799-1)</f>
        <v>-0.0549828178694158</v>
      </c>
      <c r="Z799" s="29" t="n">
        <f aca="false">IF(OR(Y799="",N(O799)=0),"",Y799+N799/O799)</f>
        <v>0.015893470790378</v>
      </c>
      <c r="AA799" s="32" t="n">
        <f aca="false">IF(OR(Z799="",N(U799)=0),"",Z799-U799)</f>
        <v>0</v>
      </c>
      <c r="AB799" s="29" t="n">
        <f aca="false">IF(N(Q799)=0,"",Q799+IF(I799="yes",Q799*Inputs!$B$10*Inputs!$B$9,0)+IFERROR(INDEX(Inputs!$B$13:$B$15,MATCH(G799,Inputs!$A$13:$A$15,0)),0)+IFERROR(INDEX(Inputs!$B$18:$B$24,MATCH(H799,Inputs!$A$18:$A$24,0)),0))</f>
        <v>0.075</v>
      </c>
      <c r="AC799" s="28" t="n">
        <f aca="false">IF(OR(N(AB799)&lt;=0,N(N799)=0,N(L799)=0),"",MIN(L799,N799/AB799))</f>
        <v>13.75</v>
      </c>
      <c r="AD799" s="29" t="n">
        <f aca="false">IF(OR(AC799="",N(O799)=0),"",AC799/O799-1)</f>
        <v>-0.0549828178694158</v>
      </c>
      <c r="AE799" s="29" t="n">
        <f aca="false">IF(OR(AD799="",N(O799)=0),"",AD799+N799/O799)</f>
        <v>0.015893470790378</v>
      </c>
      <c r="AF799" s="32" t="n">
        <f aca="false">IF(OR(AE799="",N(Z799)=0),"",AE799-Z799)</f>
        <v>0</v>
      </c>
      <c r="AG799" s="28" t="n">
        <f aca="false">IF(AND(N(M799)&gt;0,N(L799)&gt;0),M799*L799,N799)</f>
        <v>1.03125</v>
      </c>
      <c r="AH799" s="28" t="n">
        <f aca="false">IF(OR(N(AB799)&lt;=0,N(AG799)=0,N(L799)=0),"",MIN(L799,AG799/AB799))</f>
        <v>13.75</v>
      </c>
      <c r="AI799" s="29" t="n">
        <f aca="false">IF(OR(AH799="",N(O799)=0),"",AH799/O799-1)</f>
        <v>-0.0549828178694158</v>
      </c>
      <c r="AJ799" s="29" t="n">
        <f aca="false">IF(OR(AI799="",N(O799)=0),"",AI799+AG799/O799)</f>
        <v>0.015893470790378</v>
      </c>
      <c r="AK799" s="32" t="n">
        <f aca="false">IF(OR(AJ799="",N(AE799)=0),"",AJ799-AE799)</f>
        <v>0</v>
      </c>
      <c r="AL799" s="33" t="n">
        <f aca="false">IF(N(F799)=0,"",INDEX(Inputs!$B$28:$B$32,IFERROR(MATCH(F799,Inputs!$A$28:$A$32,1),0)+1))</f>
        <v>0.075</v>
      </c>
      <c r="AM799" s="34"/>
      <c r="AN799" s="33" t="n">
        <f aca="false">IF(N(AM799)&gt;0,AM799,AL799)</f>
        <v>0.075</v>
      </c>
      <c r="AO799" s="29" t="n">
        <f aca="false">IF(N(AN799)=0,"",AN799+IF(I799="yes",AN799*Inputs!$B$10*Inputs!$B$9,0)+IFERROR(INDEX(Inputs!$B$13:$B$15,MATCH(G799,Inputs!$A$13:$A$15,0)),0)+IFERROR(INDEX(Inputs!$B$18:$B$24,MATCH(H799,Inputs!$A$18:$A$24,0)),0))</f>
        <v>0.07</v>
      </c>
      <c r="AP799" s="28" t="n">
        <f aca="false">IF(OR(N(AO799)&lt;=0,N(AG799)=0,N(L799)=0),"",MIN(L799,AG799/AO799))</f>
        <v>14.7321428571429</v>
      </c>
      <c r="AQ799" s="29" t="n">
        <f aca="false">IF(OR(AP799="",N(O799)=0),"",AP799/O799-1)</f>
        <v>0.0125184094256261</v>
      </c>
      <c r="AR799" s="29" t="n">
        <f aca="false">IF(OR(AQ799="",N(O799)=0),"",AQ799+AG799/O799)</f>
        <v>0.0833946980854199</v>
      </c>
      <c r="AS799" s="32" t="n">
        <f aca="false">IF(OR(AR799="",N(AJ799)=0),"",AR799-AJ799)</f>
        <v>0.0675012272950419</v>
      </c>
      <c r="AT799" s="28" t="n">
        <v>25</v>
      </c>
      <c r="AU799" s="28" t="n">
        <v>1.03125</v>
      </c>
      <c r="AV799" s="28" t="n">
        <f aca="false">IF(N(AT799)&gt;0,AT799,L799)</f>
        <v>25</v>
      </c>
      <c r="AW799" s="28" t="n">
        <f aca="false">IF(AND(N(M799)&gt;0,N(AV799)&gt;0),M799*AV799,IF(N(AU799)&gt;0,AU799,N799))</f>
        <v>1.03125</v>
      </c>
      <c r="AX799" s="29" t="n">
        <f aca="false">IF(N(AN799)=0,"",AN799+IF(I799="yes",AN799*Inputs!$B$10*Inputs!$B$9,0)+IFERROR(INDEX(Inputs!$B$13:$B$15,MATCH(G799,Inputs!$A$13:$A$15,0)),0)+IFERROR(INDEX(Inputs!$B$18:$B$24,MATCH(H799,Inputs!$A$18:$A$24,0)),0))</f>
        <v>0.07</v>
      </c>
      <c r="AY799" s="28" t="n">
        <f aca="false">IF(OR(N(AX799)&lt;=0,N(AW799)=0,N(AV799)=0),"",MIN(AV799,AW799/AX799))</f>
        <v>14.7321428571429</v>
      </c>
      <c r="AZ799" s="29" t="n">
        <f aca="false">IF(OR(AY799="",N(O799)=0),"",AY799/O799-1)</f>
        <v>0.0125184094256261</v>
      </c>
      <c r="BA799" s="29" t="n">
        <f aca="false">IF(OR(AZ799="",N(O799)=0),"",AZ799+AW799/O799)</f>
        <v>0.0833946980854199</v>
      </c>
      <c r="BB799" s="32" t="n">
        <f aca="false">IF(OR(BA799="",N(AR799)=0),"",BA799-AR799)</f>
        <v>0</v>
      </c>
      <c r="BC799" s="35" t="n">
        <f aca="false">IF(OR(BA799="",N(U799)=0),"",BA799-U799)</f>
        <v>0.0675012272950419</v>
      </c>
      <c r="BD799" s="37"/>
    </row>
    <row r="800" customFormat="false" ht="15" hidden="false" customHeight="false" outlineLevel="0" collapsed="false">
      <c r="A800" s="2" t="s">
        <v>1453</v>
      </c>
      <c r="B800" s="2" t="n">
        <v>190</v>
      </c>
      <c r="C800" s="2" t="s">
        <v>1597</v>
      </c>
      <c r="D800" s="2" t="s">
        <v>1598</v>
      </c>
      <c r="E800" s="2" t="s">
        <v>1599</v>
      </c>
      <c r="F800" s="27" t="n">
        <v>10300</v>
      </c>
      <c r="G800" s="2" t="s">
        <v>51</v>
      </c>
      <c r="H800" s="2" t="s">
        <v>58</v>
      </c>
      <c r="I800" s="2" t="s">
        <v>151</v>
      </c>
      <c r="J800" s="2" t="s">
        <v>145</v>
      </c>
      <c r="K800" s="2" t="n">
        <v>4</v>
      </c>
      <c r="L800" s="28" t="n">
        <v>25</v>
      </c>
      <c r="M800" s="29" t="n">
        <v>0.065</v>
      </c>
      <c r="N800" s="28" t="n">
        <v>1.625</v>
      </c>
      <c r="O800" s="28" t="n">
        <v>0</v>
      </c>
      <c r="P800" s="2" t="s">
        <v>146</v>
      </c>
      <c r="Q800" s="29" t="n">
        <v>0.08</v>
      </c>
      <c r="R800" s="30" t="n">
        <v>0.076</v>
      </c>
      <c r="S800" s="31" t="n">
        <v>21.3815789473684</v>
      </c>
      <c r="T800" s="30"/>
      <c r="U800" s="30"/>
      <c r="V800" s="29" t="n">
        <v>0</v>
      </c>
      <c r="W800" s="29" t="n">
        <f aca="false">IF(N(Q800)=0,"",Q800+IF(I800="yes",Q800*Inputs!$B$10*Inputs!$B$9,0)+V800)</f>
        <v>0.076</v>
      </c>
      <c r="X800" s="28" t="n">
        <f aca="false">IF(OR(N(W800)&lt;=0,N(N800)=0,N(L800)=0),"",MIN(L800,N800/W800))</f>
        <v>21.3815789473684</v>
      </c>
      <c r="Y800" s="29" t="str">
        <f aca="false">IF(OR(X800="",N(O800)=0),"",X800/O800-1)</f>
        <v/>
      </c>
      <c r="Z800" s="29" t="str">
        <f aca="false">IF(OR(Y800="",N(O800)=0),"",Y800+N800/O800)</f>
        <v/>
      </c>
      <c r="AA800" s="32" t="str">
        <f aca="false">IF(OR(Z800="",N(U800)=0),"",Z800-U800)</f>
        <v/>
      </c>
      <c r="AB800" s="29" t="n">
        <f aca="false">IF(N(Q800)=0,"",Q800+IF(I800="yes",Q800*Inputs!$B$10*Inputs!$B$9,0)+IFERROR(INDEX(Inputs!$B$13:$B$15,MATCH(G800,Inputs!$A$13:$A$15,0)),0)+IFERROR(INDEX(Inputs!$B$18:$B$24,MATCH(H800,Inputs!$A$18:$A$24,0)),0))</f>
        <v>0.076</v>
      </c>
      <c r="AC800" s="28" t="n">
        <f aca="false">IF(OR(N(AB800)&lt;=0,N(N800)=0,N(L800)=0),"",MIN(L800,N800/AB800))</f>
        <v>21.3815789473684</v>
      </c>
      <c r="AD800" s="29" t="str">
        <f aca="false">IF(OR(AC800="",N(O800)=0),"",AC800/O800-1)</f>
        <v/>
      </c>
      <c r="AE800" s="29" t="str">
        <f aca="false">IF(OR(AD800="",N(O800)=0),"",AD800+N800/O800)</f>
        <v/>
      </c>
      <c r="AF800" s="32" t="str">
        <f aca="false">IF(OR(AE800="",N(Z800)=0),"",AE800-Z800)</f>
        <v/>
      </c>
      <c r="AG800" s="28" t="n">
        <f aca="false">IF(AND(N(M800)&gt;0,N(L800)&gt;0),M800*L800,N800)</f>
        <v>1.625</v>
      </c>
      <c r="AH800" s="28" t="n">
        <f aca="false">IF(OR(N(AB800)&lt;=0,N(AG800)=0,N(L800)=0),"",MIN(L800,AG800/AB800))</f>
        <v>21.3815789473684</v>
      </c>
      <c r="AI800" s="29" t="str">
        <f aca="false">IF(OR(AH800="",N(O800)=0),"",AH800/O800-1)</f>
        <v/>
      </c>
      <c r="AJ800" s="29" t="str">
        <f aca="false">IF(OR(AI800="",N(O800)=0),"",AI800+AG800/O800)</f>
        <v/>
      </c>
      <c r="AK800" s="32" t="str">
        <f aca="false">IF(OR(AJ800="",N(AE800)=0),"",AJ800-AE800)</f>
        <v/>
      </c>
      <c r="AL800" s="33" t="n">
        <f aca="false">IF(N(F800)=0,"",INDEX(Inputs!$B$28:$B$32,IFERROR(MATCH(F800,Inputs!$A$28:$A$32,1),0)+1))</f>
        <v>0.08</v>
      </c>
      <c r="AM800" s="34"/>
      <c r="AN800" s="33" t="n">
        <f aca="false">IF(N(AM800)&gt;0,AM800,AL800)</f>
        <v>0.08</v>
      </c>
      <c r="AO800" s="29" t="n">
        <f aca="false">IF(N(AN800)=0,"",AN800+IF(I800="yes",AN800*Inputs!$B$10*Inputs!$B$9,0)+IFERROR(INDEX(Inputs!$B$13:$B$15,MATCH(G800,Inputs!$A$13:$A$15,0)),0)+IFERROR(INDEX(Inputs!$B$18:$B$24,MATCH(H800,Inputs!$A$18:$A$24,0)),0))</f>
        <v>0.076</v>
      </c>
      <c r="AP800" s="28" t="n">
        <f aca="false">IF(OR(N(AO800)&lt;=0,N(AG800)=0,N(L800)=0),"",MIN(L800,AG800/AO800))</f>
        <v>21.3815789473684</v>
      </c>
      <c r="AQ800" s="29" t="str">
        <f aca="false">IF(OR(AP800="",N(O800)=0),"",AP800/O800-1)</f>
        <v/>
      </c>
      <c r="AR800" s="29" t="str">
        <f aca="false">IF(OR(AQ800="",N(O800)=0),"",AQ800+AG800/O800)</f>
        <v/>
      </c>
      <c r="AS800" s="32" t="str">
        <f aca="false">IF(OR(AR800="",N(AJ800)=0),"",AR800-AJ800)</f>
        <v/>
      </c>
      <c r="AT800" s="28" t="n">
        <v>25</v>
      </c>
      <c r="AU800" s="28" t="n">
        <v>1.63</v>
      </c>
      <c r="AV800" s="28" t="n">
        <f aca="false">IF(N(AT800)&gt;0,AT800,L800)</f>
        <v>25</v>
      </c>
      <c r="AW800" s="28" t="n">
        <f aca="false">IF(AND(N(M800)&gt;0,N(AV800)&gt;0),M800*AV800,IF(N(AU800)&gt;0,AU800,N800))</f>
        <v>1.625</v>
      </c>
      <c r="AX800" s="29" t="n">
        <f aca="false">IF(N(AN800)=0,"",AN800+IF(I800="yes",AN800*Inputs!$B$10*Inputs!$B$9,0)+IFERROR(INDEX(Inputs!$B$13:$B$15,MATCH(G800,Inputs!$A$13:$A$15,0)),0)+IFERROR(INDEX(Inputs!$B$18:$B$24,MATCH(H800,Inputs!$A$18:$A$24,0)),0))</f>
        <v>0.076</v>
      </c>
      <c r="AY800" s="28" t="n">
        <f aca="false">IF(OR(N(AX800)&lt;=0,N(AW800)=0,N(AV800)=0),"",MIN(AV800,AW800/AX800))</f>
        <v>21.3815789473684</v>
      </c>
      <c r="AZ800" s="29" t="str">
        <f aca="false">IF(OR(AY800="",N(O800)=0),"",AY800/O800-1)</f>
        <v/>
      </c>
      <c r="BA800" s="29" t="str">
        <f aca="false">IF(OR(AZ800="",N(O800)=0),"",AZ800+AW800/O800)</f>
        <v/>
      </c>
      <c r="BB800" s="32" t="str">
        <f aca="false">IF(OR(BA800="",N(AR800)=0),"",BA800-AR800)</f>
        <v/>
      </c>
      <c r="BC800" s="35" t="str">
        <f aca="false">IF(OR(BA800="",N(U800)=0),"",BA800-U800)</f>
        <v/>
      </c>
      <c r="BD800" s="36" t="s">
        <v>299</v>
      </c>
    </row>
    <row r="801" customFormat="false" ht="15" hidden="false" customHeight="false" outlineLevel="0" collapsed="false">
      <c r="A801" s="2" t="s">
        <v>1453</v>
      </c>
      <c r="B801" s="2" t="n">
        <v>191</v>
      </c>
      <c r="C801" s="2" t="s">
        <v>1600</v>
      </c>
      <c r="D801" s="2" t="s">
        <v>1598</v>
      </c>
      <c r="E801" s="2" t="s">
        <v>1599</v>
      </c>
      <c r="F801" s="27" t="n">
        <v>10300</v>
      </c>
      <c r="G801" s="2" t="s">
        <v>51</v>
      </c>
      <c r="H801" s="2" t="s">
        <v>61</v>
      </c>
      <c r="I801" s="2" t="s">
        <v>151</v>
      </c>
      <c r="J801" s="2" t="s">
        <v>145</v>
      </c>
      <c r="K801" s="2" t="n">
        <v>4</v>
      </c>
      <c r="L801" s="28" t="n">
        <v>25</v>
      </c>
      <c r="M801" s="29" t="n">
        <v>0.0688</v>
      </c>
      <c r="N801" s="28" t="n">
        <v>1.72</v>
      </c>
      <c r="O801" s="28" t="n">
        <v>0</v>
      </c>
      <c r="P801" s="2" t="s">
        <v>146</v>
      </c>
      <c r="Q801" s="29" t="n">
        <v>0.08</v>
      </c>
      <c r="R801" s="30" t="n">
        <v>0.076</v>
      </c>
      <c r="S801" s="31" t="n">
        <v>22.6315789473684</v>
      </c>
      <c r="T801" s="30"/>
      <c r="U801" s="30"/>
      <c r="V801" s="29" t="n">
        <v>0</v>
      </c>
      <c r="W801" s="29" t="n">
        <f aca="false">IF(N(Q801)=0,"",Q801+IF(I801="yes",Q801*Inputs!$B$10*Inputs!$B$9,0)+V801)</f>
        <v>0.076</v>
      </c>
      <c r="X801" s="28" t="n">
        <f aca="false">IF(OR(N(W801)&lt;=0,N(N801)=0,N(L801)=0),"",MIN(L801,N801/W801))</f>
        <v>22.6315789473684</v>
      </c>
      <c r="Y801" s="29" t="str">
        <f aca="false">IF(OR(X801="",N(O801)=0),"",X801/O801-1)</f>
        <v/>
      </c>
      <c r="Z801" s="29" t="str">
        <f aca="false">IF(OR(Y801="",N(O801)=0),"",Y801+N801/O801)</f>
        <v/>
      </c>
      <c r="AA801" s="32" t="str">
        <f aca="false">IF(OR(Z801="",N(U801)=0),"",Z801-U801)</f>
        <v/>
      </c>
      <c r="AB801" s="29" t="n">
        <f aca="false">IF(N(Q801)=0,"",Q801+IF(I801="yes",Q801*Inputs!$B$10*Inputs!$B$9,0)+IFERROR(INDEX(Inputs!$B$13:$B$15,MATCH(G801,Inputs!$A$13:$A$15,0)),0)+IFERROR(INDEX(Inputs!$B$18:$B$24,MATCH(H801,Inputs!$A$18:$A$24,0)),0))</f>
        <v>0.076</v>
      </c>
      <c r="AC801" s="28" t="n">
        <f aca="false">IF(OR(N(AB801)&lt;=0,N(N801)=0,N(L801)=0),"",MIN(L801,N801/AB801))</f>
        <v>22.6315789473684</v>
      </c>
      <c r="AD801" s="29" t="str">
        <f aca="false">IF(OR(AC801="",N(O801)=0),"",AC801/O801-1)</f>
        <v/>
      </c>
      <c r="AE801" s="29" t="str">
        <f aca="false">IF(OR(AD801="",N(O801)=0),"",AD801+N801/O801)</f>
        <v/>
      </c>
      <c r="AF801" s="32" t="str">
        <f aca="false">IF(OR(AE801="",N(Z801)=0),"",AE801-Z801)</f>
        <v/>
      </c>
      <c r="AG801" s="28" t="n">
        <f aca="false">IF(AND(N(M801)&gt;0,N(L801)&gt;0),M801*L801,N801)</f>
        <v>1.72</v>
      </c>
      <c r="AH801" s="28" t="n">
        <f aca="false">IF(OR(N(AB801)&lt;=0,N(AG801)=0,N(L801)=0),"",MIN(L801,AG801/AB801))</f>
        <v>22.6315789473684</v>
      </c>
      <c r="AI801" s="29" t="str">
        <f aca="false">IF(OR(AH801="",N(O801)=0),"",AH801/O801-1)</f>
        <v/>
      </c>
      <c r="AJ801" s="29" t="str">
        <f aca="false">IF(OR(AI801="",N(O801)=0),"",AI801+AG801/O801)</f>
        <v/>
      </c>
      <c r="AK801" s="32" t="str">
        <f aca="false">IF(OR(AJ801="",N(AE801)=0),"",AJ801-AE801)</f>
        <v/>
      </c>
      <c r="AL801" s="33" t="n">
        <f aca="false">IF(N(F801)=0,"",INDEX(Inputs!$B$28:$B$32,IFERROR(MATCH(F801,Inputs!$A$28:$A$32,1),0)+1))</f>
        <v>0.08</v>
      </c>
      <c r="AM801" s="34"/>
      <c r="AN801" s="33" t="n">
        <f aca="false">IF(N(AM801)&gt;0,AM801,AL801)</f>
        <v>0.08</v>
      </c>
      <c r="AO801" s="29" t="n">
        <f aca="false">IF(N(AN801)=0,"",AN801+IF(I801="yes",AN801*Inputs!$B$10*Inputs!$B$9,0)+IFERROR(INDEX(Inputs!$B$13:$B$15,MATCH(G801,Inputs!$A$13:$A$15,0)),0)+IFERROR(INDEX(Inputs!$B$18:$B$24,MATCH(H801,Inputs!$A$18:$A$24,0)),0))</f>
        <v>0.076</v>
      </c>
      <c r="AP801" s="28" t="n">
        <f aca="false">IF(OR(N(AO801)&lt;=0,N(AG801)=0,N(L801)=0),"",MIN(L801,AG801/AO801))</f>
        <v>22.6315789473684</v>
      </c>
      <c r="AQ801" s="29" t="str">
        <f aca="false">IF(OR(AP801="",N(O801)=0),"",AP801/O801-1)</f>
        <v/>
      </c>
      <c r="AR801" s="29" t="str">
        <f aca="false">IF(OR(AQ801="",N(O801)=0),"",AQ801+AG801/O801)</f>
        <v/>
      </c>
      <c r="AS801" s="32" t="str">
        <f aca="false">IF(OR(AR801="",N(AJ801)=0),"",AR801-AJ801)</f>
        <v/>
      </c>
      <c r="AT801" s="28"/>
      <c r="AU801" s="28"/>
      <c r="AV801" s="28" t="n">
        <f aca="false">IF(N(AT801)&gt;0,AT801,L801)</f>
        <v>25</v>
      </c>
      <c r="AW801" s="28" t="n">
        <f aca="false">IF(AND(N(M801)&gt;0,N(AV801)&gt;0),M801*AV801,IF(N(AU801)&gt;0,AU801,N801))</f>
        <v>1.72</v>
      </c>
      <c r="AX801" s="29" t="n">
        <f aca="false">IF(N(AN801)=0,"",AN801+IF(I801="yes",AN801*Inputs!$B$10*Inputs!$B$9,0)+IFERROR(INDEX(Inputs!$B$13:$B$15,MATCH(G801,Inputs!$A$13:$A$15,0)),0)+IFERROR(INDEX(Inputs!$B$18:$B$24,MATCH(H801,Inputs!$A$18:$A$24,0)),0))</f>
        <v>0.076</v>
      </c>
      <c r="AY801" s="28" t="n">
        <f aca="false">IF(OR(N(AX801)&lt;=0,N(AW801)=0,N(AV801)=0),"",MIN(AV801,AW801/AX801))</f>
        <v>22.6315789473684</v>
      </c>
      <c r="AZ801" s="29" t="str">
        <f aca="false">IF(OR(AY801="",N(O801)=0),"",AY801/O801-1)</f>
        <v/>
      </c>
      <c r="BA801" s="29" t="str">
        <f aca="false">IF(OR(AZ801="",N(O801)=0),"",AZ801+AW801/O801)</f>
        <v/>
      </c>
      <c r="BB801" s="32" t="str">
        <f aca="false">IF(OR(BA801="",N(AR801)=0),"",BA801-AR801)</f>
        <v/>
      </c>
      <c r="BC801" s="35" t="str">
        <f aca="false">IF(OR(BA801="",N(U801)=0),"",BA801-U801)</f>
        <v/>
      </c>
      <c r="BD801" s="36" t="s">
        <v>198</v>
      </c>
    </row>
    <row r="802" customFormat="false" ht="15" hidden="false" customHeight="false" outlineLevel="0" collapsed="false">
      <c r="A802" s="2" t="s">
        <v>1453</v>
      </c>
      <c r="B802" s="2" t="n">
        <v>194</v>
      </c>
      <c r="C802" s="2" t="s">
        <v>1601</v>
      </c>
      <c r="D802" s="2" t="s">
        <v>1602</v>
      </c>
      <c r="E802" s="2" t="s">
        <v>1603</v>
      </c>
      <c r="F802" s="27" t="n">
        <v>11</v>
      </c>
      <c r="G802" s="2" t="s">
        <v>51</v>
      </c>
      <c r="H802" s="2" t="s">
        <v>58</v>
      </c>
      <c r="I802" s="2" t="s">
        <v>144</v>
      </c>
      <c r="J802" s="2" t="s">
        <v>1604</v>
      </c>
      <c r="K802" s="2" t="n">
        <v>1</v>
      </c>
      <c r="L802" s="28" t="n">
        <v>4.15</v>
      </c>
      <c r="M802" s="29" t="n">
        <v>0.106024096385542</v>
      </c>
      <c r="N802" s="28" t="n">
        <v>0.44</v>
      </c>
      <c r="O802" s="28" t="n">
        <v>2.6</v>
      </c>
      <c r="P802" s="2" t="s">
        <v>146</v>
      </c>
      <c r="Q802" s="29" t="n">
        <v>0.1</v>
      </c>
      <c r="R802" s="30" t="n">
        <v>0.1</v>
      </c>
      <c r="S802" s="31" t="n">
        <v>4.15</v>
      </c>
      <c r="T802" s="30" t="n">
        <v>0.596153846153846</v>
      </c>
      <c r="U802" s="30" t="n">
        <v>0.765384615384615</v>
      </c>
      <c r="V802" s="29" t="n">
        <v>0</v>
      </c>
      <c r="W802" s="29" t="n">
        <f aca="false">IF(N(Q802)=0,"",Q802+IF(I802="yes",Q802*Inputs!$B$10*Inputs!$B$9,0)+V802)</f>
        <v>0.1</v>
      </c>
      <c r="X802" s="28" t="n">
        <f aca="false">IF(OR(N(W802)&lt;=0,N(N802)=0,N(L802)=0),"",MIN(L802,N802/W802))</f>
        <v>4.15</v>
      </c>
      <c r="Y802" s="29" t="n">
        <f aca="false">IF(OR(X802="",N(O802)=0),"",X802/O802-1)</f>
        <v>0.596153846153846</v>
      </c>
      <c r="Z802" s="29" t="n">
        <f aca="false">IF(OR(Y802="",N(O802)=0),"",Y802+N802/O802)</f>
        <v>0.765384615384615</v>
      </c>
      <c r="AA802" s="32" t="n">
        <f aca="false">IF(OR(Z802="",N(U802)=0),"",Z802-U802)</f>
        <v>0</v>
      </c>
      <c r="AB802" s="29" t="n">
        <f aca="false">IF(N(Q802)=0,"",Q802+IF(I802="yes",Q802*Inputs!$B$10*Inputs!$B$9,0)+IFERROR(INDEX(Inputs!$B$13:$B$15,MATCH(G802,Inputs!$A$13:$A$15,0)),0)+IFERROR(INDEX(Inputs!$B$18:$B$24,MATCH(H802,Inputs!$A$18:$A$24,0)),0))</f>
        <v>0.1</v>
      </c>
      <c r="AC802" s="28" t="n">
        <f aca="false">IF(OR(N(AB802)&lt;=0,N(N802)=0,N(L802)=0),"",MIN(L802,N802/AB802))</f>
        <v>4.15</v>
      </c>
      <c r="AD802" s="29" t="n">
        <f aca="false">IF(OR(AC802="",N(O802)=0),"",AC802/O802-1)</f>
        <v>0.596153846153846</v>
      </c>
      <c r="AE802" s="29" t="n">
        <f aca="false">IF(OR(AD802="",N(O802)=0),"",AD802+N802/O802)</f>
        <v>0.765384615384615</v>
      </c>
      <c r="AF802" s="32" t="n">
        <f aca="false">IF(OR(AE802="",N(Z802)=0),"",AE802-Z802)</f>
        <v>0</v>
      </c>
      <c r="AG802" s="28" t="n">
        <f aca="false">IF(AND(N(M802)&gt;0,N(L802)&gt;0),M802*L802,N802)</f>
        <v>0.44</v>
      </c>
      <c r="AH802" s="28" t="n">
        <f aca="false">IF(OR(N(AB802)&lt;=0,N(AG802)=0,N(L802)=0),"",MIN(L802,AG802/AB802))</f>
        <v>4.15</v>
      </c>
      <c r="AI802" s="29" t="n">
        <f aca="false">IF(OR(AH802="",N(O802)=0),"",AH802/O802-1)</f>
        <v>0.596153846153846</v>
      </c>
      <c r="AJ802" s="29" t="n">
        <f aca="false">IF(OR(AI802="",N(O802)=0),"",AI802+AG802/O802)</f>
        <v>0.765384615384616</v>
      </c>
      <c r="AK802" s="32" t="n">
        <f aca="false">IF(OR(AJ802="",N(AE802)=0),"",AJ802-AE802)</f>
        <v>0</v>
      </c>
      <c r="AL802" s="33" t="n">
        <f aca="false">IF(N(F802)=0,"",INDEX(Inputs!$B$28:$B$32,IFERROR(MATCH(F802,Inputs!$A$28:$A$32,1),0)+1))</f>
        <v>0.1</v>
      </c>
      <c r="AM802" s="34"/>
      <c r="AN802" s="33" t="n">
        <f aca="false">IF(N(AM802)&gt;0,AM802,AL802)</f>
        <v>0.1</v>
      </c>
      <c r="AO802" s="29" t="n">
        <f aca="false">IF(N(AN802)=0,"",AN802+IF(I802="yes",AN802*Inputs!$B$10*Inputs!$B$9,0)+IFERROR(INDEX(Inputs!$B$13:$B$15,MATCH(G802,Inputs!$A$13:$A$15,0)),0)+IFERROR(INDEX(Inputs!$B$18:$B$24,MATCH(H802,Inputs!$A$18:$A$24,0)),0))</f>
        <v>0.1</v>
      </c>
      <c r="AP802" s="28" t="n">
        <f aca="false">IF(OR(N(AO802)&lt;=0,N(AG802)=0,N(L802)=0),"",MIN(L802,AG802/AO802))</f>
        <v>4.15</v>
      </c>
      <c r="AQ802" s="29" t="n">
        <f aca="false">IF(OR(AP802="",N(O802)=0),"",AP802/O802-1)</f>
        <v>0.596153846153846</v>
      </c>
      <c r="AR802" s="29" t="n">
        <f aca="false">IF(OR(AQ802="",N(O802)=0),"",AQ802+AG802/O802)</f>
        <v>0.765384615384616</v>
      </c>
      <c r="AS802" s="32" t="n">
        <f aca="false">IF(OR(AR802="",N(AJ802)=0),"",AR802-AJ802)</f>
        <v>0</v>
      </c>
      <c r="AT802" s="28" t="n">
        <v>4.15</v>
      </c>
      <c r="AU802" s="28" t="n">
        <v>0.22</v>
      </c>
      <c r="AV802" s="28" t="n">
        <f aca="false">IF(N(AT802)&gt;0,AT802,L802)</f>
        <v>4.15</v>
      </c>
      <c r="AW802" s="28" t="n">
        <f aca="false">IF(AND(N(M802)&gt;0,N(AV802)&gt;0),M802*AV802,IF(N(AU802)&gt;0,AU802,N802))</f>
        <v>0.44</v>
      </c>
      <c r="AX802" s="29" t="n">
        <f aca="false">IF(N(AN802)=0,"",AN802+IF(I802="yes",AN802*Inputs!$B$10*Inputs!$B$9,0)+IFERROR(INDEX(Inputs!$B$13:$B$15,MATCH(G802,Inputs!$A$13:$A$15,0)),0)+IFERROR(INDEX(Inputs!$B$18:$B$24,MATCH(H802,Inputs!$A$18:$A$24,0)),0))</f>
        <v>0.1</v>
      </c>
      <c r="AY802" s="28" t="n">
        <f aca="false">IF(OR(N(AX802)&lt;=0,N(AW802)=0,N(AV802)=0),"",MIN(AV802,AW802/AX802))</f>
        <v>4.15</v>
      </c>
      <c r="AZ802" s="29" t="n">
        <f aca="false">IF(OR(AY802="",N(O802)=0),"",AY802/O802-1)</f>
        <v>0.596153846153846</v>
      </c>
      <c r="BA802" s="29" t="n">
        <f aca="false">IF(OR(AZ802="",N(O802)=0),"",AZ802+AW802/O802)</f>
        <v>0.765384615384616</v>
      </c>
      <c r="BB802" s="32" t="n">
        <f aca="false">IF(OR(BA802="",N(AR802)=0),"",BA802-AR802)</f>
        <v>0</v>
      </c>
      <c r="BC802" s="35" t="n">
        <f aca="false">IF(OR(BA802="",N(U802)=0),"",BA802-U802)</f>
        <v>0</v>
      </c>
      <c r="BD802" s="37"/>
    </row>
    <row r="803" customFormat="false" ht="15" hidden="false" customHeight="false" outlineLevel="0" collapsed="false">
      <c r="A803" s="2" t="s">
        <v>1453</v>
      </c>
      <c r="B803" s="2" t="n">
        <v>200</v>
      </c>
      <c r="C803" s="2" t="s">
        <v>1605</v>
      </c>
      <c r="D803" s="2" t="s">
        <v>1606</v>
      </c>
      <c r="E803" s="2" t="s">
        <v>1607</v>
      </c>
      <c r="F803" s="27"/>
      <c r="G803" s="2" t="s">
        <v>51</v>
      </c>
      <c r="H803" s="2" t="s">
        <v>63</v>
      </c>
      <c r="I803" s="2" t="s">
        <v>144</v>
      </c>
      <c r="J803" s="2" t="s">
        <v>145</v>
      </c>
      <c r="K803" s="2" t="n">
        <v>4</v>
      </c>
      <c r="L803" s="28" t="n">
        <v>25</v>
      </c>
      <c r="M803" s="29" t="n">
        <v>0.06</v>
      </c>
      <c r="N803" s="28" t="n">
        <v>1.5</v>
      </c>
      <c r="O803" s="28" t="n">
        <v>0.005</v>
      </c>
      <c r="P803" s="2" t="s">
        <v>223</v>
      </c>
      <c r="Q803" s="29" t="n">
        <v>0.1</v>
      </c>
      <c r="R803" s="30" t="n">
        <v>0.1</v>
      </c>
      <c r="S803" s="31" t="n">
        <v>15</v>
      </c>
      <c r="T803" s="30" t="n">
        <v>2999</v>
      </c>
      <c r="U803" s="30" t="n">
        <v>3299</v>
      </c>
      <c r="V803" s="29" t="n">
        <v>0</v>
      </c>
      <c r="W803" s="29" t="n">
        <f aca="false">IF(N(Q803)=0,"",Q803+IF(I803="yes",Q803*Inputs!$B$10*Inputs!$B$9,0)+V803)</f>
        <v>0.1</v>
      </c>
      <c r="X803" s="28" t="n">
        <f aca="false">IF(OR(N(W803)&lt;=0,N(N803)=0,N(L803)=0),"",MIN(L803,N803/W803))</f>
        <v>15</v>
      </c>
      <c r="Y803" s="29" t="n">
        <f aca="false">IF(OR(X803="",N(O803)=0),"",X803/O803-1)</f>
        <v>2999</v>
      </c>
      <c r="Z803" s="29" t="n">
        <f aca="false">IF(OR(Y803="",N(O803)=0),"",Y803+N803/O803)</f>
        <v>3299</v>
      </c>
      <c r="AA803" s="32" t="n">
        <f aca="false">IF(OR(Z803="",N(U803)=0),"",Z803-U803)</f>
        <v>0</v>
      </c>
      <c r="AB803" s="29" t="n">
        <f aca="false">IF(N(Q803)=0,"",Q803+IF(I803="yes",Q803*Inputs!$B$10*Inputs!$B$9,0)+IFERROR(INDEX(Inputs!$B$13:$B$15,MATCH(G803,Inputs!$A$13:$A$15,0)),0)+IFERROR(INDEX(Inputs!$B$18:$B$24,MATCH(H803,Inputs!$A$18:$A$24,0)),0))</f>
        <v>0.1</v>
      </c>
      <c r="AC803" s="28" t="n">
        <f aca="false">IF(OR(N(AB803)&lt;=0,N(N803)=0,N(L803)=0),"",MIN(L803,N803/AB803))</f>
        <v>15</v>
      </c>
      <c r="AD803" s="29" t="n">
        <f aca="false">IF(OR(AC803="",N(O803)=0),"",AC803/O803-1)</f>
        <v>2999</v>
      </c>
      <c r="AE803" s="29" t="n">
        <f aca="false">IF(OR(AD803="",N(O803)=0),"",AD803+N803/O803)</f>
        <v>3299</v>
      </c>
      <c r="AF803" s="32" t="n">
        <f aca="false">IF(OR(AE803="",N(Z803)=0),"",AE803-Z803)</f>
        <v>0</v>
      </c>
      <c r="AG803" s="28" t="n">
        <f aca="false">IF(AND(N(M803)&gt;0,N(L803)&gt;0),M803*L803,N803)</f>
        <v>1.5</v>
      </c>
      <c r="AH803" s="28" t="n">
        <f aca="false">IF(OR(N(AB803)&lt;=0,N(AG803)=0,N(L803)=0),"",MIN(L803,AG803/AB803))</f>
        <v>15</v>
      </c>
      <c r="AI803" s="29" t="n">
        <f aca="false">IF(OR(AH803="",N(O803)=0),"",AH803/O803-1)</f>
        <v>2999</v>
      </c>
      <c r="AJ803" s="29" t="n">
        <f aca="false">IF(OR(AI803="",N(O803)=0),"",AI803+AG803/O803)</f>
        <v>3299</v>
      </c>
      <c r="AK803" s="32" t="n">
        <f aca="false">IF(OR(AJ803="",N(AE803)=0),"",AJ803-AE803)</f>
        <v>0</v>
      </c>
      <c r="AL803" s="33" t="str">
        <f aca="false">IF(N(F803)=0,"",INDEX(Inputs!$B$28:$B$32,IFERROR(MATCH(F803,Inputs!$A$28:$A$32,1),0)+1))</f>
        <v/>
      </c>
      <c r="AM803" s="34"/>
      <c r="AN803" s="33" t="str">
        <f aca="false">IF(N(AM803)&gt;0,AM803,AL803)</f>
        <v/>
      </c>
      <c r="AO803" s="29" t="str">
        <f aca="false">IF(N(AN803)=0,"",AN803+IF(I803="yes",AN803*Inputs!$B$10*Inputs!$B$9,0)+IFERROR(INDEX(Inputs!$B$13:$B$15,MATCH(G803,Inputs!$A$13:$A$15,0)),0)+IFERROR(INDEX(Inputs!$B$18:$B$24,MATCH(H803,Inputs!$A$18:$A$24,0)),0))</f>
        <v/>
      </c>
      <c r="AP803" s="28" t="str">
        <f aca="false">IF(OR(N(AO803)&lt;=0,N(AG803)=0,N(L803)=0),"",MIN(L803,AG803/AO803))</f>
        <v/>
      </c>
      <c r="AQ803" s="29" t="str">
        <f aca="false">IF(OR(AP803="",N(O803)=0),"",AP803/O803-1)</f>
        <v/>
      </c>
      <c r="AR803" s="29" t="str">
        <f aca="false">IF(OR(AQ803="",N(O803)=0),"",AQ803+AG803/O803)</f>
        <v/>
      </c>
      <c r="AS803" s="32" t="str">
        <f aca="false">IF(OR(AR803="",N(AJ803)=0),"",AR803-AJ803)</f>
        <v/>
      </c>
      <c r="AT803" s="28" t="n">
        <v>25</v>
      </c>
      <c r="AU803" s="28" t="n">
        <v>1.5</v>
      </c>
      <c r="AV803" s="28" t="n">
        <f aca="false">IF(N(AT803)&gt;0,AT803,L803)</f>
        <v>25</v>
      </c>
      <c r="AW803" s="28" t="n">
        <f aca="false">IF(AND(N(M803)&gt;0,N(AV803)&gt;0),M803*AV803,IF(N(AU803)&gt;0,AU803,N803))</f>
        <v>1.5</v>
      </c>
      <c r="AX803" s="29" t="str">
        <f aca="false">IF(N(AN803)=0,"",AN803+IF(I803="yes",AN803*Inputs!$B$10*Inputs!$B$9,0)+IFERROR(INDEX(Inputs!$B$13:$B$15,MATCH(G803,Inputs!$A$13:$A$15,0)),0)+IFERROR(INDEX(Inputs!$B$18:$B$24,MATCH(H803,Inputs!$A$18:$A$24,0)),0))</f>
        <v/>
      </c>
      <c r="AY803" s="28" t="str">
        <f aca="false">IF(OR(N(AX803)&lt;=0,N(AW803)=0,N(AV803)=0),"",MIN(AV803,AW803/AX803))</f>
        <v/>
      </c>
      <c r="AZ803" s="29" t="str">
        <f aca="false">IF(OR(AY803="",N(O803)=0),"",AY803/O803-1)</f>
        <v/>
      </c>
      <c r="BA803" s="29" t="str">
        <f aca="false">IF(OR(AZ803="",N(O803)=0),"",AZ803+AW803/O803)</f>
        <v/>
      </c>
      <c r="BB803" s="32" t="str">
        <f aca="false">IF(OR(BA803="",N(AR803)=0),"",BA803-AR803)</f>
        <v/>
      </c>
      <c r="BC803" s="35" t="str">
        <f aca="false">IF(OR(BA803="",N(U803)=0),"",BA803-U803)</f>
        <v/>
      </c>
      <c r="BD803" s="36" t="s">
        <v>224</v>
      </c>
    </row>
    <row r="804" customFormat="false" ht="15" hidden="false" customHeight="false" outlineLevel="0" collapsed="false">
      <c r="A804" s="2" t="s">
        <v>1453</v>
      </c>
      <c r="B804" s="2" t="n">
        <v>204</v>
      </c>
      <c r="C804" s="2" t="s">
        <v>1608</v>
      </c>
      <c r="D804" s="2" t="s">
        <v>1609</v>
      </c>
      <c r="E804" s="2" t="s">
        <v>1610</v>
      </c>
      <c r="F804" s="27" t="n">
        <v>295</v>
      </c>
      <c r="G804" s="2" t="s">
        <v>51</v>
      </c>
      <c r="H804" s="2" t="s">
        <v>58</v>
      </c>
      <c r="I804" s="2" t="s">
        <v>151</v>
      </c>
      <c r="J804" s="2" t="s">
        <v>145</v>
      </c>
      <c r="K804" s="2" t="n">
        <v>4</v>
      </c>
      <c r="L804" s="28" t="n">
        <v>25</v>
      </c>
      <c r="M804" s="29" t="n">
        <v>0.065</v>
      </c>
      <c r="N804" s="28" t="n">
        <v>1.625</v>
      </c>
      <c r="O804" s="28" t="n">
        <v>0</v>
      </c>
      <c r="P804" s="2" t="s">
        <v>146</v>
      </c>
      <c r="Q804" s="29" t="n">
        <v>0.085</v>
      </c>
      <c r="R804" s="30" t="n">
        <v>0.08075</v>
      </c>
      <c r="S804" s="31" t="n">
        <v>20.1238390092879</v>
      </c>
      <c r="T804" s="30"/>
      <c r="U804" s="30"/>
      <c r="V804" s="29" t="n">
        <v>0</v>
      </c>
      <c r="W804" s="29" t="n">
        <f aca="false">IF(N(Q804)=0,"",Q804+IF(I804="yes",Q804*Inputs!$B$10*Inputs!$B$9,0)+V804)</f>
        <v>0.08075</v>
      </c>
      <c r="X804" s="28" t="n">
        <f aca="false">IF(OR(N(W804)&lt;=0,N(N804)=0,N(L804)=0),"",MIN(L804,N804/W804))</f>
        <v>20.1238390092879</v>
      </c>
      <c r="Y804" s="29" t="str">
        <f aca="false">IF(OR(X804="",N(O804)=0),"",X804/O804-1)</f>
        <v/>
      </c>
      <c r="Z804" s="29" t="str">
        <f aca="false">IF(OR(Y804="",N(O804)=0),"",Y804+N804/O804)</f>
        <v/>
      </c>
      <c r="AA804" s="32" t="str">
        <f aca="false">IF(OR(Z804="",N(U804)=0),"",Z804-U804)</f>
        <v/>
      </c>
      <c r="AB804" s="29" t="n">
        <f aca="false">IF(N(Q804)=0,"",Q804+IF(I804="yes",Q804*Inputs!$B$10*Inputs!$B$9,0)+IFERROR(INDEX(Inputs!$B$13:$B$15,MATCH(G804,Inputs!$A$13:$A$15,0)),0)+IFERROR(INDEX(Inputs!$B$18:$B$24,MATCH(H804,Inputs!$A$18:$A$24,0)),0))</f>
        <v>0.08075</v>
      </c>
      <c r="AC804" s="28" t="n">
        <f aca="false">IF(OR(N(AB804)&lt;=0,N(N804)=0,N(L804)=0),"",MIN(L804,N804/AB804))</f>
        <v>20.1238390092879</v>
      </c>
      <c r="AD804" s="29" t="str">
        <f aca="false">IF(OR(AC804="",N(O804)=0),"",AC804/O804-1)</f>
        <v/>
      </c>
      <c r="AE804" s="29" t="str">
        <f aca="false">IF(OR(AD804="",N(O804)=0),"",AD804+N804/O804)</f>
        <v/>
      </c>
      <c r="AF804" s="32" t="str">
        <f aca="false">IF(OR(AE804="",N(Z804)=0),"",AE804-Z804)</f>
        <v/>
      </c>
      <c r="AG804" s="28" t="n">
        <f aca="false">IF(AND(N(M804)&gt;0,N(L804)&gt;0),M804*L804,N804)</f>
        <v>1.625</v>
      </c>
      <c r="AH804" s="28" t="n">
        <f aca="false">IF(OR(N(AB804)&lt;=0,N(AG804)=0,N(L804)=0),"",MIN(L804,AG804/AB804))</f>
        <v>20.1238390092879</v>
      </c>
      <c r="AI804" s="29" t="str">
        <f aca="false">IF(OR(AH804="",N(O804)=0),"",AH804/O804-1)</f>
        <v/>
      </c>
      <c r="AJ804" s="29" t="str">
        <f aca="false">IF(OR(AI804="",N(O804)=0),"",AI804+AG804/O804)</f>
        <v/>
      </c>
      <c r="AK804" s="32" t="str">
        <f aca="false">IF(OR(AJ804="",N(AE804)=0),"",AJ804-AE804)</f>
        <v/>
      </c>
      <c r="AL804" s="33" t="n">
        <f aca="false">IF(N(F804)=0,"",INDEX(Inputs!$B$28:$B$32,IFERROR(MATCH(F804,Inputs!$A$28:$A$32,1),0)+1))</f>
        <v>0.09</v>
      </c>
      <c r="AM804" s="34"/>
      <c r="AN804" s="33" t="n">
        <f aca="false">IF(N(AM804)&gt;0,AM804,AL804)</f>
        <v>0.09</v>
      </c>
      <c r="AO804" s="29" t="n">
        <f aca="false">IF(N(AN804)=0,"",AN804+IF(I804="yes",AN804*Inputs!$B$10*Inputs!$B$9,0)+IFERROR(INDEX(Inputs!$B$13:$B$15,MATCH(G804,Inputs!$A$13:$A$15,0)),0)+IFERROR(INDEX(Inputs!$B$18:$B$24,MATCH(H804,Inputs!$A$18:$A$24,0)),0))</f>
        <v>0.0855</v>
      </c>
      <c r="AP804" s="28" t="n">
        <f aca="false">IF(OR(N(AO804)&lt;=0,N(AG804)=0,N(L804)=0),"",MIN(L804,AG804/AO804))</f>
        <v>19.0058479532164</v>
      </c>
      <c r="AQ804" s="29" t="str">
        <f aca="false">IF(OR(AP804="",N(O804)=0),"",AP804/O804-1)</f>
        <v/>
      </c>
      <c r="AR804" s="29" t="str">
        <f aca="false">IF(OR(AQ804="",N(O804)=0),"",AQ804+AG804/O804)</f>
        <v/>
      </c>
      <c r="AS804" s="32" t="str">
        <f aca="false">IF(OR(AR804="",N(AJ804)=0),"",AR804-AJ804)</f>
        <v/>
      </c>
      <c r="AT804" s="28" t="n">
        <v>25</v>
      </c>
      <c r="AU804" s="28" t="n">
        <v>1.625</v>
      </c>
      <c r="AV804" s="28" t="n">
        <f aca="false">IF(N(AT804)&gt;0,AT804,L804)</f>
        <v>25</v>
      </c>
      <c r="AW804" s="28" t="n">
        <f aca="false">IF(AND(N(M804)&gt;0,N(AV804)&gt;0),M804*AV804,IF(N(AU804)&gt;0,AU804,N804))</f>
        <v>1.625</v>
      </c>
      <c r="AX804" s="29" t="n">
        <f aca="false">IF(N(AN804)=0,"",AN804+IF(I804="yes",AN804*Inputs!$B$10*Inputs!$B$9,0)+IFERROR(INDEX(Inputs!$B$13:$B$15,MATCH(G804,Inputs!$A$13:$A$15,0)),0)+IFERROR(INDEX(Inputs!$B$18:$B$24,MATCH(H804,Inputs!$A$18:$A$24,0)),0))</f>
        <v>0.0855</v>
      </c>
      <c r="AY804" s="28" t="n">
        <f aca="false">IF(OR(N(AX804)&lt;=0,N(AW804)=0,N(AV804)=0),"",MIN(AV804,AW804/AX804))</f>
        <v>19.0058479532164</v>
      </c>
      <c r="AZ804" s="29" t="str">
        <f aca="false">IF(OR(AY804="",N(O804)=0),"",AY804/O804-1)</f>
        <v/>
      </c>
      <c r="BA804" s="29" t="str">
        <f aca="false">IF(OR(AZ804="",N(O804)=0),"",AZ804+AW804/O804)</f>
        <v/>
      </c>
      <c r="BB804" s="32" t="str">
        <f aca="false">IF(OR(BA804="",N(AR804)=0),"",BA804-AR804)</f>
        <v/>
      </c>
      <c r="BC804" s="35" t="str">
        <f aca="false">IF(OR(BA804="",N(U804)=0),"",BA804-U804)</f>
        <v/>
      </c>
      <c r="BD804" s="36" t="s">
        <v>299</v>
      </c>
    </row>
    <row r="805" customFormat="false" ht="15" hidden="false" customHeight="false" outlineLevel="0" collapsed="false">
      <c r="A805" s="2" t="s">
        <v>1453</v>
      </c>
      <c r="B805" s="2" t="n">
        <v>208</v>
      </c>
      <c r="C805" s="2" t="s">
        <v>1611</v>
      </c>
      <c r="D805" s="2" t="s">
        <v>1612</v>
      </c>
      <c r="E805" s="2" t="s">
        <v>143</v>
      </c>
      <c r="F805" s="27"/>
      <c r="G805" s="2" t="s">
        <v>51</v>
      </c>
      <c r="H805" s="2" t="s">
        <v>58</v>
      </c>
      <c r="I805" s="2" t="s">
        <v>151</v>
      </c>
      <c r="J805" s="2" t="s">
        <v>145</v>
      </c>
      <c r="K805" s="2" t="n">
        <v>4</v>
      </c>
      <c r="L805" s="28" t="n">
        <v>25</v>
      </c>
      <c r="M805" s="29" t="n">
        <v>0.08375</v>
      </c>
      <c r="N805" s="28" t="n">
        <v>2.09375</v>
      </c>
      <c r="O805" s="28"/>
      <c r="P805" s="2" t="s">
        <v>223</v>
      </c>
      <c r="Q805" s="29" t="n">
        <v>0</v>
      </c>
      <c r="R805" s="30" t="n">
        <v>0</v>
      </c>
      <c r="S805" s="31"/>
      <c r="T805" s="30"/>
      <c r="U805" s="30"/>
      <c r="V805" s="29" t="n">
        <v>0</v>
      </c>
      <c r="W805" s="29" t="str">
        <f aca="false">IF(N(Q805)=0,"",Q805+IF(I805="yes",Q805*Inputs!$B$10*Inputs!$B$9,0)+V805)</f>
        <v/>
      </c>
      <c r="X805" s="28" t="str">
        <f aca="false">IF(OR(N(W805)&lt;=0,N(N805)=0,N(L805)=0),"",MIN(L805,N805/W805))</f>
        <v/>
      </c>
      <c r="Y805" s="29" t="str">
        <f aca="false">IF(OR(X805="",N(O805)=0),"",X805/O805-1)</f>
        <v/>
      </c>
      <c r="Z805" s="29" t="str">
        <f aca="false">IF(OR(Y805="",N(O805)=0),"",Y805+N805/O805)</f>
        <v/>
      </c>
      <c r="AA805" s="32" t="str">
        <f aca="false">IF(OR(Z805="",N(U805)=0),"",Z805-U805)</f>
        <v/>
      </c>
      <c r="AB805" s="29" t="str">
        <f aca="false">IF(N(Q805)=0,"",Q805+IF(I805="yes",Q805*Inputs!$B$10*Inputs!$B$9,0)+IFERROR(INDEX(Inputs!$B$13:$B$15,MATCH(G805,Inputs!$A$13:$A$15,0)),0)+IFERROR(INDEX(Inputs!$B$18:$B$24,MATCH(H805,Inputs!$A$18:$A$24,0)),0))</f>
        <v/>
      </c>
      <c r="AC805" s="28" t="str">
        <f aca="false">IF(OR(N(AB805)&lt;=0,N(N805)=0,N(L805)=0),"",MIN(L805,N805/AB805))</f>
        <v/>
      </c>
      <c r="AD805" s="29" t="str">
        <f aca="false">IF(OR(AC805="",N(O805)=0),"",AC805/O805-1)</f>
        <v/>
      </c>
      <c r="AE805" s="29" t="str">
        <f aca="false">IF(OR(AD805="",N(O805)=0),"",AD805+N805/O805)</f>
        <v/>
      </c>
      <c r="AF805" s="32" t="str">
        <f aca="false">IF(OR(AE805="",N(Z805)=0),"",AE805-Z805)</f>
        <v/>
      </c>
      <c r="AG805" s="28" t="n">
        <f aca="false">IF(AND(N(M805)&gt;0,N(L805)&gt;0),M805*L805,N805)</f>
        <v>2.09375</v>
      </c>
      <c r="AH805" s="28" t="str">
        <f aca="false">IF(OR(N(AB805)&lt;=0,N(AG805)=0,N(L805)=0),"",MIN(L805,AG805/AB805))</f>
        <v/>
      </c>
      <c r="AI805" s="29" t="str">
        <f aca="false">IF(OR(AH805="",N(O805)=0),"",AH805/O805-1)</f>
        <v/>
      </c>
      <c r="AJ805" s="29" t="str">
        <f aca="false">IF(OR(AI805="",N(O805)=0),"",AI805+AG805/O805)</f>
        <v/>
      </c>
      <c r="AK805" s="32" t="str">
        <f aca="false">IF(OR(AJ805="",N(AE805)=0),"",AJ805-AE805)</f>
        <v/>
      </c>
      <c r="AL805" s="33" t="str">
        <f aca="false">IF(N(F805)=0,"",INDEX(Inputs!$B$28:$B$32,IFERROR(MATCH(F805,Inputs!$A$28:$A$32,1),0)+1))</f>
        <v/>
      </c>
      <c r="AM805" s="34"/>
      <c r="AN805" s="33" t="str">
        <f aca="false">IF(N(AM805)&gt;0,AM805,AL805)</f>
        <v/>
      </c>
      <c r="AO805" s="29" t="str">
        <f aca="false">IF(N(AN805)=0,"",AN805+IF(I805="yes",AN805*Inputs!$B$10*Inputs!$B$9,0)+IFERROR(INDEX(Inputs!$B$13:$B$15,MATCH(G805,Inputs!$A$13:$A$15,0)),0)+IFERROR(INDEX(Inputs!$B$18:$B$24,MATCH(H805,Inputs!$A$18:$A$24,0)),0))</f>
        <v/>
      </c>
      <c r="AP805" s="28" t="str">
        <f aca="false">IF(OR(N(AO805)&lt;=0,N(AG805)=0,N(L805)=0),"",MIN(L805,AG805/AO805))</f>
        <v/>
      </c>
      <c r="AQ805" s="29" t="str">
        <f aca="false">IF(OR(AP805="",N(O805)=0),"",AP805/O805-1)</f>
        <v/>
      </c>
      <c r="AR805" s="29" t="str">
        <f aca="false">IF(OR(AQ805="",N(O805)=0),"",AQ805+AG805/O805)</f>
        <v/>
      </c>
      <c r="AS805" s="32" t="str">
        <f aca="false">IF(OR(AR805="",N(AJ805)=0),"",AR805-AJ805)</f>
        <v/>
      </c>
      <c r="AT805" s="28" t="n">
        <v>25</v>
      </c>
      <c r="AU805" s="28" t="n">
        <v>2.09375</v>
      </c>
      <c r="AV805" s="28" t="n">
        <f aca="false">IF(N(AT805)&gt;0,AT805,L805)</f>
        <v>25</v>
      </c>
      <c r="AW805" s="28" t="n">
        <f aca="false">IF(AND(N(M805)&gt;0,N(AV805)&gt;0),M805*AV805,IF(N(AU805)&gt;0,AU805,N805))</f>
        <v>2.09375</v>
      </c>
      <c r="AX805" s="29" t="str">
        <f aca="false">IF(N(AN805)=0,"",AN805+IF(I805="yes",AN805*Inputs!$B$10*Inputs!$B$9,0)+IFERROR(INDEX(Inputs!$B$13:$B$15,MATCH(G805,Inputs!$A$13:$A$15,0)),0)+IFERROR(INDEX(Inputs!$B$18:$B$24,MATCH(H805,Inputs!$A$18:$A$24,0)),0))</f>
        <v/>
      </c>
      <c r="AY805" s="28" t="str">
        <f aca="false">IF(OR(N(AX805)&lt;=0,N(AW805)=0,N(AV805)=0),"",MIN(AV805,AW805/AX805))</f>
        <v/>
      </c>
      <c r="AZ805" s="29" t="str">
        <f aca="false">IF(OR(AY805="",N(O805)=0),"",AY805/O805-1)</f>
        <v/>
      </c>
      <c r="BA805" s="29" t="str">
        <f aca="false">IF(OR(AZ805="",N(O805)=0),"",AZ805+AW805/O805)</f>
        <v/>
      </c>
      <c r="BB805" s="32" t="str">
        <f aca="false">IF(OR(BA805="",N(AR805)=0),"",BA805-AR805)</f>
        <v/>
      </c>
      <c r="BC805" s="35" t="str">
        <f aca="false">IF(OR(BA805="",N(U805)=0),"",BA805-U805)</f>
        <v/>
      </c>
      <c r="BD805" s="36" t="s">
        <v>857</v>
      </c>
    </row>
    <row r="806" customFormat="false" ht="15" hidden="false" customHeight="false" outlineLevel="0" collapsed="false">
      <c r="A806" s="2" t="s">
        <v>1453</v>
      </c>
      <c r="B806" s="2" t="n">
        <v>209</v>
      </c>
      <c r="C806" s="2" t="s">
        <v>1613</v>
      </c>
      <c r="D806" s="2" t="s">
        <v>1612</v>
      </c>
      <c r="E806" s="2" t="s">
        <v>143</v>
      </c>
      <c r="F806" s="27"/>
      <c r="G806" s="2" t="s">
        <v>51</v>
      </c>
      <c r="H806" s="2" t="s">
        <v>58</v>
      </c>
      <c r="I806" s="2" t="s">
        <v>151</v>
      </c>
      <c r="J806" s="2" t="s">
        <v>145</v>
      </c>
      <c r="K806" s="2" t="n">
        <v>4</v>
      </c>
      <c r="L806" s="28" t="n">
        <v>25</v>
      </c>
      <c r="M806" s="29" t="n">
        <v>0.08625</v>
      </c>
      <c r="N806" s="28" t="n">
        <v>2.15625</v>
      </c>
      <c r="O806" s="28"/>
      <c r="P806" s="2" t="s">
        <v>223</v>
      </c>
      <c r="Q806" s="29" t="n">
        <v>0</v>
      </c>
      <c r="R806" s="30" t="n">
        <v>0</v>
      </c>
      <c r="S806" s="31"/>
      <c r="T806" s="30"/>
      <c r="U806" s="30"/>
      <c r="V806" s="29" t="n">
        <v>0</v>
      </c>
      <c r="W806" s="29" t="str">
        <f aca="false">IF(N(Q806)=0,"",Q806+IF(I806="yes",Q806*Inputs!$B$10*Inputs!$B$9,0)+V806)</f>
        <v/>
      </c>
      <c r="X806" s="28" t="str">
        <f aca="false">IF(OR(N(W806)&lt;=0,N(N806)=0,N(L806)=0),"",MIN(L806,N806/W806))</f>
        <v/>
      </c>
      <c r="Y806" s="29" t="str">
        <f aca="false">IF(OR(X806="",N(O806)=0),"",X806/O806-1)</f>
        <v/>
      </c>
      <c r="Z806" s="29" t="str">
        <f aca="false">IF(OR(Y806="",N(O806)=0),"",Y806+N806/O806)</f>
        <v/>
      </c>
      <c r="AA806" s="32" t="str">
        <f aca="false">IF(OR(Z806="",N(U806)=0),"",Z806-U806)</f>
        <v/>
      </c>
      <c r="AB806" s="29" t="str">
        <f aca="false">IF(N(Q806)=0,"",Q806+IF(I806="yes",Q806*Inputs!$B$10*Inputs!$B$9,0)+IFERROR(INDEX(Inputs!$B$13:$B$15,MATCH(G806,Inputs!$A$13:$A$15,0)),0)+IFERROR(INDEX(Inputs!$B$18:$B$24,MATCH(H806,Inputs!$A$18:$A$24,0)),0))</f>
        <v/>
      </c>
      <c r="AC806" s="28" t="str">
        <f aca="false">IF(OR(N(AB806)&lt;=0,N(N806)=0,N(L806)=0),"",MIN(L806,N806/AB806))</f>
        <v/>
      </c>
      <c r="AD806" s="29" t="str">
        <f aca="false">IF(OR(AC806="",N(O806)=0),"",AC806/O806-1)</f>
        <v/>
      </c>
      <c r="AE806" s="29" t="str">
        <f aca="false">IF(OR(AD806="",N(O806)=0),"",AD806+N806/O806)</f>
        <v/>
      </c>
      <c r="AF806" s="32" t="str">
        <f aca="false">IF(OR(AE806="",N(Z806)=0),"",AE806-Z806)</f>
        <v/>
      </c>
      <c r="AG806" s="28" t="n">
        <f aca="false">IF(AND(N(M806)&gt;0,N(L806)&gt;0),M806*L806,N806)</f>
        <v>2.15625</v>
      </c>
      <c r="AH806" s="28" t="str">
        <f aca="false">IF(OR(N(AB806)&lt;=0,N(AG806)=0,N(L806)=0),"",MIN(L806,AG806/AB806))</f>
        <v/>
      </c>
      <c r="AI806" s="29" t="str">
        <f aca="false">IF(OR(AH806="",N(O806)=0),"",AH806/O806-1)</f>
        <v/>
      </c>
      <c r="AJ806" s="29" t="str">
        <f aca="false">IF(OR(AI806="",N(O806)=0),"",AI806+AG806/O806)</f>
        <v/>
      </c>
      <c r="AK806" s="32" t="str">
        <f aca="false">IF(OR(AJ806="",N(AE806)=0),"",AJ806-AE806)</f>
        <v/>
      </c>
      <c r="AL806" s="33" t="str">
        <f aca="false">IF(N(F806)=0,"",INDEX(Inputs!$B$28:$B$32,IFERROR(MATCH(F806,Inputs!$A$28:$A$32,1),0)+1))</f>
        <v/>
      </c>
      <c r="AM806" s="34"/>
      <c r="AN806" s="33" t="str">
        <f aca="false">IF(N(AM806)&gt;0,AM806,AL806)</f>
        <v/>
      </c>
      <c r="AO806" s="29" t="str">
        <f aca="false">IF(N(AN806)=0,"",AN806+IF(I806="yes",AN806*Inputs!$B$10*Inputs!$B$9,0)+IFERROR(INDEX(Inputs!$B$13:$B$15,MATCH(G806,Inputs!$A$13:$A$15,0)),0)+IFERROR(INDEX(Inputs!$B$18:$B$24,MATCH(H806,Inputs!$A$18:$A$24,0)),0))</f>
        <v/>
      </c>
      <c r="AP806" s="28" t="str">
        <f aca="false">IF(OR(N(AO806)&lt;=0,N(AG806)=0,N(L806)=0),"",MIN(L806,AG806/AO806))</f>
        <v/>
      </c>
      <c r="AQ806" s="29" t="str">
        <f aca="false">IF(OR(AP806="",N(O806)=0),"",AP806/O806-1)</f>
        <v/>
      </c>
      <c r="AR806" s="29" t="str">
        <f aca="false">IF(OR(AQ806="",N(O806)=0),"",AQ806+AG806/O806)</f>
        <v/>
      </c>
      <c r="AS806" s="32" t="str">
        <f aca="false">IF(OR(AR806="",N(AJ806)=0),"",AR806-AJ806)</f>
        <v/>
      </c>
      <c r="AT806" s="28" t="n">
        <v>25</v>
      </c>
      <c r="AU806" s="28" t="n">
        <v>2.15625</v>
      </c>
      <c r="AV806" s="28" t="n">
        <f aca="false">IF(N(AT806)&gt;0,AT806,L806)</f>
        <v>25</v>
      </c>
      <c r="AW806" s="28" t="n">
        <f aca="false">IF(AND(N(M806)&gt;0,N(AV806)&gt;0),M806*AV806,IF(N(AU806)&gt;0,AU806,N806))</f>
        <v>2.15625</v>
      </c>
      <c r="AX806" s="29" t="str">
        <f aca="false">IF(N(AN806)=0,"",AN806+IF(I806="yes",AN806*Inputs!$B$10*Inputs!$B$9,0)+IFERROR(INDEX(Inputs!$B$13:$B$15,MATCH(G806,Inputs!$A$13:$A$15,0)),0)+IFERROR(INDEX(Inputs!$B$18:$B$24,MATCH(H806,Inputs!$A$18:$A$24,0)),0))</f>
        <v/>
      </c>
      <c r="AY806" s="28" t="str">
        <f aca="false">IF(OR(N(AX806)&lt;=0,N(AW806)=0,N(AV806)=0),"",MIN(AV806,AW806/AX806))</f>
        <v/>
      </c>
      <c r="AZ806" s="29" t="str">
        <f aca="false">IF(OR(AY806="",N(O806)=0),"",AY806/O806-1)</f>
        <v/>
      </c>
      <c r="BA806" s="29" t="str">
        <f aca="false">IF(OR(AZ806="",N(O806)=0),"",AZ806+AW806/O806)</f>
        <v/>
      </c>
      <c r="BB806" s="32" t="str">
        <f aca="false">IF(OR(BA806="",N(AR806)=0),"",BA806-AR806)</f>
        <v/>
      </c>
      <c r="BC806" s="35" t="str">
        <f aca="false">IF(OR(BA806="",N(U806)=0),"",BA806-U806)</f>
        <v/>
      </c>
      <c r="BD806" s="36" t="s">
        <v>857</v>
      </c>
    </row>
    <row r="807" customFormat="false" ht="15" hidden="false" customHeight="false" outlineLevel="0" collapsed="false">
      <c r="A807" s="2" t="s">
        <v>1453</v>
      </c>
      <c r="B807" s="2" t="n">
        <v>214</v>
      </c>
      <c r="C807" s="2" t="s">
        <v>1614</v>
      </c>
      <c r="D807" s="2" t="s">
        <v>1615</v>
      </c>
      <c r="E807" s="2" t="s">
        <v>1616</v>
      </c>
      <c r="F807" s="27" t="n">
        <v>5</v>
      </c>
      <c r="G807" s="2" t="s">
        <v>51</v>
      </c>
      <c r="H807" s="2" t="s">
        <v>63</v>
      </c>
      <c r="I807" s="2" t="s">
        <v>151</v>
      </c>
      <c r="J807" s="2" t="s">
        <v>168</v>
      </c>
      <c r="K807" s="2" t="n">
        <v>12</v>
      </c>
      <c r="L807" s="28" t="n">
        <v>10</v>
      </c>
      <c r="M807" s="29" t="n">
        <v>0.08</v>
      </c>
      <c r="N807" s="28" t="n">
        <v>0.8</v>
      </c>
      <c r="O807" s="28" t="n">
        <v>0</v>
      </c>
      <c r="P807" s="2" t="s">
        <v>146</v>
      </c>
      <c r="Q807" s="29" t="n">
        <v>0.1</v>
      </c>
      <c r="R807" s="30" t="n">
        <v>0.095</v>
      </c>
      <c r="S807" s="31" t="n">
        <v>8.42105263157895</v>
      </c>
      <c r="T807" s="30"/>
      <c r="U807" s="30"/>
      <c r="V807" s="29" t="n">
        <v>0</v>
      </c>
      <c r="W807" s="29" t="n">
        <f aca="false">IF(N(Q807)=0,"",Q807+IF(I807="yes",Q807*Inputs!$B$10*Inputs!$B$9,0)+V807)</f>
        <v>0.095</v>
      </c>
      <c r="X807" s="28" t="n">
        <f aca="false">IF(OR(N(W807)&lt;=0,N(N807)=0,N(L807)=0),"",MIN(L807,N807/W807))</f>
        <v>8.42105263157895</v>
      </c>
      <c r="Y807" s="29" t="str">
        <f aca="false">IF(OR(X807="",N(O807)=0),"",X807/O807-1)</f>
        <v/>
      </c>
      <c r="Z807" s="29" t="str">
        <f aca="false">IF(OR(Y807="",N(O807)=0),"",Y807+N807/O807)</f>
        <v/>
      </c>
      <c r="AA807" s="32" t="str">
        <f aca="false">IF(OR(Z807="",N(U807)=0),"",Z807-U807)</f>
        <v/>
      </c>
      <c r="AB807" s="29" t="n">
        <f aca="false">IF(N(Q807)=0,"",Q807+IF(I807="yes",Q807*Inputs!$B$10*Inputs!$B$9,0)+IFERROR(INDEX(Inputs!$B$13:$B$15,MATCH(G807,Inputs!$A$13:$A$15,0)),0)+IFERROR(INDEX(Inputs!$B$18:$B$24,MATCH(H807,Inputs!$A$18:$A$24,0)),0))</f>
        <v>0.095</v>
      </c>
      <c r="AC807" s="28" t="n">
        <f aca="false">IF(OR(N(AB807)&lt;=0,N(N807)=0,N(L807)=0),"",MIN(L807,N807/AB807))</f>
        <v>8.42105263157895</v>
      </c>
      <c r="AD807" s="29" t="str">
        <f aca="false">IF(OR(AC807="",N(O807)=0),"",AC807/O807-1)</f>
        <v/>
      </c>
      <c r="AE807" s="29" t="str">
        <f aca="false">IF(OR(AD807="",N(O807)=0),"",AD807+N807/O807)</f>
        <v/>
      </c>
      <c r="AF807" s="32" t="str">
        <f aca="false">IF(OR(AE807="",N(Z807)=0),"",AE807-Z807)</f>
        <v/>
      </c>
      <c r="AG807" s="28" t="n">
        <f aca="false">IF(AND(N(M807)&gt;0,N(L807)&gt;0),M807*L807,N807)</f>
        <v>0.8</v>
      </c>
      <c r="AH807" s="28" t="n">
        <f aca="false">IF(OR(N(AB807)&lt;=0,N(AG807)=0,N(L807)=0),"",MIN(L807,AG807/AB807))</f>
        <v>8.42105263157895</v>
      </c>
      <c r="AI807" s="29" t="str">
        <f aca="false">IF(OR(AH807="",N(O807)=0),"",AH807/O807-1)</f>
        <v/>
      </c>
      <c r="AJ807" s="29" t="str">
        <f aca="false">IF(OR(AI807="",N(O807)=0),"",AI807+AG807/O807)</f>
        <v/>
      </c>
      <c r="AK807" s="32" t="str">
        <f aca="false">IF(OR(AJ807="",N(AE807)=0),"",AJ807-AE807)</f>
        <v/>
      </c>
      <c r="AL807" s="33" t="n">
        <f aca="false">IF(N(F807)=0,"",INDEX(Inputs!$B$28:$B$32,IFERROR(MATCH(F807,Inputs!$A$28:$A$32,1),0)+1))</f>
        <v>0.1</v>
      </c>
      <c r="AM807" s="34"/>
      <c r="AN807" s="33" t="n">
        <f aca="false">IF(N(AM807)&gt;0,AM807,AL807)</f>
        <v>0.1</v>
      </c>
      <c r="AO807" s="29" t="n">
        <f aca="false">IF(N(AN807)=0,"",AN807+IF(I807="yes",AN807*Inputs!$B$10*Inputs!$B$9,0)+IFERROR(INDEX(Inputs!$B$13:$B$15,MATCH(G807,Inputs!$A$13:$A$15,0)),0)+IFERROR(INDEX(Inputs!$B$18:$B$24,MATCH(H807,Inputs!$A$18:$A$24,0)),0))</f>
        <v>0.095</v>
      </c>
      <c r="AP807" s="28" t="n">
        <f aca="false">IF(OR(N(AO807)&lt;=0,N(AG807)=0,N(L807)=0),"",MIN(L807,AG807/AO807))</f>
        <v>8.42105263157895</v>
      </c>
      <c r="AQ807" s="29" t="str">
        <f aca="false">IF(OR(AP807="",N(O807)=0),"",AP807/O807-1)</f>
        <v/>
      </c>
      <c r="AR807" s="29" t="str">
        <f aca="false">IF(OR(AQ807="",N(O807)=0),"",AQ807+AG807/O807)</f>
        <v/>
      </c>
      <c r="AS807" s="32" t="str">
        <f aca="false">IF(OR(AR807="",N(AJ807)=0),"",AR807-AJ807)</f>
        <v/>
      </c>
      <c r="AT807" s="28"/>
      <c r="AU807" s="28"/>
      <c r="AV807" s="28" t="n">
        <f aca="false">IF(N(AT807)&gt;0,AT807,L807)</f>
        <v>10</v>
      </c>
      <c r="AW807" s="28" t="n">
        <f aca="false">IF(AND(N(M807)&gt;0,N(AV807)&gt;0),M807*AV807,IF(N(AU807)&gt;0,AU807,N807))</f>
        <v>0.8</v>
      </c>
      <c r="AX807" s="29" t="n">
        <f aca="false">IF(N(AN807)=0,"",AN807+IF(I807="yes",AN807*Inputs!$B$10*Inputs!$B$9,0)+IFERROR(INDEX(Inputs!$B$13:$B$15,MATCH(G807,Inputs!$A$13:$A$15,0)),0)+IFERROR(INDEX(Inputs!$B$18:$B$24,MATCH(H807,Inputs!$A$18:$A$24,0)),0))</f>
        <v>0.095</v>
      </c>
      <c r="AY807" s="28" t="n">
        <f aca="false">IF(OR(N(AX807)&lt;=0,N(AW807)=0,N(AV807)=0),"",MIN(AV807,AW807/AX807))</f>
        <v>8.42105263157895</v>
      </c>
      <c r="AZ807" s="29" t="str">
        <f aca="false">IF(OR(AY807="",N(O807)=0),"",AY807/O807-1)</f>
        <v/>
      </c>
      <c r="BA807" s="29" t="str">
        <f aca="false">IF(OR(AZ807="",N(O807)=0),"",AZ807+AW807/O807)</f>
        <v/>
      </c>
      <c r="BB807" s="32" t="str">
        <f aca="false">IF(OR(BA807="",N(AR807)=0),"",BA807-AR807)</f>
        <v/>
      </c>
      <c r="BC807" s="35" t="str">
        <f aca="false">IF(OR(BA807="",N(U807)=0),"",BA807-U807)</f>
        <v/>
      </c>
      <c r="BD807" s="36" t="s">
        <v>198</v>
      </c>
    </row>
    <row r="808" customFormat="false" ht="15" hidden="false" customHeight="false" outlineLevel="0" collapsed="false">
      <c r="A808" s="2" t="s">
        <v>1453</v>
      </c>
      <c r="B808" s="2" t="n">
        <v>218</v>
      </c>
      <c r="C808" s="2" t="s">
        <v>1617</v>
      </c>
      <c r="D808" s="2" t="s">
        <v>1618</v>
      </c>
      <c r="E808" s="2" t="s">
        <v>143</v>
      </c>
      <c r="F808" s="27"/>
      <c r="G808" s="2" t="s">
        <v>51</v>
      </c>
      <c r="H808" s="2" t="s">
        <v>58</v>
      </c>
      <c r="I808" s="2" t="s">
        <v>151</v>
      </c>
      <c r="J808" s="2" t="s">
        <v>168</v>
      </c>
      <c r="K808" s="2" t="n">
        <v>12</v>
      </c>
      <c r="L808" s="28" t="n">
        <v>25</v>
      </c>
      <c r="M808" s="29" t="n">
        <v>0.0975</v>
      </c>
      <c r="N808" s="28" t="n">
        <v>2.4375</v>
      </c>
      <c r="O808" s="28" t="n">
        <v>0</v>
      </c>
      <c r="P808" s="2" t="s">
        <v>146</v>
      </c>
      <c r="Q808" s="29" t="n">
        <v>0</v>
      </c>
      <c r="R808" s="30" t="n">
        <v>0</v>
      </c>
      <c r="S808" s="31"/>
      <c r="T808" s="30"/>
      <c r="U808" s="30"/>
      <c r="V808" s="29" t="n">
        <v>0</v>
      </c>
      <c r="W808" s="29" t="str">
        <f aca="false">IF(N(Q808)=0,"",Q808+IF(I808="yes",Q808*Inputs!$B$10*Inputs!$B$9,0)+V808)</f>
        <v/>
      </c>
      <c r="X808" s="28" t="str">
        <f aca="false">IF(OR(N(W808)&lt;=0,N(N808)=0,N(L808)=0),"",MIN(L808,N808/W808))</f>
        <v/>
      </c>
      <c r="Y808" s="29" t="str">
        <f aca="false">IF(OR(X808="",N(O808)=0),"",X808/O808-1)</f>
        <v/>
      </c>
      <c r="Z808" s="29" t="str">
        <f aca="false">IF(OR(Y808="",N(O808)=0),"",Y808+N808/O808)</f>
        <v/>
      </c>
      <c r="AA808" s="32" t="str">
        <f aca="false">IF(OR(Z808="",N(U808)=0),"",Z808-U808)</f>
        <v/>
      </c>
      <c r="AB808" s="29" t="str">
        <f aca="false">IF(N(Q808)=0,"",Q808+IF(I808="yes",Q808*Inputs!$B$10*Inputs!$B$9,0)+IFERROR(INDEX(Inputs!$B$13:$B$15,MATCH(G808,Inputs!$A$13:$A$15,0)),0)+IFERROR(INDEX(Inputs!$B$18:$B$24,MATCH(H808,Inputs!$A$18:$A$24,0)),0))</f>
        <v/>
      </c>
      <c r="AC808" s="28" t="str">
        <f aca="false">IF(OR(N(AB808)&lt;=0,N(N808)=0,N(L808)=0),"",MIN(L808,N808/AB808))</f>
        <v/>
      </c>
      <c r="AD808" s="29" t="str">
        <f aca="false">IF(OR(AC808="",N(O808)=0),"",AC808/O808-1)</f>
        <v/>
      </c>
      <c r="AE808" s="29" t="str">
        <f aca="false">IF(OR(AD808="",N(O808)=0),"",AD808+N808/O808)</f>
        <v/>
      </c>
      <c r="AF808" s="32" t="str">
        <f aca="false">IF(OR(AE808="",N(Z808)=0),"",AE808-Z808)</f>
        <v/>
      </c>
      <c r="AG808" s="28" t="n">
        <f aca="false">IF(AND(N(M808)&gt;0,N(L808)&gt;0),M808*L808,N808)</f>
        <v>2.4375</v>
      </c>
      <c r="AH808" s="28" t="str">
        <f aca="false">IF(OR(N(AB808)&lt;=0,N(AG808)=0,N(L808)=0),"",MIN(L808,AG808/AB808))</f>
        <v/>
      </c>
      <c r="AI808" s="29" t="str">
        <f aca="false">IF(OR(AH808="",N(O808)=0),"",AH808/O808-1)</f>
        <v/>
      </c>
      <c r="AJ808" s="29" t="str">
        <f aca="false">IF(OR(AI808="",N(O808)=0),"",AI808+AG808/O808)</f>
        <v/>
      </c>
      <c r="AK808" s="32" t="str">
        <f aca="false">IF(OR(AJ808="",N(AE808)=0),"",AJ808-AE808)</f>
        <v/>
      </c>
      <c r="AL808" s="33" t="str">
        <f aca="false">IF(N(F808)=0,"",INDEX(Inputs!$B$28:$B$32,IFERROR(MATCH(F808,Inputs!$A$28:$A$32,1),0)+1))</f>
        <v/>
      </c>
      <c r="AM808" s="34"/>
      <c r="AN808" s="33" t="str">
        <f aca="false">IF(N(AM808)&gt;0,AM808,AL808)</f>
        <v/>
      </c>
      <c r="AO808" s="29" t="str">
        <f aca="false">IF(N(AN808)=0,"",AN808+IF(I808="yes",AN808*Inputs!$B$10*Inputs!$B$9,0)+IFERROR(INDEX(Inputs!$B$13:$B$15,MATCH(G808,Inputs!$A$13:$A$15,0)),0)+IFERROR(INDEX(Inputs!$B$18:$B$24,MATCH(H808,Inputs!$A$18:$A$24,0)),0))</f>
        <v/>
      </c>
      <c r="AP808" s="28" t="str">
        <f aca="false">IF(OR(N(AO808)&lt;=0,N(AG808)=0,N(L808)=0),"",MIN(L808,AG808/AO808))</f>
        <v/>
      </c>
      <c r="AQ808" s="29" t="str">
        <f aca="false">IF(OR(AP808="",N(O808)=0),"",AP808/O808-1)</f>
        <v/>
      </c>
      <c r="AR808" s="29" t="str">
        <f aca="false">IF(OR(AQ808="",N(O808)=0),"",AQ808+AG808/O808)</f>
        <v/>
      </c>
      <c r="AS808" s="32" t="str">
        <f aca="false">IF(OR(AR808="",N(AJ808)=0),"",AR808-AJ808)</f>
        <v/>
      </c>
      <c r="AT808" s="28"/>
      <c r="AU808" s="28"/>
      <c r="AV808" s="28" t="n">
        <f aca="false">IF(N(AT808)&gt;0,AT808,L808)</f>
        <v>25</v>
      </c>
      <c r="AW808" s="28" t="n">
        <f aca="false">IF(AND(N(M808)&gt;0,N(AV808)&gt;0),M808*AV808,IF(N(AU808)&gt;0,AU808,N808))</f>
        <v>2.4375</v>
      </c>
      <c r="AX808" s="29" t="str">
        <f aca="false">IF(N(AN808)=0,"",AN808+IF(I808="yes",AN808*Inputs!$B$10*Inputs!$B$9,0)+IFERROR(INDEX(Inputs!$B$13:$B$15,MATCH(G808,Inputs!$A$13:$A$15,0)),0)+IFERROR(INDEX(Inputs!$B$18:$B$24,MATCH(H808,Inputs!$A$18:$A$24,0)),0))</f>
        <v/>
      </c>
      <c r="AY808" s="28" t="str">
        <f aca="false">IF(OR(N(AX808)&lt;=0,N(AW808)=0,N(AV808)=0),"",MIN(AV808,AW808/AX808))</f>
        <v/>
      </c>
      <c r="AZ808" s="29" t="str">
        <f aca="false">IF(OR(AY808="",N(O808)=0),"",AY808/O808-1)</f>
        <v/>
      </c>
      <c r="BA808" s="29" t="str">
        <f aca="false">IF(OR(AZ808="",N(O808)=0),"",AZ808+AW808/O808)</f>
        <v/>
      </c>
      <c r="BB808" s="32" t="str">
        <f aca="false">IF(OR(BA808="",N(AR808)=0),"",BA808-AR808)</f>
        <v/>
      </c>
      <c r="BC808" s="35" t="str">
        <f aca="false">IF(OR(BA808="",N(U808)=0),"",BA808-U808)</f>
        <v/>
      </c>
      <c r="BD808" s="36" t="s">
        <v>147</v>
      </c>
    </row>
    <row r="809" customFormat="false" ht="15" hidden="false" customHeight="false" outlineLevel="0" collapsed="false">
      <c r="A809" s="2" t="s">
        <v>1453</v>
      </c>
      <c r="B809" s="2" t="n">
        <v>224</v>
      </c>
      <c r="C809" s="2" t="s">
        <v>1619</v>
      </c>
      <c r="D809" s="2" t="s">
        <v>1620</v>
      </c>
      <c r="E809" s="2" t="s">
        <v>1621</v>
      </c>
      <c r="F809" s="27" t="n">
        <v>9900</v>
      </c>
      <c r="G809" s="2" t="s">
        <v>52</v>
      </c>
      <c r="H809" s="2" t="s">
        <v>58</v>
      </c>
      <c r="I809" s="2" t="s">
        <v>144</v>
      </c>
      <c r="J809" s="2" t="s">
        <v>145</v>
      </c>
      <c r="K809" s="2" t="n">
        <v>4</v>
      </c>
      <c r="L809" s="28" t="n">
        <v>25</v>
      </c>
      <c r="M809" s="29" t="n">
        <v>0.0695</v>
      </c>
      <c r="N809" s="28" t="n">
        <v>1.7375</v>
      </c>
      <c r="O809" s="28" t="n">
        <v>0</v>
      </c>
      <c r="P809" s="2" t="s">
        <v>146</v>
      </c>
      <c r="Q809" s="29" t="n">
        <v>0.08</v>
      </c>
      <c r="R809" s="30" t="n">
        <v>0.075</v>
      </c>
      <c r="S809" s="31" t="n">
        <v>23.1666666666667</v>
      </c>
      <c r="T809" s="30"/>
      <c r="U809" s="30"/>
      <c r="V809" s="29" t="n">
        <v>-0.005</v>
      </c>
      <c r="W809" s="29" t="n">
        <f aca="false">IF(N(Q809)=0,"",Q809+IF(I809="yes",Q809*Inputs!$B$10*Inputs!$B$9,0)+V809)</f>
        <v>0.075</v>
      </c>
      <c r="X809" s="28" t="n">
        <f aca="false">IF(OR(N(W809)&lt;=0,N(N809)=0,N(L809)=0),"",MIN(L809,N809/W809))</f>
        <v>23.1666666666667</v>
      </c>
      <c r="Y809" s="29" t="str">
        <f aca="false">IF(OR(X809="",N(O809)=0),"",X809/O809-1)</f>
        <v/>
      </c>
      <c r="Z809" s="29" t="str">
        <f aca="false">IF(OR(Y809="",N(O809)=0),"",Y809+N809/O809)</f>
        <v/>
      </c>
      <c r="AA809" s="32" t="str">
        <f aca="false">IF(OR(Z809="",N(U809)=0),"",Z809-U809)</f>
        <v/>
      </c>
      <c r="AB809" s="29" t="n">
        <f aca="false">IF(N(Q809)=0,"",Q809+IF(I809="yes",Q809*Inputs!$B$10*Inputs!$B$9,0)+IFERROR(INDEX(Inputs!$B$13:$B$15,MATCH(G809,Inputs!$A$13:$A$15,0)),0)+IFERROR(INDEX(Inputs!$B$18:$B$24,MATCH(H809,Inputs!$A$18:$A$24,0)),0))</f>
        <v>0.075</v>
      </c>
      <c r="AC809" s="28" t="n">
        <f aca="false">IF(OR(N(AB809)&lt;=0,N(N809)=0,N(L809)=0),"",MIN(L809,N809/AB809))</f>
        <v>23.1666666666667</v>
      </c>
      <c r="AD809" s="29" t="str">
        <f aca="false">IF(OR(AC809="",N(O809)=0),"",AC809/O809-1)</f>
        <v/>
      </c>
      <c r="AE809" s="29" t="str">
        <f aca="false">IF(OR(AD809="",N(O809)=0),"",AD809+N809/O809)</f>
        <v/>
      </c>
      <c r="AF809" s="32" t="str">
        <f aca="false">IF(OR(AE809="",N(Z809)=0),"",AE809-Z809)</f>
        <v/>
      </c>
      <c r="AG809" s="28" t="n">
        <f aca="false">IF(AND(N(M809)&gt;0,N(L809)&gt;0),M809*L809,N809)</f>
        <v>1.7375</v>
      </c>
      <c r="AH809" s="28" t="n">
        <f aca="false">IF(OR(N(AB809)&lt;=0,N(AG809)=0,N(L809)=0),"",MIN(L809,AG809/AB809))</f>
        <v>23.1666666666667</v>
      </c>
      <c r="AI809" s="29" t="str">
        <f aca="false">IF(OR(AH809="",N(O809)=0),"",AH809/O809-1)</f>
        <v/>
      </c>
      <c r="AJ809" s="29" t="str">
        <f aca="false">IF(OR(AI809="",N(O809)=0),"",AI809+AG809/O809)</f>
        <v/>
      </c>
      <c r="AK809" s="32" t="str">
        <f aca="false">IF(OR(AJ809="",N(AE809)=0),"",AJ809-AE809)</f>
        <v/>
      </c>
      <c r="AL809" s="33" t="n">
        <f aca="false">IF(N(F809)=0,"",INDEX(Inputs!$B$28:$B$32,IFERROR(MATCH(F809,Inputs!$A$28:$A$32,1),0)+1))</f>
        <v>0.08</v>
      </c>
      <c r="AM809" s="34"/>
      <c r="AN809" s="33" t="n">
        <f aca="false">IF(N(AM809)&gt;0,AM809,AL809)</f>
        <v>0.08</v>
      </c>
      <c r="AO809" s="29" t="n">
        <f aca="false">IF(N(AN809)=0,"",AN809+IF(I809="yes",AN809*Inputs!$B$10*Inputs!$B$9,0)+IFERROR(INDEX(Inputs!$B$13:$B$15,MATCH(G809,Inputs!$A$13:$A$15,0)),0)+IFERROR(INDEX(Inputs!$B$18:$B$24,MATCH(H809,Inputs!$A$18:$A$24,0)),0))</f>
        <v>0.075</v>
      </c>
      <c r="AP809" s="28" t="n">
        <f aca="false">IF(OR(N(AO809)&lt;=0,N(AG809)=0,N(L809)=0),"",MIN(L809,AG809/AO809))</f>
        <v>23.1666666666667</v>
      </c>
      <c r="AQ809" s="29" t="str">
        <f aca="false">IF(OR(AP809="",N(O809)=0),"",AP809/O809-1)</f>
        <v/>
      </c>
      <c r="AR809" s="29" t="str">
        <f aca="false">IF(OR(AQ809="",N(O809)=0),"",AQ809+AG809/O809)</f>
        <v/>
      </c>
      <c r="AS809" s="32" t="str">
        <f aca="false">IF(OR(AR809="",N(AJ809)=0),"",AR809-AJ809)</f>
        <v/>
      </c>
      <c r="AT809" s="28"/>
      <c r="AU809" s="28"/>
      <c r="AV809" s="28" t="n">
        <f aca="false">IF(N(AT809)&gt;0,AT809,L809)</f>
        <v>25</v>
      </c>
      <c r="AW809" s="28" t="n">
        <f aca="false">IF(AND(N(M809)&gt;0,N(AV809)&gt;0),M809*AV809,IF(N(AU809)&gt;0,AU809,N809))</f>
        <v>1.7375</v>
      </c>
      <c r="AX809" s="29" t="n">
        <f aca="false">IF(N(AN809)=0,"",AN809+IF(I809="yes",AN809*Inputs!$B$10*Inputs!$B$9,0)+IFERROR(INDEX(Inputs!$B$13:$B$15,MATCH(G809,Inputs!$A$13:$A$15,0)),0)+IFERROR(INDEX(Inputs!$B$18:$B$24,MATCH(H809,Inputs!$A$18:$A$24,0)),0))</f>
        <v>0.075</v>
      </c>
      <c r="AY809" s="28" t="n">
        <f aca="false">IF(OR(N(AX809)&lt;=0,N(AW809)=0,N(AV809)=0),"",MIN(AV809,AW809/AX809))</f>
        <v>23.1666666666667</v>
      </c>
      <c r="AZ809" s="29" t="str">
        <f aca="false">IF(OR(AY809="",N(O809)=0),"",AY809/O809-1)</f>
        <v/>
      </c>
      <c r="BA809" s="29" t="str">
        <f aca="false">IF(OR(AZ809="",N(O809)=0),"",AZ809+AW809/O809)</f>
        <v/>
      </c>
      <c r="BB809" s="32" t="str">
        <f aca="false">IF(OR(BA809="",N(AR809)=0),"",BA809-AR809)</f>
        <v/>
      </c>
      <c r="BC809" s="35" t="str">
        <f aca="false">IF(OR(BA809="",N(U809)=0),"",BA809-U809)</f>
        <v/>
      </c>
      <c r="BD809" s="36" t="s">
        <v>198</v>
      </c>
    </row>
    <row r="810" customFormat="false" ht="15" hidden="false" customHeight="false" outlineLevel="0" collapsed="false">
      <c r="A810" s="2" t="s">
        <v>1453</v>
      </c>
      <c r="B810" s="2" t="n">
        <v>225</v>
      </c>
      <c r="C810" s="2" t="s">
        <v>1622</v>
      </c>
      <c r="D810" s="2" t="s">
        <v>1620</v>
      </c>
      <c r="E810" s="2" t="s">
        <v>1621</v>
      </c>
      <c r="F810" s="27" t="n">
        <v>9900</v>
      </c>
      <c r="G810" s="2" t="s">
        <v>51</v>
      </c>
      <c r="H810" s="2" t="s">
        <v>59</v>
      </c>
      <c r="I810" s="2" t="s">
        <v>151</v>
      </c>
      <c r="J810" s="2" t="s">
        <v>145</v>
      </c>
      <c r="K810" s="2" t="n">
        <v>4</v>
      </c>
      <c r="L810" s="28" t="n">
        <v>25</v>
      </c>
      <c r="M810" s="29" t="n">
        <v>0.063</v>
      </c>
      <c r="N810" s="28" t="n">
        <v>1.575</v>
      </c>
      <c r="O810" s="28" t="n">
        <v>0</v>
      </c>
      <c r="P810" s="2" t="s">
        <v>146</v>
      </c>
      <c r="Q810" s="29" t="n">
        <v>0.08</v>
      </c>
      <c r="R810" s="30" t="n">
        <v>0.076</v>
      </c>
      <c r="S810" s="31" t="n">
        <v>20.7236842105263</v>
      </c>
      <c r="T810" s="30"/>
      <c r="U810" s="30"/>
      <c r="V810" s="29" t="n">
        <v>0</v>
      </c>
      <c r="W810" s="29" t="n">
        <f aca="false">IF(N(Q810)=0,"",Q810+IF(I810="yes",Q810*Inputs!$B$10*Inputs!$B$9,0)+V810)</f>
        <v>0.076</v>
      </c>
      <c r="X810" s="28" t="n">
        <f aca="false">IF(OR(N(W810)&lt;=0,N(N810)=0,N(L810)=0),"",MIN(L810,N810/W810))</f>
        <v>20.7236842105263</v>
      </c>
      <c r="Y810" s="29" t="str">
        <f aca="false">IF(OR(X810="",N(O810)=0),"",X810/O810-1)</f>
        <v/>
      </c>
      <c r="Z810" s="29" t="str">
        <f aca="false">IF(OR(Y810="",N(O810)=0),"",Y810+N810/O810)</f>
        <v/>
      </c>
      <c r="AA810" s="32" t="str">
        <f aca="false">IF(OR(Z810="",N(U810)=0),"",Z810-U810)</f>
        <v/>
      </c>
      <c r="AB810" s="29" t="n">
        <f aca="false">IF(N(Q810)=0,"",Q810+IF(I810="yes",Q810*Inputs!$B$10*Inputs!$B$9,0)+IFERROR(INDEX(Inputs!$B$13:$B$15,MATCH(G810,Inputs!$A$13:$A$15,0)),0)+IFERROR(INDEX(Inputs!$B$18:$B$24,MATCH(H810,Inputs!$A$18:$A$24,0)),0))</f>
        <v>0.076</v>
      </c>
      <c r="AC810" s="28" t="n">
        <f aca="false">IF(OR(N(AB810)&lt;=0,N(N810)=0,N(L810)=0),"",MIN(L810,N810/AB810))</f>
        <v>20.7236842105263</v>
      </c>
      <c r="AD810" s="29" t="str">
        <f aca="false">IF(OR(AC810="",N(O810)=0),"",AC810/O810-1)</f>
        <v/>
      </c>
      <c r="AE810" s="29" t="str">
        <f aca="false">IF(OR(AD810="",N(O810)=0),"",AD810+N810/O810)</f>
        <v/>
      </c>
      <c r="AF810" s="32" t="str">
        <f aca="false">IF(OR(AE810="",N(Z810)=0),"",AE810-Z810)</f>
        <v/>
      </c>
      <c r="AG810" s="28" t="n">
        <f aca="false">IF(AND(N(M810)&gt;0,N(L810)&gt;0),M810*L810,N810)</f>
        <v>1.575</v>
      </c>
      <c r="AH810" s="28" t="n">
        <f aca="false">IF(OR(N(AB810)&lt;=0,N(AG810)=0,N(L810)=0),"",MIN(L810,AG810/AB810))</f>
        <v>20.7236842105263</v>
      </c>
      <c r="AI810" s="29" t="str">
        <f aca="false">IF(OR(AH810="",N(O810)=0),"",AH810/O810-1)</f>
        <v/>
      </c>
      <c r="AJ810" s="29" t="str">
        <f aca="false">IF(OR(AI810="",N(O810)=0),"",AI810+AG810/O810)</f>
        <v/>
      </c>
      <c r="AK810" s="32" t="str">
        <f aca="false">IF(OR(AJ810="",N(AE810)=0),"",AJ810-AE810)</f>
        <v/>
      </c>
      <c r="AL810" s="33" t="n">
        <f aca="false">IF(N(F810)=0,"",INDEX(Inputs!$B$28:$B$32,IFERROR(MATCH(F810,Inputs!$A$28:$A$32,1),0)+1))</f>
        <v>0.08</v>
      </c>
      <c r="AM810" s="34"/>
      <c r="AN810" s="33" t="n">
        <f aca="false">IF(N(AM810)&gt;0,AM810,AL810)</f>
        <v>0.08</v>
      </c>
      <c r="AO810" s="29" t="n">
        <f aca="false">IF(N(AN810)=0,"",AN810+IF(I810="yes",AN810*Inputs!$B$10*Inputs!$B$9,0)+IFERROR(INDEX(Inputs!$B$13:$B$15,MATCH(G810,Inputs!$A$13:$A$15,0)),0)+IFERROR(INDEX(Inputs!$B$18:$B$24,MATCH(H810,Inputs!$A$18:$A$24,0)),0))</f>
        <v>0.076</v>
      </c>
      <c r="AP810" s="28" t="n">
        <f aca="false">IF(OR(N(AO810)&lt;=0,N(AG810)=0,N(L810)=0),"",MIN(L810,AG810/AO810))</f>
        <v>20.7236842105263</v>
      </c>
      <c r="AQ810" s="29" t="str">
        <f aca="false">IF(OR(AP810="",N(O810)=0),"",AP810/O810-1)</f>
        <v/>
      </c>
      <c r="AR810" s="29" t="str">
        <f aca="false">IF(OR(AQ810="",N(O810)=0),"",AQ810+AG810/O810)</f>
        <v/>
      </c>
      <c r="AS810" s="32" t="str">
        <f aca="false">IF(OR(AR810="",N(AJ810)=0),"",AR810-AJ810)</f>
        <v/>
      </c>
      <c r="AT810" s="28"/>
      <c r="AU810" s="28"/>
      <c r="AV810" s="28" t="n">
        <f aca="false">IF(N(AT810)&gt;0,AT810,L810)</f>
        <v>25</v>
      </c>
      <c r="AW810" s="28" t="n">
        <f aca="false">IF(AND(N(M810)&gt;0,N(AV810)&gt;0),M810*AV810,IF(N(AU810)&gt;0,AU810,N810))</f>
        <v>1.575</v>
      </c>
      <c r="AX810" s="29" t="n">
        <f aca="false">IF(N(AN810)=0,"",AN810+IF(I810="yes",AN810*Inputs!$B$10*Inputs!$B$9,0)+IFERROR(INDEX(Inputs!$B$13:$B$15,MATCH(G810,Inputs!$A$13:$A$15,0)),0)+IFERROR(INDEX(Inputs!$B$18:$B$24,MATCH(H810,Inputs!$A$18:$A$24,0)),0))</f>
        <v>0.076</v>
      </c>
      <c r="AY810" s="28" t="n">
        <f aca="false">IF(OR(N(AX810)&lt;=0,N(AW810)=0,N(AV810)=0),"",MIN(AV810,AW810/AX810))</f>
        <v>20.7236842105263</v>
      </c>
      <c r="AZ810" s="29" t="str">
        <f aca="false">IF(OR(AY810="",N(O810)=0),"",AY810/O810-1)</f>
        <v/>
      </c>
      <c r="BA810" s="29" t="str">
        <f aca="false">IF(OR(AZ810="",N(O810)=0),"",AZ810+AW810/O810)</f>
        <v/>
      </c>
      <c r="BB810" s="32" t="str">
        <f aca="false">IF(OR(BA810="",N(AR810)=0),"",BA810-AR810)</f>
        <v/>
      </c>
      <c r="BC810" s="35" t="str">
        <f aca="false">IF(OR(BA810="",N(U810)=0),"",BA810-U810)</f>
        <v/>
      </c>
      <c r="BD810" s="36" t="s">
        <v>198</v>
      </c>
    </row>
    <row r="811" customFormat="false" ht="15" hidden="false" customHeight="false" outlineLevel="0" collapsed="false">
      <c r="A811" s="2" t="s">
        <v>1453</v>
      </c>
      <c r="B811" s="2" t="n">
        <v>226</v>
      </c>
      <c r="C811" s="2" t="s">
        <v>1623</v>
      </c>
      <c r="D811" s="2" t="s">
        <v>1620</v>
      </c>
      <c r="E811" s="2" t="s">
        <v>1621</v>
      </c>
      <c r="F811" s="27" t="n">
        <v>9900</v>
      </c>
      <c r="G811" s="2" t="s">
        <v>51</v>
      </c>
      <c r="H811" s="2" t="s">
        <v>60</v>
      </c>
      <c r="I811" s="2" t="s">
        <v>151</v>
      </c>
      <c r="J811" s="2" t="s">
        <v>145</v>
      </c>
      <c r="K811" s="2" t="n">
        <v>4</v>
      </c>
      <c r="L811" s="28" t="n">
        <v>25</v>
      </c>
      <c r="M811" s="29" t="n">
        <v>0.0127</v>
      </c>
      <c r="N811" s="28" t="n">
        <v>0.3175</v>
      </c>
      <c r="O811" s="28" t="n">
        <v>18.37</v>
      </c>
      <c r="P811" s="2" t="s">
        <v>146</v>
      </c>
      <c r="Q811" s="29" t="n">
        <v>0.08</v>
      </c>
      <c r="R811" s="30" t="n">
        <v>0.076</v>
      </c>
      <c r="S811" s="31" t="n">
        <v>4.17763157894737</v>
      </c>
      <c r="T811" s="30" t="n">
        <v>-0.772584018565739</v>
      </c>
      <c r="U811" s="30" t="n">
        <v>-0.755300403976736</v>
      </c>
      <c r="V811" s="29" t="n">
        <v>0</v>
      </c>
      <c r="W811" s="29" t="n">
        <f aca="false">IF(N(Q811)=0,"",Q811+IF(I811="yes",Q811*Inputs!$B$10*Inputs!$B$9,0)+V811)</f>
        <v>0.076</v>
      </c>
      <c r="X811" s="28" t="n">
        <f aca="false">IF(OR(N(W811)&lt;=0,N(N811)=0,N(L811)=0),"",MIN(L811,N811/W811))</f>
        <v>4.17763157894737</v>
      </c>
      <c r="Y811" s="29" t="n">
        <f aca="false">IF(OR(X811="",N(O811)=0),"",X811/O811-1)</f>
        <v>-0.772584018565739</v>
      </c>
      <c r="Z811" s="29" t="n">
        <f aca="false">IF(OR(Y811="",N(O811)=0),"",Y811+N811/O811)</f>
        <v>-0.755300403976736</v>
      </c>
      <c r="AA811" s="32" t="n">
        <f aca="false">IF(OR(Z811="",N(U811)=0),"",Z811-U811)</f>
        <v>0</v>
      </c>
      <c r="AB811" s="29" t="n">
        <f aca="false">IF(N(Q811)=0,"",Q811+IF(I811="yes",Q811*Inputs!$B$10*Inputs!$B$9,0)+IFERROR(INDEX(Inputs!$B$13:$B$15,MATCH(G811,Inputs!$A$13:$A$15,0)),0)+IFERROR(INDEX(Inputs!$B$18:$B$24,MATCH(H811,Inputs!$A$18:$A$24,0)),0))</f>
        <v>0.076</v>
      </c>
      <c r="AC811" s="28" t="n">
        <f aca="false">IF(OR(N(AB811)&lt;=0,N(N811)=0,N(L811)=0),"",MIN(L811,N811/AB811))</f>
        <v>4.17763157894737</v>
      </c>
      <c r="AD811" s="29" t="n">
        <f aca="false">IF(OR(AC811="",N(O811)=0),"",AC811/O811-1)</f>
        <v>-0.772584018565739</v>
      </c>
      <c r="AE811" s="29" t="n">
        <f aca="false">IF(OR(AD811="",N(O811)=0),"",AD811+N811/O811)</f>
        <v>-0.755300403976736</v>
      </c>
      <c r="AF811" s="32" t="n">
        <f aca="false">IF(OR(AE811="",N(Z811)=0),"",AE811-Z811)</f>
        <v>0</v>
      </c>
      <c r="AG811" s="28" t="n">
        <f aca="false">IF(AND(N(M811)&gt;0,N(L811)&gt;0),M811*L811,N811)</f>
        <v>0.3175</v>
      </c>
      <c r="AH811" s="28" t="n">
        <f aca="false">IF(OR(N(AB811)&lt;=0,N(AG811)=0,N(L811)=0),"",MIN(L811,AG811/AB811))</f>
        <v>4.17763157894737</v>
      </c>
      <c r="AI811" s="29" t="n">
        <f aca="false">IF(OR(AH811="",N(O811)=0),"",AH811/O811-1)</f>
        <v>-0.772584018565739</v>
      </c>
      <c r="AJ811" s="29" t="n">
        <f aca="false">IF(OR(AI811="",N(O811)=0),"",AI811+AG811/O811)</f>
        <v>-0.755300403976736</v>
      </c>
      <c r="AK811" s="32" t="n">
        <f aca="false">IF(OR(AJ811="",N(AE811)=0),"",AJ811-AE811)</f>
        <v>0</v>
      </c>
      <c r="AL811" s="33" t="n">
        <f aca="false">IF(N(F811)=0,"",INDEX(Inputs!$B$28:$B$32,IFERROR(MATCH(F811,Inputs!$A$28:$A$32,1),0)+1))</f>
        <v>0.08</v>
      </c>
      <c r="AM811" s="34"/>
      <c r="AN811" s="33" t="n">
        <f aca="false">IF(N(AM811)&gt;0,AM811,AL811)</f>
        <v>0.08</v>
      </c>
      <c r="AO811" s="29" t="n">
        <f aca="false">IF(N(AN811)=0,"",AN811+IF(I811="yes",AN811*Inputs!$B$10*Inputs!$B$9,0)+IFERROR(INDEX(Inputs!$B$13:$B$15,MATCH(G811,Inputs!$A$13:$A$15,0)),0)+IFERROR(INDEX(Inputs!$B$18:$B$24,MATCH(H811,Inputs!$A$18:$A$24,0)),0))</f>
        <v>0.076</v>
      </c>
      <c r="AP811" s="28" t="n">
        <f aca="false">IF(OR(N(AO811)&lt;=0,N(AG811)=0,N(L811)=0),"",MIN(L811,AG811/AO811))</f>
        <v>4.17763157894737</v>
      </c>
      <c r="AQ811" s="29" t="n">
        <f aca="false">IF(OR(AP811="",N(O811)=0),"",AP811/O811-1)</f>
        <v>-0.772584018565739</v>
      </c>
      <c r="AR811" s="29" t="n">
        <f aca="false">IF(OR(AQ811="",N(O811)=0),"",AQ811+AG811/O811)</f>
        <v>-0.755300403976736</v>
      </c>
      <c r="AS811" s="32" t="n">
        <f aca="false">IF(OR(AR811="",N(AJ811)=0),"",AR811-AJ811)</f>
        <v>0</v>
      </c>
      <c r="AT811" s="28" t="n">
        <v>25</v>
      </c>
      <c r="AU811" s="28"/>
      <c r="AV811" s="28" t="n">
        <f aca="false">IF(N(AT811)&gt;0,AT811,L811)</f>
        <v>25</v>
      </c>
      <c r="AW811" s="28" t="n">
        <f aca="false">IF(AND(N(M811)&gt;0,N(AV811)&gt;0),M811*AV811,IF(N(AU811)&gt;0,AU811,N811))</f>
        <v>0.3175</v>
      </c>
      <c r="AX811" s="29" t="n">
        <f aca="false">IF(N(AN811)=0,"",AN811+IF(I811="yes",AN811*Inputs!$B$10*Inputs!$B$9,0)+IFERROR(INDEX(Inputs!$B$13:$B$15,MATCH(G811,Inputs!$A$13:$A$15,0)),0)+IFERROR(INDEX(Inputs!$B$18:$B$24,MATCH(H811,Inputs!$A$18:$A$24,0)),0))</f>
        <v>0.076</v>
      </c>
      <c r="AY811" s="28" t="n">
        <f aca="false">IF(OR(N(AX811)&lt;=0,N(AW811)=0,N(AV811)=0),"",MIN(AV811,AW811/AX811))</f>
        <v>4.17763157894737</v>
      </c>
      <c r="AZ811" s="29" t="n">
        <f aca="false">IF(OR(AY811="",N(O811)=0),"",AY811/O811-1)</f>
        <v>-0.772584018565739</v>
      </c>
      <c r="BA811" s="29" t="n">
        <f aca="false">IF(OR(AZ811="",N(O811)=0),"",AZ811+AW811/O811)</f>
        <v>-0.755300403976736</v>
      </c>
      <c r="BB811" s="32" t="n">
        <f aca="false">IF(OR(BA811="",N(AR811)=0),"",BA811-AR811)</f>
        <v>0</v>
      </c>
      <c r="BC811" s="35" t="n">
        <f aca="false">IF(OR(BA811="",N(U811)=0),"",BA811-U811)</f>
        <v>0</v>
      </c>
      <c r="BD811" s="36" t="s">
        <v>340</v>
      </c>
    </row>
  </sheetData>
  <autoFilter ref="A2:BD811"/>
  <mergeCells count="8">
    <mergeCell ref="A1:Q1"/>
    <mergeCell ref="R1:U1"/>
    <mergeCell ref="V1:AA1"/>
    <mergeCell ref="AB1:AF1"/>
    <mergeCell ref="AG1:AK1"/>
    <mergeCell ref="AL1:AS1"/>
    <mergeCell ref="AT1:BB1"/>
    <mergeCell ref="BC1:BD1"/>
  </mergeCells>
  <conditionalFormatting sqref="BC3:BC811">
    <cfRule type="colorScale" priority="2">
      <colorScale>
        <cfvo type="num" val="-0.3"/>
        <cfvo type="num" val="0"/>
        <cfvo type="num" val="0.3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64"/>
    <col collapsed="false" customWidth="true" hidden="false" outlineLevel="0" max="9" min="9" style="0" width="86"/>
  </cols>
  <sheetData>
    <row r="1" customFormat="false" ht="27.75" hidden="false" customHeight="true" outlineLevel="0" collapsed="false">
      <c r="A1" s="26" t="s">
        <v>1624</v>
      </c>
      <c r="B1" s="26" t="s">
        <v>86</v>
      </c>
      <c r="C1" s="26" t="s">
        <v>87</v>
      </c>
      <c r="D1" s="26" t="s">
        <v>84</v>
      </c>
      <c r="E1" s="26" t="s">
        <v>85</v>
      </c>
      <c r="F1" s="26" t="s">
        <v>1625</v>
      </c>
      <c r="G1" s="26" t="s">
        <v>1626</v>
      </c>
      <c r="H1" s="26" t="s">
        <v>1627</v>
      </c>
      <c r="I1" s="26" t="s">
        <v>1628</v>
      </c>
    </row>
    <row r="2" customFormat="false" ht="15" hidden="false" customHeight="false" outlineLevel="0" collapsed="false">
      <c r="A2" s="38" t="s">
        <v>362</v>
      </c>
      <c r="B2" s="38" t="s">
        <v>359</v>
      </c>
      <c r="C2" s="38" t="s">
        <v>360</v>
      </c>
      <c r="D2" s="38" t="s">
        <v>140</v>
      </c>
      <c r="E2" s="38" t="n">
        <v>237</v>
      </c>
      <c r="F2" s="39"/>
      <c r="G2" s="39" t="n">
        <v>0.08</v>
      </c>
      <c r="H2" s="38" t="s">
        <v>1629</v>
      </c>
      <c r="I2" s="38" t="s">
        <v>1630</v>
      </c>
    </row>
    <row r="3" customFormat="false" ht="15" hidden="false" customHeight="false" outlineLevel="0" collapsed="false">
      <c r="A3" s="38" t="s">
        <v>362</v>
      </c>
      <c r="B3" s="38" t="s">
        <v>576</v>
      </c>
      <c r="C3" s="38" t="s">
        <v>574</v>
      </c>
      <c r="D3" s="38" t="s">
        <v>556</v>
      </c>
      <c r="E3" s="38" t="n">
        <v>29</v>
      </c>
      <c r="F3" s="39" t="n">
        <v>0.069512595837897</v>
      </c>
      <c r="G3" s="39" t="n">
        <v>0.1</v>
      </c>
      <c r="H3" s="38" t="s">
        <v>1629</v>
      </c>
      <c r="I3" s="38" t="s">
        <v>1631</v>
      </c>
    </row>
    <row r="4" customFormat="false" ht="15" hidden="false" customHeight="false" outlineLevel="0" collapsed="false">
      <c r="A4" s="38" t="s">
        <v>362</v>
      </c>
      <c r="B4" s="38" t="s">
        <v>581</v>
      </c>
      <c r="C4" s="38" t="s">
        <v>579</v>
      </c>
      <c r="D4" s="38" t="s">
        <v>556</v>
      </c>
      <c r="E4" s="38" t="n">
        <v>33</v>
      </c>
      <c r="F4" s="39" t="n">
        <v>0.0858778625954199</v>
      </c>
      <c r="G4" s="39" t="n">
        <v>0.1</v>
      </c>
      <c r="H4" s="38" t="s">
        <v>1629</v>
      </c>
      <c r="I4" s="38" t="s">
        <v>1632</v>
      </c>
    </row>
    <row r="5" customFormat="false" ht="15" hidden="false" customHeight="false" outlineLevel="0" collapsed="false">
      <c r="A5" s="38" t="s">
        <v>362</v>
      </c>
      <c r="B5" s="38" t="s">
        <v>606</v>
      </c>
      <c r="C5" s="38" t="s">
        <v>604</v>
      </c>
      <c r="D5" s="38" t="s">
        <v>556</v>
      </c>
      <c r="E5" s="38" t="n">
        <v>60</v>
      </c>
      <c r="F5" s="39" t="n">
        <v>0.0521473029045643</v>
      </c>
      <c r="G5" s="39" t="n">
        <v>0.08</v>
      </c>
      <c r="H5" s="38" t="s">
        <v>1629</v>
      </c>
      <c r="I5" s="38" t="s">
        <v>1633</v>
      </c>
    </row>
    <row r="6" customFormat="false" ht="15" hidden="false" customHeight="false" outlineLevel="0" collapsed="false">
      <c r="A6" s="38" t="s">
        <v>362</v>
      </c>
      <c r="B6" s="38" t="s">
        <v>880</v>
      </c>
      <c r="C6" s="38" t="s">
        <v>881</v>
      </c>
      <c r="D6" s="38" t="s">
        <v>768</v>
      </c>
      <c r="E6" s="38" t="n">
        <v>150</v>
      </c>
      <c r="F6" s="39"/>
      <c r="G6" s="39" t="n">
        <v>0.08</v>
      </c>
      <c r="H6" s="38" t="s">
        <v>1629</v>
      </c>
      <c r="I6" s="38" t="s">
        <v>1634</v>
      </c>
    </row>
    <row r="7" customFormat="false" ht="15" hidden="false" customHeight="false" outlineLevel="0" collapsed="false">
      <c r="A7" s="38" t="s">
        <v>362</v>
      </c>
      <c r="B7" s="38" t="s">
        <v>944</v>
      </c>
      <c r="C7" s="38" t="s">
        <v>942</v>
      </c>
      <c r="D7" s="38" t="s">
        <v>768</v>
      </c>
      <c r="E7" s="38" t="n">
        <v>240</v>
      </c>
      <c r="F7" s="39" t="n">
        <v>0.0607533414337789</v>
      </c>
      <c r="G7" s="39" t="n">
        <v>0.08</v>
      </c>
      <c r="H7" s="38" t="s">
        <v>1629</v>
      </c>
      <c r="I7" s="38" t="s">
        <v>1635</v>
      </c>
    </row>
    <row r="8" customFormat="false" ht="15" hidden="false" customHeight="false" outlineLevel="0" collapsed="false">
      <c r="A8" s="38" t="s">
        <v>362</v>
      </c>
      <c r="B8" s="38" t="s">
        <v>991</v>
      </c>
      <c r="C8" s="38" t="s">
        <v>986</v>
      </c>
      <c r="D8" s="38" t="s">
        <v>768</v>
      </c>
      <c r="E8" s="38" t="n">
        <v>301</v>
      </c>
      <c r="F8" s="39"/>
      <c r="G8" s="39" t="n">
        <v>0</v>
      </c>
      <c r="H8" s="38" t="s">
        <v>1629</v>
      </c>
      <c r="I8" s="38" t="s">
        <v>1636</v>
      </c>
    </row>
    <row r="9" customFormat="false" ht="15" hidden="false" customHeight="false" outlineLevel="0" collapsed="false">
      <c r="A9" s="38" t="s">
        <v>362</v>
      </c>
      <c r="B9" s="38" t="s">
        <v>1393</v>
      </c>
      <c r="C9" s="38" t="s">
        <v>1394</v>
      </c>
      <c r="D9" s="38" t="s">
        <v>1067</v>
      </c>
      <c r="E9" s="38" t="n">
        <v>414</v>
      </c>
      <c r="F9" s="39"/>
      <c r="G9" s="39" t="n">
        <v>0</v>
      </c>
      <c r="H9" s="38" t="s">
        <v>1629</v>
      </c>
      <c r="I9" s="38" t="s">
        <v>1637</v>
      </c>
    </row>
    <row r="10" customFormat="false" ht="15" hidden="false" customHeight="false" outlineLevel="0" collapsed="false">
      <c r="A10" s="38" t="s">
        <v>316</v>
      </c>
      <c r="B10" s="38" t="s">
        <v>315</v>
      </c>
      <c r="C10" s="38" t="s">
        <v>313</v>
      </c>
      <c r="D10" s="38" t="s">
        <v>140</v>
      </c>
      <c r="E10" s="38" t="n">
        <v>188</v>
      </c>
      <c r="F10" s="39"/>
      <c r="G10" s="39" t="n">
        <v>0</v>
      </c>
      <c r="H10" s="38" t="s">
        <v>1638</v>
      </c>
      <c r="I10" s="38" t="s">
        <v>1639</v>
      </c>
    </row>
    <row r="11" customFormat="false" ht="15" hidden="false" customHeight="false" outlineLevel="0" collapsed="false">
      <c r="A11" s="38" t="s">
        <v>316</v>
      </c>
      <c r="B11" s="38" t="s">
        <v>415</v>
      </c>
      <c r="C11" s="38" t="s">
        <v>413</v>
      </c>
      <c r="D11" s="38" t="s">
        <v>140</v>
      </c>
      <c r="E11" s="38" t="n">
        <v>290</v>
      </c>
      <c r="F11" s="39"/>
      <c r="G11" s="39" t="n">
        <v>0.085</v>
      </c>
      <c r="H11" s="38" t="s">
        <v>1638</v>
      </c>
      <c r="I11" s="38" t="s">
        <v>1640</v>
      </c>
    </row>
    <row r="12" customFormat="false" ht="15" hidden="false" customHeight="false" outlineLevel="0" collapsed="false">
      <c r="A12" s="38" t="s">
        <v>316</v>
      </c>
      <c r="B12" s="38" t="s">
        <v>623</v>
      </c>
      <c r="C12" s="38" t="s">
        <v>621</v>
      </c>
      <c r="D12" s="38" t="s">
        <v>556</v>
      </c>
      <c r="E12" s="38" t="n">
        <v>81</v>
      </c>
      <c r="F12" s="39"/>
      <c r="G12" s="39" t="n">
        <v>0.09</v>
      </c>
      <c r="H12" s="38" t="s">
        <v>1638</v>
      </c>
      <c r="I12" s="38" t="s">
        <v>1641</v>
      </c>
    </row>
    <row r="13" customFormat="false" ht="15" hidden="false" customHeight="false" outlineLevel="0" collapsed="false">
      <c r="A13" s="38" t="s">
        <v>316</v>
      </c>
      <c r="B13" s="38" t="s">
        <v>1347</v>
      </c>
      <c r="C13" s="38" t="s">
        <v>1345</v>
      </c>
      <c r="D13" s="38" t="s">
        <v>1067</v>
      </c>
      <c r="E13" s="38" t="n">
        <v>354</v>
      </c>
      <c r="F13" s="39"/>
      <c r="G13" s="39" t="n">
        <v>0.085</v>
      </c>
      <c r="H13" s="38" t="s">
        <v>1638</v>
      </c>
      <c r="I13" s="38" t="s">
        <v>1642</v>
      </c>
    </row>
    <row r="14" customFormat="false" ht="15" hidden="false" customHeight="false" outlineLevel="0" collapsed="false">
      <c r="A14" s="38" t="s">
        <v>316</v>
      </c>
      <c r="B14" s="38" t="s">
        <v>1586</v>
      </c>
      <c r="C14" s="38" t="s">
        <v>1584</v>
      </c>
      <c r="D14" s="38" t="s">
        <v>1453</v>
      </c>
      <c r="E14" s="38" t="n">
        <v>176</v>
      </c>
      <c r="F14" s="39"/>
      <c r="G14" s="39" t="n">
        <v>0.1</v>
      </c>
      <c r="H14" s="38" t="s">
        <v>1638</v>
      </c>
      <c r="I14" s="38" t="s">
        <v>1643</v>
      </c>
    </row>
    <row r="15" customFormat="false" ht="15" hidden="false" customHeight="false" outlineLevel="0" collapsed="false">
      <c r="A15" s="38" t="s">
        <v>1476</v>
      </c>
      <c r="B15" s="38" t="s">
        <v>1473</v>
      </c>
      <c r="C15" s="38" t="s">
        <v>1474</v>
      </c>
      <c r="D15" s="38" t="s">
        <v>1453</v>
      </c>
      <c r="E15" s="38" t="n">
        <v>34</v>
      </c>
      <c r="F15" s="39"/>
      <c r="G15" s="39" t="n">
        <v>0</v>
      </c>
      <c r="H15" s="38" t="s">
        <v>1644</v>
      </c>
      <c r="I15" s="38" t="s">
        <v>1645</v>
      </c>
    </row>
    <row r="16" customFormat="false" ht="15" hidden="false" customHeight="false" outlineLevel="0" collapsed="false">
      <c r="A16" s="2" t="s">
        <v>237</v>
      </c>
      <c r="B16" s="2" t="s">
        <v>234</v>
      </c>
      <c r="C16" s="2" t="s">
        <v>235</v>
      </c>
      <c r="D16" s="2" t="s">
        <v>140</v>
      </c>
      <c r="E16" s="2" t="n">
        <v>102</v>
      </c>
      <c r="F16" s="29" t="n">
        <v>0.085</v>
      </c>
      <c r="G16" s="29" t="n">
        <v>0.1</v>
      </c>
      <c r="H16" s="2" t="s">
        <v>1646</v>
      </c>
      <c r="I16" s="2" t="s">
        <v>1647</v>
      </c>
    </row>
    <row r="17" customFormat="false" ht="15" hidden="false" customHeight="false" outlineLevel="0" collapsed="false">
      <c r="A17" s="2" t="s">
        <v>237</v>
      </c>
      <c r="B17" s="2" t="s">
        <v>239</v>
      </c>
      <c r="C17" s="2" t="s">
        <v>235</v>
      </c>
      <c r="D17" s="2" t="s">
        <v>140</v>
      </c>
      <c r="E17" s="2" t="n">
        <v>103</v>
      </c>
      <c r="F17" s="29" t="n">
        <v>0.085</v>
      </c>
      <c r="G17" s="29" t="n">
        <v>0.1</v>
      </c>
      <c r="H17" s="2" t="s">
        <v>1646</v>
      </c>
      <c r="I17" s="2" t="s">
        <v>1647</v>
      </c>
    </row>
    <row r="18" customFormat="false" ht="15" hidden="false" customHeight="false" outlineLevel="0" collapsed="false">
      <c r="A18" s="2" t="s">
        <v>237</v>
      </c>
      <c r="B18" s="2" t="s">
        <v>240</v>
      </c>
      <c r="C18" s="2" t="s">
        <v>235</v>
      </c>
      <c r="D18" s="2" t="s">
        <v>140</v>
      </c>
      <c r="E18" s="2" t="n">
        <v>104</v>
      </c>
      <c r="F18" s="29" t="n">
        <v>0.085</v>
      </c>
      <c r="G18" s="29" t="n">
        <v>0.1</v>
      </c>
      <c r="H18" s="2" t="s">
        <v>1646</v>
      </c>
      <c r="I18" s="2" t="s">
        <v>1647</v>
      </c>
    </row>
    <row r="19" customFormat="false" ht="15" hidden="false" customHeight="false" outlineLevel="0" collapsed="false">
      <c r="A19" s="2" t="s">
        <v>237</v>
      </c>
      <c r="B19" s="2" t="s">
        <v>241</v>
      </c>
      <c r="C19" s="2" t="s">
        <v>235</v>
      </c>
      <c r="D19" s="2" t="s">
        <v>140</v>
      </c>
      <c r="E19" s="2" t="n">
        <v>105</v>
      </c>
      <c r="F19" s="29" t="n">
        <v>0.085</v>
      </c>
      <c r="G19" s="29" t="n">
        <v>0.1</v>
      </c>
      <c r="H19" s="2" t="s">
        <v>1646</v>
      </c>
      <c r="I19" s="2" t="s">
        <v>1647</v>
      </c>
    </row>
    <row r="20" customFormat="false" ht="15" hidden="false" customHeight="false" outlineLevel="0" collapsed="false">
      <c r="A20" s="2" t="s">
        <v>237</v>
      </c>
      <c r="B20" s="2" t="s">
        <v>242</v>
      </c>
      <c r="C20" s="2" t="s">
        <v>235</v>
      </c>
      <c r="D20" s="2" t="s">
        <v>140</v>
      </c>
      <c r="E20" s="2" t="n">
        <v>106</v>
      </c>
      <c r="F20" s="29" t="n">
        <v>0.085</v>
      </c>
      <c r="G20" s="29" t="n">
        <v>0.1</v>
      </c>
      <c r="H20" s="2" t="s">
        <v>1646</v>
      </c>
      <c r="I20" s="2" t="s">
        <v>1647</v>
      </c>
    </row>
    <row r="21" customFormat="false" ht="15" hidden="false" customHeight="false" outlineLevel="0" collapsed="false">
      <c r="A21" s="2" t="s">
        <v>237</v>
      </c>
      <c r="B21" s="2" t="s">
        <v>430</v>
      </c>
      <c r="C21" s="2" t="s">
        <v>431</v>
      </c>
      <c r="D21" s="2" t="s">
        <v>140</v>
      </c>
      <c r="E21" s="2" t="n">
        <v>310</v>
      </c>
      <c r="F21" s="29" t="n">
        <v>0.075</v>
      </c>
      <c r="G21" s="29" t="n">
        <v>0.08</v>
      </c>
      <c r="H21" s="2" t="s">
        <v>1646</v>
      </c>
      <c r="I21" s="2" t="s">
        <v>1648</v>
      </c>
    </row>
    <row r="22" customFormat="false" ht="15" hidden="false" customHeight="false" outlineLevel="0" collapsed="false">
      <c r="A22" s="2" t="s">
        <v>237</v>
      </c>
      <c r="B22" s="2" t="s">
        <v>434</v>
      </c>
      <c r="C22" s="2" t="s">
        <v>431</v>
      </c>
      <c r="D22" s="2" t="s">
        <v>140</v>
      </c>
      <c r="E22" s="2" t="n">
        <v>311</v>
      </c>
      <c r="F22" s="29" t="n">
        <v>0.075</v>
      </c>
      <c r="G22" s="29" t="n">
        <v>0.08</v>
      </c>
      <c r="H22" s="2" t="s">
        <v>1646</v>
      </c>
      <c r="I22" s="2" t="s">
        <v>1648</v>
      </c>
    </row>
    <row r="23" customFormat="false" ht="15" hidden="false" customHeight="false" outlineLevel="0" collapsed="false">
      <c r="A23" s="2" t="s">
        <v>237</v>
      </c>
      <c r="B23" s="2" t="s">
        <v>435</v>
      </c>
      <c r="C23" s="2" t="s">
        <v>431</v>
      </c>
      <c r="D23" s="2" t="s">
        <v>140</v>
      </c>
      <c r="E23" s="2" t="n">
        <v>312</v>
      </c>
      <c r="F23" s="29" t="n">
        <v>0.075</v>
      </c>
      <c r="G23" s="29" t="n">
        <v>0.08</v>
      </c>
      <c r="H23" s="2" t="s">
        <v>1646</v>
      </c>
      <c r="I23" s="2" t="s">
        <v>1648</v>
      </c>
    </row>
    <row r="24" customFormat="false" ht="15" hidden="false" customHeight="false" outlineLevel="0" collapsed="false">
      <c r="A24" s="2" t="s">
        <v>237</v>
      </c>
      <c r="B24" s="2" t="s">
        <v>998</v>
      </c>
      <c r="C24" s="2" t="s">
        <v>999</v>
      </c>
      <c r="D24" s="2" t="s">
        <v>768</v>
      </c>
      <c r="E24" s="2" t="n">
        <v>309</v>
      </c>
      <c r="F24" s="29" t="n">
        <v>0.075</v>
      </c>
      <c r="G24" s="29" t="n">
        <v>0.08</v>
      </c>
      <c r="H24" s="2" t="s">
        <v>1646</v>
      </c>
      <c r="I24" s="2" t="s">
        <v>1648</v>
      </c>
    </row>
    <row r="25" customFormat="false" ht="15" hidden="false" customHeight="false" outlineLevel="0" collapsed="false">
      <c r="A25" s="2" t="s">
        <v>237</v>
      </c>
      <c r="B25" s="2" t="s">
        <v>1197</v>
      </c>
      <c r="C25" s="2" t="s">
        <v>1198</v>
      </c>
      <c r="D25" s="2" t="s">
        <v>1067</v>
      </c>
      <c r="E25" s="2" t="n">
        <v>169</v>
      </c>
      <c r="F25" s="29" t="n">
        <v>0.07</v>
      </c>
      <c r="G25" s="29" t="n">
        <v>0.085</v>
      </c>
      <c r="H25" s="2" t="s">
        <v>1646</v>
      </c>
      <c r="I25" s="2" t="s">
        <v>1649</v>
      </c>
    </row>
    <row r="26" customFormat="false" ht="15" hidden="false" customHeight="false" outlineLevel="0" collapsed="false">
      <c r="A26" s="2" t="s">
        <v>237</v>
      </c>
      <c r="B26" s="2" t="s">
        <v>1200</v>
      </c>
      <c r="C26" s="2" t="s">
        <v>1198</v>
      </c>
      <c r="D26" s="2" t="s">
        <v>1067</v>
      </c>
      <c r="E26" s="2" t="n">
        <v>170</v>
      </c>
      <c r="F26" s="29" t="n">
        <v>0.07</v>
      </c>
      <c r="G26" s="29" t="n">
        <v>0.085</v>
      </c>
      <c r="H26" s="2" t="s">
        <v>1646</v>
      </c>
      <c r="I26" s="2" t="s">
        <v>1649</v>
      </c>
    </row>
    <row r="27" customFormat="false" ht="15" hidden="false" customHeight="false" outlineLevel="0" collapsed="false">
      <c r="A27" s="2" t="s">
        <v>237</v>
      </c>
      <c r="B27" s="2" t="s">
        <v>1364</v>
      </c>
      <c r="C27" s="2" t="s">
        <v>1365</v>
      </c>
      <c r="D27" s="2" t="s">
        <v>1067</v>
      </c>
      <c r="E27" s="2" t="n">
        <v>374</v>
      </c>
      <c r="F27" s="29" t="n">
        <v>0.07</v>
      </c>
      <c r="G27" s="29" t="n">
        <v>0.09</v>
      </c>
      <c r="H27" s="2" t="s">
        <v>1646</v>
      </c>
      <c r="I27" s="2" t="s">
        <v>1649</v>
      </c>
    </row>
    <row r="28" customFormat="false" ht="15" hidden="false" customHeight="false" outlineLevel="0" collapsed="false">
      <c r="A28" s="2" t="s">
        <v>237</v>
      </c>
      <c r="B28" s="2" t="s">
        <v>1367</v>
      </c>
      <c r="C28" s="2" t="s">
        <v>1365</v>
      </c>
      <c r="D28" s="2" t="s">
        <v>1067</v>
      </c>
      <c r="E28" s="2" t="n">
        <v>375</v>
      </c>
      <c r="F28" s="29" t="n">
        <v>0.07</v>
      </c>
      <c r="G28" s="29" t="n">
        <v>0.09</v>
      </c>
      <c r="H28" s="2" t="s">
        <v>1646</v>
      </c>
      <c r="I28" s="2" t="s">
        <v>1649</v>
      </c>
    </row>
    <row r="29" customFormat="false" ht="15" hidden="false" customHeight="false" outlineLevel="0" collapsed="false">
      <c r="A29" s="2" t="s">
        <v>223</v>
      </c>
      <c r="B29" s="2" t="s">
        <v>220</v>
      </c>
      <c r="C29" s="2" t="s">
        <v>221</v>
      </c>
      <c r="D29" s="2" t="s">
        <v>140</v>
      </c>
      <c r="E29" s="2" t="n">
        <v>87</v>
      </c>
      <c r="F29" s="29" t="n">
        <v>0.09</v>
      </c>
      <c r="G29" s="29" t="n">
        <v>0.09</v>
      </c>
      <c r="H29" s="2" t="s">
        <v>1650</v>
      </c>
      <c r="I29" s="2" t="s">
        <v>1651</v>
      </c>
    </row>
    <row r="30" customFormat="false" ht="15" hidden="false" customHeight="false" outlineLevel="0" collapsed="false">
      <c r="A30" s="2" t="s">
        <v>223</v>
      </c>
      <c r="B30" s="2" t="s">
        <v>261</v>
      </c>
      <c r="C30" s="2" t="s">
        <v>257</v>
      </c>
      <c r="D30" s="2" t="s">
        <v>140</v>
      </c>
      <c r="E30" s="2" t="n">
        <v>132</v>
      </c>
      <c r="F30" s="29" t="n">
        <v>0.08</v>
      </c>
      <c r="G30" s="29" t="n">
        <v>0.08</v>
      </c>
      <c r="H30" s="2" t="s">
        <v>1650</v>
      </c>
      <c r="I30" s="2" t="s">
        <v>1652</v>
      </c>
    </row>
    <row r="31" customFormat="false" ht="15" hidden="false" customHeight="false" outlineLevel="0" collapsed="false">
      <c r="A31" s="2" t="s">
        <v>223</v>
      </c>
      <c r="B31" s="2" t="s">
        <v>283</v>
      </c>
      <c r="C31" s="2" t="s">
        <v>279</v>
      </c>
      <c r="D31" s="2" t="s">
        <v>140</v>
      </c>
      <c r="E31" s="2" t="n">
        <v>155</v>
      </c>
      <c r="F31" s="29" t="n">
        <v>0.08</v>
      </c>
      <c r="G31" s="29" t="n">
        <v>0.08</v>
      </c>
      <c r="H31" s="2" t="s">
        <v>1650</v>
      </c>
      <c r="I31" s="2" t="s">
        <v>1653</v>
      </c>
    </row>
    <row r="32" customFormat="false" ht="15" hidden="false" customHeight="false" outlineLevel="0" collapsed="false">
      <c r="A32" s="2" t="s">
        <v>223</v>
      </c>
      <c r="B32" s="2" t="s">
        <v>285</v>
      </c>
      <c r="C32" s="2" t="s">
        <v>279</v>
      </c>
      <c r="D32" s="2" t="s">
        <v>140</v>
      </c>
      <c r="E32" s="2" t="n">
        <v>156</v>
      </c>
      <c r="F32" s="29" t="n">
        <v>0.08</v>
      </c>
      <c r="G32" s="29" t="n">
        <v>0.08</v>
      </c>
      <c r="H32" s="2" t="s">
        <v>1650</v>
      </c>
      <c r="I32" s="2" t="s">
        <v>1654</v>
      </c>
    </row>
    <row r="33" customFormat="false" ht="15" hidden="false" customHeight="false" outlineLevel="0" collapsed="false">
      <c r="A33" s="2" t="s">
        <v>223</v>
      </c>
      <c r="B33" s="2" t="s">
        <v>310</v>
      </c>
      <c r="C33" s="2" t="s">
        <v>307</v>
      </c>
      <c r="D33" s="2" t="s">
        <v>140</v>
      </c>
      <c r="E33" s="2" t="n">
        <v>183</v>
      </c>
      <c r="F33" s="29"/>
      <c r="G33" s="29"/>
      <c r="H33" s="2" t="s">
        <v>1650</v>
      </c>
      <c r="I33" s="2" t="s">
        <v>1655</v>
      </c>
    </row>
    <row r="34" customFormat="false" ht="15" hidden="false" customHeight="false" outlineLevel="0" collapsed="false">
      <c r="A34" s="2" t="s">
        <v>223</v>
      </c>
      <c r="B34" s="2" t="s">
        <v>290</v>
      </c>
      <c r="C34" s="2" t="s">
        <v>279</v>
      </c>
      <c r="D34" s="2" t="s">
        <v>140</v>
      </c>
      <c r="E34" s="2" t="n">
        <v>161</v>
      </c>
      <c r="F34" s="29" t="n">
        <v>0.08</v>
      </c>
      <c r="G34" s="29" t="n">
        <v>0.08</v>
      </c>
      <c r="H34" s="2" t="s">
        <v>1650</v>
      </c>
      <c r="I34" s="2" t="s">
        <v>1656</v>
      </c>
    </row>
    <row r="35" customFormat="false" ht="15" hidden="false" customHeight="false" outlineLevel="0" collapsed="false">
      <c r="A35" s="2" t="s">
        <v>223</v>
      </c>
      <c r="B35" s="2" t="s">
        <v>326</v>
      </c>
      <c r="C35" s="2" t="s">
        <v>327</v>
      </c>
      <c r="D35" s="2" t="s">
        <v>140</v>
      </c>
      <c r="E35" s="2" t="n">
        <v>200</v>
      </c>
      <c r="F35" s="29" t="n">
        <v>0</v>
      </c>
      <c r="G35" s="29" t="n">
        <v>0</v>
      </c>
      <c r="H35" s="2" t="s">
        <v>1650</v>
      </c>
      <c r="I35" s="2" t="s">
        <v>1657</v>
      </c>
    </row>
    <row r="36" customFormat="false" ht="15" hidden="false" customHeight="false" outlineLevel="0" collapsed="false">
      <c r="A36" s="2" t="s">
        <v>223</v>
      </c>
      <c r="B36" s="2" t="s">
        <v>348</v>
      </c>
      <c r="C36" s="2" t="s">
        <v>337</v>
      </c>
      <c r="D36" s="2" t="s">
        <v>140</v>
      </c>
      <c r="E36" s="2" t="n">
        <v>223</v>
      </c>
      <c r="F36" s="29" t="n">
        <v>0.08</v>
      </c>
      <c r="G36" s="29" t="n">
        <v>0.08</v>
      </c>
      <c r="H36" s="2" t="s">
        <v>1650</v>
      </c>
      <c r="I36" s="2" t="s">
        <v>1658</v>
      </c>
    </row>
    <row r="37" customFormat="false" ht="15" hidden="false" customHeight="false" outlineLevel="0" collapsed="false">
      <c r="A37" s="2" t="s">
        <v>223</v>
      </c>
      <c r="B37" s="2" t="s">
        <v>373</v>
      </c>
      <c r="C37" s="2" t="s">
        <v>370</v>
      </c>
      <c r="D37" s="2" t="s">
        <v>140</v>
      </c>
      <c r="E37" s="2" t="n">
        <v>248</v>
      </c>
      <c r="F37" s="29" t="n">
        <v>0.08</v>
      </c>
      <c r="G37" s="29" t="n">
        <v>0.08</v>
      </c>
      <c r="H37" s="2" t="s">
        <v>1650</v>
      </c>
      <c r="I37" s="2" t="s">
        <v>1659</v>
      </c>
    </row>
    <row r="38" customFormat="false" ht="15" hidden="false" customHeight="false" outlineLevel="0" collapsed="false">
      <c r="A38" s="2" t="s">
        <v>223</v>
      </c>
      <c r="B38" s="2" t="s">
        <v>393</v>
      </c>
      <c r="C38" s="2" t="s">
        <v>390</v>
      </c>
      <c r="D38" s="2" t="s">
        <v>140</v>
      </c>
      <c r="E38" s="2" t="n">
        <v>268</v>
      </c>
      <c r="F38" s="29" t="n">
        <v>0.08</v>
      </c>
      <c r="G38" s="29" t="n">
        <v>0.08</v>
      </c>
      <c r="H38" s="2" t="s">
        <v>1650</v>
      </c>
      <c r="I38" s="2" t="s">
        <v>1660</v>
      </c>
    </row>
    <row r="39" customFormat="false" ht="15" hidden="false" customHeight="false" outlineLevel="0" collapsed="false">
      <c r="A39" s="2" t="s">
        <v>223</v>
      </c>
      <c r="B39" s="2" t="s">
        <v>394</v>
      </c>
      <c r="C39" s="2" t="s">
        <v>390</v>
      </c>
      <c r="D39" s="2" t="s">
        <v>140</v>
      </c>
      <c r="E39" s="2" t="n">
        <v>269</v>
      </c>
      <c r="F39" s="29" t="n">
        <v>0.08</v>
      </c>
      <c r="G39" s="29" t="n">
        <v>0.08</v>
      </c>
      <c r="H39" s="2" t="s">
        <v>1650</v>
      </c>
      <c r="I39" s="2" t="s">
        <v>1661</v>
      </c>
    </row>
    <row r="40" customFormat="false" ht="15" hidden="false" customHeight="false" outlineLevel="0" collapsed="false">
      <c r="A40" s="2" t="s">
        <v>223</v>
      </c>
      <c r="B40" s="2" t="s">
        <v>427</v>
      </c>
      <c r="C40" s="2" t="s">
        <v>428</v>
      </c>
      <c r="D40" s="2" t="s">
        <v>140</v>
      </c>
      <c r="E40" s="2" t="n">
        <v>304</v>
      </c>
      <c r="F40" s="29" t="n">
        <v>0.08</v>
      </c>
      <c r="G40" s="29" t="n">
        <v>0.08</v>
      </c>
      <c r="H40" s="2" t="s">
        <v>1650</v>
      </c>
      <c r="I40" s="2" t="s">
        <v>1662</v>
      </c>
    </row>
    <row r="41" customFormat="false" ht="15" hidden="false" customHeight="false" outlineLevel="0" collapsed="false">
      <c r="A41" s="2" t="s">
        <v>223</v>
      </c>
      <c r="B41" s="2" t="s">
        <v>425</v>
      </c>
      <c r="C41" s="2" t="s">
        <v>423</v>
      </c>
      <c r="D41" s="2" t="s">
        <v>140</v>
      </c>
      <c r="E41" s="2" t="n">
        <v>300</v>
      </c>
      <c r="F41" s="29" t="n">
        <v>0.1</v>
      </c>
      <c r="G41" s="29" t="n">
        <v>0.1</v>
      </c>
      <c r="H41" s="2" t="s">
        <v>1650</v>
      </c>
      <c r="I41" s="2" t="s">
        <v>1663</v>
      </c>
    </row>
    <row r="42" customFormat="false" ht="15" hidden="false" customHeight="false" outlineLevel="0" collapsed="false">
      <c r="A42" s="2" t="s">
        <v>223</v>
      </c>
      <c r="B42" s="2" t="s">
        <v>507</v>
      </c>
      <c r="C42" s="2" t="s">
        <v>506</v>
      </c>
      <c r="D42" s="2" t="s">
        <v>140</v>
      </c>
      <c r="E42" s="2" t="n">
        <v>406</v>
      </c>
      <c r="F42" s="29" t="n">
        <v>0.08</v>
      </c>
      <c r="G42" s="29" t="n">
        <v>0.08</v>
      </c>
      <c r="H42" s="2" t="s">
        <v>1650</v>
      </c>
      <c r="I42" s="2" t="s">
        <v>1664</v>
      </c>
    </row>
    <row r="43" customFormat="false" ht="15" hidden="false" customHeight="false" outlineLevel="0" collapsed="false">
      <c r="A43" s="2" t="s">
        <v>223</v>
      </c>
      <c r="B43" s="2" t="s">
        <v>533</v>
      </c>
      <c r="C43" s="2" t="s">
        <v>534</v>
      </c>
      <c r="D43" s="2" t="s">
        <v>140</v>
      </c>
      <c r="E43" s="2" t="n">
        <v>441</v>
      </c>
      <c r="F43" s="29" t="n">
        <v>0.08</v>
      </c>
      <c r="G43" s="29" t="n">
        <v>0.08</v>
      </c>
      <c r="H43" s="2" t="s">
        <v>1650</v>
      </c>
      <c r="I43" s="2" t="s">
        <v>1665</v>
      </c>
    </row>
    <row r="44" customFormat="false" ht="15" hidden="false" customHeight="false" outlineLevel="0" collapsed="false">
      <c r="A44" s="2" t="s">
        <v>223</v>
      </c>
      <c r="B44" s="2" t="s">
        <v>601</v>
      </c>
      <c r="C44" s="2" t="s">
        <v>599</v>
      </c>
      <c r="D44" s="2" t="s">
        <v>556</v>
      </c>
      <c r="E44" s="2" t="n">
        <v>55</v>
      </c>
      <c r="F44" s="29" t="n">
        <v>0.08</v>
      </c>
      <c r="G44" s="29" t="n">
        <v>0.08</v>
      </c>
      <c r="H44" s="2" t="s">
        <v>1650</v>
      </c>
      <c r="I44" s="2" t="s">
        <v>1666</v>
      </c>
    </row>
    <row r="45" customFormat="false" ht="15" hidden="false" customHeight="false" outlineLevel="0" collapsed="false">
      <c r="A45" s="2" t="s">
        <v>223</v>
      </c>
      <c r="B45" s="2" t="s">
        <v>614</v>
      </c>
      <c r="C45" s="2" t="s">
        <v>611</v>
      </c>
      <c r="D45" s="2" t="s">
        <v>556</v>
      </c>
      <c r="E45" s="2" t="n">
        <v>71</v>
      </c>
      <c r="F45" s="29" t="n">
        <v>0.1</v>
      </c>
      <c r="G45" s="29" t="n">
        <v>0.1</v>
      </c>
      <c r="H45" s="2" t="s">
        <v>1650</v>
      </c>
      <c r="I45" s="2" t="s">
        <v>1667</v>
      </c>
    </row>
    <row r="46" customFormat="false" ht="15" hidden="false" customHeight="false" outlineLevel="0" collapsed="false">
      <c r="A46" s="2" t="s">
        <v>223</v>
      </c>
      <c r="B46" s="2" t="s">
        <v>616</v>
      </c>
      <c r="C46" s="2" t="s">
        <v>611</v>
      </c>
      <c r="D46" s="2" t="s">
        <v>556</v>
      </c>
      <c r="E46" s="2" t="n">
        <v>73</v>
      </c>
      <c r="F46" s="29" t="n">
        <v>0.0925</v>
      </c>
      <c r="G46" s="29" t="n">
        <v>0.1</v>
      </c>
      <c r="H46" s="2" t="s">
        <v>1650</v>
      </c>
      <c r="I46" s="2" t="s">
        <v>1668</v>
      </c>
    </row>
    <row r="47" customFormat="false" ht="15" hidden="false" customHeight="false" outlineLevel="0" collapsed="false">
      <c r="A47" s="2" t="s">
        <v>223</v>
      </c>
      <c r="B47" s="2" t="s">
        <v>624</v>
      </c>
      <c r="C47" s="2" t="s">
        <v>621</v>
      </c>
      <c r="D47" s="2" t="s">
        <v>556</v>
      </c>
      <c r="E47" s="2" t="n">
        <v>82</v>
      </c>
      <c r="F47" s="29" t="n">
        <v>0.09</v>
      </c>
      <c r="G47" s="29" t="n">
        <v>0.09</v>
      </c>
      <c r="H47" s="2" t="s">
        <v>1650</v>
      </c>
      <c r="I47" s="2" t="s">
        <v>1669</v>
      </c>
    </row>
    <row r="48" customFormat="false" ht="15" hidden="false" customHeight="false" outlineLevel="0" collapsed="false">
      <c r="A48" s="2" t="s">
        <v>223</v>
      </c>
      <c r="B48" s="2" t="s">
        <v>631</v>
      </c>
      <c r="C48" s="2" t="s">
        <v>629</v>
      </c>
      <c r="D48" s="2" t="s">
        <v>556</v>
      </c>
      <c r="E48" s="2" t="n">
        <v>90</v>
      </c>
      <c r="F48" s="29" t="n">
        <v>0.09</v>
      </c>
      <c r="G48" s="29" t="n">
        <v>0.09</v>
      </c>
      <c r="H48" s="2" t="s">
        <v>1650</v>
      </c>
      <c r="I48" s="2" t="s">
        <v>1670</v>
      </c>
    </row>
    <row r="49" customFormat="false" ht="15" hidden="false" customHeight="false" outlineLevel="0" collapsed="false">
      <c r="A49" s="2" t="s">
        <v>223</v>
      </c>
      <c r="B49" s="2" t="s">
        <v>690</v>
      </c>
      <c r="C49" s="2" t="s">
        <v>687</v>
      </c>
      <c r="D49" s="2" t="s">
        <v>556</v>
      </c>
      <c r="E49" s="2" t="n">
        <v>155</v>
      </c>
      <c r="F49" s="29" t="n">
        <v>0.09</v>
      </c>
      <c r="G49" s="29" t="n">
        <v>0.09</v>
      </c>
      <c r="H49" s="2" t="s">
        <v>1650</v>
      </c>
      <c r="I49" s="2" t="s">
        <v>1653</v>
      </c>
    </row>
    <row r="50" customFormat="false" ht="15" hidden="false" customHeight="false" outlineLevel="0" collapsed="false">
      <c r="A50" s="2" t="s">
        <v>223</v>
      </c>
      <c r="B50" s="2" t="s">
        <v>721</v>
      </c>
      <c r="C50" s="2" t="s">
        <v>716</v>
      </c>
      <c r="D50" s="2" t="s">
        <v>556</v>
      </c>
      <c r="E50" s="2" t="n">
        <v>196</v>
      </c>
      <c r="F50" s="29" t="n">
        <v>0.1</v>
      </c>
      <c r="G50" s="29" t="n">
        <v>0.1</v>
      </c>
      <c r="H50" s="2" t="s">
        <v>1650</v>
      </c>
      <c r="I50" s="2" t="s">
        <v>1671</v>
      </c>
    </row>
    <row r="51" customFormat="false" ht="15" hidden="false" customHeight="false" outlineLevel="0" collapsed="false">
      <c r="A51" s="2" t="s">
        <v>223</v>
      </c>
      <c r="B51" s="2" t="s">
        <v>763</v>
      </c>
      <c r="C51" s="2" t="s">
        <v>760</v>
      </c>
      <c r="D51" s="2" t="s">
        <v>556</v>
      </c>
      <c r="E51" s="2" t="n">
        <v>242</v>
      </c>
      <c r="F51" s="29" t="n">
        <v>0.08</v>
      </c>
      <c r="G51" s="29" t="n">
        <v>0.08</v>
      </c>
      <c r="H51" s="2" t="s">
        <v>1650</v>
      </c>
      <c r="I51" s="2" t="s">
        <v>1672</v>
      </c>
    </row>
    <row r="52" customFormat="false" ht="15" hidden="false" customHeight="false" outlineLevel="0" collapsed="false">
      <c r="A52" s="2" t="s">
        <v>223</v>
      </c>
      <c r="B52" s="2" t="s">
        <v>774</v>
      </c>
      <c r="C52" s="2" t="s">
        <v>775</v>
      </c>
      <c r="D52" s="2" t="s">
        <v>768</v>
      </c>
      <c r="E52" s="2" t="n">
        <v>12</v>
      </c>
      <c r="F52" s="29" t="n">
        <v>0.085</v>
      </c>
      <c r="G52" s="29" t="n">
        <v>0.085</v>
      </c>
      <c r="H52" s="2" t="s">
        <v>1650</v>
      </c>
      <c r="I52" s="2" t="s">
        <v>1673</v>
      </c>
    </row>
    <row r="53" customFormat="false" ht="15" hidden="false" customHeight="false" outlineLevel="0" collapsed="false">
      <c r="A53" s="2" t="s">
        <v>223</v>
      </c>
      <c r="B53" s="2" t="s">
        <v>789</v>
      </c>
      <c r="C53" s="2" t="s">
        <v>790</v>
      </c>
      <c r="D53" s="2" t="s">
        <v>768</v>
      </c>
      <c r="E53" s="2" t="n">
        <v>34</v>
      </c>
      <c r="F53" s="29" t="n">
        <v>0.1</v>
      </c>
      <c r="G53" s="29" t="n">
        <v>0.1</v>
      </c>
      <c r="H53" s="2" t="s">
        <v>1650</v>
      </c>
      <c r="I53" s="2" t="s">
        <v>1674</v>
      </c>
    </row>
    <row r="54" customFormat="false" ht="15" hidden="false" customHeight="false" outlineLevel="0" collapsed="false">
      <c r="A54" s="2" t="s">
        <v>223</v>
      </c>
      <c r="B54" s="2" t="s">
        <v>799</v>
      </c>
      <c r="C54" s="2" t="s">
        <v>800</v>
      </c>
      <c r="D54" s="2" t="s">
        <v>768</v>
      </c>
      <c r="E54" s="2" t="n">
        <v>46</v>
      </c>
      <c r="F54" s="29" t="n">
        <v>0.08</v>
      </c>
      <c r="G54" s="29" t="n">
        <v>0.08</v>
      </c>
      <c r="H54" s="2" t="s">
        <v>1650</v>
      </c>
      <c r="I54" s="2" t="s">
        <v>1675</v>
      </c>
    </row>
    <row r="55" customFormat="false" ht="15" hidden="false" customHeight="false" outlineLevel="0" collapsed="false">
      <c r="A55" s="2" t="s">
        <v>223</v>
      </c>
      <c r="B55" s="2" t="s">
        <v>802</v>
      </c>
      <c r="C55" s="2" t="s">
        <v>803</v>
      </c>
      <c r="D55" s="2" t="s">
        <v>768</v>
      </c>
      <c r="E55" s="2" t="n">
        <v>50</v>
      </c>
      <c r="F55" s="29" t="n">
        <v>0.085</v>
      </c>
      <c r="G55" s="29" t="n">
        <v>0.085</v>
      </c>
      <c r="H55" s="2" t="s">
        <v>1650</v>
      </c>
      <c r="I55" s="2" t="s">
        <v>1676</v>
      </c>
    </row>
    <row r="56" customFormat="false" ht="15" hidden="false" customHeight="false" outlineLevel="0" collapsed="false">
      <c r="A56" s="2" t="s">
        <v>223</v>
      </c>
      <c r="B56" s="2" t="s">
        <v>815</v>
      </c>
      <c r="C56" s="2" t="s">
        <v>816</v>
      </c>
      <c r="D56" s="2" t="s">
        <v>768</v>
      </c>
      <c r="E56" s="2" t="n">
        <v>67</v>
      </c>
      <c r="F56" s="29" t="n">
        <v>0.1</v>
      </c>
      <c r="G56" s="29" t="n">
        <v>0.1</v>
      </c>
      <c r="H56" s="2" t="s">
        <v>1650</v>
      </c>
      <c r="I56" s="2" t="s">
        <v>1677</v>
      </c>
    </row>
    <row r="57" customFormat="false" ht="15" hidden="false" customHeight="false" outlineLevel="0" collapsed="false">
      <c r="A57" s="2" t="s">
        <v>223</v>
      </c>
      <c r="B57" s="2" t="s">
        <v>838</v>
      </c>
      <c r="C57" s="2" t="s">
        <v>839</v>
      </c>
      <c r="D57" s="2" t="s">
        <v>768</v>
      </c>
      <c r="E57" s="2" t="n">
        <v>97</v>
      </c>
      <c r="F57" s="29" t="n">
        <v>0.08</v>
      </c>
      <c r="G57" s="29" t="n">
        <v>0.08</v>
      </c>
      <c r="H57" s="2" t="s">
        <v>1650</v>
      </c>
      <c r="I57" s="2" t="s">
        <v>1678</v>
      </c>
    </row>
    <row r="58" customFormat="false" ht="15" hidden="false" customHeight="false" outlineLevel="0" collapsed="false">
      <c r="A58" s="2" t="s">
        <v>223</v>
      </c>
      <c r="B58" s="2" t="s">
        <v>855</v>
      </c>
      <c r="C58" s="2" t="s">
        <v>856</v>
      </c>
      <c r="D58" s="2" t="s">
        <v>768</v>
      </c>
      <c r="E58" s="2" t="n">
        <v>118</v>
      </c>
      <c r="F58" s="29" t="n">
        <v>0</v>
      </c>
      <c r="G58" s="29" t="n">
        <v>0</v>
      </c>
      <c r="H58" s="2" t="s">
        <v>1650</v>
      </c>
      <c r="I58" s="2" t="s">
        <v>1679</v>
      </c>
    </row>
    <row r="59" customFormat="false" ht="15" hidden="false" customHeight="false" outlineLevel="0" collapsed="false">
      <c r="A59" s="2" t="s">
        <v>223</v>
      </c>
      <c r="B59" s="2" t="s">
        <v>873</v>
      </c>
      <c r="C59" s="2" t="s">
        <v>869</v>
      </c>
      <c r="D59" s="2" t="s">
        <v>768</v>
      </c>
      <c r="E59" s="2" t="n">
        <v>140</v>
      </c>
      <c r="F59" s="29" t="n">
        <v>0.09</v>
      </c>
      <c r="G59" s="29" t="n">
        <v>0.09</v>
      </c>
      <c r="H59" s="2" t="s">
        <v>1650</v>
      </c>
      <c r="I59" s="2" t="s">
        <v>1680</v>
      </c>
    </row>
    <row r="60" customFormat="false" ht="15" hidden="false" customHeight="false" outlineLevel="0" collapsed="false">
      <c r="A60" s="2" t="s">
        <v>223</v>
      </c>
      <c r="B60" s="2" t="s">
        <v>875</v>
      </c>
      <c r="C60" s="2" t="s">
        <v>869</v>
      </c>
      <c r="D60" s="2" t="s">
        <v>768</v>
      </c>
      <c r="E60" s="2" t="n">
        <v>142</v>
      </c>
      <c r="F60" s="29" t="n">
        <v>0.09</v>
      </c>
      <c r="G60" s="29" t="n">
        <v>0.09</v>
      </c>
      <c r="H60" s="2" t="s">
        <v>1650</v>
      </c>
      <c r="I60" s="2" t="s">
        <v>1681</v>
      </c>
    </row>
    <row r="61" customFormat="false" ht="15" hidden="false" customHeight="false" outlineLevel="0" collapsed="false">
      <c r="A61" s="2" t="s">
        <v>223</v>
      </c>
      <c r="B61" s="2" t="s">
        <v>861</v>
      </c>
      <c r="C61" s="2" t="s">
        <v>862</v>
      </c>
      <c r="D61" s="2" t="s">
        <v>768</v>
      </c>
      <c r="E61" s="2" t="n">
        <v>128</v>
      </c>
      <c r="F61" s="29" t="n">
        <v>0.085</v>
      </c>
      <c r="G61" s="29" t="n">
        <v>0.085</v>
      </c>
      <c r="H61" s="2" t="s">
        <v>1650</v>
      </c>
      <c r="I61" s="2" t="s">
        <v>1682</v>
      </c>
    </row>
    <row r="62" customFormat="false" ht="15" hidden="false" customHeight="false" outlineLevel="0" collapsed="false">
      <c r="A62" s="2" t="s">
        <v>223</v>
      </c>
      <c r="B62" s="2" t="s">
        <v>890</v>
      </c>
      <c r="C62" s="2" t="s">
        <v>891</v>
      </c>
      <c r="D62" s="2" t="s">
        <v>768</v>
      </c>
      <c r="E62" s="2" t="n">
        <v>166</v>
      </c>
      <c r="F62" s="29" t="n">
        <v>0</v>
      </c>
      <c r="G62" s="29" t="n">
        <v>0</v>
      </c>
      <c r="H62" s="2" t="s">
        <v>1650</v>
      </c>
      <c r="I62" s="2" t="s">
        <v>1683</v>
      </c>
    </row>
    <row r="63" customFormat="false" ht="15" hidden="false" customHeight="false" outlineLevel="0" collapsed="false">
      <c r="A63" s="2" t="s">
        <v>223</v>
      </c>
      <c r="B63" s="2" t="s">
        <v>901</v>
      </c>
      <c r="C63" s="2" t="s">
        <v>899</v>
      </c>
      <c r="D63" s="2" t="s">
        <v>768</v>
      </c>
      <c r="E63" s="2" t="n">
        <v>179</v>
      </c>
      <c r="F63" s="29" t="n">
        <v>0.08</v>
      </c>
      <c r="G63" s="29" t="n">
        <v>0.08</v>
      </c>
      <c r="H63" s="2" t="s">
        <v>1650</v>
      </c>
      <c r="I63" s="2" t="s">
        <v>1684</v>
      </c>
    </row>
    <row r="64" customFormat="false" ht="15" hidden="false" customHeight="false" outlineLevel="0" collapsed="false">
      <c r="A64" s="2" t="s">
        <v>223</v>
      </c>
      <c r="B64" s="2" t="s">
        <v>905</v>
      </c>
      <c r="C64" s="2" t="s">
        <v>903</v>
      </c>
      <c r="D64" s="2" t="s">
        <v>768</v>
      </c>
      <c r="E64" s="2" t="n">
        <v>183</v>
      </c>
      <c r="F64" s="29" t="n">
        <v>0.1</v>
      </c>
      <c r="G64" s="29" t="n">
        <v>0.1</v>
      </c>
      <c r="H64" s="2" t="s">
        <v>1650</v>
      </c>
      <c r="I64" s="2" t="s">
        <v>1655</v>
      </c>
    </row>
    <row r="65" customFormat="false" ht="15" hidden="false" customHeight="false" outlineLevel="0" collapsed="false">
      <c r="A65" s="2" t="s">
        <v>223</v>
      </c>
      <c r="B65" s="2" t="s">
        <v>913</v>
      </c>
      <c r="C65" s="2" t="s">
        <v>886</v>
      </c>
      <c r="D65" s="2" t="s">
        <v>768</v>
      </c>
      <c r="E65" s="2" t="n">
        <v>196</v>
      </c>
      <c r="F65" s="29" t="n">
        <v>0</v>
      </c>
      <c r="G65" s="29" t="n">
        <v>0</v>
      </c>
      <c r="H65" s="2" t="s">
        <v>1650</v>
      </c>
      <c r="I65" s="2" t="s">
        <v>1671</v>
      </c>
    </row>
    <row r="66" customFormat="false" ht="15" hidden="false" customHeight="false" outlineLevel="0" collapsed="false">
      <c r="A66" s="2" t="s">
        <v>223</v>
      </c>
      <c r="B66" s="2" t="s">
        <v>924</v>
      </c>
      <c r="C66" s="2" t="s">
        <v>925</v>
      </c>
      <c r="D66" s="2" t="s">
        <v>768</v>
      </c>
      <c r="E66" s="2" t="n">
        <v>217</v>
      </c>
      <c r="F66" s="29" t="n">
        <v>0.1</v>
      </c>
      <c r="G66" s="29" t="n">
        <v>0.1</v>
      </c>
      <c r="H66" s="2" t="s">
        <v>1650</v>
      </c>
      <c r="I66" s="2" t="s">
        <v>1685</v>
      </c>
    </row>
    <row r="67" customFormat="false" ht="15" hidden="false" customHeight="false" outlineLevel="0" collapsed="false">
      <c r="A67" s="2" t="s">
        <v>223</v>
      </c>
      <c r="B67" s="2" t="s">
        <v>949</v>
      </c>
      <c r="C67" s="2" t="s">
        <v>950</v>
      </c>
      <c r="D67" s="2" t="s">
        <v>768</v>
      </c>
      <c r="E67" s="2" t="n">
        <v>247</v>
      </c>
      <c r="F67" s="29" t="n">
        <v>0.08</v>
      </c>
      <c r="G67" s="29" t="n">
        <v>0.08</v>
      </c>
      <c r="H67" s="2" t="s">
        <v>1650</v>
      </c>
      <c r="I67" s="2" t="s">
        <v>1686</v>
      </c>
    </row>
    <row r="68" customFormat="false" ht="15" hidden="false" customHeight="false" outlineLevel="0" collapsed="false">
      <c r="A68" s="2" t="s">
        <v>223</v>
      </c>
      <c r="B68" s="2" t="s">
        <v>957</v>
      </c>
      <c r="C68" s="2" t="s">
        <v>953</v>
      </c>
      <c r="D68" s="2" t="s">
        <v>768</v>
      </c>
      <c r="E68" s="2" t="n">
        <v>256</v>
      </c>
      <c r="F68" s="29" t="n">
        <v>0.08</v>
      </c>
      <c r="G68" s="29" t="n">
        <v>0.08</v>
      </c>
      <c r="H68" s="2" t="s">
        <v>1650</v>
      </c>
      <c r="I68" s="2" t="s">
        <v>1687</v>
      </c>
    </row>
    <row r="69" customFormat="false" ht="15" hidden="false" customHeight="false" outlineLevel="0" collapsed="false">
      <c r="A69" s="2" t="s">
        <v>223</v>
      </c>
      <c r="B69" s="2" t="s">
        <v>968</v>
      </c>
      <c r="C69" s="2" t="s">
        <v>969</v>
      </c>
      <c r="D69" s="2" t="s">
        <v>768</v>
      </c>
      <c r="E69" s="2" t="n">
        <v>271</v>
      </c>
      <c r="F69" s="29" t="n">
        <v>0.08</v>
      </c>
      <c r="G69" s="29" t="n">
        <v>0.08</v>
      </c>
      <c r="H69" s="2" t="s">
        <v>1650</v>
      </c>
      <c r="I69" s="2" t="s">
        <v>1688</v>
      </c>
    </row>
    <row r="70" customFormat="false" ht="15" hidden="false" customHeight="false" outlineLevel="0" collapsed="false">
      <c r="A70" s="2" t="s">
        <v>223</v>
      </c>
      <c r="B70" s="2" t="s">
        <v>978</v>
      </c>
      <c r="C70" s="2" t="s">
        <v>975</v>
      </c>
      <c r="D70" s="2" t="s">
        <v>768</v>
      </c>
      <c r="E70" s="2" t="n">
        <v>283</v>
      </c>
      <c r="F70" s="29" t="n">
        <v>0.1</v>
      </c>
      <c r="G70" s="29" t="n">
        <v>0.1</v>
      </c>
      <c r="H70" s="2" t="s">
        <v>1650</v>
      </c>
      <c r="I70" s="2" t="s">
        <v>1689</v>
      </c>
    </row>
    <row r="71" customFormat="false" ht="15" hidden="false" customHeight="false" outlineLevel="0" collapsed="false">
      <c r="A71" s="2" t="s">
        <v>223</v>
      </c>
      <c r="B71" s="2" t="s">
        <v>979</v>
      </c>
      <c r="C71" s="2" t="s">
        <v>980</v>
      </c>
      <c r="D71" s="2" t="s">
        <v>768</v>
      </c>
      <c r="E71" s="2" t="n">
        <v>286</v>
      </c>
      <c r="F71" s="29" t="n">
        <v>0.1</v>
      </c>
      <c r="G71" s="29" t="n">
        <v>0.1</v>
      </c>
      <c r="H71" s="2" t="s">
        <v>1650</v>
      </c>
      <c r="I71" s="2" t="s">
        <v>1690</v>
      </c>
    </row>
    <row r="72" customFormat="false" ht="15" hidden="false" customHeight="false" outlineLevel="0" collapsed="false">
      <c r="A72" s="2" t="s">
        <v>223</v>
      </c>
      <c r="B72" s="2" t="s">
        <v>985</v>
      </c>
      <c r="C72" s="2" t="s">
        <v>986</v>
      </c>
      <c r="D72" s="2" t="s">
        <v>768</v>
      </c>
      <c r="E72" s="2" t="n">
        <v>294</v>
      </c>
      <c r="F72" s="29" t="n">
        <v>0.08</v>
      </c>
      <c r="G72" s="29" t="n">
        <v>0.08</v>
      </c>
      <c r="H72" s="2" t="s">
        <v>1650</v>
      </c>
      <c r="I72" s="2" t="s">
        <v>1691</v>
      </c>
    </row>
    <row r="73" customFormat="false" ht="15" hidden="false" customHeight="false" outlineLevel="0" collapsed="false">
      <c r="A73" s="2" t="s">
        <v>223</v>
      </c>
      <c r="B73" s="2" t="s">
        <v>1007</v>
      </c>
      <c r="C73" s="2" t="s">
        <v>1008</v>
      </c>
      <c r="D73" s="2" t="s">
        <v>768</v>
      </c>
      <c r="E73" s="2" t="n">
        <v>323</v>
      </c>
      <c r="F73" s="29" t="n">
        <v>0.08</v>
      </c>
      <c r="G73" s="29" t="n">
        <v>0.08</v>
      </c>
      <c r="H73" s="2" t="s">
        <v>1650</v>
      </c>
      <c r="I73" s="2" t="s">
        <v>1692</v>
      </c>
    </row>
    <row r="74" customFormat="false" ht="15" hidden="false" customHeight="false" outlineLevel="0" collapsed="false">
      <c r="A74" s="2" t="s">
        <v>223</v>
      </c>
      <c r="B74" s="2" t="s">
        <v>1056</v>
      </c>
      <c r="C74" s="2" t="s">
        <v>1050</v>
      </c>
      <c r="D74" s="2" t="s">
        <v>768</v>
      </c>
      <c r="E74" s="2" t="n">
        <v>376</v>
      </c>
      <c r="F74" s="29" t="n">
        <v>0.08</v>
      </c>
      <c r="G74" s="29" t="n">
        <v>0.08</v>
      </c>
      <c r="H74" s="2" t="s">
        <v>1650</v>
      </c>
      <c r="I74" s="2" t="s">
        <v>1693</v>
      </c>
    </row>
    <row r="75" customFormat="false" ht="15" hidden="false" customHeight="false" outlineLevel="0" collapsed="false">
      <c r="A75" s="2" t="s">
        <v>223</v>
      </c>
      <c r="B75" s="2" t="s">
        <v>1057</v>
      </c>
      <c r="C75" s="2" t="s">
        <v>1050</v>
      </c>
      <c r="D75" s="2" t="s">
        <v>768</v>
      </c>
      <c r="E75" s="2" t="n">
        <v>377</v>
      </c>
      <c r="F75" s="29" t="n">
        <v>0.08</v>
      </c>
      <c r="G75" s="29" t="n">
        <v>0.08</v>
      </c>
      <c r="H75" s="2" t="s">
        <v>1650</v>
      </c>
      <c r="I75" s="2" t="s">
        <v>1694</v>
      </c>
    </row>
    <row r="76" customFormat="false" ht="15" hidden="false" customHeight="false" outlineLevel="0" collapsed="false">
      <c r="A76" s="2" t="s">
        <v>223</v>
      </c>
      <c r="B76" s="2" t="s">
        <v>1061</v>
      </c>
      <c r="C76" s="2" t="s">
        <v>1062</v>
      </c>
      <c r="D76" s="2" t="s">
        <v>768</v>
      </c>
      <c r="E76" s="2" t="n">
        <v>384</v>
      </c>
      <c r="F76" s="29" t="n">
        <v>0.08</v>
      </c>
      <c r="G76" s="29" t="n">
        <v>0.08</v>
      </c>
      <c r="H76" s="2" t="s">
        <v>1650</v>
      </c>
      <c r="I76" s="2" t="s">
        <v>1695</v>
      </c>
    </row>
    <row r="77" customFormat="false" ht="15" hidden="false" customHeight="false" outlineLevel="0" collapsed="false">
      <c r="A77" s="2" t="s">
        <v>223</v>
      </c>
      <c r="B77" s="2" t="s">
        <v>1077</v>
      </c>
      <c r="C77" s="2" t="s">
        <v>1078</v>
      </c>
      <c r="D77" s="2" t="s">
        <v>1067</v>
      </c>
      <c r="E77" s="2" t="n">
        <v>19</v>
      </c>
      <c r="F77" s="29" t="n">
        <v>0.09</v>
      </c>
      <c r="G77" s="29" t="n">
        <v>0.09</v>
      </c>
      <c r="H77" s="2" t="s">
        <v>1650</v>
      </c>
      <c r="I77" s="2" t="s">
        <v>1696</v>
      </c>
    </row>
    <row r="78" customFormat="false" ht="15" hidden="false" customHeight="false" outlineLevel="0" collapsed="false">
      <c r="A78" s="2" t="s">
        <v>223</v>
      </c>
      <c r="B78" s="2" t="s">
        <v>1128</v>
      </c>
      <c r="C78" s="2" t="s">
        <v>1129</v>
      </c>
      <c r="D78" s="2" t="s">
        <v>1067</v>
      </c>
      <c r="E78" s="2" t="n">
        <v>80</v>
      </c>
      <c r="F78" s="29" t="n">
        <v>0.1</v>
      </c>
      <c r="G78" s="29" t="n">
        <v>0.1</v>
      </c>
      <c r="H78" s="2" t="s">
        <v>1650</v>
      </c>
      <c r="I78" s="2" t="s">
        <v>1697</v>
      </c>
    </row>
    <row r="79" customFormat="false" ht="15" hidden="false" customHeight="false" outlineLevel="0" collapsed="false">
      <c r="A79" s="2" t="s">
        <v>223</v>
      </c>
      <c r="B79" s="2" t="s">
        <v>1138</v>
      </c>
      <c r="C79" s="2" t="s">
        <v>1135</v>
      </c>
      <c r="D79" s="2" t="s">
        <v>1067</v>
      </c>
      <c r="E79" s="2" t="n">
        <v>91</v>
      </c>
      <c r="F79" s="29" t="n">
        <v>0</v>
      </c>
      <c r="G79" s="29" t="n">
        <v>0</v>
      </c>
      <c r="H79" s="2" t="s">
        <v>1650</v>
      </c>
      <c r="I79" s="2" t="s">
        <v>1698</v>
      </c>
    </row>
    <row r="80" customFormat="false" ht="15" hidden="false" customHeight="false" outlineLevel="0" collapsed="false">
      <c r="A80" s="2" t="s">
        <v>223</v>
      </c>
      <c r="B80" s="2" t="s">
        <v>1139</v>
      </c>
      <c r="C80" s="2" t="s">
        <v>1140</v>
      </c>
      <c r="D80" s="2" t="s">
        <v>1067</v>
      </c>
      <c r="E80" s="2" t="n">
        <v>96</v>
      </c>
      <c r="F80" s="29" t="n">
        <v>0.1</v>
      </c>
      <c r="G80" s="29" t="n">
        <v>0.1</v>
      </c>
      <c r="H80" s="2" t="s">
        <v>1650</v>
      </c>
      <c r="I80" s="2" t="s">
        <v>1699</v>
      </c>
    </row>
    <row r="81" customFormat="false" ht="15" hidden="false" customHeight="false" outlineLevel="0" collapsed="false">
      <c r="A81" s="2" t="s">
        <v>223</v>
      </c>
      <c r="B81" s="2" t="s">
        <v>1159</v>
      </c>
      <c r="C81" s="2" t="s">
        <v>1157</v>
      </c>
      <c r="D81" s="2" t="s">
        <v>1067</v>
      </c>
      <c r="E81" s="2" t="n">
        <v>117</v>
      </c>
      <c r="F81" s="29" t="n">
        <v>0.1</v>
      </c>
      <c r="G81" s="29" t="n">
        <v>0.1</v>
      </c>
      <c r="H81" s="2" t="s">
        <v>1650</v>
      </c>
      <c r="I81" s="2" t="s">
        <v>1700</v>
      </c>
    </row>
    <row r="82" customFormat="false" ht="15" hidden="false" customHeight="false" outlineLevel="0" collapsed="false">
      <c r="A82" s="2" t="s">
        <v>223</v>
      </c>
      <c r="B82" s="2" t="s">
        <v>1170</v>
      </c>
      <c r="C82" s="2" t="s">
        <v>1167</v>
      </c>
      <c r="D82" s="2" t="s">
        <v>1067</v>
      </c>
      <c r="E82" s="2" t="n">
        <v>131</v>
      </c>
      <c r="F82" s="29" t="n">
        <v>0.1</v>
      </c>
      <c r="G82" s="29" t="n">
        <v>0.1</v>
      </c>
      <c r="H82" s="2" t="s">
        <v>1650</v>
      </c>
      <c r="I82" s="2" t="s">
        <v>1701</v>
      </c>
    </row>
    <row r="83" customFormat="false" ht="15" hidden="false" customHeight="false" outlineLevel="0" collapsed="false">
      <c r="A83" s="2" t="s">
        <v>223</v>
      </c>
      <c r="B83" s="2" t="s">
        <v>1173</v>
      </c>
      <c r="C83" s="2" t="s">
        <v>1167</v>
      </c>
      <c r="D83" s="2" t="s">
        <v>1067</v>
      </c>
      <c r="E83" s="2" t="n">
        <v>134</v>
      </c>
      <c r="F83" s="29" t="n">
        <v>0.1</v>
      </c>
      <c r="G83" s="29" t="n">
        <v>0.1</v>
      </c>
      <c r="H83" s="2" t="s">
        <v>1650</v>
      </c>
      <c r="I83" s="2" t="s">
        <v>1702</v>
      </c>
    </row>
    <row r="84" customFormat="false" ht="15" hidden="false" customHeight="false" outlineLevel="0" collapsed="false">
      <c r="A84" s="2" t="s">
        <v>223</v>
      </c>
      <c r="B84" s="2" t="s">
        <v>1174</v>
      </c>
      <c r="C84" s="2" t="s">
        <v>1175</v>
      </c>
      <c r="D84" s="2" t="s">
        <v>1067</v>
      </c>
      <c r="E84" s="2" t="n">
        <v>137</v>
      </c>
      <c r="F84" s="29" t="n">
        <v>0.08</v>
      </c>
      <c r="G84" s="29" t="n">
        <v>0.08</v>
      </c>
      <c r="H84" s="2" t="s">
        <v>1650</v>
      </c>
      <c r="I84" s="2" t="s">
        <v>1703</v>
      </c>
    </row>
    <row r="85" customFormat="false" ht="15" hidden="false" customHeight="false" outlineLevel="0" collapsed="false">
      <c r="A85" s="2" t="s">
        <v>223</v>
      </c>
      <c r="B85" s="2" t="s">
        <v>1177</v>
      </c>
      <c r="C85" s="2" t="s">
        <v>1178</v>
      </c>
      <c r="D85" s="2" t="s">
        <v>1067</v>
      </c>
      <c r="E85" s="2" t="n">
        <v>143</v>
      </c>
      <c r="F85" s="29" t="n">
        <v>0</v>
      </c>
      <c r="G85" s="29" t="n">
        <v>0</v>
      </c>
      <c r="H85" s="2" t="s">
        <v>1650</v>
      </c>
      <c r="I85" s="2" t="s">
        <v>1704</v>
      </c>
    </row>
    <row r="86" customFormat="false" ht="15" hidden="false" customHeight="false" outlineLevel="0" collapsed="false">
      <c r="A86" s="2" t="s">
        <v>223</v>
      </c>
      <c r="B86" s="2" t="s">
        <v>1203</v>
      </c>
      <c r="C86" s="2" t="s">
        <v>1204</v>
      </c>
      <c r="D86" s="2" t="s">
        <v>1067</v>
      </c>
      <c r="E86" s="2" t="n">
        <v>175</v>
      </c>
      <c r="F86" s="29" t="n">
        <v>0.08</v>
      </c>
      <c r="G86" s="29" t="n">
        <v>0.08</v>
      </c>
      <c r="H86" s="2" t="s">
        <v>1650</v>
      </c>
      <c r="I86" s="2" t="s">
        <v>1705</v>
      </c>
    </row>
    <row r="87" customFormat="false" ht="15" hidden="false" customHeight="false" outlineLevel="0" collapsed="false">
      <c r="A87" s="2" t="s">
        <v>223</v>
      </c>
      <c r="B87" s="2" t="s">
        <v>1214</v>
      </c>
      <c r="C87" s="2" t="s">
        <v>1210</v>
      </c>
      <c r="D87" s="2" t="s">
        <v>1067</v>
      </c>
      <c r="E87" s="2" t="n">
        <v>186</v>
      </c>
      <c r="F87" s="29" t="n">
        <v>0.1</v>
      </c>
      <c r="G87" s="29" t="n">
        <v>0.1</v>
      </c>
      <c r="H87" s="2" t="s">
        <v>1650</v>
      </c>
      <c r="I87" s="2" t="s">
        <v>1706</v>
      </c>
    </row>
    <row r="88" customFormat="false" ht="15" hidden="false" customHeight="false" outlineLevel="0" collapsed="false">
      <c r="A88" s="2" t="s">
        <v>223</v>
      </c>
      <c r="B88" s="2" t="s">
        <v>1239</v>
      </c>
      <c r="C88" s="2" t="s">
        <v>1237</v>
      </c>
      <c r="D88" s="2" t="s">
        <v>1067</v>
      </c>
      <c r="E88" s="2" t="n">
        <v>221</v>
      </c>
      <c r="F88" s="29" t="n">
        <v>0.08</v>
      </c>
      <c r="G88" s="29" t="n">
        <v>0.08</v>
      </c>
      <c r="H88" s="2" t="s">
        <v>1650</v>
      </c>
      <c r="I88" s="2" t="s">
        <v>1707</v>
      </c>
    </row>
    <row r="89" customFormat="false" ht="15" hidden="false" customHeight="false" outlineLevel="0" collapsed="false">
      <c r="A89" s="2" t="s">
        <v>223</v>
      </c>
      <c r="B89" s="2" t="s">
        <v>1234</v>
      </c>
      <c r="C89" s="2" t="s">
        <v>1225</v>
      </c>
      <c r="D89" s="2" t="s">
        <v>1067</v>
      </c>
      <c r="E89" s="2" t="n">
        <v>216</v>
      </c>
      <c r="F89" s="29" t="n">
        <v>0.1</v>
      </c>
      <c r="G89" s="29" t="n">
        <v>0.1</v>
      </c>
      <c r="H89" s="2" t="s">
        <v>1650</v>
      </c>
      <c r="I89" s="2" t="s">
        <v>1708</v>
      </c>
    </row>
    <row r="90" customFormat="false" ht="15" hidden="false" customHeight="false" outlineLevel="0" collapsed="false">
      <c r="A90" s="2" t="s">
        <v>223</v>
      </c>
      <c r="B90" s="2" t="s">
        <v>1235</v>
      </c>
      <c r="C90" s="2" t="s">
        <v>1225</v>
      </c>
      <c r="D90" s="2" t="s">
        <v>1067</v>
      </c>
      <c r="E90" s="2" t="n">
        <v>217</v>
      </c>
      <c r="F90" s="29" t="n">
        <v>0.1</v>
      </c>
      <c r="G90" s="29" t="n">
        <v>0.1</v>
      </c>
      <c r="H90" s="2" t="s">
        <v>1650</v>
      </c>
      <c r="I90" s="2" t="s">
        <v>1685</v>
      </c>
    </row>
    <row r="91" customFormat="false" ht="15" hidden="false" customHeight="false" outlineLevel="0" collapsed="false">
      <c r="A91" s="2" t="s">
        <v>223</v>
      </c>
      <c r="B91" s="2" t="s">
        <v>1255</v>
      </c>
      <c r="C91" s="2" t="s">
        <v>1242</v>
      </c>
      <c r="D91" s="2" t="s">
        <v>1067</v>
      </c>
      <c r="E91" s="2" t="n">
        <v>237</v>
      </c>
      <c r="F91" s="29" t="n">
        <v>0.08</v>
      </c>
      <c r="G91" s="29" t="n">
        <v>0.08</v>
      </c>
      <c r="H91" s="2" t="s">
        <v>1650</v>
      </c>
      <c r="I91" s="2" t="s">
        <v>1709</v>
      </c>
    </row>
    <row r="92" customFormat="false" ht="15" hidden="false" customHeight="false" outlineLevel="0" collapsed="false">
      <c r="A92" s="2" t="s">
        <v>223</v>
      </c>
      <c r="B92" s="2" t="s">
        <v>1256</v>
      </c>
      <c r="C92" s="2" t="s">
        <v>1242</v>
      </c>
      <c r="D92" s="2" t="s">
        <v>1067</v>
      </c>
      <c r="E92" s="2" t="n">
        <v>238</v>
      </c>
      <c r="F92" s="29" t="n">
        <v>0.08</v>
      </c>
      <c r="G92" s="29" t="n">
        <v>0.08</v>
      </c>
      <c r="H92" s="2" t="s">
        <v>1650</v>
      </c>
      <c r="I92" s="2" t="s">
        <v>1710</v>
      </c>
    </row>
    <row r="93" customFormat="false" ht="15" hidden="false" customHeight="false" outlineLevel="0" collapsed="false">
      <c r="A93" s="2" t="s">
        <v>223</v>
      </c>
      <c r="B93" s="2" t="s">
        <v>1257</v>
      </c>
      <c r="C93" s="2" t="s">
        <v>1258</v>
      </c>
      <c r="D93" s="2" t="s">
        <v>1067</v>
      </c>
      <c r="E93" s="2" t="n">
        <v>241</v>
      </c>
      <c r="F93" s="29" t="n">
        <v>0</v>
      </c>
      <c r="G93" s="29" t="n">
        <v>0</v>
      </c>
      <c r="H93" s="2" t="s">
        <v>1650</v>
      </c>
      <c r="I93" s="2" t="s">
        <v>1711</v>
      </c>
    </row>
    <row r="94" customFormat="false" ht="15" hidden="false" customHeight="false" outlineLevel="0" collapsed="false">
      <c r="A94" s="2" t="s">
        <v>223</v>
      </c>
      <c r="B94" s="2" t="s">
        <v>1259</v>
      </c>
      <c r="C94" s="2" t="s">
        <v>1258</v>
      </c>
      <c r="D94" s="2" t="s">
        <v>1067</v>
      </c>
      <c r="E94" s="2" t="n">
        <v>242</v>
      </c>
      <c r="F94" s="29" t="n">
        <v>0</v>
      </c>
      <c r="G94" s="29" t="n">
        <v>0</v>
      </c>
      <c r="H94" s="2" t="s">
        <v>1650</v>
      </c>
      <c r="I94" s="2" t="s">
        <v>1672</v>
      </c>
    </row>
    <row r="95" customFormat="false" ht="15" hidden="false" customHeight="false" outlineLevel="0" collapsed="false">
      <c r="A95" s="2" t="s">
        <v>223</v>
      </c>
      <c r="B95" s="2" t="s">
        <v>1260</v>
      </c>
      <c r="C95" s="2" t="s">
        <v>1258</v>
      </c>
      <c r="D95" s="2" t="s">
        <v>1067</v>
      </c>
      <c r="E95" s="2" t="n">
        <v>243</v>
      </c>
      <c r="F95" s="29" t="n">
        <v>0</v>
      </c>
      <c r="G95" s="29" t="n">
        <v>0</v>
      </c>
      <c r="H95" s="2" t="s">
        <v>1650</v>
      </c>
      <c r="I95" s="2" t="s">
        <v>1712</v>
      </c>
    </row>
    <row r="96" customFormat="false" ht="15" hidden="false" customHeight="false" outlineLevel="0" collapsed="false">
      <c r="A96" s="2" t="s">
        <v>223</v>
      </c>
      <c r="B96" s="2" t="s">
        <v>1298</v>
      </c>
      <c r="C96" s="2" t="s">
        <v>1299</v>
      </c>
      <c r="D96" s="2" t="s">
        <v>1067</v>
      </c>
      <c r="E96" s="2" t="n">
        <v>294</v>
      </c>
      <c r="F96" s="29" t="n">
        <v>0.1</v>
      </c>
      <c r="G96" s="29" t="n">
        <v>0.1</v>
      </c>
      <c r="H96" s="2" t="s">
        <v>1650</v>
      </c>
      <c r="I96" s="2" t="s">
        <v>1691</v>
      </c>
    </row>
    <row r="97" customFormat="false" ht="15" hidden="false" customHeight="false" outlineLevel="0" collapsed="false">
      <c r="A97" s="2" t="s">
        <v>223</v>
      </c>
      <c r="B97" s="2" t="s">
        <v>1309</v>
      </c>
      <c r="C97" s="2" t="s">
        <v>1310</v>
      </c>
      <c r="D97" s="2" t="s">
        <v>1067</v>
      </c>
      <c r="E97" s="2" t="n">
        <v>305</v>
      </c>
      <c r="F97" s="29" t="n">
        <v>0.09</v>
      </c>
      <c r="G97" s="29" t="n">
        <v>0.09</v>
      </c>
      <c r="H97" s="2" t="s">
        <v>1650</v>
      </c>
      <c r="I97" s="2" t="s">
        <v>1713</v>
      </c>
    </row>
    <row r="98" customFormat="false" ht="15" hidden="false" customHeight="false" outlineLevel="0" collapsed="false">
      <c r="A98" s="2" t="s">
        <v>223</v>
      </c>
      <c r="B98" s="2" t="s">
        <v>1326</v>
      </c>
      <c r="C98" s="2" t="s">
        <v>1327</v>
      </c>
      <c r="D98" s="2" t="s">
        <v>1067</v>
      </c>
      <c r="E98" s="2" t="n">
        <v>329</v>
      </c>
      <c r="F98" s="29" t="n">
        <v>0.1</v>
      </c>
      <c r="G98" s="29" t="n">
        <v>0.1</v>
      </c>
      <c r="H98" s="2" t="s">
        <v>1650</v>
      </c>
      <c r="I98" s="2" t="s">
        <v>1714</v>
      </c>
    </row>
    <row r="99" customFormat="false" ht="15" hidden="false" customHeight="false" outlineLevel="0" collapsed="false">
      <c r="A99" s="2" t="s">
        <v>223</v>
      </c>
      <c r="B99" s="2" t="s">
        <v>1329</v>
      </c>
      <c r="C99" s="2" t="s">
        <v>1327</v>
      </c>
      <c r="D99" s="2" t="s">
        <v>1067</v>
      </c>
      <c r="E99" s="2" t="n">
        <v>330</v>
      </c>
      <c r="F99" s="29" t="n">
        <v>0.1</v>
      </c>
      <c r="G99" s="29" t="n">
        <v>0.1</v>
      </c>
      <c r="H99" s="2" t="s">
        <v>1650</v>
      </c>
      <c r="I99" s="2" t="s">
        <v>1715</v>
      </c>
    </row>
    <row r="100" customFormat="false" ht="15" hidden="false" customHeight="false" outlineLevel="0" collapsed="false">
      <c r="A100" s="2" t="s">
        <v>223</v>
      </c>
      <c r="B100" s="2" t="s">
        <v>1330</v>
      </c>
      <c r="C100" s="2" t="s">
        <v>1331</v>
      </c>
      <c r="D100" s="2" t="s">
        <v>1067</v>
      </c>
      <c r="E100" s="2" t="n">
        <v>333</v>
      </c>
      <c r="F100" s="29" t="n">
        <v>0.1</v>
      </c>
      <c r="G100" s="29" t="n">
        <v>0.1</v>
      </c>
      <c r="H100" s="2" t="s">
        <v>1650</v>
      </c>
      <c r="I100" s="2" t="s">
        <v>1716</v>
      </c>
    </row>
    <row r="101" customFormat="false" ht="15" hidden="false" customHeight="false" outlineLevel="0" collapsed="false">
      <c r="A101" s="2" t="s">
        <v>223</v>
      </c>
      <c r="B101" s="2" t="s">
        <v>1333</v>
      </c>
      <c r="C101" s="2" t="s">
        <v>1294</v>
      </c>
      <c r="D101" s="2" t="s">
        <v>1067</v>
      </c>
      <c r="E101" s="2" t="n">
        <v>337</v>
      </c>
      <c r="F101" s="29" t="n">
        <v>0.08</v>
      </c>
      <c r="G101" s="29" t="n">
        <v>0.08</v>
      </c>
      <c r="H101" s="2" t="s">
        <v>1650</v>
      </c>
      <c r="I101" s="2" t="s">
        <v>1717</v>
      </c>
    </row>
    <row r="102" customFormat="false" ht="15" hidden="false" customHeight="false" outlineLevel="0" collapsed="false">
      <c r="A102" s="2" t="s">
        <v>223</v>
      </c>
      <c r="B102" s="2" t="s">
        <v>1344</v>
      </c>
      <c r="C102" s="2" t="s">
        <v>1345</v>
      </c>
      <c r="D102" s="2" t="s">
        <v>1067</v>
      </c>
      <c r="E102" s="2" t="n">
        <v>353</v>
      </c>
      <c r="F102" s="29" t="n">
        <v>0.085</v>
      </c>
      <c r="G102" s="29" t="n">
        <v>0.085</v>
      </c>
      <c r="H102" s="2" t="s">
        <v>1650</v>
      </c>
      <c r="I102" s="2" t="s">
        <v>1718</v>
      </c>
    </row>
    <row r="103" customFormat="false" ht="15" hidden="false" customHeight="false" outlineLevel="0" collapsed="false">
      <c r="A103" s="2" t="s">
        <v>223</v>
      </c>
      <c r="B103" s="2" t="s">
        <v>1348</v>
      </c>
      <c r="C103" s="2" t="s">
        <v>1345</v>
      </c>
      <c r="D103" s="2" t="s">
        <v>1067</v>
      </c>
      <c r="E103" s="2" t="n">
        <v>355</v>
      </c>
      <c r="F103" s="29" t="n">
        <v>0.085</v>
      </c>
      <c r="G103" s="29" t="n">
        <v>0.085</v>
      </c>
      <c r="H103" s="2" t="s">
        <v>1650</v>
      </c>
      <c r="I103" s="2" t="s">
        <v>1719</v>
      </c>
    </row>
    <row r="104" customFormat="false" ht="15" hidden="false" customHeight="false" outlineLevel="0" collapsed="false">
      <c r="A104" s="2" t="s">
        <v>223</v>
      </c>
      <c r="B104" s="2" t="s">
        <v>1349</v>
      </c>
      <c r="C104" s="2" t="s">
        <v>1345</v>
      </c>
      <c r="D104" s="2" t="s">
        <v>1067</v>
      </c>
      <c r="E104" s="2" t="n">
        <v>356</v>
      </c>
      <c r="F104" s="29" t="n">
        <v>0.085</v>
      </c>
      <c r="G104" s="29" t="n">
        <v>0.085</v>
      </c>
      <c r="H104" s="2" t="s">
        <v>1650</v>
      </c>
      <c r="I104" s="2" t="s">
        <v>1720</v>
      </c>
    </row>
    <row r="105" customFormat="false" ht="15" hidden="false" customHeight="false" outlineLevel="0" collapsed="false">
      <c r="A105" s="2" t="s">
        <v>223</v>
      </c>
      <c r="B105" s="2" t="s">
        <v>1340</v>
      </c>
      <c r="C105" s="2" t="s">
        <v>1335</v>
      </c>
      <c r="D105" s="2" t="s">
        <v>1067</v>
      </c>
      <c r="E105" s="2" t="n">
        <v>347</v>
      </c>
      <c r="F105" s="29" t="n">
        <v>0.1</v>
      </c>
      <c r="G105" s="29" t="n">
        <v>0.1</v>
      </c>
      <c r="H105" s="2" t="s">
        <v>1650</v>
      </c>
      <c r="I105" s="2" t="s">
        <v>1721</v>
      </c>
    </row>
    <row r="106" customFormat="false" ht="15" hidden="false" customHeight="false" outlineLevel="0" collapsed="false">
      <c r="A106" s="2" t="s">
        <v>223</v>
      </c>
      <c r="B106" s="2" t="s">
        <v>1341</v>
      </c>
      <c r="C106" s="2" t="s">
        <v>1335</v>
      </c>
      <c r="D106" s="2" t="s">
        <v>1067</v>
      </c>
      <c r="E106" s="2" t="n">
        <v>348</v>
      </c>
      <c r="F106" s="29" t="n">
        <v>0.1</v>
      </c>
      <c r="G106" s="29" t="n">
        <v>0.1</v>
      </c>
      <c r="H106" s="2" t="s">
        <v>1650</v>
      </c>
      <c r="I106" s="2" t="s">
        <v>1722</v>
      </c>
    </row>
    <row r="107" customFormat="false" ht="15" hidden="false" customHeight="false" outlineLevel="0" collapsed="false">
      <c r="A107" s="2" t="s">
        <v>223</v>
      </c>
      <c r="B107" s="2" t="s">
        <v>1342</v>
      </c>
      <c r="C107" s="2" t="s">
        <v>1335</v>
      </c>
      <c r="D107" s="2" t="s">
        <v>1067</v>
      </c>
      <c r="E107" s="2" t="n">
        <v>349</v>
      </c>
      <c r="F107" s="29" t="n">
        <v>0.1</v>
      </c>
      <c r="G107" s="29" t="n">
        <v>0.1</v>
      </c>
      <c r="H107" s="2" t="s">
        <v>1650</v>
      </c>
      <c r="I107" s="2" t="s">
        <v>1723</v>
      </c>
    </row>
    <row r="108" customFormat="false" ht="15" hidden="false" customHeight="false" outlineLevel="0" collapsed="false">
      <c r="A108" s="2" t="s">
        <v>223</v>
      </c>
      <c r="B108" s="2" t="s">
        <v>1343</v>
      </c>
      <c r="C108" s="2" t="s">
        <v>1335</v>
      </c>
      <c r="D108" s="2" t="s">
        <v>1067</v>
      </c>
      <c r="E108" s="2" t="n">
        <v>350</v>
      </c>
      <c r="F108" s="29" t="n">
        <v>0.1</v>
      </c>
      <c r="G108" s="29" t="n">
        <v>0.1</v>
      </c>
      <c r="H108" s="2" t="s">
        <v>1650</v>
      </c>
      <c r="I108" s="2" t="s">
        <v>1724</v>
      </c>
    </row>
    <row r="109" customFormat="false" ht="15" hidden="false" customHeight="false" outlineLevel="0" collapsed="false">
      <c r="A109" s="2" t="s">
        <v>223</v>
      </c>
      <c r="B109" s="2" t="s">
        <v>1368</v>
      </c>
      <c r="C109" s="2" t="s">
        <v>1369</v>
      </c>
      <c r="D109" s="2" t="s">
        <v>1067</v>
      </c>
      <c r="E109" s="2" t="n">
        <v>378</v>
      </c>
      <c r="F109" s="29" t="n">
        <v>0.1</v>
      </c>
      <c r="G109" s="29" t="n">
        <v>0.1</v>
      </c>
      <c r="H109" s="2" t="s">
        <v>1650</v>
      </c>
      <c r="I109" s="2" t="s">
        <v>1725</v>
      </c>
    </row>
    <row r="110" customFormat="false" ht="15" hidden="false" customHeight="false" outlineLevel="0" collapsed="false">
      <c r="A110" s="2" t="s">
        <v>223</v>
      </c>
      <c r="B110" s="2" t="s">
        <v>1407</v>
      </c>
      <c r="C110" s="2" t="s">
        <v>1408</v>
      </c>
      <c r="D110" s="2" t="s">
        <v>1067</v>
      </c>
      <c r="E110" s="2" t="n">
        <v>429</v>
      </c>
      <c r="F110" s="29" t="n">
        <v>0.09</v>
      </c>
      <c r="G110" s="29" t="n">
        <v>0.09</v>
      </c>
      <c r="H110" s="2" t="s">
        <v>1650</v>
      </c>
      <c r="I110" s="2" t="s">
        <v>1726</v>
      </c>
    </row>
    <row r="111" customFormat="false" ht="15" hidden="false" customHeight="false" outlineLevel="0" collapsed="false">
      <c r="A111" s="2" t="s">
        <v>223</v>
      </c>
      <c r="B111" s="2" t="s">
        <v>1436</v>
      </c>
      <c r="C111" s="2" t="s">
        <v>1437</v>
      </c>
      <c r="D111" s="2" t="s">
        <v>1067</v>
      </c>
      <c r="E111" s="2" t="n">
        <v>466</v>
      </c>
      <c r="F111" s="29" t="n">
        <v>0</v>
      </c>
      <c r="G111" s="29" t="n">
        <v>0</v>
      </c>
      <c r="H111" s="2" t="s">
        <v>1650</v>
      </c>
      <c r="I111" s="2" t="s">
        <v>1727</v>
      </c>
    </row>
    <row r="112" customFormat="false" ht="15" hidden="false" customHeight="false" outlineLevel="0" collapsed="false">
      <c r="A112" s="2" t="s">
        <v>223</v>
      </c>
      <c r="B112" s="2" t="s">
        <v>1448</v>
      </c>
      <c r="C112" s="2" t="s">
        <v>1449</v>
      </c>
      <c r="D112" s="2" t="s">
        <v>1067</v>
      </c>
      <c r="E112" s="2" t="n">
        <v>482</v>
      </c>
      <c r="F112" s="29" t="n">
        <v>0</v>
      </c>
      <c r="G112" s="29" t="n">
        <v>0</v>
      </c>
      <c r="H112" s="2" t="s">
        <v>1650</v>
      </c>
      <c r="I112" s="2" t="s">
        <v>1728</v>
      </c>
    </row>
    <row r="113" customFormat="false" ht="15" hidden="false" customHeight="false" outlineLevel="0" collapsed="false">
      <c r="A113" s="2" t="s">
        <v>223</v>
      </c>
      <c r="B113" s="2" t="s">
        <v>1471</v>
      </c>
      <c r="C113" s="2" t="s">
        <v>1472</v>
      </c>
      <c r="D113" s="2" t="s">
        <v>1453</v>
      </c>
      <c r="E113" s="2" t="n">
        <v>30</v>
      </c>
      <c r="F113" s="29" t="n">
        <v>0</v>
      </c>
      <c r="G113" s="29" t="n">
        <v>0</v>
      </c>
      <c r="H113" s="2" t="s">
        <v>1650</v>
      </c>
      <c r="I113" s="2" t="s">
        <v>1729</v>
      </c>
    </row>
    <row r="114" customFormat="false" ht="15" hidden="false" customHeight="false" outlineLevel="0" collapsed="false">
      <c r="A114" s="2" t="s">
        <v>223</v>
      </c>
      <c r="B114" s="2" t="s">
        <v>811</v>
      </c>
      <c r="C114" s="2" t="s">
        <v>812</v>
      </c>
      <c r="D114" s="2" t="s">
        <v>768</v>
      </c>
      <c r="E114" s="2" t="n">
        <v>63</v>
      </c>
      <c r="F114" s="29" t="n">
        <v>0.0725</v>
      </c>
      <c r="G114" s="29" t="n">
        <v>0.08</v>
      </c>
      <c r="H114" s="2" t="s">
        <v>1650</v>
      </c>
      <c r="I114" s="2" t="s">
        <v>1730</v>
      </c>
    </row>
    <row r="115" customFormat="false" ht="15" hidden="false" customHeight="false" outlineLevel="0" collapsed="false">
      <c r="A115" s="2" t="s">
        <v>223</v>
      </c>
      <c r="B115" s="2" t="s">
        <v>814</v>
      </c>
      <c r="C115" s="2" t="s">
        <v>812</v>
      </c>
      <c r="D115" s="2" t="s">
        <v>768</v>
      </c>
      <c r="E115" s="2" t="n">
        <v>64</v>
      </c>
      <c r="F115" s="29" t="n">
        <v>0.0725</v>
      </c>
      <c r="G115" s="29" t="n">
        <v>0.08</v>
      </c>
      <c r="H115" s="2" t="s">
        <v>1650</v>
      </c>
      <c r="I115" s="2" t="s">
        <v>1731</v>
      </c>
    </row>
    <row r="116" customFormat="false" ht="15" hidden="false" customHeight="false" outlineLevel="0" collapsed="false">
      <c r="A116" s="2" t="s">
        <v>223</v>
      </c>
      <c r="B116" s="2" t="s">
        <v>1492</v>
      </c>
      <c r="C116" s="2" t="s">
        <v>1493</v>
      </c>
      <c r="D116" s="2" t="s">
        <v>1453</v>
      </c>
      <c r="E116" s="2" t="n">
        <v>62</v>
      </c>
      <c r="F116" s="29" t="n">
        <v>0.085</v>
      </c>
      <c r="G116" s="29" t="n">
        <v>0.085</v>
      </c>
      <c r="H116" s="2" t="s">
        <v>1650</v>
      </c>
      <c r="I116" s="2" t="s">
        <v>1732</v>
      </c>
    </row>
    <row r="117" customFormat="false" ht="15" hidden="false" customHeight="false" outlineLevel="0" collapsed="false">
      <c r="A117" s="2" t="s">
        <v>223</v>
      </c>
      <c r="B117" s="2" t="s">
        <v>1580</v>
      </c>
      <c r="C117" s="2" t="s">
        <v>1581</v>
      </c>
      <c r="D117" s="2" t="s">
        <v>1453</v>
      </c>
      <c r="E117" s="2" t="n">
        <v>171</v>
      </c>
      <c r="F117" s="29" t="n">
        <v>0.1</v>
      </c>
      <c r="G117" s="29" t="n">
        <v>0.1</v>
      </c>
      <c r="H117" s="2" t="s">
        <v>1650</v>
      </c>
      <c r="I117" s="2" t="s">
        <v>1733</v>
      </c>
    </row>
    <row r="118" customFormat="false" ht="15" hidden="false" customHeight="false" outlineLevel="0" collapsed="false">
      <c r="A118" s="2" t="s">
        <v>223</v>
      </c>
      <c r="B118" s="2" t="s">
        <v>1605</v>
      </c>
      <c r="C118" s="2" t="s">
        <v>1606</v>
      </c>
      <c r="D118" s="2" t="s">
        <v>1453</v>
      </c>
      <c r="E118" s="2" t="n">
        <v>200</v>
      </c>
      <c r="F118" s="29" t="n">
        <v>0.1</v>
      </c>
      <c r="G118" s="29" t="n">
        <v>0.1</v>
      </c>
      <c r="H118" s="2" t="s">
        <v>1650</v>
      </c>
      <c r="I118" s="2" t="s">
        <v>1657</v>
      </c>
    </row>
    <row r="119" customFormat="false" ht="15" hidden="false" customHeight="false" outlineLevel="0" collapsed="false">
      <c r="A119" s="2" t="s">
        <v>223</v>
      </c>
      <c r="B119" s="2" t="s">
        <v>1611</v>
      </c>
      <c r="C119" s="2" t="s">
        <v>1612</v>
      </c>
      <c r="D119" s="2" t="s">
        <v>1453</v>
      </c>
      <c r="E119" s="2" t="n">
        <v>208</v>
      </c>
      <c r="F119" s="29" t="n">
        <v>0</v>
      </c>
      <c r="G119" s="29" t="n">
        <v>0</v>
      </c>
      <c r="H119" s="2" t="s">
        <v>1650</v>
      </c>
      <c r="I119" s="2" t="s">
        <v>1734</v>
      </c>
    </row>
    <row r="120" customFormat="false" ht="15" hidden="false" customHeight="false" outlineLevel="0" collapsed="false">
      <c r="A120" s="2" t="s">
        <v>223</v>
      </c>
      <c r="B120" s="2" t="s">
        <v>1613</v>
      </c>
      <c r="C120" s="2" t="s">
        <v>1612</v>
      </c>
      <c r="D120" s="2" t="s">
        <v>1453</v>
      </c>
      <c r="E120" s="2" t="n">
        <v>209</v>
      </c>
      <c r="F120" s="29" t="n">
        <v>0</v>
      </c>
      <c r="G120" s="29" t="n">
        <v>0</v>
      </c>
      <c r="H120" s="2" t="s">
        <v>1650</v>
      </c>
      <c r="I120" s="2" t="s">
        <v>1735</v>
      </c>
    </row>
  </sheetData>
  <autoFilter ref="A1:I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6" min="3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58"/>
  </cols>
  <sheetData>
    <row r="1" customFormat="false" ht="27.75" hidden="false" customHeight="true" outlineLevel="0" collapsed="false">
      <c r="A1" s="26" t="s">
        <v>1736</v>
      </c>
      <c r="B1" s="26" t="s">
        <v>86</v>
      </c>
      <c r="C1" s="26" t="s">
        <v>87</v>
      </c>
      <c r="D1" s="26" t="s">
        <v>95</v>
      </c>
      <c r="E1" s="26" t="s">
        <v>1737</v>
      </c>
      <c r="F1" s="26" t="s">
        <v>1738</v>
      </c>
      <c r="G1" s="26" t="s">
        <v>97</v>
      </c>
      <c r="H1" s="26" t="s">
        <v>1739</v>
      </c>
      <c r="I1" s="26" t="s">
        <v>98</v>
      </c>
      <c r="J1" s="26" t="s">
        <v>1740</v>
      </c>
      <c r="K1" s="26" t="s">
        <v>1741</v>
      </c>
      <c r="L1" s="26" t="s">
        <v>1742</v>
      </c>
      <c r="M1" s="26" t="s">
        <v>1743</v>
      </c>
    </row>
    <row r="2" customFormat="false" ht="15" hidden="false" customHeight="false" outlineLevel="0" collapsed="false">
      <c r="A2" s="2" t="s">
        <v>1744</v>
      </c>
      <c r="B2" s="2" t="s">
        <v>246</v>
      </c>
      <c r="C2" s="2" t="s">
        <v>247</v>
      </c>
      <c r="D2" s="28" t="n">
        <v>2.5</v>
      </c>
      <c r="E2" s="28" t="n">
        <v>25</v>
      </c>
      <c r="F2" s="29" t="n">
        <v>0.08</v>
      </c>
      <c r="G2" s="28" t="n">
        <v>0.2</v>
      </c>
      <c r="H2" s="28" t="n">
        <v>2</v>
      </c>
      <c r="I2" s="28" t="n">
        <v>18.81</v>
      </c>
      <c r="J2" s="29" t="n">
        <v>0.0106326422115896</v>
      </c>
      <c r="K2" s="29" t="n">
        <v>0.106326422115896</v>
      </c>
      <c r="L2" s="40" t="n">
        <v>0.0956937799043062</v>
      </c>
      <c r="M2" s="2" t="s">
        <v>1745</v>
      </c>
    </row>
    <row r="3" customFormat="false" ht="15" hidden="false" customHeight="false" outlineLevel="0" collapsed="false">
      <c r="A3" s="2" t="s">
        <v>1746</v>
      </c>
      <c r="B3" s="2" t="s">
        <v>1509</v>
      </c>
      <c r="C3" s="2" t="s">
        <v>1510</v>
      </c>
      <c r="D3" s="28" t="n">
        <v>25</v>
      </c>
      <c r="E3" s="28" t="n">
        <v>50</v>
      </c>
      <c r="F3" s="29" t="n">
        <v>0.1</v>
      </c>
      <c r="G3" s="28" t="n">
        <v>2.5</v>
      </c>
      <c r="H3" s="28" t="n">
        <v>2.5</v>
      </c>
      <c r="I3" s="28" t="n">
        <v>41.77</v>
      </c>
      <c r="J3" s="29" t="n">
        <v>0.0598515681110845</v>
      </c>
      <c r="K3" s="29" t="n">
        <v>0.119703136222169</v>
      </c>
      <c r="L3" s="40" t="n">
        <v>0.0598515681110845</v>
      </c>
      <c r="M3" s="2" t="s">
        <v>1745</v>
      </c>
    </row>
    <row r="4" customFormat="false" ht="15" hidden="false" customHeight="false" outlineLevel="0" collapsed="false">
      <c r="A4" s="2" t="s">
        <v>1744</v>
      </c>
      <c r="B4" s="2" t="s">
        <v>176</v>
      </c>
      <c r="C4" s="2" t="s">
        <v>170</v>
      </c>
      <c r="D4" s="28" t="n">
        <v>50</v>
      </c>
      <c r="E4" s="28" t="n">
        <v>100</v>
      </c>
      <c r="F4" s="29" t="n">
        <v>0.042</v>
      </c>
      <c r="G4" s="28" t="n">
        <v>2.1</v>
      </c>
      <c r="H4" s="28" t="n">
        <v>4.2</v>
      </c>
      <c r="I4" s="28" t="n">
        <v>67.3</v>
      </c>
      <c r="J4" s="29" t="n">
        <v>0.0312035661218425</v>
      </c>
      <c r="K4" s="29" t="n">
        <v>0.062407132243685</v>
      </c>
      <c r="L4" s="40" t="n">
        <v>0.0312035661218425</v>
      </c>
      <c r="M4" s="2" t="s">
        <v>1745</v>
      </c>
    </row>
    <row r="5" customFormat="false" ht="15" hidden="false" customHeight="false" outlineLevel="0" collapsed="false">
      <c r="A5" s="2" t="s">
        <v>1744</v>
      </c>
      <c r="B5" s="2" t="s">
        <v>174</v>
      </c>
      <c r="C5" s="2" t="s">
        <v>170</v>
      </c>
      <c r="D5" s="28" t="n">
        <v>50</v>
      </c>
      <c r="E5" s="28" t="n">
        <v>100</v>
      </c>
      <c r="F5" s="29" t="n">
        <v>0.0442</v>
      </c>
      <c r="G5" s="28" t="n">
        <v>2.21</v>
      </c>
      <c r="H5" s="28" t="n">
        <v>4.42</v>
      </c>
      <c r="I5" s="28" t="n">
        <v>71</v>
      </c>
      <c r="J5" s="29" t="n">
        <v>0.0311267605633803</v>
      </c>
      <c r="K5" s="29" t="n">
        <v>0.0622535211267606</v>
      </c>
      <c r="L5" s="40" t="n">
        <v>0.0311267605633803</v>
      </c>
      <c r="M5" s="2" t="s">
        <v>1745</v>
      </c>
    </row>
    <row r="6" customFormat="false" ht="15" hidden="false" customHeight="false" outlineLevel="0" collapsed="false">
      <c r="A6" s="2" t="s">
        <v>1744</v>
      </c>
      <c r="B6" s="2" t="s">
        <v>169</v>
      </c>
      <c r="C6" s="2" t="s">
        <v>170</v>
      </c>
      <c r="D6" s="28" t="n">
        <v>50</v>
      </c>
      <c r="E6" s="28" t="n">
        <v>100</v>
      </c>
      <c r="F6" s="29" t="n">
        <v>0.0408</v>
      </c>
      <c r="G6" s="28" t="n">
        <v>2.04</v>
      </c>
      <c r="H6" s="28" t="n">
        <v>4.08</v>
      </c>
      <c r="I6" s="28" t="n">
        <v>66</v>
      </c>
      <c r="J6" s="29" t="n">
        <v>0.0309090909090909</v>
      </c>
      <c r="K6" s="29" t="n">
        <v>0.0618181818181818</v>
      </c>
      <c r="L6" s="40" t="n">
        <v>0.0309090909090909</v>
      </c>
      <c r="M6" s="2" t="s">
        <v>1745</v>
      </c>
    </row>
    <row r="7" customFormat="false" ht="15" hidden="false" customHeight="false" outlineLevel="0" collapsed="false">
      <c r="A7" s="2" t="s">
        <v>1744</v>
      </c>
      <c r="B7" s="2" t="s">
        <v>173</v>
      </c>
      <c r="C7" s="2" t="s">
        <v>170</v>
      </c>
      <c r="D7" s="28" t="n">
        <v>50</v>
      </c>
      <c r="E7" s="28" t="n">
        <v>100</v>
      </c>
      <c r="F7" s="29" t="n">
        <v>0.047</v>
      </c>
      <c r="G7" s="28" t="n">
        <v>2.35</v>
      </c>
      <c r="H7" s="28" t="n">
        <v>4.7</v>
      </c>
      <c r="I7" s="28" t="n">
        <v>77</v>
      </c>
      <c r="J7" s="29" t="n">
        <v>0.0305194805194805</v>
      </c>
      <c r="K7" s="29" t="n">
        <v>0.061038961038961</v>
      </c>
      <c r="L7" s="40" t="n">
        <v>0.0305194805194805</v>
      </c>
      <c r="M7" s="2" t="s">
        <v>1745</v>
      </c>
    </row>
    <row r="8" customFormat="false" ht="15" hidden="false" customHeight="false" outlineLevel="0" collapsed="false">
      <c r="A8" s="2" t="s">
        <v>1744</v>
      </c>
      <c r="B8" s="2" t="s">
        <v>175</v>
      </c>
      <c r="C8" s="2" t="s">
        <v>170</v>
      </c>
      <c r="D8" s="28" t="n">
        <v>50</v>
      </c>
      <c r="E8" s="28" t="n">
        <v>100</v>
      </c>
      <c r="F8" s="29" t="n">
        <v>0.0426</v>
      </c>
      <c r="G8" s="28" t="n">
        <v>2.13</v>
      </c>
      <c r="H8" s="28" t="n">
        <v>4.26</v>
      </c>
      <c r="I8" s="28" t="n">
        <v>69.825</v>
      </c>
      <c r="J8" s="29" t="n">
        <v>0.0305048335123523</v>
      </c>
      <c r="K8" s="29" t="n">
        <v>0.0610096670247046</v>
      </c>
      <c r="L8" s="40" t="n">
        <v>0.0305048335123523</v>
      </c>
      <c r="M8" s="2" t="s">
        <v>1745</v>
      </c>
    </row>
    <row r="9" customFormat="false" ht="15" hidden="false" customHeight="false" outlineLevel="0" collapsed="false">
      <c r="A9" s="2" t="s">
        <v>1746</v>
      </c>
      <c r="B9" s="2" t="s">
        <v>683</v>
      </c>
      <c r="C9" s="2" t="s">
        <v>684</v>
      </c>
      <c r="D9" s="28" t="n">
        <v>25</v>
      </c>
      <c r="E9" s="28" t="n">
        <v>27.1</v>
      </c>
      <c r="F9" s="29" t="n">
        <v>0.08</v>
      </c>
      <c r="G9" s="28" t="n">
        <v>2</v>
      </c>
      <c r="H9" s="28" t="n">
        <v>2</v>
      </c>
      <c r="I9" s="28" t="n">
        <v>28.75</v>
      </c>
      <c r="J9" s="29" t="n">
        <v>0.0695652173913044</v>
      </c>
      <c r="K9" s="29" t="n">
        <v>0.0754086956521739</v>
      </c>
      <c r="L9" s="40" t="n">
        <v>0.00584347826086958</v>
      </c>
      <c r="M9" s="2" t="s">
        <v>1745</v>
      </c>
    </row>
    <row r="10" customFormat="false" ht="15" hidden="false" customHeight="false" outlineLevel="0" collapsed="false">
      <c r="A10" s="2" t="s">
        <v>1747</v>
      </c>
      <c r="B10" s="2" t="s">
        <v>1526</v>
      </c>
      <c r="C10" s="2" t="s">
        <v>1524</v>
      </c>
      <c r="D10" s="28" t="n">
        <v>25</v>
      </c>
      <c r="E10" s="28" t="n">
        <v>25</v>
      </c>
      <c r="F10" s="29" t="n">
        <v>0.0353</v>
      </c>
      <c r="G10" s="28" t="n">
        <v>0.8825</v>
      </c>
      <c r="H10" s="28" t="n">
        <v>1.35725</v>
      </c>
      <c r="I10" s="28" t="n">
        <v>18.36</v>
      </c>
      <c r="J10" s="29" t="n">
        <v>0.0480664488017429</v>
      </c>
      <c r="K10" s="29" t="n">
        <v>0.0480664488017429</v>
      </c>
      <c r="L10" s="40" t="n">
        <v>6.93889390390723E-018</v>
      </c>
      <c r="M10" s="2" t="s">
        <v>1748</v>
      </c>
    </row>
    <row r="11" customFormat="false" ht="15" hidden="false" customHeight="false" outlineLevel="0" collapsed="false">
      <c r="A11" s="2" t="s">
        <v>1747</v>
      </c>
      <c r="B11" s="2" t="s">
        <v>341</v>
      </c>
      <c r="C11" s="2" t="s">
        <v>337</v>
      </c>
      <c r="D11" s="28" t="n">
        <v>25</v>
      </c>
      <c r="E11" s="28" t="n">
        <v>25</v>
      </c>
      <c r="F11" s="29" t="n">
        <v>0.062032</v>
      </c>
      <c r="G11" s="28" t="n">
        <v>1.5508</v>
      </c>
      <c r="H11" s="28" t="n">
        <v>1.47</v>
      </c>
      <c r="I11" s="28" t="n">
        <v>23.65</v>
      </c>
      <c r="J11" s="29" t="n">
        <v>0.0655729386892178</v>
      </c>
      <c r="K11" s="29" t="n">
        <v>0.0655729386892178</v>
      </c>
      <c r="L11" s="40" t="n">
        <v>0</v>
      </c>
      <c r="M11" s="2" t="s">
        <v>1749</v>
      </c>
    </row>
    <row r="12" customFormat="false" ht="15" hidden="false" customHeight="false" outlineLevel="0" collapsed="false">
      <c r="A12" s="2" t="s">
        <v>1747</v>
      </c>
      <c r="B12" s="2" t="s">
        <v>365</v>
      </c>
      <c r="C12" s="2" t="s">
        <v>360</v>
      </c>
      <c r="D12" s="28" t="n">
        <v>25</v>
      </c>
      <c r="E12" s="28" t="n">
        <v>25</v>
      </c>
      <c r="F12" s="29" t="n">
        <v>0.06159</v>
      </c>
      <c r="G12" s="28" t="n">
        <v>1.53975</v>
      </c>
      <c r="H12" s="28" t="n">
        <v>1.59</v>
      </c>
      <c r="I12" s="28" t="n">
        <v>24.01</v>
      </c>
      <c r="J12" s="29" t="n">
        <v>0.0641295293627655</v>
      </c>
      <c r="K12" s="29" t="n">
        <v>0.0641295293627655</v>
      </c>
      <c r="L12" s="40" t="n">
        <v>0</v>
      </c>
      <c r="M12" s="2" t="s">
        <v>1749</v>
      </c>
    </row>
    <row r="13" customFormat="false" ht="15" hidden="false" customHeight="false" outlineLevel="0" collapsed="false">
      <c r="A13" s="2" t="s">
        <v>1747</v>
      </c>
      <c r="B13" s="2" t="s">
        <v>417</v>
      </c>
      <c r="C13" s="2" t="s">
        <v>418</v>
      </c>
      <c r="D13" s="28" t="n">
        <v>25</v>
      </c>
      <c r="E13" s="28" t="n">
        <v>25</v>
      </c>
      <c r="F13" s="29" t="n">
        <v>0.0575</v>
      </c>
      <c r="G13" s="28" t="n">
        <v>1.4375</v>
      </c>
      <c r="H13" s="28" t="n">
        <v>1.39375</v>
      </c>
      <c r="I13" s="28" t="n">
        <v>14</v>
      </c>
      <c r="J13" s="29" t="n">
        <v>0.102678571428571</v>
      </c>
      <c r="K13" s="29" t="n">
        <v>0.102678571428571</v>
      </c>
      <c r="L13" s="40" t="n">
        <v>0</v>
      </c>
      <c r="M13" s="2" t="s">
        <v>1749</v>
      </c>
    </row>
    <row r="14" customFormat="false" ht="15" hidden="false" customHeight="false" outlineLevel="0" collapsed="false">
      <c r="A14" s="2" t="s">
        <v>1747</v>
      </c>
      <c r="B14" s="2" t="s">
        <v>552</v>
      </c>
      <c r="C14" s="2" t="s">
        <v>550</v>
      </c>
      <c r="D14" s="28" t="n">
        <v>25</v>
      </c>
      <c r="E14" s="28" t="n">
        <v>25</v>
      </c>
      <c r="F14" s="29" t="n">
        <v>0.0645</v>
      </c>
      <c r="G14" s="28" t="n">
        <v>1.6125</v>
      </c>
      <c r="H14" s="28" t="n">
        <v>2.7324</v>
      </c>
      <c r="I14" s="28" t="n">
        <v>0</v>
      </c>
      <c r="J14" s="29"/>
      <c r="K14" s="29"/>
      <c r="L14" s="40"/>
      <c r="M14" s="2" t="s">
        <v>1749</v>
      </c>
    </row>
    <row r="15" customFormat="false" ht="15" hidden="false" customHeight="false" outlineLevel="0" collapsed="false">
      <c r="A15" s="2" t="s">
        <v>1747</v>
      </c>
      <c r="B15" s="2" t="s">
        <v>553</v>
      </c>
      <c r="C15" s="2" t="s">
        <v>550</v>
      </c>
      <c r="D15" s="28" t="n">
        <v>25</v>
      </c>
      <c r="E15" s="28" t="n">
        <v>25</v>
      </c>
      <c r="F15" s="29" t="n">
        <v>0.06</v>
      </c>
      <c r="G15" s="28" t="n">
        <v>1.5</v>
      </c>
      <c r="H15" s="28" t="n">
        <v>2.6358</v>
      </c>
      <c r="I15" s="28" t="n">
        <v>0</v>
      </c>
      <c r="J15" s="29"/>
      <c r="K15" s="29"/>
      <c r="L15" s="40"/>
      <c r="M15" s="2" t="s">
        <v>1749</v>
      </c>
    </row>
    <row r="16" customFormat="false" ht="15" hidden="false" customHeight="false" outlineLevel="0" collapsed="false">
      <c r="A16" s="2" t="s">
        <v>1747</v>
      </c>
      <c r="B16" s="2" t="s">
        <v>815</v>
      </c>
      <c r="C16" s="2" t="s">
        <v>816</v>
      </c>
      <c r="D16" s="28" t="n">
        <v>11</v>
      </c>
      <c r="E16" s="28" t="n">
        <v>11</v>
      </c>
      <c r="F16" s="29" t="n">
        <v>0.1</v>
      </c>
      <c r="G16" s="28" t="n">
        <v>1.1</v>
      </c>
      <c r="H16" s="28" t="n">
        <v>1</v>
      </c>
      <c r="I16" s="28" t="n">
        <v>0.02</v>
      </c>
      <c r="J16" s="29" t="n">
        <v>55</v>
      </c>
      <c r="K16" s="29" t="n">
        <v>55</v>
      </c>
      <c r="L16" s="40" t="n">
        <v>0</v>
      </c>
      <c r="M16" s="2" t="s">
        <v>1749</v>
      </c>
    </row>
    <row r="17" customFormat="false" ht="15" hidden="false" customHeight="false" outlineLevel="0" collapsed="false">
      <c r="A17" s="2" t="s">
        <v>1747</v>
      </c>
      <c r="B17" s="2" t="s">
        <v>1099</v>
      </c>
      <c r="C17" s="2" t="s">
        <v>1100</v>
      </c>
      <c r="D17" s="28" t="n">
        <v>25</v>
      </c>
      <c r="E17" s="28" t="n">
        <v>25</v>
      </c>
      <c r="F17" s="29" t="n">
        <v>0.0695</v>
      </c>
      <c r="G17" s="28" t="n">
        <v>1.7375</v>
      </c>
      <c r="H17" s="28" t="n">
        <v>2.632715</v>
      </c>
      <c r="I17" s="28" t="n">
        <v>25.77</v>
      </c>
      <c r="J17" s="29" t="n">
        <v>0.0674233604967016</v>
      </c>
      <c r="K17" s="29" t="n">
        <v>0.0674233604967016</v>
      </c>
      <c r="L17" s="40" t="n">
        <v>0</v>
      </c>
      <c r="M17" s="2" t="s">
        <v>1748</v>
      </c>
    </row>
    <row r="18" customFormat="false" ht="15" hidden="false" customHeight="false" outlineLevel="0" collapsed="false">
      <c r="A18" s="2" t="s">
        <v>1747</v>
      </c>
      <c r="B18" s="2" t="s">
        <v>1102</v>
      </c>
      <c r="C18" s="2" t="s">
        <v>1100</v>
      </c>
      <c r="D18" s="28" t="n">
        <v>25</v>
      </c>
      <c r="E18" s="28" t="n">
        <v>25</v>
      </c>
      <c r="F18" s="29" t="n">
        <v>0.065</v>
      </c>
      <c r="G18" s="28" t="n">
        <v>1.625</v>
      </c>
      <c r="H18" s="28" t="n">
        <v>2.427465</v>
      </c>
      <c r="I18" s="28" t="n">
        <v>25.47</v>
      </c>
      <c r="J18" s="29" t="n">
        <v>0.0638005496662741</v>
      </c>
      <c r="K18" s="29" t="n">
        <v>0.0638005496662741</v>
      </c>
      <c r="L18" s="40" t="n">
        <v>0</v>
      </c>
      <c r="M18" s="2" t="s">
        <v>1748</v>
      </c>
    </row>
    <row r="19" customFormat="false" ht="15" hidden="false" customHeight="false" outlineLevel="0" collapsed="false">
      <c r="A19" s="2" t="s">
        <v>1747</v>
      </c>
      <c r="B19" s="2" t="s">
        <v>1169</v>
      </c>
      <c r="C19" s="2" t="s">
        <v>1167</v>
      </c>
      <c r="D19" s="28" t="n">
        <v>25</v>
      </c>
      <c r="E19" s="28" t="n">
        <v>25</v>
      </c>
      <c r="F19" s="29" t="n">
        <v>0.0675</v>
      </c>
      <c r="G19" s="28" t="n">
        <v>1.6875</v>
      </c>
      <c r="H19" s="28" t="n">
        <v>206.25</v>
      </c>
      <c r="I19" s="28" t="n">
        <v>25.18</v>
      </c>
      <c r="J19" s="29" t="n">
        <v>0.0670174741858618</v>
      </c>
      <c r="K19" s="29" t="n">
        <v>0.0670174741858618</v>
      </c>
      <c r="L19" s="40" t="n">
        <v>0</v>
      </c>
      <c r="M19" s="2" t="s">
        <v>1750</v>
      </c>
    </row>
    <row r="20" customFormat="false" ht="15" hidden="false" customHeight="false" outlineLevel="0" collapsed="false">
      <c r="A20" s="2" t="s">
        <v>1747</v>
      </c>
      <c r="B20" s="2" t="s">
        <v>1214</v>
      </c>
      <c r="C20" s="2" t="s">
        <v>1210</v>
      </c>
      <c r="D20" s="28" t="n">
        <v>25</v>
      </c>
      <c r="E20" s="28" t="n">
        <v>25</v>
      </c>
      <c r="F20" s="29" t="n">
        <v>0.00085</v>
      </c>
      <c r="G20" s="28" t="n">
        <v>0.02125</v>
      </c>
      <c r="H20" s="28" t="n">
        <v>2.125</v>
      </c>
      <c r="I20" s="28" t="n">
        <v>25.8</v>
      </c>
      <c r="J20" s="29" t="n">
        <v>0.000823643410852713</v>
      </c>
      <c r="K20" s="29" t="n">
        <v>0.000823643410852713</v>
      </c>
      <c r="L20" s="40" t="n">
        <v>0</v>
      </c>
      <c r="M20" s="2" t="s">
        <v>1750</v>
      </c>
    </row>
    <row r="21" customFormat="false" ht="15" hidden="false" customHeight="false" outlineLevel="0" collapsed="false">
      <c r="A21" s="2" t="s">
        <v>1747</v>
      </c>
      <c r="B21" s="2" t="s">
        <v>1228</v>
      </c>
      <c r="C21" s="2" t="s">
        <v>1225</v>
      </c>
      <c r="D21" s="28" t="n">
        <v>25</v>
      </c>
      <c r="E21" s="28" t="n">
        <v>25</v>
      </c>
      <c r="F21" s="29" t="n">
        <v>0.0676</v>
      </c>
      <c r="G21" s="28" t="n">
        <v>1.69</v>
      </c>
      <c r="H21" s="28" t="n">
        <v>1.75</v>
      </c>
      <c r="I21" s="28" t="n">
        <v>24.56</v>
      </c>
      <c r="J21" s="29" t="n">
        <v>0.0688110749185668</v>
      </c>
      <c r="K21" s="29" t="n">
        <v>0.0688110749185668</v>
      </c>
      <c r="L21" s="40" t="n">
        <v>0</v>
      </c>
      <c r="M21" s="2" t="s">
        <v>1749</v>
      </c>
    </row>
    <row r="22" customFormat="false" ht="15" hidden="false" customHeight="false" outlineLevel="0" collapsed="false">
      <c r="A22" s="2" t="s">
        <v>1746</v>
      </c>
      <c r="B22" s="2" t="s">
        <v>1559</v>
      </c>
      <c r="C22" s="2" t="s">
        <v>1560</v>
      </c>
      <c r="D22" s="28" t="n">
        <v>4.15</v>
      </c>
      <c r="E22" s="28" t="n">
        <v>25</v>
      </c>
      <c r="F22" s="29" t="n">
        <v>0.316265060240964</v>
      </c>
      <c r="G22" s="28" t="n">
        <v>1.3125</v>
      </c>
      <c r="H22" s="28" t="n">
        <v>1.31</v>
      </c>
      <c r="I22" s="28" t="n">
        <v>0</v>
      </c>
      <c r="J22" s="29"/>
      <c r="K22" s="29"/>
      <c r="L22" s="40"/>
      <c r="M22" s="2" t="s">
        <v>1745</v>
      </c>
    </row>
    <row r="23" customFormat="false" ht="15" hidden="false" customHeight="false" outlineLevel="0" collapsed="false">
      <c r="A23" s="2" t="s">
        <v>1747</v>
      </c>
      <c r="B23" s="2" t="s">
        <v>1601</v>
      </c>
      <c r="C23" s="2" t="s">
        <v>1602</v>
      </c>
      <c r="D23" s="28" t="n">
        <v>4.15</v>
      </c>
      <c r="E23" s="28" t="n">
        <v>4.15</v>
      </c>
      <c r="F23" s="29" t="n">
        <v>0.106024096385542</v>
      </c>
      <c r="G23" s="28" t="n">
        <v>0.44</v>
      </c>
      <c r="H23" s="28" t="n">
        <v>0.22</v>
      </c>
      <c r="I23" s="28" t="n">
        <v>2.6</v>
      </c>
      <c r="J23" s="29" t="n">
        <v>0.169230769230769</v>
      </c>
      <c r="K23" s="29" t="n">
        <v>0.169230769230769</v>
      </c>
      <c r="L23" s="40" t="n">
        <v>0</v>
      </c>
      <c r="M23" s="2" t="s">
        <v>1749</v>
      </c>
    </row>
  </sheetData>
  <autoFilter ref="A1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26" t="s">
        <v>87</v>
      </c>
      <c r="B1" s="26" t="s">
        <v>88</v>
      </c>
      <c r="C1" s="26" t="s">
        <v>1751</v>
      </c>
      <c r="D1" s="26" t="s">
        <v>1752</v>
      </c>
      <c r="E1" s="26" t="s">
        <v>1753</v>
      </c>
      <c r="F1" s="26" t="s">
        <v>1754</v>
      </c>
      <c r="G1" s="26" t="s">
        <v>1755</v>
      </c>
    </row>
    <row r="2" customFormat="false" ht="15" hidden="false" customHeight="false" outlineLevel="0" collapsed="false">
      <c r="A2" s="38" t="s">
        <v>1496</v>
      </c>
      <c r="B2" s="38" t="s">
        <v>143</v>
      </c>
      <c r="C2" s="38" t="n">
        <v>5</v>
      </c>
      <c r="D2" s="38" t="n">
        <v>5</v>
      </c>
      <c r="E2" s="41" t="n">
        <v>0</v>
      </c>
      <c r="F2" s="38" t="s">
        <v>1756</v>
      </c>
      <c r="G2" s="38" t="s">
        <v>1757</v>
      </c>
    </row>
    <row r="3" customFormat="false" ht="15" hidden="false" customHeight="false" outlineLevel="0" collapsed="false">
      <c r="A3" s="38" t="s">
        <v>1532</v>
      </c>
      <c r="B3" s="38" t="s">
        <v>143</v>
      </c>
      <c r="C3" s="38" t="n">
        <v>4</v>
      </c>
      <c r="D3" s="38" t="n">
        <v>4</v>
      </c>
      <c r="E3" s="41" t="n">
        <v>0</v>
      </c>
      <c r="F3" s="38" t="s">
        <v>1758</v>
      </c>
      <c r="G3" s="38" t="s">
        <v>1757</v>
      </c>
    </row>
    <row r="4" customFormat="false" ht="15" hidden="false" customHeight="false" outlineLevel="0" collapsed="false">
      <c r="A4" s="38" t="s">
        <v>808</v>
      </c>
      <c r="B4" s="38" t="s">
        <v>143</v>
      </c>
      <c r="C4" s="38" t="n">
        <v>3</v>
      </c>
      <c r="D4" s="38" t="n">
        <v>3</v>
      </c>
      <c r="E4" s="41" t="n">
        <v>0</v>
      </c>
      <c r="F4" s="38" t="s">
        <v>1759</v>
      </c>
      <c r="G4" s="38" t="s">
        <v>1757</v>
      </c>
    </row>
    <row r="5" customFormat="false" ht="15" hidden="false" customHeight="false" outlineLevel="0" collapsed="false">
      <c r="A5" s="38" t="s">
        <v>1017</v>
      </c>
      <c r="B5" s="38" t="s">
        <v>1018</v>
      </c>
      <c r="C5" s="38" t="n">
        <v>3</v>
      </c>
      <c r="D5" s="38" t="n">
        <v>3</v>
      </c>
      <c r="E5" s="41" t="n">
        <v>59400</v>
      </c>
      <c r="F5" s="38" t="s">
        <v>1760</v>
      </c>
      <c r="G5" s="38" t="s">
        <v>1757</v>
      </c>
    </row>
    <row r="6" customFormat="false" ht="15" hidden="false" customHeight="false" outlineLevel="0" collapsed="false">
      <c r="A6" s="38" t="s">
        <v>1225</v>
      </c>
      <c r="B6" s="38" t="s">
        <v>143</v>
      </c>
      <c r="C6" s="38" t="n">
        <v>11</v>
      </c>
      <c r="D6" s="38" t="n">
        <v>3</v>
      </c>
      <c r="E6" s="41" t="n">
        <v>0</v>
      </c>
      <c r="F6" s="38" t="s">
        <v>1761</v>
      </c>
      <c r="G6" s="38" t="s">
        <v>1757</v>
      </c>
    </row>
    <row r="7" customFormat="false" ht="15" hidden="false" customHeight="false" outlineLevel="0" collapsed="false">
      <c r="A7" s="38" t="s">
        <v>1258</v>
      </c>
      <c r="B7" s="38" t="s">
        <v>143</v>
      </c>
      <c r="C7" s="38" t="n">
        <v>3</v>
      </c>
      <c r="D7" s="38" t="n">
        <v>3</v>
      </c>
      <c r="E7" s="41" t="n">
        <v>0</v>
      </c>
      <c r="F7" s="38" t="s">
        <v>1762</v>
      </c>
      <c r="G7" s="38" t="s">
        <v>1757</v>
      </c>
    </row>
    <row r="8" customFormat="false" ht="15" hidden="false" customHeight="false" outlineLevel="0" collapsed="false">
      <c r="A8" s="38" t="s">
        <v>1404</v>
      </c>
      <c r="B8" s="38" t="s">
        <v>143</v>
      </c>
      <c r="C8" s="38" t="n">
        <v>3</v>
      </c>
      <c r="D8" s="38" t="n">
        <v>3</v>
      </c>
      <c r="E8" s="41" t="n">
        <v>0</v>
      </c>
      <c r="F8" s="38" t="s">
        <v>1763</v>
      </c>
      <c r="G8" s="38" t="s">
        <v>1757</v>
      </c>
    </row>
    <row r="9" customFormat="false" ht="15" hidden="false" customHeight="false" outlineLevel="0" collapsed="false">
      <c r="A9" s="38" t="s">
        <v>1036</v>
      </c>
      <c r="B9" s="38" t="s">
        <v>143</v>
      </c>
      <c r="C9" s="38" t="n">
        <v>2</v>
      </c>
      <c r="D9" s="38" t="n">
        <v>2</v>
      </c>
      <c r="E9" s="41" t="n">
        <v>0</v>
      </c>
      <c r="F9" s="38" t="s">
        <v>1764</v>
      </c>
      <c r="G9" s="38" t="s">
        <v>1757</v>
      </c>
    </row>
    <row r="10" customFormat="false" ht="15" hidden="false" customHeight="false" outlineLevel="0" collapsed="false">
      <c r="A10" s="38" t="s">
        <v>1487</v>
      </c>
      <c r="B10" s="38" t="s">
        <v>143</v>
      </c>
      <c r="C10" s="38" t="n">
        <v>2</v>
      </c>
      <c r="D10" s="38" t="n">
        <v>2</v>
      </c>
      <c r="E10" s="41" t="n">
        <v>0</v>
      </c>
      <c r="F10" s="38" t="s">
        <v>1765</v>
      </c>
      <c r="G10" s="38" t="s">
        <v>1757</v>
      </c>
    </row>
    <row r="11" customFormat="false" ht="15" hidden="false" customHeight="false" outlineLevel="0" collapsed="false">
      <c r="A11" s="38" t="s">
        <v>230</v>
      </c>
      <c r="B11" s="38" t="s">
        <v>143</v>
      </c>
      <c r="C11" s="38" t="n">
        <v>1</v>
      </c>
      <c r="D11" s="38" t="n">
        <v>1</v>
      </c>
      <c r="E11" s="41" t="n">
        <v>0</v>
      </c>
      <c r="F11" s="38" t="s">
        <v>229</v>
      </c>
      <c r="G11" s="38" t="s">
        <v>1757</v>
      </c>
    </row>
    <row r="12" customFormat="false" ht="15" hidden="false" customHeight="false" outlineLevel="0" collapsed="false">
      <c r="A12" s="38" t="s">
        <v>437</v>
      </c>
      <c r="B12" s="38" t="s">
        <v>143</v>
      </c>
      <c r="C12" s="38" t="n">
        <v>2</v>
      </c>
      <c r="D12" s="38" t="n">
        <v>1</v>
      </c>
      <c r="E12" s="41" t="n">
        <v>0</v>
      </c>
      <c r="F12" s="38" t="s">
        <v>1766</v>
      </c>
      <c r="G12" s="38" t="s">
        <v>1757</v>
      </c>
    </row>
    <row r="13" customFormat="false" ht="15" hidden="false" customHeight="false" outlineLevel="0" collapsed="false">
      <c r="A13" s="38" t="s">
        <v>819</v>
      </c>
      <c r="B13" s="38" t="s">
        <v>143</v>
      </c>
      <c r="C13" s="38" t="n">
        <v>1</v>
      </c>
      <c r="D13" s="38" t="n">
        <v>1</v>
      </c>
      <c r="E13" s="41" t="n">
        <v>0</v>
      </c>
      <c r="F13" s="38" t="s">
        <v>818</v>
      </c>
      <c r="G13" s="38" t="s">
        <v>1757</v>
      </c>
    </row>
    <row r="14" customFormat="false" ht="15" hidden="false" customHeight="false" outlineLevel="0" collapsed="false">
      <c r="A14" s="38" t="s">
        <v>842</v>
      </c>
      <c r="B14" s="38" t="s">
        <v>143</v>
      </c>
      <c r="C14" s="38" t="n">
        <v>1</v>
      </c>
      <c r="D14" s="38" t="n">
        <v>1</v>
      </c>
      <c r="E14" s="41" t="n">
        <v>0</v>
      </c>
      <c r="F14" s="38" t="s">
        <v>841</v>
      </c>
      <c r="G14" s="38" t="s">
        <v>1757</v>
      </c>
    </row>
    <row r="15" customFormat="false" ht="15" hidden="false" customHeight="false" outlineLevel="0" collapsed="false">
      <c r="A15" s="38" t="s">
        <v>891</v>
      </c>
      <c r="B15" s="38" t="s">
        <v>143</v>
      </c>
      <c r="C15" s="38" t="n">
        <v>1</v>
      </c>
      <c r="D15" s="38" t="n">
        <v>1</v>
      </c>
      <c r="E15" s="41" t="n">
        <v>0</v>
      </c>
      <c r="F15" s="38" t="s">
        <v>890</v>
      </c>
      <c r="G15" s="38" t="s">
        <v>1757</v>
      </c>
    </row>
    <row r="16" customFormat="false" ht="15" hidden="false" customHeight="false" outlineLevel="0" collapsed="false">
      <c r="A16" s="38" t="s">
        <v>1219</v>
      </c>
      <c r="B16" s="38" t="s">
        <v>143</v>
      </c>
      <c r="C16" s="38" t="n">
        <v>1</v>
      </c>
      <c r="D16" s="38" t="n">
        <v>1</v>
      </c>
      <c r="E16" s="41" t="n">
        <v>0</v>
      </c>
      <c r="F16" s="38" t="s">
        <v>1218</v>
      </c>
      <c r="G16" s="38" t="s">
        <v>1757</v>
      </c>
    </row>
    <row r="17" customFormat="false" ht="15" hidden="false" customHeight="false" outlineLevel="0" collapsed="false">
      <c r="A17" s="38" t="s">
        <v>1449</v>
      </c>
      <c r="B17" s="38" t="s">
        <v>143</v>
      </c>
      <c r="C17" s="38" t="n">
        <v>1</v>
      </c>
      <c r="D17" s="38" t="n">
        <v>1</v>
      </c>
      <c r="E17" s="41" t="n">
        <v>0</v>
      </c>
      <c r="F17" s="38" t="s">
        <v>1448</v>
      </c>
      <c r="G17" s="38" t="s">
        <v>1757</v>
      </c>
    </row>
    <row r="18" customFormat="false" ht="15" hidden="false" customHeight="false" outlineLevel="0" collapsed="false">
      <c r="A18" s="2" t="s">
        <v>142</v>
      </c>
      <c r="B18" s="2" t="s">
        <v>143</v>
      </c>
      <c r="C18" s="2" t="n">
        <v>1</v>
      </c>
      <c r="D18" s="2" t="n">
        <v>0</v>
      </c>
      <c r="E18" s="27" t="n">
        <v>0</v>
      </c>
      <c r="F18" s="2" t="s">
        <v>141</v>
      </c>
      <c r="G18" s="2" t="s">
        <v>1767</v>
      </c>
    </row>
    <row r="19" customFormat="false" ht="15" hidden="false" customHeight="false" outlineLevel="0" collapsed="false">
      <c r="A19" s="2" t="s">
        <v>194</v>
      </c>
      <c r="B19" s="2" t="s">
        <v>143</v>
      </c>
      <c r="C19" s="2" t="n">
        <v>1</v>
      </c>
      <c r="D19" s="2" t="n">
        <v>0</v>
      </c>
      <c r="E19" s="27" t="n">
        <v>0</v>
      </c>
      <c r="F19" s="2" t="s">
        <v>193</v>
      </c>
      <c r="G19" s="2" t="s">
        <v>1767</v>
      </c>
    </row>
    <row r="20" customFormat="false" ht="15" hidden="false" customHeight="false" outlineLevel="0" collapsed="false">
      <c r="A20" s="2" t="s">
        <v>233</v>
      </c>
      <c r="B20" s="2" t="s">
        <v>143</v>
      </c>
      <c r="C20" s="2" t="n">
        <v>1</v>
      </c>
      <c r="D20" s="2" t="n">
        <v>0</v>
      </c>
      <c r="E20" s="27" t="n">
        <v>0</v>
      </c>
      <c r="F20" s="2" t="s">
        <v>232</v>
      </c>
      <c r="G20" s="2" t="s">
        <v>1767</v>
      </c>
    </row>
    <row r="21" customFormat="false" ht="15" hidden="false" customHeight="false" outlineLevel="0" collapsed="false">
      <c r="A21" s="2" t="s">
        <v>253</v>
      </c>
      <c r="B21" s="2" t="s">
        <v>143</v>
      </c>
      <c r="C21" s="2" t="n">
        <v>1</v>
      </c>
      <c r="D21" s="2" t="n">
        <v>0</v>
      </c>
      <c r="E21" s="27" t="n">
        <v>0</v>
      </c>
      <c r="F21" s="2" t="s">
        <v>252</v>
      </c>
      <c r="G21" s="2" t="s">
        <v>1767</v>
      </c>
    </row>
    <row r="22" customFormat="false" ht="15" hidden="false" customHeight="false" outlineLevel="0" collapsed="false">
      <c r="A22" s="2" t="s">
        <v>255</v>
      </c>
      <c r="B22" s="2" t="s">
        <v>143</v>
      </c>
      <c r="C22" s="2" t="n">
        <v>1</v>
      </c>
      <c r="D22" s="2" t="n">
        <v>0</v>
      </c>
      <c r="E22" s="27" t="n">
        <v>0</v>
      </c>
      <c r="F22" s="2" t="s">
        <v>254</v>
      </c>
      <c r="G22" s="2" t="s">
        <v>1767</v>
      </c>
    </row>
    <row r="23" customFormat="false" ht="15" hidden="false" customHeight="false" outlineLevel="0" collapsed="false">
      <c r="A23" s="2" t="s">
        <v>301</v>
      </c>
      <c r="B23" s="2" t="s">
        <v>143</v>
      </c>
      <c r="C23" s="2" t="n">
        <v>1</v>
      </c>
      <c r="D23" s="2" t="n">
        <v>0</v>
      </c>
      <c r="E23" s="27" t="n">
        <v>0</v>
      </c>
      <c r="F23" s="2" t="s">
        <v>300</v>
      </c>
      <c r="G23" s="2" t="s">
        <v>1767</v>
      </c>
    </row>
    <row r="24" customFormat="false" ht="15" hidden="false" customHeight="false" outlineLevel="0" collapsed="false">
      <c r="A24" s="2" t="s">
        <v>313</v>
      </c>
      <c r="B24" s="2" t="s">
        <v>143</v>
      </c>
      <c r="C24" s="2" t="n">
        <v>4</v>
      </c>
      <c r="D24" s="2" t="n">
        <v>0</v>
      </c>
      <c r="E24" s="27" t="n">
        <v>0</v>
      </c>
      <c r="F24" s="2" t="s">
        <v>1768</v>
      </c>
      <c r="G24" s="2" t="s">
        <v>1767</v>
      </c>
    </row>
    <row r="25" customFormat="false" ht="15" hidden="false" customHeight="false" outlineLevel="0" collapsed="false">
      <c r="A25" s="2" t="s">
        <v>327</v>
      </c>
      <c r="B25" s="2" t="s">
        <v>143</v>
      </c>
      <c r="C25" s="2" t="n">
        <v>1</v>
      </c>
      <c r="D25" s="2" t="n">
        <v>0</v>
      </c>
      <c r="E25" s="27" t="n">
        <v>0</v>
      </c>
      <c r="F25" s="2" t="s">
        <v>326</v>
      </c>
      <c r="G25" s="2" t="s">
        <v>1767</v>
      </c>
    </row>
    <row r="26" customFormat="false" ht="15" hidden="false" customHeight="false" outlineLevel="0" collapsed="false">
      <c r="A26" s="2" t="s">
        <v>569</v>
      </c>
      <c r="B26" s="2" t="s">
        <v>143</v>
      </c>
      <c r="C26" s="2" t="n">
        <v>1</v>
      </c>
      <c r="D26" s="2" t="n">
        <v>0</v>
      </c>
      <c r="E26" s="27" t="n">
        <v>0</v>
      </c>
      <c r="F26" s="2" t="s">
        <v>568</v>
      </c>
      <c r="G26" s="2" t="s">
        <v>1767</v>
      </c>
    </row>
    <row r="27" customFormat="false" ht="15" hidden="false" customHeight="false" outlineLevel="0" collapsed="false">
      <c r="A27" s="2" t="s">
        <v>592</v>
      </c>
      <c r="B27" s="2" t="s">
        <v>143</v>
      </c>
      <c r="C27" s="2" t="n">
        <v>3</v>
      </c>
      <c r="D27" s="2" t="n">
        <v>0</v>
      </c>
      <c r="E27" s="27" t="n">
        <v>0</v>
      </c>
      <c r="F27" s="2" t="s">
        <v>1769</v>
      </c>
      <c r="G27" s="2" t="s">
        <v>1767</v>
      </c>
    </row>
    <row r="28" customFormat="false" ht="15" hidden="false" customHeight="false" outlineLevel="0" collapsed="false">
      <c r="A28" s="2" t="s">
        <v>645</v>
      </c>
      <c r="B28" s="2" t="s">
        <v>143</v>
      </c>
      <c r="C28" s="2" t="n">
        <v>1</v>
      </c>
      <c r="D28" s="2" t="n">
        <v>0</v>
      </c>
      <c r="E28" s="27" t="n">
        <v>0</v>
      </c>
      <c r="F28" s="2" t="s">
        <v>644</v>
      </c>
      <c r="G28" s="2" t="s">
        <v>1767</v>
      </c>
    </row>
    <row r="29" customFormat="false" ht="15" hidden="false" customHeight="false" outlineLevel="0" collapsed="false">
      <c r="A29" s="2" t="s">
        <v>668</v>
      </c>
      <c r="B29" s="2" t="s">
        <v>143</v>
      </c>
      <c r="C29" s="2" t="n">
        <v>2</v>
      </c>
      <c r="D29" s="2" t="n">
        <v>0</v>
      </c>
      <c r="E29" s="27" t="n">
        <v>0</v>
      </c>
      <c r="F29" s="2" t="s">
        <v>1770</v>
      </c>
      <c r="G29" s="2" t="s">
        <v>1767</v>
      </c>
    </row>
    <row r="30" customFormat="false" ht="15" hidden="false" customHeight="false" outlineLevel="0" collapsed="false">
      <c r="A30" s="2" t="s">
        <v>671</v>
      </c>
      <c r="B30" s="2" t="s">
        <v>672</v>
      </c>
      <c r="C30" s="2" t="n">
        <v>3</v>
      </c>
      <c r="D30" s="2" t="n">
        <v>0</v>
      </c>
      <c r="E30" s="27" t="n">
        <v>73000</v>
      </c>
      <c r="F30" s="2" t="s">
        <v>1771</v>
      </c>
      <c r="G30" s="2" t="s">
        <v>1767</v>
      </c>
    </row>
    <row r="31" customFormat="false" ht="15" hidden="false" customHeight="false" outlineLevel="0" collapsed="false">
      <c r="A31" s="2" t="s">
        <v>692</v>
      </c>
      <c r="B31" s="2" t="s">
        <v>143</v>
      </c>
      <c r="C31" s="2" t="n">
        <v>1</v>
      </c>
      <c r="D31" s="2" t="n">
        <v>0</v>
      </c>
      <c r="E31" s="27" t="n">
        <v>0</v>
      </c>
      <c r="F31" s="2" t="s">
        <v>691</v>
      </c>
      <c r="G31" s="2" t="s">
        <v>1767</v>
      </c>
    </row>
    <row r="32" customFormat="false" ht="15" hidden="false" customHeight="false" outlineLevel="0" collapsed="false">
      <c r="A32" s="2" t="s">
        <v>711</v>
      </c>
      <c r="B32" s="2" t="s">
        <v>143</v>
      </c>
      <c r="C32" s="2" t="n">
        <v>1</v>
      </c>
      <c r="D32" s="2" t="n">
        <v>0</v>
      </c>
      <c r="E32" s="27" t="n">
        <v>0</v>
      </c>
      <c r="F32" s="2" t="s">
        <v>710</v>
      </c>
      <c r="G32" s="2" t="s">
        <v>1767</v>
      </c>
    </row>
    <row r="33" customFormat="false" ht="15" hidden="false" customHeight="false" outlineLevel="0" collapsed="false">
      <c r="A33" s="2" t="s">
        <v>806</v>
      </c>
      <c r="B33" s="2" t="s">
        <v>143</v>
      </c>
      <c r="C33" s="2" t="n">
        <v>1</v>
      </c>
      <c r="D33" s="2" t="n">
        <v>0</v>
      </c>
      <c r="E33" s="27" t="n">
        <v>0</v>
      </c>
      <c r="F33" s="2" t="s">
        <v>805</v>
      </c>
      <c r="G33" s="2" t="s">
        <v>1767</v>
      </c>
    </row>
    <row r="34" customFormat="false" ht="15" hidden="false" customHeight="false" outlineLevel="0" collapsed="false">
      <c r="A34" s="2" t="s">
        <v>821</v>
      </c>
      <c r="B34" s="2" t="s">
        <v>143</v>
      </c>
      <c r="C34" s="2" t="n">
        <v>1</v>
      </c>
      <c r="D34" s="2" t="n">
        <v>0</v>
      </c>
      <c r="E34" s="27" t="n">
        <v>0</v>
      </c>
      <c r="F34" s="2" t="s">
        <v>820</v>
      </c>
      <c r="G34" s="2" t="s">
        <v>1767</v>
      </c>
    </row>
    <row r="35" customFormat="false" ht="15" hidden="false" customHeight="false" outlineLevel="0" collapsed="false">
      <c r="A35" s="2" t="s">
        <v>856</v>
      </c>
      <c r="B35" s="2" t="s">
        <v>143</v>
      </c>
      <c r="C35" s="2" t="n">
        <v>1</v>
      </c>
      <c r="D35" s="2" t="n">
        <v>0</v>
      </c>
      <c r="E35" s="27" t="n">
        <v>0</v>
      </c>
      <c r="F35" s="2" t="s">
        <v>855</v>
      </c>
      <c r="G35" s="2" t="s">
        <v>1767</v>
      </c>
    </row>
    <row r="36" customFormat="false" ht="15" hidden="false" customHeight="false" outlineLevel="0" collapsed="false">
      <c r="A36" s="2" t="s">
        <v>867</v>
      </c>
      <c r="B36" s="2" t="s">
        <v>143</v>
      </c>
      <c r="C36" s="2" t="n">
        <v>1</v>
      </c>
      <c r="D36" s="2" t="n">
        <v>0</v>
      </c>
      <c r="E36" s="27" t="n">
        <v>0</v>
      </c>
      <c r="F36" s="2" t="s">
        <v>866</v>
      </c>
      <c r="G36" s="2" t="s">
        <v>1767</v>
      </c>
    </row>
    <row r="37" customFormat="false" ht="15" hidden="false" customHeight="false" outlineLevel="0" collapsed="false">
      <c r="A37" s="2" t="s">
        <v>907</v>
      </c>
      <c r="B37" s="2" t="s">
        <v>143</v>
      </c>
      <c r="C37" s="2" t="n">
        <v>3</v>
      </c>
      <c r="D37" s="2" t="n">
        <v>0</v>
      </c>
      <c r="E37" s="27" t="n">
        <v>0</v>
      </c>
      <c r="F37" s="2" t="s">
        <v>1772</v>
      </c>
      <c r="G37" s="2" t="s">
        <v>1767</v>
      </c>
    </row>
    <row r="38" customFormat="false" ht="15" hidden="false" customHeight="false" outlineLevel="0" collapsed="false">
      <c r="A38" s="2" t="s">
        <v>886</v>
      </c>
      <c r="B38" s="2" t="s">
        <v>143</v>
      </c>
      <c r="C38" s="2" t="n">
        <v>2</v>
      </c>
      <c r="D38" s="2" t="n">
        <v>0</v>
      </c>
      <c r="E38" s="27" t="n">
        <v>0</v>
      </c>
      <c r="F38" s="2" t="s">
        <v>1773</v>
      </c>
      <c r="G38" s="2" t="s">
        <v>1767</v>
      </c>
    </row>
    <row r="39" customFormat="false" ht="15" hidden="false" customHeight="false" outlineLevel="0" collapsed="false">
      <c r="A39" s="2" t="s">
        <v>1105</v>
      </c>
      <c r="B39" s="2" t="s">
        <v>143</v>
      </c>
      <c r="C39" s="2" t="n">
        <v>2</v>
      </c>
      <c r="D39" s="2" t="n">
        <v>0</v>
      </c>
      <c r="E39" s="27" t="n">
        <v>0</v>
      </c>
      <c r="F39" s="2" t="s">
        <v>1774</v>
      </c>
      <c r="G39" s="2" t="s">
        <v>1767</v>
      </c>
    </row>
    <row r="40" customFormat="false" ht="15" hidden="false" customHeight="false" outlineLevel="0" collapsed="false">
      <c r="A40" s="2" t="s">
        <v>1119</v>
      </c>
      <c r="B40" s="2" t="s">
        <v>143</v>
      </c>
      <c r="C40" s="2" t="n">
        <v>4</v>
      </c>
      <c r="D40" s="2" t="n">
        <v>0</v>
      </c>
      <c r="E40" s="27" t="n">
        <v>0</v>
      </c>
      <c r="F40" s="2" t="s">
        <v>1775</v>
      </c>
      <c r="G40" s="2" t="s">
        <v>1767</v>
      </c>
    </row>
    <row r="41" customFormat="false" ht="15" hidden="false" customHeight="false" outlineLevel="0" collapsed="false">
      <c r="A41" s="2" t="s">
        <v>1124</v>
      </c>
      <c r="B41" s="2" t="s">
        <v>143</v>
      </c>
      <c r="C41" s="2" t="n">
        <v>1</v>
      </c>
      <c r="D41" s="2" t="n">
        <v>0</v>
      </c>
      <c r="E41" s="27" t="n">
        <v>0</v>
      </c>
      <c r="F41" s="2" t="s">
        <v>1123</v>
      </c>
      <c r="G41" s="2" t="s">
        <v>1767</v>
      </c>
    </row>
    <row r="42" customFormat="false" ht="15" hidden="false" customHeight="false" outlineLevel="0" collapsed="false">
      <c r="A42" s="2" t="s">
        <v>1132</v>
      </c>
      <c r="B42" s="2" t="s">
        <v>143</v>
      </c>
      <c r="C42" s="2" t="n">
        <v>2</v>
      </c>
      <c r="D42" s="2" t="n">
        <v>0</v>
      </c>
      <c r="E42" s="27" t="n">
        <v>0</v>
      </c>
      <c r="F42" s="2" t="s">
        <v>1776</v>
      </c>
      <c r="G42" s="2" t="s">
        <v>1767</v>
      </c>
    </row>
    <row r="43" customFormat="false" ht="15" hidden="false" customHeight="false" outlineLevel="0" collapsed="false">
      <c r="A43" s="2" t="s">
        <v>1135</v>
      </c>
      <c r="B43" s="2" t="s">
        <v>143</v>
      </c>
      <c r="C43" s="2" t="n">
        <v>4</v>
      </c>
      <c r="D43" s="2" t="n">
        <v>0</v>
      </c>
      <c r="E43" s="27" t="n">
        <v>0</v>
      </c>
      <c r="F43" s="2" t="s">
        <v>1777</v>
      </c>
      <c r="G43" s="2" t="s">
        <v>1767</v>
      </c>
    </row>
    <row r="44" customFormat="false" ht="15" hidden="false" customHeight="false" outlineLevel="0" collapsed="false">
      <c r="A44" s="2" t="s">
        <v>1165</v>
      </c>
      <c r="B44" s="2" t="s">
        <v>143</v>
      </c>
      <c r="C44" s="2" t="n">
        <v>1</v>
      </c>
      <c r="D44" s="2" t="n">
        <v>0</v>
      </c>
      <c r="E44" s="27" t="n">
        <v>0</v>
      </c>
      <c r="F44" s="2" t="s">
        <v>1164</v>
      </c>
      <c r="G44" s="2" t="s">
        <v>1767</v>
      </c>
    </row>
    <row r="45" customFormat="false" ht="15" hidden="false" customHeight="false" outlineLevel="0" collapsed="false">
      <c r="A45" s="2" t="s">
        <v>1178</v>
      </c>
      <c r="B45" s="2" t="s">
        <v>143</v>
      </c>
      <c r="C45" s="2" t="n">
        <v>1</v>
      </c>
      <c r="D45" s="2" t="n">
        <v>0</v>
      </c>
      <c r="E45" s="27" t="n">
        <v>0</v>
      </c>
      <c r="F45" s="2" t="s">
        <v>1177</v>
      </c>
      <c r="G45" s="2" t="s">
        <v>1767</v>
      </c>
    </row>
    <row r="46" customFormat="false" ht="15" hidden="false" customHeight="false" outlineLevel="0" collapsed="false">
      <c r="A46" s="2" t="s">
        <v>1268</v>
      </c>
      <c r="B46" s="2" t="s">
        <v>143</v>
      </c>
      <c r="C46" s="2" t="n">
        <v>3</v>
      </c>
      <c r="D46" s="2" t="n">
        <v>0</v>
      </c>
      <c r="E46" s="27" t="n">
        <v>0</v>
      </c>
      <c r="F46" s="2" t="s">
        <v>1778</v>
      </c>
      <c r="G46" s="2" t="s">
        <v>1767</v>
      </c>
    </row>
    <row r="47" customFormat="false" ht="15" hidden="false" customHeight="false" outlineLevel="0" collapsed="false">
      <c r="A47" s="2" t="s">
        <v>1297</v>
      </c>
      <c r="B47" s="2" t="s">
        <v>143</v>
      </c>
      <c r="C47" s="2" t="n">
        <v>1</v>
      </c>
      <c r="D47" s="2" t="n">
        <v>0</v>
      </c>
      <c r="E47" s="27" t="n">
        <v>0</v>
      </c>
      <c r="F47" s="2" t="s">
        <v>1296</v>
      </c>
      <c r="G47" s="2" t="s">
        <v>1767</v>
      </c>
    </row>
    <row r="48" customFormat="false" ht="15" hidden="false" customHeight="false" outlineLevel="0" collapsed="false">
      <c r="A48" s="2" t="s">
        <v>1318</v>
      </c>
      <c r="B48" s="2" t="s">
        <v>143</v>
      </c>
      <c r="C48" s="2" t="n">
        <v>1</v>
      </c>
      <c r="D48" s="2" t="n">
        <v>0</v>
      </c>
      <c r="E48" s="27" t="n">
        <v>0</v>
      </c>
      <c r="F48" s="2" t="s">
        <v>1318</v>
      </c>
      <c r="G48" s="2" t="s">
        <v>1767</v>
      </c>
    </row>
    <row r="49" customFormat="false" ht="15" hidden="false" customHeight="false" outlineLevel="0" collapsed="false">
      <c r="A49" s="2" t="s">
        <v>1390</v>
      </c>
      <c r="B49" s="2" t="s">
        <v>143</v>
      </c>
      <c r="C49" s="2" t="n">
        <v>1</v>
      </c>
      <c r="D49" s="2" t="n">
        <v>0</v>
      </c>
      <c r="E49" s="27" t="n">
        <v>0</v>
      </c>
      <c r="F49" s="2" t="s">
        <v>1389</v>
      </c>
      <c r="G49" s="2" t="s">
        <v>1767</v>
      </c>
    </row>
    <row r="50" customFormat="false" ht="15" hidden="false" customHeight="false" outlineLevel="0" collapsed="false">
      <c r="A50" s="2" t="s">
        <v>1392</v>
      </c>
      <c r="B50" s="2" t="s">
        <v>143</v>
      </c>
      <c r="C50" s="2" t="n">
        <v>1</v>
      </c>
      <c r="D50" s="2" t="n">
        <v>0</v>
      </c>
      <c r="E50" s="27" t="n">
        <v>0</v>
      </c>
      <c r="F50" s="2" t="s">
        <v>1391</v>
      </c>
      <c r="G50" s="2" t="s">
        <v>1767</v>
      </c>
    </row>
    <row r="51" customFormat="false" ht="15" hidden="false" customHeight="false" outlineLevel="0" collapsed="false">
      <c r="A51" s="2" t="s">
        <v>1394</v>
      </c>
      <c r="B51" s="2" t="s">
        <v>143</v>
      </c>
      <c r="C51" s="2" t="n">
        <v>2</v>
      </c>
      <c r="D51" s="2" t="n">
        <v>0</v>
      </c>
      <c r="E51" s="27" t="n">
        <v>0</v>
      </c>
      <c r="F51" s="2" t="s">
        <v>1779</v>
      </c>
      <c r="G51" s="2" t="s">
        <v>1767</v>
      </c>
    </row>
    <row r="52" customFormat="false" ht="15" hidden="false" customHeight="false" outlineLevel="0" collapsed="false">
      <c r="A52" s="2" t="s">
        <v>1414</v>
      </c>
      <c r="B52" s="2" t="s">
        <v>143</v>
      </c>
      <c r="C52" s="2" t="n">
        <v>1</v>
      </c>
      <c r="D52" s="2" t="n">
        <v>0</v>
      </c>
      <c r="E52" s="27" t="n">
        <v>0</v>
      </c>
      <c r="F52" s="2" t="s">
        <v>1413</v>
      </c>
      <c r="G52" s="2" t="s">
        <v>1767</v>
      </c>
    </row>
    <row r="53" customFormat="false" ht="15" hidden="false" customHeight="false" outlineLevel="0" collapsed="false">
      <c r="A53" s="2" t="s">
        <v>1427</v>
      </c>
      <c r="B53" s="2" t="s">
        <v>143</v>
      </c>
      <c r="C53" s="2" t="n">
        <v>1</v>
      </c>
      <c r="D53" s="2" t="n">
        <v>0</v>
      </c>
      <c r="E53" s="27" t="n">
        <v>0</v>
      </c>
      <c r="F53" s="2" t="s">
        <v>1426</v>
      </c>
      <c r="G53" s="2" t="s">
        <v>1767</v>
      </c>
    </row>
    <row r="54" customFormat="false" ht="15" hidden="false" customHeight="false" outlineLevel="0" collapsed="false">
      <c r="A54" s="2" t="s">
        <v>1437</v>
      </c>
      <c r="B54" s="2" t="s">
        <v>143</v>
      </c>
      <c r="C54" s="2" t="n">
        <v>1</v>
      </c>
      <c r="D54" s="2" t="n">
        <v>0</v>
      </c>
      <c r="E54" s="27" t="n">
        <v>0</v>
      </c>
      <c r="F54" s="2" t="s">
        <v>1436</v>
      </c>
      <c r="G54" s="2" t="s">
        <v>1767</v>
      </c>
    </row>
    <row r="55" customFormat="false" ht="15" hidden="false" customHeight="false" outlineLevel="0" collapsed="false">
      <c r="A55" s="2" t="s">
        <v>1462</v>
      </c>
      <c r="B55" s="2" t="s">
        <v>143</v>
      </c>
      <c r="C55" s="2" t="n">
        <v>1</v>
      </c>
      <c r="D55" s="2" t="n">
        <v>0</v>
      </c>
      <c r="E55" s="27" t="n">
        <v>0</v>
      </c>
      <c r="F55" s="2" t="s">
        <v>1461</v>
      </c>
      <c r="G55" s="2" t="s">
        <v>1767</v>
      </c>
    </row>
    <row r="56" customFormat="false" ht="15" hidden="false" customHeight="false" outlineLevel="0" collapsed="false">
      <c r="A56" s="2" t="s">
        <v>1470</v>
      </c>
      <c r="B56" s="2" t="s">
        <v>143</v>
      </c>
      <c r="C56" s="2" t="n">
        <v>1</v>
      </c>
      <c r="D56" s="2" t="n">
        <v>0</v>
      </c>
      <c r="E56" s="27" t="n">
        <v>0</v>
      </c>
      <c r="F56" s="2" t="s">
        <v>1470</v>
      </c>
      <c r="G56" s="2" t="s">
        <v>1767</v>
      </c>
    </row>
    <row r="57" customFormat="false" ht="15" hidden="false" customHeight="false" outlineLevel="0" collapsed="false">
      <c r="A57" s="2" t="s">
        <v>1472</v>
      </c>
      <c r="B57" s="2" t="s">
        <v>143</v>
      </c>
      <c r="C57" s="2" t="n">
        <v>1</v>
      </c>
      <c r="D57" s="2" t="n">
        <v>0</v>
      </c>
      <c r="E57" s="27" t="n">
        <v>0</v>
      </c>
      <c r="F57" s="2" t="s">
        <v>1471</v>
      </c>
      <c r="G57" s="2" t="s">
        <v>1767</v>
      </c>
    </row>
    <row r="58" customFormat="false" ht="15" hidden="false" customHeight="false" outlineLevel="0" collapsed="false">
      <c r="A58" s="2" t="s">
        <v>1474</v>
      </c>
      <c r="B58" s="2" t="s">
        <v>1475</v>
      </c>
      <c r="C58" s="2" t="n">
        <v>2</v>
      </c>
      <c r="D58" s="2" t="n">
        <v>0</v>
      </c>
      <c r="E58" s="27" t="n">
        <v>0</v>
      </c>
      <c r="F58" s="2" t="s">
        <v>1780</v>
      </c>
      <c r="G58" s="2" t="s">
        <v>1767</v>
      </c>
    </row>
    <row r="59" customFormat="false" ht="15" hidden="false" customHeight="false" outlineLevel="0" collapsed="false">
      <c r="A59" s="2" t="s">
        <v>1483</v>
      </c>
      <c r="B59" s="2" t="s">
        <v>143</v>
      </c>
      <c r="C59" s="2" t="n">
        <v>1</v>
      </c>
      <c r="D59" s="2" t="n">
        <v>0</v>
      </c>
      <c r="E59" s="27" t="n">
        <v>0</v>
      </c>
      <c r="F59" s="2" t="s">
        <v>1483</v>
      </c>
      <c r="G59" s="2" t="s">
        <v>1767</v>
      </c>
    </row>
    <row r="60" customFormat="false" ht="15" hidden="false" customHeight="false" outlineLevel="0" collapsed="false">
      <c r="A60" s="2" t="s">
        <v>1485</v>
      </c>
      <c r="B60" s="2" t="s">
        <v>143</v>
      </c>
      <c r="C60" s="2" t="n">
        <v>1</v>
      </c>
      <c r="D60" s="2" t="n">
        <v>0</v>
      </c>
      <c r="E60" s="27" t="n">
        <v>0</v>
      </c>
      <c r="F60" s="2" t="s">
        <v>1484</v>
      </c>
      <c r="G60" s="2" t="s">
        <v>1767</v>
      </c>
    </row>
    <row r="61" customFormat="false" ht="15" hidden="false" customHeight="false" outlineLevel="0" collapsed="false">
      <c r="A61" s="2" t="s">
        <v>1490</v>
      </c>
      <c r="B61" s="2" t="s">
        <v>143</v>
      </c>
      <c r="C61" s="2" t="n">
        <v>2</v>
      </c>
      <c r="D61" s="2" t="n">
        <v>0</v>
      </c>
      <c r="E61" s="27" t="n">
        <v>0</v>
      </c>
      <c r="F61" s="2" t="s">
        <v>1781</v>
      </c>
      <c r="G61" s="2" t="s">
        <v>1767</v>
      </c>
    </row>
    <row r="62" customFormat="false" ht="15" hidden="false" customHeight="false" outlineLevel="0" collapsed="false">
      <c r="A62" s="2" t="s">
        <v>1513</v>
      </c>
      <c r="B62" s="2" t="s">
        <v>143</v>
      </c>
      <c r="C62" s="2" t="n">
        <v>1</v>
      </c>
      <c r="D62" s="2" t="n">
        <v>0</v>
      </c>
      <c r="E62" s="27" t="n">
        <v>0</v>
      </c>
      <c r="F62" s="2" t="s">
        <v>1512</v>
      </c>
      <c r="G62" s="2" t="s">
        <v>1767</v>
      </c>
    </row>
    <row r="63" customFormat="false" ht="15" hidden="false" customHeight="false" outlineLevel="0" collapsed="false">
      <c r="A63" s="2" t="s">
        <v>1612</v>
      </c>
      <c r="B63" s="2" t="s">
        <v>143</v>
      </c>
      <c r="C63" s="2" t="n">
        <v>2</v>
      </c>
      <c r="D63" s="2" t="n">
        <v>0</v>
      </c>
      <c r="E63" s="27" t="n">
        <v>0</v>
      </c>
      <c r="F63" s="2" t="s">
        <v>1782</v>
      </c>
      <c r="G63" s="2" t="s">
        <v>1767</v>
      </c>
    </row>
    <row r="64" customFormat="false" ht="15" hidden="false" customHeight="false" outlineLevel="0" collapsed="false">
      <c r="A64" s="2" t="s">
        <v>1618</v>
      </c>
      <c r="B64" s="2" t="s">
        <v>143</v>
      </c>
      <c r="C64" s="2" t="n">
        <v>1</v>
      </c>
      <c r="D64" s="2" t="n">
        <v>0</v>
      </c>
      <c r="E64" s="27" t="n">
        <v>0</v>
      </c>
      <c r="F64" s="2" t="s">
        <v>1617</v>
      </c>
      <c r="G64" s="2" t="s">
        <v>1767</v>
      </c>
    </row>
  </sheetData>
  <autoFilter ref="A1:G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2026-08-21T17:45:41Z</dcterms:created>
  <dc:creator>openpyxl</dc:creator>
  <dc:description/>
  <dc:language>en-US</dc:language>
  <cp:lastModifiedBy/>
  <dcterms:modified xsi:type="dcterms:W3CDTF">2026-08-21T17:50:13Z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